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Special\"/>
    </mc:Choice>
  </mc:AlternateContent>
  <bookViews>
    <workbookView xWindow="0" yWindow="0" windowWidth="28800" windowHeight="14235" activeTab="2"/>
  </bookViews>
  <sheets>
    <sheet name="MacroDriver" sheetId="11" r:id="rId1"/>
    <sheet name="Crossings" sheetId="13" r:id="rId2"/>
    <sheet name="Enforcements" sheetId="9" r:id="rId3"/>
    <sheet name="Stats" sheetId="12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2" hidden="1">Enforcements!$A$1:$V$747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2" i="12"/>
  <c r="D13" i="12"/>
  <c r="D10" i="12"/>
  <c r="D11" i="12"/>
  <c r="D14" i="12"/>
  <c r="D2" i="12"/>
  <c r="D3" i="12"/>
  <c r="D12" i="12"/>
  <c r="D6" i="12"/>
  <c r="D7" i="12"/>
  <c r="D15" i="12"/>
  <c r="D16" i="12"/>
  <c r="D9" i="12"/>
  <c r="D8" i="12"/>
  <c r="D5" i="12"/>
  <c r="D4" i="12"/>
  <c r="E4" i="12" l="1"/>
  <c r="E11" i="12"/>
  <c r="E5" i="12"/>
  <c r="E10" i="12"/>
  <c r="E7" i="12"/>
  <c r="E2" i="12"/>
  <c r="E13" i="12"/>
  <c r="E9" i="12"/>
  <c r="E6" i="12"/>
  <c r="E14" i="12"/>
  <c r="E15" i="12"/>
  <c r="E3" i="12"/>
  <c r="E16" i="12"/>
  <c r="E12" i="12"/>
  <c r="E8" i="12"/>
  <c r="P78" i="9"/>
  <c r="L78" i="9"/>
  <c r="P79" i="9"/>
  <c r="L79" i="9"/>
  <c r="P67" i="9"/>
  <c r="L67" i="9"/>
  <c r="P48" i="9"/>
  <c r="L48" i="9"/>
  <c r="P22" i="9"/>
  <c r="L22" i="9"/>
  <c r="P21" i="9"/>
  <c r="L21" i="9"/>
  <c r="P77" i="9" l="1"/>
  <c r="L77" i="9"/>
  <c r="P76" i="9"/>
  <c r="L76" i="9"/>
  <c r="P66" i="9"/>
  <c r="L66" i="9"/>
  <c r="P20" i="9"/>
  <c r="L20" i="9"/>
  <c r="P65" i="9" l="1"/>
  <c r="L65" i="9"/>
  <c r="P64" i="9"/>
  <c r="L64" i="9"/>
  <c r="P19" i="9"/>
  <c r="L19" i="9"/>
  <c r="P75" i="9" l="1"/>
  <c r="L75" i="9"/>
  <c r="P74" i="9"/>
  <c r="L74" i="9"/>
  <c r="P73" i="9"/>
  <c r="L73" i="9"/>
  <c r="P63" i="9"/>
  <c r="L63" i="9"/>
  <c r="P54" i="9"/>
  <c r="L54" i="9"/>
  <c r="P36" i="9"/>
  <c r="L36" i="9"/>
  <c r="P35" i="9"/>
  <c r="L35" i="9"/>
  <c r="P34" i="9"/>
  <c r="L34" i="9"/>
  <c r="P33" i="9"/>
  <c r="L33" i="9"/>
  <c r="P32" i="9"/>
  <c r="L32" i="9"/>
  <c r="P17" i="9"/>
  <c r="L17" i="9"/>
  <c r="P18" i="9"/>
  <c r="L18" i="9"/>
  <c r="P47" i="9" l="1"/>
  <c r="L47" i="9"/>
  <c r="L83" i="9" l="1"/>
  <c r="L72" i="9"/>
  <c r="L62" i="9"/>
  <c r="L31" i="9"/>
  <c r="L16" i="9"/>
  <c r="L15" i="9"/>
  <c r="L14" i="9"/>
  <c r="P71" i="9" l="1"/>
  <c r="L71" i="9"/>
  <c r="P49" i="9"/>
  <c r="L49" i="9"/>
  <c r="P46" i="9"/>
  <c r="L46" i="9"/>
  <c r="P13" i="9"/>
  <c r="L13" i="9"/>
  <c r="P12" i="9"/>
  <c r="L12" i="9"/>
  <c r="P70" i="9" l="1"/>
  <c r="L70" i="9"/>
  <c r="P53" i="9"/>
  <c r="L53" i="9"/>
  <c r="P45" i="9"/>
  <c r="L45" i="9"/>
  <c r="P11" i="9"/>
  <c r="L11" i="9"/>
  <c r="P59" i="9" l="1"/>
  <c r="L59" i="9"/>
  <c r="P50" i="9"/>
  <c r="L50" i="9"/>
  <c r="P43" i="9"/>
  <c r="L43" i="9"/>
  <c r="P42" i="9"/>
  <c r="L42" i="9"/>
  <c r="P10" i="9"/>
  <c r="L10" i="9"/>
  <c r="P9" i="9"/>
  <c r="L9" i="9"/>
  <c r="P80" i="9" l="1"/>
  <c r="L80" i="9"/>
  <c r="P69" i="9"/>
  <c r="L69" i="9"/>
  <c r="P52" i="9"/>
  <c r="L52" i="9"/>
  <c r="P44" i="9"/>
  <c r="L44" i="9"/>
  <c r="P41" i="9"/>
  <c r="L41" i="9"/>
  <c r="P82" i="9" l="1"/>
  <c r="L82" i="9"/>
  <c r="P30" i="9"/>
  <c r="L30" i="9"/>
  <c r="P29" i="9"/>
  <c r="L29" i="9"/>
  <c r="P8" i="9"/>
  <c r="L8" i="9"/>
  <c r="P28" i="9" l="1"/>
  <c r="L28" i="9"/>
  <c r="P7" i="9"/>
  <c r="L7" i="9"/>
  <c r="P6" i="9"/>
  <c r="L6" i="9"/>
  <c r="P5" i="9"/>
  <c r="L5" i="9"/>
  <c r="P61" i="9" l="1"/>
  <c r="L61" i="9"/>
  <c r="P51" i="9"/>
  <c r="L51" i="9"/>
  <c r="P2" i="9"/>
  <c r="L2" i="9"/>
  <c r="P4" i="9"/>
  <c r="L4" i="9"/>
  <c r="P3" i="9"/>
  <c r="L3" i="9"/>
  <c r="P38" i="9" l="1"/>
  <c r="L38" i="9"/>
  <c r="P26" i="9"/>
  <c r="L26" i="9"/>
  <c r="P27" i="9"/>
  <c r="L27" i="9"/>
  <c r="P85" i="9" l="1"/>
  <c r="L85" i="9"/>
  <c r="V22" i="9"/>
  <c r="U22" i="9"/>
  <c r="T22" i="9"/>
  <c r="S22" i="9"/>
  <c r="Q22" i="9"/>
  <c r="V21" i="9"/>
  <c r="U21" i="9"/>
  <c r="T21" i="9"/>
  <c r="S21" i="9"/>
  <c r="Q21" i="9"/>
  <c r="V67" i="9"/>
  <c r="U67" i="9"/>
  <c r="T67" i="9"/>
  <c r="S67" i="9"/>
  <c r="Q67" i="9"/>
  <c r="V79" i="9"/>
  <c r="U79" i="9"/>
  <c r="T79" i="9"/>
  <c r="S79" i="9"/>
  <c r="Q79" i="9"/>
  <c r="V78" i="9"/>
  <c r="U78" i="9"/>
  <c r="T78" i="9"/>
  <c r="S78" i="9"/>
  <c r="Q78" i="9"/>
  <c r="V48" i="9"/>
  <c r="U48" i="9"/>
  <c r="T48" i="9"/>
  <c r="S48" i="9"/>
  <c r="Q48" i="9"/>
  <c r="V20" i="9"/>
  <c r="U20" i="9"/>
  <c r="T20" i="9"/>
  <c r="S20" i="9"/>
  <c r="Q20" i="9"/>
  <c r="P58" i="9"/>
  <c r="L58" i="9"/>
  <c r="P57" i="9"/>
  <c r="L57" i="9"/>
  <c r="P25" i="9"/>
  <c r="L25" i="9"/>
  <c r="P24" i="9"/>
  <c r="L24" i="9"/>
  <c r="V77" i="9" l="1"/>
  <c r="U77" i="9"/>
  <c r="T77" i="9"/>
  <c r="S77" i="9"/>
  <c r="Q77" i="9"/>
  <c r="V66" i="9"/>
  <c r="U66" i="9"/>
  <c r="T66" i="9"/>
  <c r="S66" i="9"/>
  <c r="Q66" i="9"/>
  <c r="V76" i="9"/>
  <c r="U76" i="9"/>
  <c r="T76" i="9"/>
  <c r="S76" i="9"/>
  <c r="Q76" i="9"/>
  <c r="V65" i="9"/>
  <c r="U65" i="9"/>
  <c r="T65" i="9"/>
  <c r="S65" i="9"/>
  <c r="Q65" i="9"/>
  <c r="V64" i="9"/>
  <c r="U64" i="9"/>
  <c r="T64" i="9"/>
  <c r="S64" i="9"/>
  <c r="Q64" i="9"/>
  <c r="V19" i="9"/>
  <c r="U19" i="9"/>
  <c r="T19" i="9"/>
  <c r="S19" i="9"/>
  <c r="Q19" i="9"/>
  <c r="V63" i="9"/>
  <c r="U63" i="9"/>
  <c r="T63" i="9"/>
  <c r="S63" i="9"/>
  <c r="Q63" i="9"/>
  <c r="P68" i="9"/>
  <c r="L68" i="9"/>
  <c r="V18" i="9"/>
  <c r="U18" i="9"/>
  <c r="T18" i="9"/>
  <c r="S18" i="9"/>
  <c r="Q18" i="9"/>
  <c r="V36" i="9"/>
  <c r="U36" i="9"/>
  <c r="T36" i="9"/>
  <c r="S36" i="9"/>
  <c r="Q36" i="9"/>
  <c r="P40" i="9"/>
  <c r="L40" i="9"/>
  <c r="V35" i="9"/>
  <c r="U35" i="9"/>
  <c r="T35" i="9"/>
  <c r="S35" i="9"/>
  <c r="Q35" i="9"/>
  <c r="P37" i="9"/>
  <c r="L37" i="9"/>
  <c r="V75" i="9"/>
  <c r="U75" i="9"/>
  <c r="T75" i="9"/>
  <c r="S75" i="9"/>
  <c r="Q75" i="9"/>
  <c r="V74" i="9" l="1"/>
  <c r="U74" i="9"/>
  <c r="T74" i="9"/>
  <c r="S74" i="9"/>
  <c r="Q74" i="9"/>
  <c r="V17" i="9"/>
  <c r="U17" i="9"/>
  <c r="T17" i="9"/>
  <c r="S17" i="9"/>
  <c r="Q17" i="9"/>
  <c r="V34" i="9"/>
  <c r="U34" i="9"/>
  <c r="T34" i="9"/>
  <c r="S34" i="9"/>
  <c r="Q34" i="9"/>
  <c r="V73" i="9"/>
  <c r="U73" i="9"/>
  <c r="T73" i="9"/>
  <c r="S73" i="9"/>
  <c r="Q73" i="9"/>
  <c r="V33" i="9"/>
  <c r="U33" i="9"/>
  <c r="T33" i="9"/>
  <c r="S33" i="9"/>
  <c r="Q33" i="9"/>
  <c r="V54" i="9"/>
  <c r="U54" i="9"/>
  <c r="T54" i="9"/>
  <c r="S54" i="9"/>
  <c r="Q54" i="9"/>
  <c r="V32" i="9"/>
  <c r="U32" i="9"/>
  <c r="T32" i="9"/>
  <c r="S32" i="9"/>
  <c r="Q32" i="9"/>
  <c r="V47" i="9"/>
  <c r="U47" i="9"/>
  <c r="T47" i="9"/>
  <c r="S47" i="9"/>
  <c r="Q47" i="9"/>
  <c r="V62" i="9"/>
  <c r="U62" i="9"/>
  <c r="T62" i="9"/>
  <c r="V83" i="9"/>
  <c r="U83" i="9"/>
  <c r="T83" i="9"/>
  <c r="V16" i="9"/>
  <c r="U16" i="9"/>
  <c r="T16" i="9"/>
  <c r="V72" i="9"/>
  <c r="U72" i="9"/>
  <c r="T72" i="9"/>
  <c r="V15" i="9"/>
  <c r="U15" i="9"/>
  <c r="T15" i="9"/>
  <c r="V14" i="9"/>
  <c r="U14" i="9"/>
  <c r="T14" i="9"/>
  <c r="V31" i="9"/>
  <c r="U31" i="9"/>
  <c r="T31" i="9"/>
  <c r="V71" i="9"/>
  <c r="U71" i="9"/>
  <c r="T71" i="9"/>
  <c r="S71" i="9"/>
  <c r="Q71" i="9"/>
  <c r="V49" i="9"/>
  <c r="U49" i="9"/>
  <c r="T49" i="9"/>
  <c r="S49" i="9"/>
  <c r="Q49" i="9"/>
  <c r="V13" i="9"/>
  <c r="U13" i="9"/>
  <c r="T13" i="9"/>
  <c r="S13" i="9"/>
  <c r="Q13" i="9"/>
  <c r="V12" i="9"/>
  <c r="U12" i="9"/>
  <c r="T12" i="9"/>
  <c r="S12" i="9"/>
  <c r="Q12" i="9"/>
  <c r="V46" i="9"/>
  <c r="U46" i="9"/>
  <c r="T46" i="9"/>
  <c r="S46" i="9"/>
  <c r="Q46" i="9"/>
  <c r="V70" i="9"/>
  <c r="U70" i="9"/>
  <c r="T70" i="9"/>
  <c r="S70" i="9"/>
  <c r="Q70" i="9"/>
  <c r="V45" i="9"/>
  <c r="U45" i="9"/>
  <c r="T45" i="9"/>
  <c r="S45" i="9"/>
  <c r="Q45" i="9"/>
  <c r="V11" i="9"/>
  <c r="U11" i="9"/>
  <c r="T11" i="9"/>
  <c r="S11" i="9"/>
  <c r="Q11" i="9"/>
  <c r="V53" i="9"/>
  <c r="U53" i="9"/>
  <c r="T53" i="9"/>
  <c r="S53" i="9"/>
  <c r="Q53" i="9"/>
  <c r="V50" i="9"/>
  <c r="U50" i="9"/>
  <c r="T50" i="9"/>
  <c r="S50" i="9"/>
  <c r="Q50" i="9"/>
  <c r="V10" i="9"/>
  <c r="U10" i="9"/>
  <c r="T10" i="9"/>
  <c r="S10" i="9"/>
  <c r="Q10" i="9"/>
  <c r="V9" i="9"/>
  <c r="U9" i="9"/>
  <c r="T9" i="9"/>
  <c r="S9" i="9"/>
  <c r="Q9" i="9"/>
  <c r="V59" i="9"/>
  <c r="U59" i="9"/>
  <c r="T59" i="9"/>
  <c r="S59" i="9"/>
  <c r="Q59" i="9"/>
  <c r="V43" i="9"/>
  <c r="U43" i="9"/>
  <c r="T43" i="9"/>
  <c r="S43" i="9"/>
  <c r="Q43" i="9"/>
  <c r="V42" i="9"/>
  <c r="U42" i="9"/>
  <c r="T42" i="9"/>
  <c r="S42" i="9"/>
  <c r="Q42" i="9"/>
  <c r="V80" i="9"/>
  <c r="U80" i="9"/>
  <c r="T80" i="9"/>
  <c r="S80" i="9"/>
  <c r="Q80" i="9"/>
  <c r="V52" i="9"/>
  <c r="U52" i="9"/>
  <c r="T52" i="9"/>
  <c r="S52" i="9"/>
  <c r="Q52" i="9"/>
  <c r="V44" i="9"/>
  <c r="U44" i="9"/>
  <c r="T44" i="9"/>
  <c r="S44" i="9"/>
  <c r="Q44" i="9"/>
  <c r="V41" i="9"/>
  <c r="U41" i="9"/>
  <c r="T41" i="9"/>
  <c r="S41" i="9"/>
  <c r="Q41" i="9"/>
  <c r="V69" i="9"/>
  <c r="U69" i="9"/>
  <c r="T69" i="9"/>
  <c r="S69" i="9"/>
  <c r="Q69" i="9"/>
  <c r="V82" i="9"/>
  <c r="U82" i="9"/>
  <c r="T82" i="9"/>
  <c r="S82" i="9"/>
  <c r="Q82" i="9"/>
  <c r="V30" i="9"/>
  <c r="U30" i="9"/>
  <c r="T30" i="9"/>
  <c r="S30" i="9"/>
  <c r="Q30" i="9"/>
  <c r="V8" i="9"/>
  <c r="U8" i="9"/>
  <c r="T8" i="9"/>
  <c r="S8" i="9"/>
  <c r="Q8" i="9"/>
  <c r="V29" i="9"/>
  <c r="U29" i="9"/>
  <c r="T29" i="9"/>
  <c r="S29" i="9"/>
  <c r="Q29" i="9"/>
  <c r="V7" i="9"/>
  <c r="U7" i="9"/>
  <c r="T7" i="9"/>
  <c r="S7" i="9"/>
  <c r="Q7" i="9"/>
  <c r="V28" i="9"/>
  <c r="U28" i="9"/>
  <c r="T28" i="9"/>
  <c r="S28" i="9"/>
  <c r="Q28" i="9"/>
  <c r="V6" i="9"/>
  <c r="U6" i="9"/>
  <c r="T6" i="9"/>
  <c r="S6" i="9"/>
  <c r="Q6" i="9"/>
  <c r="V5" i="9"/>
  <c r="U5" i="9"/>
  <c r="T5" i="9"/>
  <c r="S5" i="9"/>
  <c r="Q5" i="9"/>
  <c r="V4" i="9"/>
  <c r="U4" i="9"/>
  <c r="T4" i="9"/>
  <c r="S4" i="9"/>
  <c r="Q4" i="9"/>
  <c r="V3" i="9"/>
  <c r="U3" i="9"/>
  <c r="T3" i="9"/>
  <c r="S3" i="9"/>
  <c r="Q3" i="9"/>
  <c r="V61" i="9"/>
  <c r="U61" i="9"/>
  <c r="T61" i="9"/>
  <c r="S61" i="9"/>
  <c r="Q61" i="9"/>
  <c r="V51" i="9"/>
  <c r="U51" i="9"/>
  <c r="T51" i="9"/>
  <c r="S51" i="9"/>
  <c r="Q51" i="9"/>
  <c r="V2" i="9"/>
  <c r="U2" i="9"/>
  <c r="T2" i="9"/>
  <c r="S2" i="9"/>
  <c r="Q2" i="9"/>
  <c r="V27" i="9"/>
  <c r="U27" i="9"/>
  <c r="T27" i="9"/>
  <c r="S27" i="9"/>
  <c r="Q27" i="9"/>
  <c r="V26" i="9"/>
  <c r="U26" i="9"/>
  <c r="T26" i="9"/>
  <c r="S26" i="9"/>
  <c r="Q26" i="9"/>
  <c r="V38" i="9"/>
  <c r="U38" i="9"/>
  <c r="T38" i="9"/>
  <c r="S38" i="9"/>
  <c r="Q38" i="9"/>
  <c r="V25" i="9"/>
  <c r="U25" i="9"/>
  <c r="T25" i="9"/>
  <c r="S25" i="9"/>
  <c r="Q25" i="9"/>
  <c r="V58" i="9"/>
  <c r="U58" i="9"/>
  <c r="T58" i="9"/>
  <c r="S58" i="9"/>
  <c r="Q58" i="9"/>
  <c r="V24" i="9"/>
  <c r="U24" i="9"/>
  <c r="T24" i="9"/>
  <c r="S24" i="9"/>
  <c r="Q24" i="9"/>
  <c r="V85" i="9"/>
  <c r="U85" i="9"/>
  <c r="T85" i="9"/>
  <c r="S85" i="9"/>
  <c r="Q85" i="9"/>
  <c r="V57" i="9"/>
  <c r="U57" i="9"/>
  <c r="T57" i="9"/>
  <c r="S57" i="9"/>
  <c r="Q57" i="9"/>
  <c r="V68" i="9"/>
  <c r="U68" i="9"/>
  <c r="T68" i="9"/>
  <c r="S68" i="9"/>
  <c r="Q68" i="9"/>
  <c r="V40" i="9"/>
  <c r="U40" i="9"/>
  <c r="T40" i="9"/>
  <c r="S40" i="9"/>
  <c r="Q40" i="9"/>
  <c r="V37" i="9"/>
  <c r="U37" i="9"/>
  <c r="T37" i="9"/>
  <c r="S37" i="9"/>
  <c r="Q37" i="9"/>
  <c r="V60" i="9"/>
  <c r="U60" i="9"/>
  <c r="T60" i="9"/>
  <c r="S60" i="9"/>
  <c r="Q60" i="9"/>
  <c r="P86" i="9"/>
  <c r="L86" i="9"/>
  <c r="V86" i="9"/>
  <c r="U86" i="9"/>
  <c r="T86" i="9"/>
  <c r="S86" i="9"/>
  <c r="Q86" i="9"/>
  <c r="P84" i="9"/>
  <c r="L84" i="9"/>
  <c r="V23" i="9"/>
  <c r="U23" i="9"/>
  <c r="T23" i="9"/>
  <c r="S23" i="9"/>
  <c r="Q23" i="9"/>
  <c r="P81" i="9"/>
  <c r="L81" i="9"/>
  <c r="V56" i="9"/>
  <c r="U56" i="9"/>
  <c r="T56" i="9"/>
  <c r="S56" i="9"/>
  <c r="Q56" i="9"/>
  <c r="P60" i="9"/>
  <c r="L60" i="9"/>
  <c r="V55" i="9"/>
  <c r="U55" i="9"/>
  <c r="T55" i="9"/>
  <c r="S55" i="9"/>
  <c r="Q55" i="9"/>
  <c r="P56" i="9"/>
  <c r="L56" i="9"/>
  <c r="V84" i="9"/>
  <c r="U84" i="9"/>
  <c r="T84" i="9"/>
  <c r="S84" i="9"/>
  <c r="Q84" i="9"/>
  <c r="P55" i="9"/>
  <c r="L55" i="9"/>
  <c r="V39" i="9"/>
  <c r="U39" i="9"/>
  <c r="T39" i="9"/>
  <c r="S39" i="9"/>
  <c r="Q39" i="9"/>
  <c r="V81" i="9"/>
  <c r="U81" i="9"/>
  <c r="T81" i="9"/>
  <c r="S81" i="9"/>
  <c r="Q81" i="9"/>
  <c r="P39" i="9"/>
  <c r="L39" i="9"/>
  <c r="P23" i="9"/>
  <c r="L23" i="9"/>
  <c r="O285" i="9" l="1"/>
  <c r="P285" i="9" s="1"/>
  <c r="O345" i="9"/>
  <c r="P345" i="9" s="1"/>
  <c r="O346" i="9"/>
  <c r="P346" i="9" s="1"/>
  <c r="O414" i="9"/>
  <c r="P414" i="9" s="1"/>
  <c r="O415" i="9"/>
  <c r="P415" i="9" s="1"/>
  <c r="O474" i="9"/>
  <c r="P474" i="9" s="1"/>
  <c r="O475" i="9"/>
  <c r="P475" i="9" s="1"/>
  <c r="O476" i="9"/>
  <c r="P476" i="9" s="1"/>
  <c r="O477" i="9"/>
  <c r="P477" i="9" s="1"/>
  <c r="O478" i="9"/>
  <c r="P478" i="9" s="1"/>
  <c r="O286" i="9"/>
  <c r="P286" i="9" s="1"/>
  <c r="O479" i="9"/>
  <c r="P479" i="9" s="1"/>
  <c r="O691" i="9"/>
  <c r="P691" i="9" s="1"/>
  <c r="O347" i="9"/>
  <c r="P347" i="9" s="1"/>
  <c r="O416" i="9"/>
  <c r="P416" i="9" s="1"/>
  <c r="O630" i="9"/>
  <c r="P630" i="9" s="1"/>
  <c r="O692" i="9"/>
  <c r="P692" i="9" s="1"/>
  <c r="O287" i="9"/>
  <c r="P287" i="9" s="1"/>
  <c r="O631" i="9"/>
  <c r="P631" i="9" s="1"/>
  <c r="O288" i="9"/>
  <c r="P288" i="9" s="1"/>
  <c r="O348" i="9"/>
  <c r="P348" i="9" s="1"/>
  <c r="O480" i="9"/>
  <c r="P480" i="9" s="1"/>
  <c r="O481" i="9"/>
  <c r="P481" i="9" s="1"/>
  <c r="O534" i="9"/>
  <c r="P534" i="9" s="1"/>
  <c r="O482" i="9"/>
  <c r="P482" i="9" s="1"/>
  <c r="O349" i="9"/>
  <c r="P349" i="9" s="1"/>
  <c r="O632" i="9"/>
  <c r="P632" i="9" s="1"/>
  <c r="O483" i="9"/>
  <c r="P483" i="9" s="1"/>
  <c r="O484" i="9"/>
  <c r="P484" i="9" s="1"/>
  <c r="O289" i="9"/>
  <c r="P289" i="9" s="1"/>
  <c r="O290" i="9"/>
  <c r="P290" i="9" s="1"/>
  <c r="O350" i="9"/>
  <c r="P350" i="9" s="1"/>
  <c r="O351" i="9"/>
  <c r="P351" i="9" s="1"/>
  <c r="O693" i="9"/>
  <c r="P693" i="9" s="1"/>
  <c r="O417" i="9"/>
  <c r="P417" i="9" s="1"/>
  <c r="O418" i="9"/>
  <c r="P418" i="9" s="1"/>
  <c r="O574" i="9"/>
  <c r="P574" i="9" s="1"/>
  <c r="O291" i="9"/>
  <c r="P291" i="9" s="1"/>
  <c r="O292" i="9"/>
  <c r="P292" i="9" s="1"/>
  <c r="O352" i="9"/>
  <c r="P352" i="9" s="1"/>
  <c r="O419" i="9"/>
  <c r="P419" i="9" s="1"/>
  <c r="O420" i="9"/>
  <c r="P420" i="9" s="1"/>
  <c r="O535" i="9"/>
  <c r="P535" i="9" s="1"/>
  <c r="O575" i="9"/>
  <c r="P575" i="9" s="1"/>
  <c r="O293" i="9"/>
  <c r="P293" i="9" s="1"/>
  <c r="O694" i="9"/>
  <c r="P694" i="9" s="1"/>
  <c r="O695" i="9"/>
  <c r="P695" i="9" s="1"/>
  <c r="O485" i="9"/>
  <c r="P485" i="9" s="1"/>
  <c r="O696" i="9"/>
  <c r="P696" i="9" s="1"/>
  <c r="O697" i="9"/>
  <c r="P697" i="9" s="1"/>
  <c r="O698" i="9"/>
  <c r="P698" i="9" s="1"/>
  <c r="O699" i="9"/>
  <c r="P699" i="9" s="1"/>
  <c r="O421" i="9"/>
  <c r="P421" i="9" s="1"/>
  <c r="O633" i="9"/>
  <c r="P633" i="9" s="1"/>
  <c r="O536" i="9"/>
  <c r="P536" i="9" s="1"/>
  <c r="O576" i="9"/>
  <c r="P576" i="9" s="1"/>
  <c r="O486" i="9"/>
  <c r="P486" i="9" s="1"/>
  <c r="O353" i="9"/>
  <c r="P353" i="9" s="1"/>
  <c r="O700" i="9"/>
  <c r="P700" i="9" s="1"/>
  <c r="O537" i="9"/>
  <c r="P537" i="9" s="1"/>
  <c r="O354" i="9"/>
  <c r="P354" i="9" s="1"/>
  <c r="O294" i="9"/>
  <c r="P294" i="9" s="1"/>
  <c r="O577" i="9"/>
  <c r="P577" i="9" s="1"/>
  <c r="O578" i="9"/>
  <c r="P578" i="9" s="1"/>
  <c r="O238" i="9"/>
  <c r="P238" i="9" s="1"/>
  <c r="O239" i="9"/>
  <c r="P239" i="9" s="1"/>
  <c r="O295" i="9"/>
  <c r="P295" i="9" s="1"/>
  <c r="O701" i="9"/>
  <c r="P701" i="9" s="1"/>
  <c r="O702" i="9"/>
  <c r="P702" i="9" s="1"/>
  <c r="O240" i="9"/>
  <c r="P240" i="9" s="1"/>
  <c r="O355" i="9"/>
  <c r="P355" i="9" s="1"/>
  <c r="O241" i="9"/>
  <c r="P241" i="9" s="1"/>
  <c r="O296" i="9"/>
  <c r="P296" i="9" s="1"/>
  <c r="O356" i="9"/>
  <c r="P356" i="9" s="1"/>
  <c r="O634" i="9"/>
  <c r="P634" i="9" s="1"/>
  <c r="O635" i="9"/>
  <c r="P635" i="9" s="1"/>
  <c r="O703" i="9"/>
  <c r="P703" i="9" s="1"/>
  <c r="O242" i="9"/>
  <c r="P242" i="9" s="1"/>
  <c r="O579" i="9"/>
  <c r="P579" i="9" s="1"/>
  <c r="O487" i="9"/>
  <c r="P487" i="9" s="1"/>
  <c r="O538" i="9"/>
  <c r="P538" i="9" s="1"/>
  <c r="O245" i="9"/>
  <c r="P245" i="9" s="1"/>
  <c r="O246" i="9"/>
  <c r="P246" i="9" s="1"/>
  <c r="O297" i="9"/>
  <c r="P297" i="9" s="1"/>
  <c r="O357" i="9"/>
  <c r="P357" i="9" s="1"/>
  <c r="O488" i="9"/>
  <c r="P488" i="9" s="1"/>
  <c r="O489" i="9"/>
  <c r="P489" i="9" s="1"/>
  <c r="O636" i="9"/>
  <c r="P636" i="9" s="1"/>
  <c r="O637" i="9"/>
  <c r="P637" i="9" s="1"/>
  <c r="O638" i="9"/>
  <c r="P638" i="9" s="1"/>
  <c r="O298" i="9"/>
  <c r="P298" i="9" s="1"/>
  <c r="O539" i="9"/>
  <c r="P539" i="9" s="1"/>
  <c r="O580" i="9"/>
  <c r="P580" i="9" s="1"/>
  <c r="O639" i="9"/>
  <c r="P639" i="9" s="1"/>
  <c r="O640" i="9"/>
  <c r="P640" i="9" s="1"/>
  <c r="O299" i="9"/>
  <c r="P299" i="9" s="1"/>
  <c r="O581" i="9"/>
  <c r="P581" i="9" s="1"/>
  <c r="O641" i="9"/>
  <c r="P641" i="9" s="1"/>
  <c r="O249" i="9"/>
  <c r="P249" i="9" s="1"/>
  <c r="O250" i="9"/>
  <c r="P250" i="9" s="1"/>
  <c r="O358" i="9"/>
  <c r="P358" i="9" s="1"/>
  <c r="O490" i="9"/>
  <c r="P490" i="9" s="1"/>
  <c r="O251" i="9"/>
  <c r="P251" i="9" s="1"/>
  <c r="O704" i="9"/>
  <c r="P704" i="9" s="1"/>
  <c r="O252" i="9"/>
  <c r="P252" i="9" s="1"/>
  <c r="O300" i="9"/>
  <c r="P300" i="9" s="1"/>
  <c r="O422" i="9"/>
  <c r="P422" i="9" s="1"/>
  <c r="O423" i="9"/>
  <c r="P423" i="9" s="1"/>
  <c r="O491" i="9"/>
  <c r="P491" i="9" s="1"/>
  <c r="O705" i="9"/>
  <c r="P705" i="9" s="1"/>
  <c r="O253" i="9"/>
  <c r="P253" i="9" s="1"/>
  <c r="O301" i="9"/>
  <c r="P301" i="9" s="1"/>
  <c r="O302" i="9"/>
  <c r="P302" i="9" s="1"/>
  <c r="O359" i="9"/>
  <c r="P359" i="9" s="1"/>
  <c r="O360" i="9"/>
  <c r="P360" i="9" s="1"/>
  <c r="O424" i="9"/>
  <c r="P424" i="9" s="1"/>
  <c r="O425" i="9"/>
  <c r="P425" i="9" s="1"/>
  <c r="O426" i="9"/>
  <c r="P426" i="9" s="1"/>
  <c r="O492" i="9"/>
  <c r="P492" i="9" s="1"/>
  <c r="O493" i="9"/>
  <c r="P493" i="9" s="1"/>
  <c r="O494" i="9"/>
  <c r="P494" i="9" s="1"/>
  <c r="O540" i="9"/>
  <c r="P540" i="9" s="1"/>
  <c r="O582" i="9"/>
  <c r="P582" i="9" s="1"/>
  <c r="O642" i="9"/>
  <c r="P642" i="9" s="1"/>
  <c r="O706" i="9"/>
  <c r="P706" i="9" s="1"/>
  <c r="O427" i="9"/>
  <c r="P427" i="9" s="1"/>
  <c r="O495" i="9"/>
  <c r="P495" i="9" s="1"/>
  <c r="O583" i="9"/>
  <c r="P583" i="9" s="1"/>
  <c r="O303" i="9"/>
  <c r="P303" i="9" s="1"/>
  <c r="O541" i="9"/>
  <c r="P541" i="9" s="1"/>
  <c r="O584" i="9"/>
  <c r="P584" i="9" s="1"/>
  <c r="O707" i="9"/>
  <c r="P707" i="9" s="1"/>
  <c r="O708" i="9"/>
  <c r="P708" i="9" s="1"/>
  <c r="O428" i="9"/>
  <c r="P428" i="9" s="1"/>
  <c r="O304" i="9"/>
  <c r="P304" i="9" s="1"/>
  <c r="O496" i="9"/>
  <c r="P496" i="9" s="1"/>
  <c r="O542" i="9"/>
  <c r="P542" i="9" s="1"/>
  <c r="O497" i="9"/>
  <c r="P497" i="9" s="1"/>
  <c r="O498" i="9"/>
  <c r="P498" i="9" s="1"/>
  <c r="O709" i="9"/>
  <c r="P709" i="9" s="1"/>
  <c r="O429" i="9"/>
  <c r="P429" i="9" s="1"/>
  <c r="O361" i="9"/>
  <c r="P361" i="9" s="1"/>
  <c r="O543" i="9"/>
  <c r="P543" i="9" s="1"/>
  <c r="O710" i="9"/>
  <c r="P710" i="9" s="1"/>
  <c r="O362" i="9"/>
  <c r="P362" i="9" s="1"/>
  <c r="O499" i="9"/>
  <c r="P499" i="9" s="1"/>
  <c r="O544" i="9"/>
  <c r="P544" i="9" s="1"/>
  <c r="O711" i="9"/>
  <c r="P711" i="9" s="1"/>
  <c r="O585" i="9"/>
  <c r="P585" i="9" s="1"/>
  <c r="O363" i="9"/>
  <c r="P363" i="9" s="1"/>
  <c r="O586" i="9"/>
  <c r="P586" i="9" s="1"/>
  <c r="O712" i="9"/>
  <c r="P712" i="9" s="1"/>
  <c r="O364" i="9"/>
  <c r="P364" i="9" s="1"/>
  <c r="O430" i="9"/>
  <c r="P430" i="9" s="1"/>
  <c r="O500" i="9"/>
  <c r="P500" i="9" s="1"/>
  <c r="O545" i="9"/>
  <c r="P545" i="9" s="1"/>
  <c r="O587" i="9"/>
  <c r="P587" i="9" s="1"/>
  <c r="O501" i="9"/>
  <c r="P501" i="9" s="1"/>
  <c r="O546" i="9"/>
  <c r="P546" i="9" s="1"/>
  <c r="O588" i="9"/>
  <c r="P588" i="9" s="1"/>
  <c r="O589" i="9"/>
  <c r="P589" i="9" s="1"/>
  <c r="O643" i="9"/>
  <c r="P643" i="9" s="1"/>
  <c r="O713" i="9"/>
  <c r="P713" i="9" s="1"/>
  <c r="O714" i="9"/>
  <c r="P714" i="9" s="1"/>
  <c r="O715" i="9"/>
  <c r="P715" i="9" s="1"/>
  <c r="O644" i="9"/>
  <c r="P644" i="9" s="1"/>
  <c r="O305" i="9"/>
  <c r="P305" i="9" s="1"/>
  <c r="O716" i="9"/>
  <c r="P716" i="9" s="1"/>
  <c r="O717" i="9"/>
  <c r="P717" i="9" s="1"/>
  <c r="O365" i="9"/>
  <c r="P365" i="9" s="1"/>
  <c r="O502" i="9"/>
  <c r="P502" i="9" s="1"/>
  <c r="O503" i="9"/>
  <c r="P503" i="9" s="1"/>
  <c r="O590" i="9"/>
  <c r="P590" i="9" s="1"/>
  <c r="O591" i="9"/>
  <c r="P591" i="9" s="1"/>
  <c r="O718" i="9"/>
  <c r="P718" i="9" s="1"/>
  <c r="O366" i="9"/>
  <c r="P366" i="9" s="1"/>
  <c r="O367" i="9"/>
  <c r="P367" i="9" s="1"/>
  <c r="O368" i="9"/>
  <c r="P368" i="9" s="1"/>
  <c r="O431" i="9"/>
  <c r="P431" i="9" s="1"/>
  <c r="O369" i="9"/>
  <c r="P369" i="9" s="1"/>
  <c r="O504" i="9"/>
  <c r="P504" i="9" s="1"/>
  <c r="O264" i="9"/>
  <c r="P264" i="9" s="1"/>
  <c r="O265" i="9"/>
  <c r="P265" i="9" s="1"/>
  <c r="O266" i="9"/>
  <c r="P266" i="9" s="1"/>
  <c r="O267" i="9"/>
  <c r="P267" i="9" s="1"/>
  <c r="O592" i="9"/>
  <c r="P592" i="9" s="1"/>
  <c r="O370" i="9"/>
  <c r="P370" i="9" s="1"/>
  <c r="O505" i="9"/>
  <c r="P505" i="9" s="1"/>
  <c r="O506" i="9"/>
  <c r="P506" i="9" s="1"/>
  <c r="O645" i="9"/>
  <c r="P645" i="9" s="1"/>
  <c r="O371" i="9"/>
  <c r="P371" i="9" s="1"/>
  <c r="O507" i="9"/>
  <c r="P507" i="9" s="1"/>
  <c r="O593" i="9"/>
  <c r="P593" i="9" s="1"/>
  <c r="O306" i="9"/>
  <c r="P306" i="9" s="1"/>
  <c r="O719" i="9"/>
  <c r="P719" i="9" s="1"/>
  <c r="O720" i="9"/>
  <c r="P720" i="9" s="1"/>
  <c r="O646" i="9"/>
  <c r="P646" i="9" s="1"/>
  <c r="O647" i="9"/>
  <c r="P647" i="9" s="1"/>
  <c r="O648" i="9"/>
  <c r="P648" i="9" s="1"/>
  <c r="O649" i="9"/>
  <c r="P649" i="9" s="1"/>
  <c r="O547" i="9"/>
  <c r="P547" i="9" s="1"/>
  <c r="O650" i="9"/>
  <c r="P650" i="9" s="1"/>
  <c r="O307" i="9"/>
  <c r="P307" i="9" s="1"/>
  <c r="O372" i="9"/>
  <c r="P372" i="9" s="1"/>
  <c r="O651" i="9"/>
  <c r="P651" i="9" s="1"/>
  <c r="O268" i="9"/>
  <c r="P268" i="9" s="1"/>
  <c r="O594" i="9"/>
  <c r="P594" i="9" s="1"/>
  <c r="O595" i="9"/>
  <c r="P595" i="9" s="1"/>
  <c r="O308" i="9"/>
  <c r="P308" i="9" s="1"/>
  <c r="O721" i="9"/>
  <c r="P721" i="9" s="1"/>
  <c r="O432" i="9"/>
  <c r="P432" i="9" s="1"/>
  <c r="O508" i="9"/>
  <c r="P508" i="9" s="1"/>
  <c r="O269" i="9"/>
  <c r="P269" i="9" s="1"/>
  <c r="O309" i="9"/>
  <c r="P309" i="9" s="1"/>
  <c r="O373" i="9"/>
  <c r="P373" i="9" s="1"/>
  <c r="O310" i="9"/>
  <c r="P310" i="9" s="1"/>
  <c r="O722" i="9"/>
  <c r="P722" i="9" s="1"/>
  <c r="O374" i="9"/>
  <c r="P374" i="9" s="1"/>
  <c r="O375" i="9"/>
  <c r="P375" i="9" s="1"/>
  <c r="O433" i="9"/>
  <c r="P433" i="9" s="1"/>
  <c r="O434" i="9"/>
  <c r="P434" i="9" s="1"/>
  <c r="O435" i="9"/>
  <c r="P435" i="9" s="1"/>
  <c r="O509" i="9"/>
  <c r="P509" i="9" s="1"/>
  <c r="O596" i="9"/>
  <c r="P596" i="9" s="1"/>
  <c r="O597" i="9"/>
  <c r="P597" i="9" s="1"/>
  <c r="O723" i="9"/>
  <c r="P723" i="9" s="1"/>
  <c r="O548" i="9"/>
  <c r="P548" i="9" s="1"/>
  <c r="O652" i="9"/>
  <c r="P652" i="9" s="1"/>
  <c r="O549" i="9"/>
  <c r="P549" i="9" s="1"/>
  <c r="O550" i="9"/>
  <c r="P550" i="9" s="1"/>
  <c r="O510" i="9"/>
  <c r="P510" i="9" s="1"/>
  <c r="O511" i="9"/>
  <c r="P511" i="9" s="1"/>
  <c r="O376" i="9"/>
  <c r="P376" i="9" s="1"/>
  <c r="O436" i="9"/>
  <c r="P436" i="9" s="1"/>
  <c r="O377" i="9"/>
  <c r="P377" i="9" s="1"/>
  <c r="O551" i="9"/>
  <c r="P551" i="9" s="1"/>
  <c r="O311" i="9"/>
  <c r="P311" i="9" s="1"/>
  <c r="O378" i="9"/>
  <c r="P378" i="9" s="1"/>
  <c r="O437" i="9"/>
  <c r="P437" i="9" s="1"/>
  <c r="O438" i="9"/>
  <c r="P438" i="9" s="1"/>
  <c r="O439" i="9"/>
  <c r="P439" i="9" s="1"/>
  <c r="O512" i="9"/>
  <c r="P512" i="9" s="1"/>
  <c r="O552" i="9"/>
  <c r="P552" i="9" s="1"/>
  <c r="O553" i="9"/>
  <c r="P553" i="9" s="1"/>
  <c r="O554" i="9"/>
  <c r="P554" i="9" s="1"/>
  <c r="O653" i="9"/>
  <c r="P653" i="9" s="1"/>
  <c r="O654" i="9"/>
  <c r="P654" i="9" s="1"/>
  <c r="O555" i="9"/>
  <c r="P555" i="9" s="1"/>
  <c r="O513" i="9"/>
  <c r="P513" i="9" s="1"/>
  <c r="O556" i="9"/>
  <c r="P556" i="9" s="1"/>
  <c r="O724" i="9"/>
  <c r="P724" i="9" s="1"/>
  <c r="O598" i="9"/>
  <c r="P598" i="9" s="1"/>
  <c r="O379" i="9"/>
  <c r="P379" i="9" s="1"/>
  <c r="O440" i="9"/>
  <c r="P440" i="9" s="1"/>
  <c r="O725" i="9"/>
  <c r="P725" i="9" s="1"/>
  <c r="O380" i="9"/>
  <c r="P380" i="9" s="1"/>
  <c r="O381" i="9"/>
  <c r="P381" i="9" s="1"/>
  <c r="O655" i="9"/>
  <c r="P655" i="9" s="1"/>
  <c r="O557" i="9"/>
  <c r="P557" i="9" s="1"/>
  <c r="O272" i="9"/>
  <c r="P272" i="9" s="1"/>
  <c r="O273" i="9"/>
  <c r="P273" i="9" s="1"/>
  <c r="O312" i="9"/>
  <c r="P312" i="9" s="1"/>
  <c r="O558" i="9"/>
  <c r="P558" i="9" s="1"/>
  <c r="O599" i="9"/>
  <c r="P599" i="9" s="1"/>
  <c r="O656" i="9"/>
  <c r="P656" i="9" s="1"/>
  <c r="O726" i="9"/>
  <c r="P726" i="9" s="1"/>
  <c r="O313" i="9"/>
  <c r="P313" i="9" s="1"/>
  <c r="O314" i="9"/>
  <c r="P314" i="9" s="1"/>
  <c r="O315" i="9"/>
  <c r="P315" i="9" s="1"/>
  <c r="O316" i="9"/>
  <c r="P316" i="9" s="1"/>
  <c r="O382" i="9"/>
  <c r="P382" i="9" s="1"/>
  <c r="O383" i="9"/>
  <c r="P383" i="9" s="1"/>
  <c r="O384" i="9"/>
  <c r="P384" i="9" s="1"/>
  <c r="O441" i="9"/>
  <c r="P441" i="9" s="1"/>
  <c r="O442" i="9"/>
  <c r="P442" i="9" s="1"/>
  <c r="O443" i="9"/>
  <c r="P443" i="9" s="1"/>
  <c r="O444" i="9"/>
  <c r="P444" i="9" s="1"/>
  <c r="O657" i="9"/>
  <c r="P657" i="9" s="1"/>
  <c r="O658" i="9"/>
  <c r="P658" i="9" s="1"/>
  <c r="O659" i="9"/>
  <c r="P659" i="9" s="1"/>
  <c r="O727" i="9"/>
  <c r="P727" i="9" s="1"/>
  <c r="O728" i="9"/>
  <c r="P728" i="9" s="1"/>
  <c r="O274" i="9"/>
  <c r="P274" i="9" s="1"/>
  <c r="O275" i="9"/>
  <c r="P275" i="9" s="1"/>
  <c r="O276" i="9"/>
  <c r="P276" i="9" s="1"/>
  <c r="O277" i="9"/>
  <c r="P277" i="9" s="1"/>
  <c r="O278" i="9"/>
  <c r="P278" i="9" s="1"/>
  <c r="O317" i="9"/>
  <c r="P317" i="9" s="1"/>
  <c r="O318" i="9"/>
  <c r="P318" i="9" s="1"/>
  <c r="O319" i="9"/>
  <c r="P319" i="9" s="1"/>
  <c r="O320" i="9"/>
  <c r="P320" i="9" s="1"/>
  <c r="O321" i="9"/>
  <c r="P321" i="9" s="1"/>
  <c r="O322" i="9"/>
  <c r="P322" i="9" s="1"/>
  <c r="O323" i="9"/>
  <c r="P323" i="9" s="1"/>
  <c r="O324" i="9"/>
  <c r="P324" i="9" s="1"/>
  <c r="O385" i="9"/>
  <c r="P385" i="9" s="1"/>
  <c r="O386" i="9"/>
  <c r="P386" i="9" s="1"/>
  <c r="O445" i="9"/>
  <c r="P445" i="9" s="1"/>
  <c r="O446" i="9"/>
  <c r="P446" i="9" s="1"/>
  <c r="O447" i="9"/>
  <c r="P447" i="9" s="1"/>
  <c r="O448" i="9"/>
  <c r="P448" i="9" s="1"/>
  <c r="O449" i="9"/>
  <c r="P449" i="9" s="1"/>
  <c r="O450" i="9"/>
  <c r="P450" i="9" s="1"/>
  <c r="O451" i="9"/>
  <c r="P451" i="9" s="1"/>
  <c r="O452" i="9"/>
  <c r="P452" i="9" s="1"/>
  <c r="O453" i="9"/>
  <c r="P453" i="9" s="1"/>
  <c r="O454" i="9"/>
  <c r="P454" i="9" s="1"/>
  <c r="O455" i="9"/>
  <c r="P455" i="9" s="1"/>
  <c r="O456" i="9"/>
  <c r="P456" i="9" s="1"/>
  <c r="O457" i="9"/>
  <c r="P457" i="9" s="1"/>
  <c r="O458" i="9"/>
  <c r="P458" i="9" s="1"/>
  <c r="O459" i="9"/>
  <c r="P459" i="9" s="1"/>
  <c r="O514" i="9"/>
  <c r="P514" i="9" s="1"/>
  <c r="O515" i="9"/>
  <c r="P515" i="9" s="1"/>
  <c r="O516" i="9"/>
  <c r="P516" i="9" s="1"/>
  <c r="O517" i="9"/>
  <c r="P517" i="9" s="1"/>
  <c r="O518" i="9"/>
  <c r="P518" i="9" s="1"/>
  <c r="O559" i="9"/>
  <c r="P559" i="9" s="1"/>
  <c r="O560" i="9"/>
  <c r="P560" i="9" s="1"/>
  <c r="O561" i="9"/>
  <c r="P561" i="9" s="1"/>
  <c r="O562" i="9"/>
  <c r="P562" i="9" s="1"/>
  <c r="O563" i="9"/>
  <c r="P563" i="9" s="1"/>
  <c r="O564" i="9"/>
  <c r="P564" i="9" s="1"/>
  <c r="O600" i="9"/>
  <c r="P600" i="9" s="1"/>
  <c r="O601" i="9"/>
  <c r="P601" i="9" s="1"/>
  <c r="O602" i="9"/>
  <c r="P602" i="9" s="1"/>
  <c r="O603" i="9"/>
  <c r="P603" i="9" s="1"/>
  <c r="O604" i="9"/>
  <c r="P604" i="9" s="1"/>
  <c r="O605" i="9"/>
  <c r="P605" i="9" s="1"/>
  <c r="O660" i="9"/>
  <c r="P660" i="9" s="1"/>
  <c r="O661" i="9"/>
  <c r="P661" i="9" s="1"/>
  <c r="O662" i="9"/>
  <c r="P662" i="9" s="1"/>
  <c r="O663" i="9"/>
  <c r="P663" i="9" s="1"/>
  <c r="O664" i="9"/>
  <c r="P664" i="9" s="1"/>
  <c r="O665" i="9"/>
  <c r="P665" i="9" s="1"/>
  <c r="O666" i="9"/>
  <c r="P666" i="9" s="1"/>
  <c r="O667" i="9"/>
  <c r="P667" i="9" s="1"/>
  <c r="O668" i="9"/>
  <c r="P668" i="9" s="1"/>
  <c r="O669" i="9"/>
  <c r="P669" i="9" s="1"/>
  <c r="O670" i="9"/>
  <c r="P670" i="9" s="1"/>
  <c r="O671" i="9"/>
  <c r="P671" i="9" s="1"/>
  <c r="O672" i="9"/>
  <c r="P672" i="9" s="1"/>
  <c r="O729" i="9"/>
  <c r="P729" i="9" s="1"/>
  <c r="O730" i="9"/>
  <c r="P730" i="9" s="1"/>
  <c r="O731" i="9"/>
  <c r="P731" i="9" s="1"/>
  <c r="O732" i="9"/>
  <c r="P732" i="9" s="1"/>
  <c r="O733" i="9"/>
  <c r="P733" i="9" s="1"/>
  <c r="O734" i="9"/>
  <c r="P734" i="9" s="1"/>
  <c r="O735" i="9"/>
  <c r="P735" i="9" s="1"/>
  <c r="O736" i="9"/>
  <c r="P736" i="9" s="1"/>
  <c r="O737" i="9"/>
  <c r="P737" i="9" s="1"/>
  <c r="O738" i="9"/>
  <c r="P738" i="9" s="1"/>
  <c r="O279" i="9"/>
  <c r="P279" i="9" s="1"/>
  <c r="O325" i="9"/>
  <c r="P325" i="9" s="1"/>
  <c r="O326" i="9"/>
  <c r="P326" i="9" s="1"/>
  <c r="O327" i="9"/>
  <c r="P327" i="9" s="1"/>
  <c r="O328" i="9"/>
  <c r="P328" i="9" s="1"/>
  <c r="O329" i="9"/>
  <c r="P329" i="9" s="1"/>
  <c r="O330" i="9"/>
  <c r="P330" i="9" s="1"/>
  <c r="O331" i="9"/>
  <c r="P331" i="9" s="1"/>
  <c r="O332" i="9"/>
  <c r="P332" i="9" s="1"/>
  <c r="O333" i="9"/>
  <c r="P333" i="9" s="1"/>
  <c r="O387" i="9"/>
  <c r="P387" i="9" s="1"/>
  <c r="O388" i="9"/>
  <c r="P388" i="9" s="1"/>
  <c r="O389" i="9"/>
  <c r="P389" i="9" s="1"/>
  <c r="O390" i="9"/>
  <c r="P390" i="9" s="1"/>
  <c r="O391" i="9"/>
  <c r="P391" i="9" s="1"/>
  <c r="O392" i="9"/>
  <c r="P392" i="9" s="1"/>
  <c r="O393" i="9"/>
  <c r="P393" i="9" s="1"/>
  <c r="O394" i="9"/>
  <c r="P394" i="9" s="1"/>
  <c r="O395" i="9"/>
  <c r="P395" i="9" s="1"/>
  <c r="O460" i="9"/>
  <c r="P460" i="9" s="1"/>
  <c r="O461" i="9"/>
  <c r="P461" i="9" s="1"/>
  <c r="O462" i="9"/>
  <c r="P462" i="9" s="1"/>
  <c r="O463" i="9"/>
  <c r="P463" i="9" s="1"/>
  <c r="O519" i="9"/>
  <c r="P519" i="9" s="1"/>
  <c r="O520" i="9"/>
  <c r="P520" i="9" s="1"/>
  <c r="O521" i="9"/>
  <c r="P521" i="9" s="1"/>
  <c r="O522" i="9"/>
  <c r="P522" i="9" s="1"/>
  <c r="O523" i="9"/>
  <c r="P523" i="9" s="1"/>
  <c r="O524" i="9"/>
  <c r="P524" i="9" s="1"/>
  <c r="O525" i="9"/>
  <c r="P525" i="9" s="1"/>
  <c r="O565" i="9"/>
  <c r="P565" i="9" s="1"/>
  <c r="O566" i="9"/>
  <c r="P566" i="9" s="1"/>
  <c r="O567" i="9"/>
  <c r="P567" i="9" s="1"/>
  <c r="O568" i="9"/>
  <c r="P568" i="9" s="1"/>
  <c r="O569" i="9"/>
  <c r="P569" i="9" s="1"/>
  <c r="O570" i="9"/>
  <c r="P570" i="9" s="1"/>
  <c r="O606" i="9"/>
  <c r="P606" i="9" s="1"/>
  <c r="O607" i="9"/>
  <c r="P607" i="9" s="1"/>
  <c r="O608" i="9"/>
  <c r="P608" i="9" s="1"/>
  <c r="O609" i="9"/>
  <c r="P609" i="9" s="1"/>
  <c r="O610" i="9"/>
  <c r="P610" i="9" s="1"/>
  <c r="O611" i="9"/>
  <c r="P611" i="9" s="1"/>
  <c r="O612" i="9"/>
  <c r="P612" i="9" s="1"/>
  <c r="O613" i="9"/>
  <c r="P613" i="9" s="1"/>
  <c r="O614" i="9"/>
  <c r="P614" i="9" s="1"/>
  <c r="O615" i="9"/>
  <c r="P615" i="9" s="1"/>
  <c r="O616" i="9"/>
  <c r="P616" i="9" s="1"/>
  <c r="O617" i="9"/>
  <c r="P617" i="9" s="1"/>
  <c r="O673" i="9"/>
  <c r="P673" i="9" s="1"/>
  <c r="O674" i="9"/>
  <c r="P674" i="9" s="1"/>
  <c r="O675" i="9"/>
  <c r="P675" i="9" s="1"/>
  <c r="O676" i="9"/>
  <c r="P676" i="9" s="1"/>
  <c r="O739" i="9"/>
  <c r="P739" i="9" s="1"/>
  <c r="O740" i="9"/>
  <c r="P740" i="9" s="1"/>
  <c r="O741" i="9"/>
  <c r="P741" i="9" s="1"/>
  <c r="O742" i="9"/>
  <c r="P742" i="9" s="1"/>
  <c r="O743" i="9"/>
  <c r="P743" i="9" s="1"/>
  <c r="O744" i="9"/>
  <c r="P744" i="9" s="1"/>
  <c r="O280" i="9"/>
  <c r="P280" i="9" s="1"/>
  <c r="O281" i="9"/>
  <c r="P281" i="9" s="1"/>
  <c r="O282" i="9"/>
  <c r="P282" i="9" s="1"/>
  <c r="O334" i="9"/>
  <c r="P334" i="9" s="1"/>
  <c r="O335" i="9"/>
  <c r="P335" i="9" s="1"/>
  <c r="O336" i="9"/>
  <c r="P336" i="9" s="1"/>
  <c r="O337" i="9"/>
  <c r="P337" i="9" s="1"/>
  <c r="O396" i="9"/>
  <c r="P396" i="9" s="1"/>
  <c r="O397" i="9"/>
  <c r="P397" i="9" s="1"/>
  <c r="O398" i="9"/>
  <c r="P398" i="9" s="1"/>
  <c r="O399" i="9"/>
  <c r="P399" i="9" s="1"/>
  <c r="O400" i="9"/>
  <c r="P400" i="9" s="1"/>
  <c r="O464" i="9"/>
  <c r="P464" i="9" s="1"/>
  <c r="O465" i="9"/>
  <c r="P465" i="9" s="1"/>
  <c r="O466" i="9"/>
  <c r="P466" i="9" s="1"/>
  <c r="O467" i="9"/>
  <c r="P467" i="9" s="1"/>
  <c r="O526" i="9"/>
  <c r="P526" i="9" s="1"/>
  <c r="O527" i="9"/>
  <c r="P527" i="9" s="1"/>
  <c r="O528" i="9"/>
  <c r="P528" i="9" s="1"/>
  <c r="O529" i="9"/>
  <c r="P529" i="9" s="1"/>
  <c r="O530" i="9"/>
  <c r="P530" i="9" s="1"/>
  <c r="O531" i="9"/>
  <c r="P531" i="9" s="1"/>
  <c r="O532" i="9"/>
  <c r="P532" i="9" s="1"/>
  <c r="O571" i="9"/>
  <c r="P571" i="9" s="1"/>
  <c r="O618" i="9"/>
  <c r="P618" i="9" s="1"/>
  <c r="O619" i="9"/>
  <c r="P619" i="9" s="1"/>
  <c r="O620" i="9"/>
  <c r="P620" i="9" s="1"/>
  <c r="O621" i="9"/>
  <c r="P621" i="9" s="1"/>
  <c r="O622" i="9"/>
  <c r="P622" i="9" s="1"/>
  <c r="O623" i="9"/>
  <c r="P623" i="9" s="1"/>
  <c r="O624" i="9"/>
  <c r="P624" i="9" s="1"/>
  <c r="O625" i="9"/>
  <c r="P625" i="9" s="1"/>
  <c r="O677" i="9"/>
  <c r="P677" i="9" s="1"/>
  <c r="O678" i="9"/>
  <c r="P678" i="9" s="1"/>
  <c r="O679" i="9"/>
  <c r="P679" i="9" s="1"/>
  <c r="O680" i="9"/>
  <c r="P680" i="9" s="1"/>
  <c r="O681" i="9"/>
  <c r="P681" i="9" s="1"/>
  <c r="O745" i="9"/>
  <c r="P745" i="9" s="1"/>
  <c r="O338" i="9"/>
  <c r="P338" i="9" s="1"/>
  <c r="O339" i="9"/>
  <c r="P339" i="9" s="1"/>
  <c r="O401" i="9"/>
  <c r="P401" i="9" s="1"/>
  <c r="O402" i="9"/>
  <c r="P402" i="9" s="1"/>
  <c r="O403" i="9"/>
  <c r="P403" i="9" s="1"/>
  <c r="O404" i="9"/>
  <c r="P404" i="9" s="1"/>
  <c r="O405" i="9"/>
  <c r="P405" i="9" s="1"/>
  <c r="O406" i="9"/>
  <c r="P406" i="9" s="1"/>
  <c r="O407" i="9"/>
  <c r="P407" i="9" s="1"/>
  <c r="O408" i="9"/>
  <c r="P408" i="9" s="1"/>
  <c r="O409" i="9"/>
  <c r="P409" i="9" s="1"/>
  <c r="O410" i="9"/>
  <c r="P410" i="9" s="1"/>
  <c r="O682" i="9"/>
  <c r="P682" i="9" s="1"/>
  <c r="O683" i="9"/>
  <c r="P683" i="9" s="1"/>
  <c r="O684" i="9"/>
  <c r="P684" i="9" s="1"/>
  <c r="O685" i="9"/>
  <c r="P685" i="9" s="1"/>
  <c r="O746" i="9"/>
  <c r="P746" i="9" s="1"/>
  <c r="O283" i="9"/>
  <c r="P283" i="9" s="1"/>
  <c r="O284" i="9"/>
  <c r="P284" i="9" s="1"/>
  <c r="O340" i="9"/>
  <c r="P340" i="9" s="1"/>
  <c r="O341" i="9"/>
  <c r="P341" i="9" s="1"/>
  <c r="O342" i="9"/>
  <c r="P342" i="9" s="1"/>
  <c r="O343" i="9"/>
  <c r="P343" i="9" s="1"/>
  <c r="O344" i="9"/>
  <c r="P344" i="9" s="1"/>
  <c r="O411" i="9"/>
  <c r="P411" i="9" s="1"/>
  <c r="O412" i="9"/>
  <c r="P412" i="9" s="1"/>
  <c r="O413" i="9"/>
  <c r="P413" i="9" s="1"/>
  <c r="O468" i="9"/>
  <c r="P468" i="9" s="1"/>
  <c r="O469" i="9"/>
  <c r="P469" i="9" s="1"/>
  <c r="O470" i="9"/>
  <c r="P470" i="9" s="1"/>
  <c r="O471" i="9"/>
  <c r="P471" i="9" s="1"/>
  <c r="O472" i="9"/>
  <c r="P472" i="9" s="1"/>
  <c r="O473" i="9"/>
  <c r="P473" i="9" s="1"/>
  <c r="O533" i="9"/>
  <c r="P533" i="9" s="1"/>
  <c r="O572" i="9"/>
  <c r="P572" i="9" s="1"/>
  <c r="O573" i="9"/>
  <c r="P573" i="9" s="1"/>
  <c r="O626" i="9"/>
  <c r="P626" i="9" s="1"/>
  <c r="O627" i="9"/>
  <c r="P627" i="9" s="1"/>
  <c r="O628" i="9"/>
  <c r="P628" i="9" s="1"/>
  <c r="O629" i="9"/>
  <c r="P629" i="9" s="1"/>
  <c r="O686" i="9"/>
  <c r="P686" i="9" s="1"/>
  <c r="O687" i="9"/>
  <c r="P687" i="9" s="1"/>
  <c r="O688" i="9"/>
  <c r="P688" i="9" s="1"/>
  <c r="O689" i="9"/>
  <c r="P689" i="9" s="1"/>
  <c r="O690" i="9"/>
  <c r="P690" i="9" s="1"/>
  <c r="O747" i="9"/>
  <c r="P747" i="9" s="1"/>
  <c r="O102" i="9" l="1"/>
  <c r="P102" i="9" s="1"/>
  <c r="O87" i="9"/>
  <c r="P87" i="9" s="1"/>
  <c r="O88" i="9"/>
  <c r="P88" i="9" s="1"/>
  <c r="O89" i="9"/>
  <c r="P89" i="9" s="1"/>
  <c r="O90" i="9"/>
  <c r="P90" i="9" s="1"/>
  <c r="O91" i="9"/>
  <c r="P91" i="9" s="1"/>
  <c r="O92" i="9"/>
  <c r="P92" i="9" s="1"/>
  <c r="O93" i="9"/>
  <c r="P93" i="9" s="1"/>
  <c r="O94" i="9"/>
  <c r="P94" i="9" s="1"/>
  <c r="O95" i="9"/>
  <c r="P95" i="9" s="1"/>
  <c r="O96" i="9"/>
  <c r="P96" i="9" s="1"/>
  <c r="O97" i="9"/>
  <c r="P97" i="9" s="1"/>
  <c r="O98" i="9"/>
  <c r="P98" i="9" s="1"/>
  <c r="O99" i="9"/>
  <c r="P99" i="9" s="1"/>
  <c r="O100" i="9"/>
  <c r="P100" i="9" s="1"/>
  <c r="O101" i="9"/>
  <c r="P101" i="9" s="1"/>
  <c r="O103" i="9"/>
  <c r="P103" i="9" s="1"/>
  <c r="O104" i="9"/>
  <c r="P104" i="9" s="1"/>
  <c r="O105" i="9"/>
  <c r="P105" i="9" s="1"/>
  <c r="O106" i="9"/>
  <c r="P106" i="9" s="1"/>
  <c r="O107" i="9"/>
  <c r="P107" i="9" s="1"/>
  <c r="O108" i="9"/>
  <c r="P108" i="9" s="1"/>
  <c r="O109" i="9"/>
  <c r="P109" i="9" s="1"/>
  <c r="O110" i="9"/>
  <c r="P110" i="9" s="1"/>
  <c r="O111" i="9"/>
  <c r="P111" i="9" s="1"/>
  <c r="O112" i="9"/>
  <c r="P112" i="9" s="1"/>
  <c r="O113" i="9"/>
  <c r="P113" i="9" s="1"/>
  <c r="O114" i="9"/>
  <c r="P114" i="9" s="1"/>
  <c r="O115" i="9"/>
  <c r="P115" i="9" s="1"/>
  <c r="O116" i="9"/>
  <c r="P116" i="9" s="1"/>
  <c r="O117" i="9"/>
  <c r="P117" i="9" s="1"/>
  <c r="O118" i="9"/>
  <c r="P118" i="9" s="1"/>
  <c r="O119" i="9"/>
  <c r="P119" i="9" s="1"/>
  <c r="O120" i="9"/>
  <c r="P120" i="9" s="1"/>
  <c r="O121" i="9"/>
  <c r="P121" i="9" s="1"/>
  <c r="O122" i="9"/>
  <c r="P122" i="9" s="1"/>
  <c r="O123" i="9"/>
  <c r="P123" i="9" s="1"/>
  <c r="O124" i="9"/>
  <c r="P124" i="9" s="1"/>
  <c r="O125" i="9"/>
  <c r="P125" i="9" s="1"/>
  <c r="O126" i="9"/>
  <c r="P126" i="9" s="1"/>
  <c r="O127" i="9"/>
  <c r="P127" i="9" s="1"/>
  <c r="O128" i="9"/>
  <c r="P128" i="9" s="1"/>
  <c r="O129" i="9"/>
  <c r="P129" i="9" s="1"/>
  <c r="O130" i="9"/>
  <c r="P130" i="9" s="1"/>
  <c r="O131" i="9"/>
  <c r="P131" i="9" s="1"/>
  <c r="O132" i="9"/>
  <c r="P132" i="9" s="1"/>
  <c r="O133" i="9"/>
  <c r="P133" i="9" s="1"/>
  <c r="O134" i="9"/>
  <c r="P134" i="9" s="1"/>
  <c r="O135" i="9"/>
  <c r="P135" i="9" s="1"/>
  <c r="O136" i="9"/>
  <c r="P136" i="9" s="1"/>
  <c r="O137" i="9"/>
  <c r="P137" i="9" s="1"/>
  <c r="O138" i="9"/>
  <c r="P138" i="9" s="1"/>
  <c r="O139" i="9"/>
  <c r="P139" i="9" s="1"/>
  <c r="O140" i="9"/>
  <c r="P140" i="9" s="1"/>
  <c r="O141" i="9"/>
  <c r="P141" i="9" s="1"/>
  <c r="O142" i="9"/>
  <c r="P142" i="9" s="1"/>
  <c r="O143" i="9"/>
  <c r="P143" i="9" s="1"/>
  <c r="O144" i="9"/>
  <c r="P144" i="9" s="1"/>
  <c r="O145" i="9"/>
  <c r="P145" i="9" s="1"/>
  <c r="O153" i="9"/>
  <c r="P153" i="9" s="1"/>
  <c r="O146" i="9"/>
  <c r="P146" i="9" s="1"/>
  <c r="O147" i="9"/>
  <c r="P147" i="9" s="1"/>
  <c r="O148" i="9"/>
  <c r="P148" i="9" s="1"/>
  <c r="O149" i="9"/>
  <c r="P149" i="9" s="1"/>
  <c r="O150" i="9"/>
  <c r="P150" i="9" s="1"/>
  <c r="O151" i="9"/>
  <c r="P151" i="9" s="1"/>
  <c r="O152" i="9"/>
  <c r="P152" i="9" s="1"/>
  <c r="O154" i="9"/>
  <c r="P154" i="9" s="1"/>
  <c r="O155" i="9"/>
  <c r="P155" i="9" s="1"/>
  <c r="O156" i="9"/>
  <c r="P156" i="9" s="1"/>
  <c r="O157" i="9"/>
  <c r="P157" i="9" s="1"/>
  <c r="O158" i="9"/>
  <c r="P158" i="9" s="1"/>
  <c r="O159" i="9"/>
  <c r="P159" i="9" s="1"/>
  <c r="O160" i="9"/>
  <c r="P160" i="9" s="1"/>
  <c r="O161" i="9"/>
  <c r="P161" i="9" s="1"/>
  <c r="O162" i="9"/>
  <c r="P162" i="9" s="1"/>
  <c r="O163" i="9"/>
  <c r="P163" i="9" s="1"/>
  <c r="O164" i="9"/>
  <c r="P164" i="9" s="1"/>
  <c r="O165" i="9"/>
  <c r="P165" i="9" s="1"/>
  <c r="O166" i="9"/>
  <c r="P166" i="9" s="1"/>
  <c r="O167" i="9"/>
  <c r="P167" i="9" s="1"/>
  <c r="O168" i="9"/>
  <c r="P168" i="9" s="1"/>
  <c r="O169" i="9"/>
  <c r="P169" i="9" s="1"/>
  <c r="O170" i="9"/>
  <c r="P170" i="9" s="1"/>
  <c r="O171" i="9"/>
  <c r="P171" i="9" s="1"/>
  <c r="O175" i="9"/>
  <c r="P175" i="9" s="1"/>
  <c r="O177" i="9"/>
  <c r="P177" i="9" s="1"/>
  <c r="O180" i="9"/>
  <c r="P180" i="9" s="1"/>
  <c r="O181" i="9"/>
  <c r="P181" i="9" s="1"/>
  <c r="O182" i="9"/>
  <c r="P182" i="9" s="1"/>
  <c r="O183" i="9"/>
  <c r="P183" i="9" s="1"/>
  <c r="O184" i="9"/>
  <c r="P184" i="9" s="1"/>
  <c r="O185" i="9"/>
  <c r="P185" i="9" s="1"/>
  <c r="O186" i="9"/>
  <c r="P186" i="9" s="1"/>
  <c r="O187" i="9"/>
  <c r="P187" i="9" s="1"/>
  <c r="O188" i="9"/>
  <c r="P188" i="9" s="1"/>
  <c r="O189" i="9"/>
  <c r="P189" i="9" s="1"/>
  <c r="O190" i="9"/>
  <c r="P190" i="9" s="1"/>
  <c r="O191" i="9"/>
  <c r="P191" i="9" s="1"/>
  <c r="O192" i="9"/>
  <c r="P192" i="9" s="1"/>
  <c r="O193" i="9"/>
  <c r="P193" i="9" s="1"/>
  <c r="O194" i="9"/>
  <c r="P194" i="9" s="1"/>
  <c r="O195" i="9"/>
  <c r="P195" i="9" s="1"/>
  <c r="O196" i="9"/>
  <c r="P196" i="9" s="1"/>
  <c r="O197" i="9"/>
  <c r="P197" i="9" s="1"/>
  <c r="O198" i="9"/>
  <c r="P198" i="9" s="1"/>
  <c r="O199" i="9"/>
  <c r="P199" i="9" s="1"/>
  <c r="O200" i="9"/>
  <c r="P200" i="9" s="1"/>
  <c r="O201" i="9"/>
  <c r="P201" i="9" s="1"/>
  <c r="O202" i="9"/>
  <c r="P202" i="9" s="1"/>
  <c r="O203" i="9"/>
  <c r="P203" i="9" s="1"/>
  <c r="O205" i="9"/>
  <c r="P205" i="9" s="1"/>
  <c r="O172" i="9"/>
  <c r="P172" i="9" s="1"/>
  <c r="O173" i="9"/>
  <c r="P173" i="9" s="1"/>
  <c r="O174" i="9"/>
  <c r="P174" i="9" s="1"/>
  <c r="O176" i="9"/>
  <c r="P176" i="9" s="1"/>
  <c r="O179" i="9"/>
  <c r="P179" i="9" s="1"/>
  <c r="O178" i="9"/>
  <c r="P178" i="9" s="1"/>
  <c r="O204" i="9"/>
  <c r="P204" i="9" s="1"/>
  <c r="O206" i="9"/>
  <c r="P206" i="9" s="1"/>
  <c r="O207" i="9"/>
  <c r="P207" i="9" s="1"/>
  <c r="O208" i="9"/>
  <c r="P208" i="9" s="1"/>
  <c r="O209" i="9"/>
  <c r="P209" i="9" s="1"/>
  <c r="O210" i="9"/>
  <c r="P210" i="9" s="1"/>
  <c r="O211" i="9"/>
  <c r="P211" i="9" s="1"/>
  <c r="O212" i="9"/>
  <c r="P212" i="9" s="1"/>
  <c r="O213" i="9"/>
  <c r="P213" i="9" s="1"/>
  <c r="O214" i="9"/>
  <c r="P214" i="9" s="1"/>
  <c r="O215" i="9"/>
  <c r="P215" i="9" s="1"/>
  <c r="O216" i="9"/>
  <c r="P216" i="9" s="1"/>
  <c r="O217" i="9"/>
  <c r="P217" i="9" s="1"/>
  <c r="O218" i="9"/>
  <c r="P218" i="9" s="1"/>
  <c r="O219" i="9"/>
  <c r="P219" i="9" s="1"/>
  <c r="O220" i="9"/>
  <c r="P220" i="9" s="1"/>
  <c r="O221" i="9"/>
  <c r="P221" i="9" s="1"/>
  <c r="O222" i="9"/>
  <c r="P222" i="9" s="1"/>
  <c r="O223" i="9"/>
  <c r="P223" i="9" s="1"/>
  <c r="O224" i="9"/>
  <c r="P224" i="9" s="1"/>
  <c r="O225" i="9"/>
  <c r="P225" i="9" s="1"/>
  <c r="O226" i="9"/>
  <c r="P226" i="9" s="1"/>
  <c r="O227" i="9"/>
  <c r="P227" i="9" s="1"/>
  <c r="O228" i="9"/>
  <c r="P228" i="9" s="1"/>
  <c r="O229" i="9"/>
  <c r="P229" i="9" s="1"/>
  <c r="O230" i="9"/>
  <c r="P230" i="9" s="1"/>
  <c r="O231" i="9"/>
  <c r="P231" i="9" s="1"/>
  <c r="O232" i="9"/>
  <c r="P232" i="9" s="1"/>
  <c r="O233" i="9"/>
  <c r="P233" i="9" s="1"/>
  <c r="O234" i="9"/>
  <c r="P234" i="9" s="1"/>
  <c r="O235" i="9"/>
  <c r="P235" i="9" s="1"/>
  <c r="O236" i="9"/>
  <c r="P236" i="9" s="1"/>
  <c r="O237" i="9"/>
  <c r="P237" i="9" s="1"/>
  <c r="O243" i="9"/>
  <c r="P243" i="9" s="1"/>
  <c r="O244" i="9"/>
  <c r="P244" i="9" s="1"/>
  <c r="O247" i="9"/>
  <c r="P247" i="9" s="1"/>
  <c r="O248" i="9"/>
  <c r="P248" i="9" s="1"/>
  <c r="O254" i="9"/>
  <c r="P254" i="9" s="1"/>
  <c r="O255" i="9"/>
  <c r="P255" i="9" s="1"/>
  <c r="O256" i="9"/>
  <c r="P256" i="9" s="1"/>
  <c r="O257" i="9"/>
  <c r="P257" i="9" s="1"/>
  <c r="O258" i="9"/>
  <c r="P258" i="9" s="1"/>
  <c r="O259" i="9"/>
  <c r="P259" i="9" s="1"/>
  <c r="O260" i="9"/>
  <c r="P260" i="9" s="1"/>
  <c r="O261" i="9"/>
  <c r="P261" i="9" s="1"/>
  <c r="O263" i="9"/>
  <c r="P263" i="9" s="1"/>
  <c r="O262" i="9"/>
  <c r="P262" i="9" s="1"/>
  <c r="O270" i="9"/>
  <c r="P270" i="9" s="1"/>
  <c r="O271" i="9"/>
  <c r="P271" i="9" s="1"/>
</calcChain>
</file>

<file path=xl/sharedStrings.xml><?xml version="1.0" encoding="utf-8"?>
<sst xmlns="http://schemas.openxmlformats.org/spreadsheetml/2006/main" count="865" uniqueCount="273">
  <si>
    <t>Comments</t>
  </si>
  <si>
    <t>206-07</t>
  </si>
  <si>
    <t>rtdc.l.rtdc.4030:itc</t>
  </si>
  <si>
    <t>Predictive Enforcement (2)</t>
  </si>
  <si>
    <t>Decreasing Mileposts (2)</t>
  </si>
  <si>
    <t>rtdc.l.rtdc.4018:itc</t>
  </si>
  <si>
    <t>GRADE CROSSING</t>
  </si>
  <si>
    <t>Bulletin (2)</t>
  </si>
  <si>
    <t>Increasing Mileposts (1)</t>
  </si>
  <si>
    <t>N</t>
  </si>
  <si>
    <t>rtdc.l.rtdc.4029:itc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</si>
  <si>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</si>
  <si>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</si>
  <si>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</si>
  <si>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</si>
  <si>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</si>
  <si>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</si>
  <si>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rtdc.l.rtdc.4039:itc</t>
  </si>
  <si>
    <t>rtdc.l.rtdc.4007:itc</t>
  </si>
  <si>
    <t>rtdc.l.rtdc.4020:itc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</si>
  <si>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</si>
  <si>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</si>
  <si>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</si>
  <si>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</si>
  <si>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</si>
  <si>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</si>
  <si>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</si>
  <si>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</si>
  <si>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</si>
  <si>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rtdc.l.rtdc.4041:itc</t>
  </si>
  <si>
    <t>rtdc.l.rtdc.4026:itc</t>
  </si>
  <si>
    <t>rtdc.l.rtdc.4032:itc</t>
  </si>
  <si>
    <t>rtdc.l.rtdc.4031:itc</t>
  </si>
  <si>
    <t>rtdc.l.rtdc.4012:itc</t>
  </si>
  <si>
    <t>rtdc.l.rtdc.4011:itc</t>
  </si>
  <si>
    <t>rtdc.l.rtdc.4010:itc</t>
  </si>
  <si>
    <t>rtdc.l.rtdc.4009:itc</t>
  </si>
  <si>
    <t>171-13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</si>
  <si>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</si>
  <si>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</si>
  <si>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</si>
  <si>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</si>
  <si>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</si>
  <si>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</si>
  <si>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</si>
  <si>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</si>
  <si>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</si>
  <si>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</si>
  <si>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</si>
  <si>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</si>
  <si>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</si>
  <si>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188-15</t>
  </si>
  <si>
    <t>Operating Day</t>
  </si>
  <si>
    <t>Operating Day Suffix</t>
  </si>
  <si>
    <t>146-11</t>
  </si>
  <si>
    <t>184-13</t>
  </si>
  <si>
    <t>104-17</t>
  </si>
  <si>
    <t>106-18</t>
  </si>
  <si>
    <t>Early arrival</t>
  </si>
  <si>
    <t>188-01</t>
  </si>
  <si>
    <t>107-06</t>
  </si>
  <si>
    <t>112-01</t>
  </si>
  <si>
    <t>166-01</t>
  </si>
  <si>
    <t>216-01</t>
  </si>
  <si>
    <t>169-02</t>
  </si>
  <si>
    <t>206-03</t>
  </si>
  <si>
    <t>212-03</t>
  </si>
  <si>
    <t>134-04</t>
  </si>
  <si>
    <t>176-04</t>
  </si>
  <si>
    <t>181-05</t>
  </si>
  <si>
    <t>173-06</t>
  </si>
  <si>
    <t>121-08</t>
  </si>
  <si>
    <t>176-09</t>
  </si>
  <si>
    <t>118-11</t>
  </si>
  <si>
    <t>224-14</t>
  </si>
  <si>
    <t>174-15</t>
  </si>
  <si>
    <t>162-16</t>
  </si>
  <si>
    <t>207-17</t>
  </si>
  <si>
    <t>159-18</t>
  </si>
  <si>
    <t>C:\Users\stu\Documents\GitHub\eaglep3-reporting\EC\Train Runs and Enforcements 2016-08-01.xlsx</t>
  </si>
  <si>
    <t>C:\Users\stu\Documents\GitHub\eaglep3-reporting\EC\Train Runs and Enforcements 2016-08-02.xlsx</t>
  </si>
  <si>
    <t>C:\Users\stu\Documents\GitHub\eaglep3-reporting\EC\Train Runs and Enforcements 2016-08-03.xlsx</t>
  </si>
  <si>
    <t>C:\Users\stu\Documents\GitHub\eaglep3-reporting\EC\Train Runs and Enforcements 2016-08-04.xlsx</t>
  </si>
  <si>
    <t>C:\Users\stu\Documents\GitHub\eaglep3-reporting\EC\Train Runs and Enforcements 2016-08-05.xlsm</t>
  </si>
  <si>
    <t>C:\Users\stu\Documents\GitHub\eaglep3-reporting\EC\Train Runs and Enforcements 2016-08-06.xlsm</t>
  </si>
  <si>
    <t>C:\Users\stu\Documents\GitHub\eaglep3-reporting\EC\Train Runs and Enforcements 2016-08-07.xlsm</t>
  </si>
  <si>
    <t>C:\Users\stu\Documents\GitHub\eaglep3-reporting\EC\Train Runs and Enforcements 2016-08-08.xlsm</t>
  </si>
  <si>
    <t>C:\Users\stu\Documents\GitHub\eaglep3-reporting\EC\Train Runs and Enforcements 2016-08-09.xlsm</t>
  </si>
  <si>
    <t>C:\Users\stu\Documents\GitHub\eaglep3-reporting\EC\Train Runs and Enforcements 2016-08-10.xlsm</t>
  </si>
  <si>
    <t>C:\Users\stu\Documents\GitHub\eaglep3-reporting\EC\Train Runs and Enforcements 2016-08-11.xlsm</t>
  </si>
  <si>
    <t>C:\Users\stu\Documents\GitHub\eaglep3-reporting\EC\Train Runs and Enforcements 2016-08-12.xlsm</t>
  </si>
  <si>
    <t>C:\Users\stu\Documents\GitHub\eaglep3-reporting\EC\Train Runs and Enforcements 2016-08-13.xlsm</t>
  </si>
  <si>
    <t>C:\Users\stu\Documents\GitHub\eaglep3-reporting\EC\Train Runs and Enforcements 2016-08-14.xlsm</t>
  </si>
  <si>
    <t>C:\Users\stu\Documents\GitHub\eaglep3-reporting\EC\Train Runs and Enforcements 2016-08-15.xlsm</t>
  </si>
  <si>
    <t>C:\Users\stu\Documents\GitHub\eaglep3-reporting\EC\Train Runs and Enforcements 2016-08-16.xlsm</t>
  </si>
  <si>
    <t>C:\Users\stu\Documents\GitHub\eaglep3-reporting\EC\Train Runs and Enforcements 2016-08-17.xlsm</t>
  </si>
  <si>
    <t>C:\Users\stu\Documents\GitHub\eaglep3-reporting\EC\Train Runs and Enforcements 2016-08-18.xlsm</t>
  </si>
  <si>
    <t>184-01</t>
  </si>
  <si>
    <t>135-01</t>
  </si>
  <si>
    <t>143-01</t>
  </si>
  <si>
    <t>174-01</t>
  </si>
  <si>
    <t>138-02</t>
  </si>
  <si>
    <t>184-02</t>
  </si>
  <si>
    <t>196-03</t>
  </si>
  <si>
    <t>168-03</t>
  </si>
  <si>
    <t>179-03</t>
  </si>
  <si>
    <t>136-04</t>
  </si>
  <si>
    <t>237-05</t>
  </si>
  <si>
    <t>239-05</t>
  </si>
  <si>
    <t>Increasing Mileposts (1</t>
  </si>
  <si>
    <t>161-05</t>
  </si>
  <si>
    <t>180-05</t>
  </si>
  <si>
    <t>117-06</t>
  </si>
  <si>
    <t>130-06</t>
  </si>
  <si>
    <t>141-07</t>
  </si>
  <si>
    <t>126-07</t>
  </si>
  <si>
    <t>176-07</t>
  </si>
  <si>
    <t>120-08</t>
  </si>
  <si>
    <t>135-08</t>
  </si>
  <si>
    <t>108-08</t>
  </si>
  <si>
    <t>201-09</t>
  </si>
  <si>
    <t>205-09</t>
  </si>
  <si>
    <t>163-09</t>
  </si>
  <si>
    <t>177-09</t>
  </si>
  <si>
    <t>239-09</t>
  </si>
  <si>
    <t>129-10</t>
  </si>
  <si>
    <t>144-10</t>
  </si>
  <si>
    <t>121-10</t>
  </si>
  <si>
    <t>206-10</t>
  </si>
  <si>
    <t>145-11</t>
  </si>
  <si>
    <t>147-11</t>
  </si>
  <si>
    <t>162-11</t>
  </si>
  <si>
    <t>143-13</t>
  </si>
  <si>
    <t>215-13</t>
  </si>
  <si>
    <t>126-13</t>
  </si>
  <si>
    <t>212-13</t>
  </si>
  <si>
    <t>201-15</t>
  </si>
  <si>
    <t>179-15</t>
  </si>
  <si>
    <t>108-15</t>
  </si>
  <si>
    <t>118-15</t>
  </si>
  <si>
    <t>144-15</t>
  </si>
  <si>
    <t>186-15</t>
  </si>
  <si>
    <t>121-15</t>
  </si>
  <si>
    <t>228-15</t>
  </si>
  <si>
    <t>140-15</t>
  </si>
  <si>
    <t>133-16</t>
  </si>
  <si>
    <t>198-16</t>
  </si>
  <si>
    <t>120-17</t>
  </si>
  <si>
    <t>134-17</t>
  </si>
  <si>
    <t>187-18</t>
  </si>
  <si>
    <t>126-18</t>
  </si>
  <si>
    <t>120-18</t>
  </si>
  <si>
    <t>aws s3 cp s3://rtdc.mdm.uploadarchive/RTDC4043/2016-08-13/ "%USERPROFILE%\AppData\Local\Temp\OnboardLogs"\RTDC4043\2016-08-13 --recursive &amp; "%USERPROFILE%\Documents\GitHub\mrs-test-scripts\Headless Mode &amp; Sideloading\WalkAndUnGZ.bat" "%USERPROFILE%\AppData\Local\Temp\OnboardLogs"\RTDC4043\2016-08-13 &amp; aws s3 cp s3://rtdc.mdm.uploadarchive/RTDC4043/2016-08-14/ "%USERPROFILE%\AppData\Local\Temp\OnboardLogs"\RTDC4043\2016-08-14 --recursive &amp; "%USERPROFILE%\Documents\GitHub\mrs-test-scripts\Headless Mode &amp; Sideloading\WalkAndUnGZ.bat" "%USERPROFILE%\AppData\Local\Temp\OnboardLogs"\RTDC4043\2016-08-14</t>
  </si>
  <si>
    <t>https://search-rtdc-monitor-bjffxe2xuh6vdkpspy63sjmuny.us-east-1.es.amazonaws.com/_plugin/kibana/#/discover/Steve-Slow-Train-Analysis-(2080s-and-2083s)?_g=(refreshInterval:(display:Off,section:0,value:0),time:(from:'2016-08-13 06:37:33-0600',mode:absolute,to:'2016-08-13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t>
  </si>
  <si>
    <t>"C:\Program Files (x86)\AstroGrep\AstroGrep.exe" /spath="%USERPROFILE%\AppData\Local\Temp\OnboardLogs" /stypes="*4043*201608131*" /stext=" 14:.+((SYSTEM_STATE.+slice.+state.+changed )|(ment ac)|(system.+state.+changed )|(\|lc)|(penalty)|(\[timeout)|(PRM\|1\|D)|(kpr)|(kdp))" /e /r /s</t>
  </si>
  <si>
    <t>4043</t>
  </si>
  <si>
    <t>aws s3 cp s3://rtdc.mdm.uploadarchive/RTDC4018/2016-08-13/ "%USERPROFILE%\AppData\Local\Temp\OnboardLogs"\RTDC4018\2016-08-13 --recursive &amp; "%USERPROFILE%\Documents\GitHub\mrs-test-scripts\Headless Mode &amp; Sideloading\WalkAndUnGZ.bat" "%USERPROFILE%\AppData\Local\Temp\OnboardLogs"\RTDC4018\2016-08-13 &amp; aws s3 cp s3://rtdc.mdm.uploadarchive/RTDC4018/2016-08-14/ "%USERPROFILE%\AppData\Local\Temp\OnboardLogs"\RTDC4018\2016-08-14 --recursive &amp; "%USERPROFILE%\Documents\GitHub\mrs-test-scripts\Headless Mode &amp; Sideloading\WalkAndUnGZ.bat" "%USERPROFILE%\AppData\Local\Temp\OnboardLogs"\RTDC4018\2016-08-14</t>
  </si>
  <si>
    <t>https://search-rtdc-monitor-bjffxe2xuh6vdkpspy63sjmuny.us-east-1.es.amazonaws.com/_plugin/kibana/#/discover/Steve-Slow-Train-Analysis-(2080s-and-2083s)?_g=(refreshInterval:(display:Off,section:0,value:0),time:(from:'2016-08-13 07:50:47-0600',mode:absolute,to:'2016-08-13 10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t>
  </si>
  <si>
    <t>"C:\Program Files (x86)\AstroGrep\AstroGrep.exe" /spath="%USERPROFILE%\AppData\Local\Temp\OnboardLogs" /stypes="*4018*201608131*" /stext=" 15:.+((SYSTEM_STATE.+slice.+state.+changed )|(ment ac)|(system.+state.+changed )|(\|lc)|(penalty)|(\[timeout)|(PRM\|1\|D)|(kpr)|(kdp))" /e /r /s</t>
  </si>
  <si>
    <t>4018</t>
  </si>
  <si>
    <t>https://search-rtdc-monitor-bjffxe2xuh6vdkpspy63sjmuny.us-east-1.es.amazonaws.com/_plugin/kibana/#/discover/Steve-Slow-Train-Analysis-(2080s-and-2083s)?_g=(refreshInterval:(display:Off,section:0,value:0),time:(from:'2016-08-13 11:22:46-0600',mode:absolute,to:'2016-08-13 14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t>
  </si>
  <si>
    <t>"C:\Program Files (x86)\AstroGrep\AstroGrep.exe" /spath="%USERPROFILE%\AppData\Local\Temp\OnboardLogs" /stypes="*4018*201608131*" /stext=" 18:.+((SYSTEM_STATE.+slice.+state.+changed )|(ment ac)|(system.+state.+changed )|(\|lc)|(penalty)|(\[timeout)|(PRM\|1\|D)|(kpr)|(kdp))" /e /r /s</t>
  </si>
  <si>
    <t>aws s3 cp s3://rtdc.mdm.uploadarchive/RTDC4019/2016-08-13/ "%USERPROFILE%\AppData\Local\Temp\OnboardLogs"\RTDC4019\2016-08-13 --recursive &amp; "%USERPROFILE%\Documents\GitHub\mrs-test-scripts\Headless Mode &amp; Sideloading\WalkAndUnGZ.bat" "%USERPROFILE%\AppData\Local\Temp\OnboardLogs"\RTDC4019\2016-08-13 &amp; 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</t>
  </si>
  <si>
    <t>https://search-rtdc-monitor-bjffxe2xuh6vdkpspy63sjmuny.us-east-1.es.amazonaws.com/_plugin/kibana/#/discover/Steve-Slow-Train-Analysis-(2080s-and-2083s)?_g=(refreshInterval:(display:Off,section:0,value:0),time:(from:'2016-08-13 13:48:39-0600',mode:absolute,to:'2016-08-13 16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t>
  </si>
  <si>
    <t>"C:\Program Files (x86)\AstroGrep\AstroGrep.exe" /spath="%USERPROFILE%\AppData\Local\Temp\OnboardLogs" /stypes="*4019*201608132*" /stext=" 21:.+((SYSTEM_STATE.+slice.+state.+changed )|(ment ac)|(system.+state.+changed )|(\|lc)|(penalty)|(\[timeout)|(PRM\|1\|D)|(kpr)|(kdp))" /e /r /s</t>
  </si>
  <si>
    <t>4019</t>
  </si>
  <si>
    <t>aws s3 cp s3://rtdc.mdm.uploadarchive/RTDC4011/2016-08-13/ "%USERPROFILE%\AppData\Local\Temp\OnboardLogs"\RTDC4011\2016-08-13 --recursive &amp; "%USERPROFILE%\Documents\GitHub\mrs-test-scripts\Headless Mode &amp; Sideloading\WalkAndUnGZ.bat" "%USERPROFILE%\AppData\Local\Temp\OnboardLogs"\RTDC4011\2016-08-13 &amp; 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</t>
  </si>
  <si>
    <t>https://search-rtdc-monitor-bjffxe2xuh6vdkpspy63sjmuny.us-east-1.es.amazonaws.com/_plugin/kibana/#/discover/Steve-Slow-Train-Analysis-(2080s-and-2083s)?_g=(refreshInterval:(display:Off,section:0,value:0),time:(from:'2016-08-13 16:55:00-0600',mode:absolute,to:'2016-08-13 19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t>
  </si>
  <si>
    <t>"C:\Program Files (x86)\AstroGrep\AstroGrep.exe" /spath="%USERPROFILE%\AppData\Local\Temp\OnboardLogs" /stypes="*4011*201608140*" /stext=" 00:.+((SYSTEM_STATE.+slice.+state.+changed )|(ment ac)|(system.+state.+changed )|(\|lc)|(penalty)|(\[timeout)|(PRM\|1\|D)|(kpr)|(kdp))" /e /r /s</t>
  </si>
  <si>
    <t>4011</t>
  </si>
  <si>
    <t>https://search-rtdc-monitor-bjffxe2xuh6vdkpspy63sjmuny.us-east-1.es.amazonaws.com/_plugin/kibana/#/discover/Steve-Slow-Train-Analysis-(2080s-and-2083s)?_g=(refreshInterval:(display:Off,section:0,value:0),time:(from:'2016-08-13 17:15:22-0600',mode:absolute,to:'2016-08-13 20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t>
  </si>
  <si>
    <t>"C:\Program Files (x86)\AstroGrep\AstroGrep.exe" /spath="%USERPROFILE%\AppData\Local\Temp\OnboardLogs" /stypes="*4019*201608140*" /stext=" 00:.+((SYSTEM_STATE.+slice.+state.+changed )|(ment ac)|(system.+state.+changed )|(\|lc)|(penalty)|(\[timeout)|(PRM\|1\|D)|(kpr)|(kdp))" /e /r /s</t>
  </si>
  <si>
    <t>Target Start MP</t>
  </si>
  <si>
    <t>Number of enforcements in August</t>
  </si>
  <si>
    <t>Direction of Travel</t>
  </si>
  <si>
    <t>Percentage</t>
  </si>
  <si>
    <t>38th &amp; Blake Station</t>
  </si>
  <si>
    <t>40th and Airport Station</t>
  </si>
  <si>
    <t>61st &amp; Pena Station</t>
  </si>
  <si>
    <t>Central Park Station</t>
  </si>
  <si>
    <t>Chambers Road</t>
  </si>
  <si>
    <t>Clayton Street</t>
  </si>
  <si>
    <t>Colorado Station</t>
  </si>
  <si>
    <t>Dahlia Street</t>
  </si>
  <si>
    <t>Havana Street</t>
  </si>
  <si>
    <t>Holly Street</t>
  </si>
  <si>
    <t>Monaco Parkway</t>
  </si>
  <si>
    <t>NB Quebec Parkway</t>
  </si>
  <si>
    <t>Peoria Station</t>
  </si>
  <si>
    <t>Sable Boulevard</t>
  </si>
  <si>
    <t>SB Quebec Parkway</t>
  </si>
  <si>
    <t>STEELE ST</t>
  </si>
  <si>
    <t>Ulster Street</t>
  </si>
  <si>
    <t>York &amp; Josephine Street</t>
  </si>
  <si>
    <t>StreetName</t>
  </si>
  <si>
    <t>Milepost</t>
  </si>
  <si>
    <t>Crossing Name</t>
  </si>
  <si>
    <t>"C:\Program Files (x86)\AstroGrep\AstroGrep.exe" /spath="%USERPROFILE%\AppData\Local\Temp\OnboardLogs" /stypes="*4020*201608051*" /stext=" 17:.+((SYSTEM_STATE.+slice.+state.+changed )|(ment ac)|(system.+state.+changed )|(\|lc)|(penalty)|(\[timeout)|(PRM\|1\|D))" /e /r /s</t>
  </si>
  <si>
    <t>"C:\Program Files (x86)\AstroGrep\AstroGrep.exe" /spath="%USERPROFILE%\AppData\Local\Temp\OnboardLogs" /stypes="*4044*201608060*" /stext=" 05:.+((SYSTEM_STATE.+slice.+state.+changed )|(ment ac)|(system.+state.+changed )|(\|lc)|(penalty)|(\[timeout)|(PRM\|1\|D))" /e /r /s</t>
  </si>
  <si>
    <t>"C:\Program Files (x86)\AstroGrep\AstroGrep.exe" /spath="%USERPROFILE%\AppData\Local\Temp\OnboardLogs" /stypes="*4009*201608060*" /stext=" 05:.+((SYSTEM_STATE.+slice.+state.+changed )|(ment ac)|(system.+state.+changed )|(\|lc)|(penalty)|(\[timeout)|(PRM\|1\|D))" /e /r /s</t>
  </si>
  <si>
    <t>"C:\Program Files (x86)\AstroGrep\AstroGrep.exe" /spath="%USERPROFILE%\AppData\Local\Temp\OnboardLogs" /stypes="*4025*201608061*" /stext=" 10:.+((SYSTEM_STATE.+slice.+state.+changed )|(ment ac)|(system.+state.+changed )|(\|lc)|(penalty)|(\[timeout)|(PRM\|1\|D))" /e /r /s</t>
  </si>
  <si>
    <t>"C:\Program Files (x86)\AstroGrep\AstroGrep.exe" /spath="%USERPROFILE%\AppData\Local\Temp\OnboardLogs" /stypes="*4027*201608061*" /stext=" 11:.+((SYSTEM_STATE.+slice.+state.+changed )|(ment ac)|(system.+state.+changed )|(\|lc)|(penalty)|(\[timeout)|(PRM\|1\|D))" /e /r /s</t>
  </si>
  <si>
    <t>"C:\Program Files (x86)\AstroGrep\AstroGrep.exe" /spath="%USERPROFILE%\AppData\Local\Temp\OnboardLogs" /stypes="*4027*201608061*" /stext=" 18:.+((SYSTEM_STATE.+slice.+state.+changed )|(ment ac)|(system.+state.+changed )|(\|lc)|(penalty)|(\[timeout)|(PRM\|1\|D))" /e /r /s</t>
  </si>
  <si>
    <t>"C:\Program Files (x86)\AstroGrep\AstroGrep.exe" /spath="%USERPROFILE%\AppData\Local\Temp\OnboardLogs" /stypes="*4007*201608071*"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</si>
  <si>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/stypes="*4016*201608092*" /stext=" 22:.+((SYSTEM_STATE.+slice.+state.+changed )|(ment ac)|(system.+state.+changed )|(\|lc)|(penalty)|(\[timeout)|(PRM\|1\|D))" /e /r /s</t>
  </si>
  <si>
    <t>"C:\Program Files (x86)\AstroGrep\AstroGrep.exe" /spath="%USERPROFILE%\AppData\Local\Temp\OnboardLogs" /stypes="*4031*201608092*" /stext=" 22:.+((SYSTEM_STATE.+slice.+state.+changed )|(ment ac)|(system.+state.+changed )|(\|lc)|(penalty)|(\[timeout)|(PRM\|1\|D))" /e /r /s</t>
  </si>
  <si>
    <t>"C:\Program Files (x86)\AstroGrep\AstroGrep.exe" /spath="%USERPROFILE%\AppData\Local\Temp\OnboardLogs" /stypes="*4016*201608101*"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</si>
  <si>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/stypes="*4014*201608111*"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</si>
  <si>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/stypes="*4025*201608111*"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</si>
  <si>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/stypes="*4038*201608151*"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</si>
  <si>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/stypes="*4044*201608152*" /stext=" 22:.+((SYSTEM_STATE.+slice.+state.+changed )|(ment ac)|(system.+state.+changed )|(\|lc)|(penalty)|(\[timeout)|(PRM\|1\|D))" /e /r /s</t>
  </si>
  <si>
    <t>"C:\Program Files (x86)\AstroGrep\AstroGrep.exe" /spath="%USERPROFILE%\AppData\Local\Temp\OnboardLogs" /stypes="*4029*201608161*"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</si>
  <si>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/stypes="*4025*201608172*" /stext=" 23:.+((SYSTEM_STATE.+slice.+state.+changed )|(ment ac)|(system.+state.+changed )|(\|lc)|(penalty)|(\[timeout)|(PRM\|1\|D))" /e /r /s</t>
  </si>
  <si>
    <t>"C:\Program Files (x86)\AstroGrep\AstroGrep.exe" /spath="%USERPROFILE%\AppData\Local\Temp\OnboardLogs" /stypes="*4044*201608181*" /stext=" 17:.+((SYSTEM_STATE.+slice.+state.+changed )|(ment ac)|(system.+state.+changed )|(\|lc)|(penalty)|(\[timeout)|(PRM\|1\|D))" /e /r /s</t>
  </si>
  <si>
    <t>"C:\Program Files (x86)\AstroGrep\AstroGrep.exe" /spath="%USERPROFILE%\AppData\Local\Temp\OnboardLogs" /stypes="*4044*201608182*"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</si>
  <si>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/stypes="*4010*201608012*" /stext=" 21:.+((SYSTEM_STATE.+slice.+state.+changed )|(ment ac)|(system.+state.+changed )|(\|lc)|(penalty)|(\[timeout)|(PRM\|1\|D))" /e /r /s</t>
  </si>
  <si>
    <t>"C:\Program Files (x86)\AstroGrep\AstroGrep.exe" /spath="%USERPROFILE%\AppData\Local\Temp\OnboardLogs" /stypes="*4037*201608032*" /stext=" 23:.+((SYSTEM_STATE.+slice.+state.+changed )|(ment ac)|(system.+state.+changed )|(\|lc)|(penalty)|(\[timeout)|(PRM\|1\|D))" /e /r /s</t>
  </si>
  <si>
    <t>"C:\Program Files (x86)\AstroGrep\AstroGrep.exe" /spath="%USERPROFILE%\AppData\Local\Temp\OnboardLogs" /stypes="*4017*201608040*" /stext=" 01:.+((SYSTEM_STATE.+slice.+state.+changed )|(ment ac)|(system.+state.+changed )|(\|lc)|(penalty)|(\[timeout)|(PRM\|1\|D))" /e /r /s</t>
  </si>
  <si>
    <t>"C:\Program Files (x86)\AstroGrep\AstroGrep.exe" /spath="%USERPROFILE%\AppData\Local\Temp\OnboardLogs" /stypes="*4008*201608041*"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</si>
  <si>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/stypes="*4012*201608042*"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</si>
  <si>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/stypes="*4041*201608061*"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</si>
  <si>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/stypes="*4037*201608071*"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</si>
  <si>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/stypes="*4043*201608072*"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</si>
  <si>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/stypes="*4019*201608151*" /stext=" 11:.+((SYSTEM_STATE.+slice.+state.+changed )|(ment ac)|(system.+state.+changed )|(\|lc)|(penalty)|(\[timeout)|(PRM\|1\|D))" /e /r /s</t>
  </si>
  <si>
    <t>"C:\Program Files (x86)\AstroGrep\AstroGrep.exe" /spath="%USERPROFILE%\AppData\Local\Temp\OnboardLogs" /stypes="*4043*201608151*"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</si>
  <si>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/stypes="*4041*201608151*" /stext=" 16:.+((SYSTEM_STATE.+slice.+state.+changed )|(ment ac)|(system.+state.+changed )|(\|lc)|(penalty)|(\[timeout)|(PRM\|1\|D))" /e /r /s</t>
  </si>
  <si>
    <t>"C:\Program Files (x86)\AstroGrep\AstroGrep.exe" /spath="%USERPROFILE%\AppData\Local\Temp\OnboardLogs" /stypes="*4041*201608152*" /stext=" 21:.+((SYSTEM_STATE.+slice.+state.+changed )|(ment ac)|(system.+state.+changed )|(\|lc)|(penalty)|(\[timeout)|(PRM\|1\|D))" /e /r /s</t>
  </si>
  <si>
    <t>"C:\Program Files (x86)\AstroGrep\AstroGrep.exe" /spath="%USERPROFILE%\AppData\Local\Temp\OnboardLogs" /stypes="*4043*201608152*" /stext=" 22:.+((SYSTEM_STATE.+slice.+state.+changed )|(ment ac)|(system.+state.+changed )|(\|lc)|(penalty)|(\[timeout)|(PRM\|1\|D))" /e /r /s</t>
  </si>
  <si>
    <t>"C:\Program Files (x86)\AstroGrep\AstroGrep.exe" /spath="%USERPROFILE%\AppData\Local\Temp\OnboardLogs" /stypes="*4012*201608021*"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</si>
  <si>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/stypes="*4012*201608041*"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</si>
  <si>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/stypes="*4027*201608011*"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</si>
  <si>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/stypes="*4014*201608021*" /stext=" 18:.+((SYSTEM_STATE.+slice.+state.+changed )|(ment ac)|(system.+state.+changed )|(\|lc)|(penalty)|(\[timeout)|(PRM\|1\|D))" /e /r /s</t>
  </si>
  <si>
    <t>"C:\Program Files (x86)\AstroGrep\AstroGrep.exe" /spath="%USERPROFILE%\AppData\Local\Temp\OnboardLogs" /stypes="*4027*201608081*" /stext=" 12:.+((SYSTEM_STATE.+slice.+state.+changed )|(ment ac)|(system.+state.+changed )|(\|lc)|(penalty)|(\[timeout)|(PRM\|1\|D))" /e /r /s</t>
  </si>
  <si>
    <t>"C:\Program Files (x86)\AstroGrep\AstroGrep.exe" /spath="%USERPROFILE%\AppData\Local\Temp\OnboardLogs" /stypes="*4031*201608091*" /stext=" 17:.+((SYSTEM_STATE.+slice.+state.+changed )|(ment ac)|(system.+state.+changed )|(\|lc)|(penalty)|(\[timeout)|(PRM\|1\|D))" /e /r /s</t>
  </si>
  <si>
    <t>"C:\Program Files (x86)\AstroGrep\AstroGrep.exe" /spath="%USERPROFILE%\AppData\Local\Temp\OnboardLogs" /stypes="*4031*201608091*"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</si>
  <si>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/stypes="*4019*201608081*"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</si>
  <si>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/stypes="*4015*201608101*" /stext=" 16:.+((SYSTEM_STATE.+slice.+state.+changed )|(ment ac)|(system.+state.+changed )|(\|lc)|(penalty)|(\[timeout)|(PRM\|1\|D))" /e /r /s</t>
  </si>
  <si>
    <t>"C:\Program Files (x86)\AstroGrep\AstroGrep.exe" /spath="%USERPROFILE%\AppData\Local\Temp\OnboardLogs" /stypes="*4013*201608111*"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</si>
  <si>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/stypes="*4030*201608150*" /stext=" 02:.+((SYSTEM_STATE.+slice.+state.+changed )|(ment ac)|(system.+state.+changed )|(\|lc)|(penalty)|(\[timeout)|(PRM\|1\|D))" /e /r /s</t>
  </si>
  <si>
    <t>"C:\Program Files (x86)\AstroGrep\AstroGrep.exe" /spath="%USERPROFILE%\AppData\Local\Temp\OnboardLogs" /stypes="*4030*201608181*" /stext=" 11:.+((SYSTEM_STATE.+slice.+state.+changed )|(ment ac)|(system.+state.+changed )|(\|lc)|(penalty)|(\[timeout)|(PRM\|1\|D))" /e /r /s</t>
  </si>
  <si>
    <t>"C:\Program Files (x86)\AstroGrep\AstroGrep.exe" /spath="%USERPROFILE%\AppData\Local\Temp\OnboardLogs" /stypes="*4013*201608111*" /stext=" 16:.+((SYSTEM_STATE.+slice.+state.+changed )|(ment ac)|(system.+state.+changed )|(\|lc)|(penalty)|(\[timeout)|(PRM\|1\|D))" /e /r /s</t>
  </si>
  <si>
    <t>"C:\Program Files (x86)\AstroGrep\AstroGrep.exe" /spath="%USERPROFILE%\AppData\Local\Temp\OnboardLogs" /stypes="*4011*201608100*" /stext=" 05:.+((SYSTEM_STATE.+slice.+state.+changed )|(ment ac)|(system.+state.+changed )|(\|lc)|(penalty)|(\[timeout)|(PRM\|1\|D))" /e /r /s</t>
  </si>
  <si>
    <t>"C:\Program Files (x86)\AstroGrep\AstroGrep.exe" /spath="%USERPROFILE%\AppData\Local\Temp\OnboardLogs" /stypes="*4044*201608051*"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</si>
  <si>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/stypes="*4027*201608081*"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</si>
  <si>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/stypes="*4007*201608101*" /stext=" 12:.+((SYSTEM_STATE.+slice.+state.+changed )|(ment ac)|(system.+state.+changed )|(\|lc)|(penalty)|(\[timeout)|(PRM\|1\|D))" /e /r /s</t>
  </si>
  <si>
    <t>"C:\Program Files (x86)\AstroGrep\AstroGrep.exe" /spath="%USERPROFILE%\AppData\Local\Temp\OnboardLogs" /stypes="*4020*201608151*" /stext=" 12:.+((SYSTEM_STATE.+slice.+state.+changed )|(ment ac)|(system.+state.+changed )|(\|lc)|(penalty)|(\[timeout)|(PRM\|1\|D))" /e /r /s</t>
  </si>
  <si>
    <t>"C:\Program Files (x86)\AstroGrep\AstroGrep.exe" /spath="%USERPROFILE%\AppData\Local\Temp\OnboardLogs" /stypes="*4013*201608011*"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</si>
  <si>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/stypes="*4015*201608012*"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</si>
  <si>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/stypes="*4037*201608031*"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</si>
  <si>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/stypes="*4039*201608040*" /stext=" 00:.+((SYSTEM_STATE.+slice.+state.+changed )|(ment ac)|(system.+state.+changed )|(\|lc)|(penalty)|(\[timeout)|(PRM\|1\|D))" /e /r /s</t>
  </si>
  <si>
    <t>"C:\Program Files (x86)\AstroGrep\AstroGrep.exe" /spath="%USERPROFILE%\AppData\Local\Temp\OnboardLogs" /stypes="*4026*201608092*"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</si>
  <si>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/stypes="*4015*201608020*" /stext=" 01:.+((SYSTEM_STATE.+slice.+state.+changed )|(ment ac)|(system.+state.+changed )|(\|lc)|(penalty)|(\[timeout)|(PRM\|1\|D))" /e /r /s</t>
  </si>
  <si>
    <t>"C:\Program Files (x86)\AstroGrep\AstroGrep.exe" /spath="%USERPROFILE%\AppData\Local\Temp\OnboardLogs" /stypes="*4028*201608052*"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</si>
  <si>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/stypes="*4019*201608160*" /stext=" 03:.+((SYSTEM_STATE.+slice.+state.+changed )|(ment ac)|(system.+state.+changed )|(\|lc)|(penalty)|(\[timeout)|(PRM\|1\|D))" /e /r /s</t>
  </si>
  <si>
    <t>"C:\Program Files (x86)\AstroGrep\AstroGrep.exe" /spath="%USERPROFILE%\AppData\Local\Temp\OnboardLogs" /stypes="*4037*201608161*" /stext=" 18:.+((SYSTEM_STATE.+slice.+state.+changed )|(ment ac)|(system.+state.+changed )|(\|lc)|(penalty)|(\[timeout)|(PRM\|1\|D))" /e /r /s</t>
  </si>
  <si>
    <t>"C:\Program Files (x86)\AstroGrep\AstroGrep.exe" /spath="%USERPROFILE%\AppData\Local\Temp\OnboardLogs" /stypes="*4032*201608162*" /stext=" 23:.+((SYSTEM_STATE.+slice.+state.+changed )|(ment ac)|(system.+state.+changed )|(\|lc)|(penalty)|(\[timeout)|(PRM\|1\|D))" /e /r /s</t>
  </si>
  <si>
    <t>"C:\Program Files (x86)\AstroGrep\AstroGrep.exe" /spath="%USERPROFILE%\AppData\Local\Temp\OnboardLogs" /stypes="*4010*201608171*"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</si>
  <si>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/stypes="*4026*201608181*" /stext=" 14:.+((SYSTEM_STATE.+slice.+state.+changed )|(ment ac)|(system.+state.+changed )|(\|lc)|(penalty)|(\[timeout)|(PRM\|1\|D))" /e /r /s</t>
  </si>
  <si>
    <t>"C:\Program Files (x86)\AstroGrep\AstroGrep.exe" /spath="%USERPROFILE%\AppData\Local\Temp\OnboardLogs" /stypes="*4013*201608022*" /stext=" 21:.+((SYSTEM_STATE.+slice.+state.+changed )|(ment ac)|(system.+state.+changed )|(\|lc)|(penalty)|(\[timeout)|(PRM\|1\|D))" /e /r /s</t>
  </si>
  <si>
    <t>"C:\Program Files (x86)\AstroGrep\AstroGrep.exe" /spath="%USERPROFILE%\AppData\Local\Temp\OnboardLogs" /stypes="*4028*201608081*" /stext=" 11:.+((SYSTEM_STATE.+slice.+state.+changed )|(ment ac)|(system.+state.+changed )|(\|lc)|(penalty)|(\[timeout)|(PRM\|1\|D))" /e /r /s</t>
  </si>
  <si>
    <t>"C:\Program Files (x86)\AstroGrep\AstroGrep.exe" /spath="%USERPROFILE%\AppData\Local\Temp\OnboardLogs" /stypes="*4008*201608110*" /stext=" 00:.+((SYSTEM_STATE.+slice.+state.+changed )|(ment ac)|(system.+state.+changed )|(\|lc)|(penalty)|(\[timeout)|(PRM\|1\|D))" /e /r /s</t>
  </si>
  <si>
    <t>"C:\Program Files (x86)\AstroGrep\AstroGrep.exe" /spath="%USERPROFILE%\AppData\Local\Temp\OnboardLogs" /stypes="*4026*201608111*" /stext=" 18:.+((SYSTEM_STATE.+slice.+state.+changed )|(ment ac)|(system.+state.+changed )|(\|lc)|(penalty)|(\[timeout)|(PRM\|1\|D))" /e /r /s</t>
  </si>
  <si>
    <t>"C:\Program Files (x86)\AstroGrep\AstroGrep.exe" /spath="%USERPROFILE%\AppData\Local\Temp\OnboardLogs" /stypes="*4032*201608151*"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</si>
  <si>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/stypes="*4043*201608152*" /stext=" 20:.+((SYSTEM_STATE.+slice.+state.+changed )|(ment ac)|(system.+state.+changed )|(\|lc)|(penalty)|(\[timeout)|(PRM\|1\|D))" /e /r /s</t>
  </si>
  <si>
    <t>"C:\Program Files (x86)\AstroGrep\AstroGrep.exe" /spath="%USERPROFILE%\AppData\Local\Temp\OnboardLogs" /stypes="*4043*201608152*" /stext=" 21:.+((SYSTEM_STATE.+slice.+state.+changed )|(ment ac)|(system.+state.+changed )|(\|lc)|(penalty)|(\[timeout)|(PRM\|1\|D))" /e /r /s</t>
  </si>
  <si>
    <t>"C:\Program Files (x86)\AstroGrep\AstroGrep.exe" /spath="%USERPROFILE%\AppData\Local\Temp\OnboardLogs" /stypes="*4026*201608171*" /stext=" 11:.+((SYSTEM_STATE.+slice.+state.+changed )|(ment ac)|(system.+state.+changed )|(\|lc)|(penalty)|(\[timeout)|(PRM\|1\|D))" /e /r /s</t>
  </si>
  <si>
    <t>"C:\Program Files (x86)\AstroGrep\AstroGrep.exe" /spath="%USERPROFILE%\AppData\Local\Temp\OnboardLogs" /stypes="*4017*201608171*"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</si>
  <si>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/stypes="*4028*201608181*" /stext=" 13:.+((SYSTEM_STATE.+slice.+state.+changed )|(ment ac)|(system.+state.+changed )|(\|lc)|(penalty)|(\[timeout)|(PRM\|1\|D))" /e /r /s</t>
  </si>
  <si>
    <t>"C:\Program Files (x86)\AstroGrep\AstroGrep.exe" /spath="%USERPROFILE%\AppData\Local\Temp\OnboardLogs" /stypes="*4008*201608011*" /stext=" 12:.+((SYSTEM_STATE.+slice.+state.+changed )|(ment ac)|(system.+state.+changed )|(\|lc)|(penalty)|(\[timeout)|(PRM\|1\|D))" /e /r /s</t>
  </si>
  <si>
    <t>"C:\Program Files (x86)\AstroGrep\AstroGrep.exe" /spath="%USERPROFILE%\AppData\Local\Temp\OnboardLogs" /stypes="*4019*201608080*" /stext=" 00:.+((SYSTEM_STATE.+slice.+state.+changed )|(ment ac)|(system.+state.+changed )|(\|lc)|(penalty)|(\[timeout)|(PRM\|1\|D))" /e /r /s</t>
  </si>
  <si>
    <t>"C:\Program Files (x86)\AstroGrep\AstroGrep.exe" /spath="%USERPROFILE%\AppData\Local\Temp\OnboardLogs" /stypes="*4029*201608011*" /stext=" 15:.+((SYSTEM_STATE.+slice.+state.+changed )|(ment ac)|(system.+state.+changed )|(\|lc)|(penalty)|(\[timeout)|(PRM\|1\|D))" /e /r /s</t>
  </si>
  <si>
    <t>"C:\Program Files (x86)\AstroGrep\AstroGrep.exe" /spath="%USERPROFILE%\AppData\Local\Temp\OnboardLogs" /stypes="*4025*201608031*" /stext=" 19:.+((SYSTEM_STATE.+slice.+state.+changed )|(ment ac)|(system.+state.+changed )|(\|lc)|(penalty)|(\[timeout)|(PRM\|1\|D))" /e /r /s</t>
  </si>
  <si>
    <t>"C:\Program Files (x86)\AstroGrep\AstroGrep.exe" /spath="%USERPROFILE%\AppData\Local\Temp\OnboardLogs" /stypes="*4015*201608012*" /stext=" 21:.+((SYSTEM_STATE.+slice.+state.+changed )|(ment ac)|(system.+state.+changed )|(\|lc)|(penalty)|(\[timeout)|(PRM\|1\|D))" /e /r 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</si>
</sst>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yyyy\-mm\-dd\ hh:mm:ss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/>
  </cellStyleXfs>
  <cellXfs count="34">
    <xf numFmtId="0" fontId="0" fillId="0" borderId="0" xfId="0"/>
    <xf numFmtId="9" fontId="0" fillId="0" borderId="0" xfId="1" applyFont="1"/>
    <xf numFmtId="1" fontId="0" fillId="0" borderId="1" xfId="0" applyNumberFormat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1" xfId="0" applyFill="1" applyBorder="1"/>
    <xf numFmtId="0" fontId="0" fillId="0" borderId="0" xfId="0" applyFill="1" applyBorder="1"/>
    <xf numFmtId="22" fontId="0" fillId="0" borderId="1" xfId="0" applyNumberFormat="1" applyBorder="1"/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0" borderId="2" xfId="0" applyFill="1" applyBorder="1" applyAlignment="1">
      <alignment horizontal="left" vertical="center"/>
    </xf>
    <xf numFmtId="0" fontId="3" fillId="0" borderId="1" xfId="0" applyFont="1" applyBorder="1"/>
    <xf numFmtId="0" fontId="3" fillId="0" borderId="1" xfId="0" applyFont="1" applyFill="1" applyBorder="1" applyAlignment="1"/>
    <xf numFmtId="0" fontId="3" fillId="0" borderId="1" xfId="0" applyFont="1" applyFill="1" applyBorder="1"/>
    <xf numFmtId="0" fontId="3" fillId="2" borderId="1" xfId="0" applyFont="1" applyFill="1" applyBorder="1"/>
    <xf numFmtId="0" fontId="3" fillId="3" borderId="1" xfId="0" applyFont="1" applyFill="1" applyBorder="1" applyAlignment="1"/>
    <xf numFmtId="0" fontId="3" fillId="4" borderId="1" xfId="0" applyFont="1" applyFill="1" applyBorder="1"/>
    <xf numFmtId="0" fontId="0" fillId="0" borderId="1" xfId="0" applyNumberFormat="1" applyFill="1" applyBorder="1" applyAlignment="1"/>
    <xf numFmtId="0" fontId="4" fillId="5" borderId="3" xfId="2" applyFont="1" applyFill="1" applyBorder="1" applyAlignment="1">
      <alignment horizontal="center"/>
    </xf>
    <xf numFmtId="0" fontId="4" fillId="0" borderId="4" xfId="2" applyFont="1" applyFill="1" applyBorder="1" applyAlignment="1"/>
    <xf numFmtId="0" fontId="4" fillId="0" borderId="4" xfId="2" applyFont="1" applyFill="1" applyBorder="1" applyAlignment="1">
      <alignment horizontal="right"/>
    </xf>
  </cellXfs>
  <cellStyles count="3">
    <cellStyle name="Normal" xfId="0" builtinId="0"/>
    <cellStyle name="Normal_Crossings" xfId="2"/>
    <cellStyle name="Percent" xfId="1" builtinId="5"/>
  </cellStyles>
  <dxfs count="34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5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6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7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9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0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3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4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5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7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/>
      <sheetData sheetId="1"/>
      <sheetData sheetId="2"/>
      <sheetData sheetId="3">
        <row r="2">
          <cell r="C2"/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101-01</v>
          </cell>
          <cell r="B13">
            <v>4007</v>
          </cell>
          <cell r="C13" t="str">
            <v>DE.1.0.7.0</v>
          </cell>
          <cell r="D13" t="str">
            <v>204:719</v>
          </cell>
          <cell r="E13">
            <v>42583.130393518521</v>
          </cell>
          <cell r="F13">
            <v>42583.132696759261</v>
          </cell>
          <cell r="G13">
            <v>3</v>
          </cell>
          <cell r="H13" t="str">
            <v>204:233284</v>
          </cell>
          <cell r="I13">
            <v>42583.161678240744</v>
          </cell>
          <cell r="J13">
            <v>0</v>
          </cell>
          <cell r="K13" t="str">
            <v>4007/4008</v>
          </cell>
          <cell r="L13" t="str">
            <v>STURGEON</v>
          </cell>
          <cell r="M13">
            <v>2.8981481482333038E-2</v>
          </cell>
          <cell r="N13">
            <v>41.733333334559575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https://search-rtdc-monitor-bjffxe2xuh6vdkpspy63sjmuny.us-east-1.es.amazonaws.com/_plugin/kibana/#/discover/Steve-Slow-Train-Analysis-(2080s-and-2083s)?_g=(refreshInterval:(display:Off,section:0,value:0),time:(from:'2016-08-01 02:07:46-0600',mode:absolute,to:'2016-08-01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23.328399999999998</v>
          </cell>
          <cell r="AA13">
            <v>23.256499999999999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14">
          <cell r="A14" t="str">
            <v>102-01</v>
          </cell>
          <cell r="B14">
            <v>4010</v>
          </cell>
          <cell r="C14" t="str">
            <v>DE.1.0.7.0</v>
          </cell>
          <cell r="D14" t="str">
            <v>204:232629</v>
          </cell>
          <cell r="E14">
            <v>42583.16615740741</v>
          </cell>
          <cell r="F14">
            <v>42583.167905092596</v>
          </cell>
          <cell r="G14">
            <v>2</v>
          </cell>
          <cell r="H14" t="str">
            <v>204:161</v>
          </cell>
          <cell r="I14">
            <v>42583.203148148146</v>
          </cell>
          <cell r="J14">
            <v>0</v>
          </cell>
          <cell r="K14" t="str">
            <v>4009/4010</v>
          </cell>
          <cell r="L14" t="str">
            <v>STURGEON</v>
          </cell>
          <cell r="M14">
            <v>3.5243055550381541E-2</v>
          </cell>
          <cell r="N14">
            <v>50.749999992549419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https://search-rtdc-monitor-bjffxe2xuh6vdkpspy63sjmuny.us-east-1.es.amazonaws.com/_plugin/kibana/#/discover/Steve-Slow-Train-Analysis-(2080s-and-2083s)?_g=(refreshInterval:(display:Off,section:0,value:0),time:(from:'2016-08-01 02:59:16-0600',mode:absolute,to:'2016-08-01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1.61E-2</v>
          </cell>
          <cell r="AA14">
            <v>23.246799999999997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5">
          <cell r="A15" t="str">
            <v>103-01</v>
          </cell>
          <cell r="B15">
            <v>4029</v>
          </cell>
          <cell r="C15" t="str">
            <v>DE.1.0.7.0</v>
          </cell>
          <cell r="D15" t="str">
            <v>204:655</v>
          </cell>
          <cell r="E15">
            <v>42583.15053240741</v>
          </cell>
          <cell r="F15">
            <v>42583.152013888888</v>
          </cell>
          <cell r="G15">
            <v>2</v>
          </cell>
          <cell r="H15" t="str">
            <v>204:233359</v>
          </cell>
          <cell r="I15">
            <v>42583.182500000003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3.0486111114441883E-2</v>
          </cell>
          <cell r="N15">
            <v>43.900000004796311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https://search-rtdc-monitor-bjffxe2xuh6vdkpspy63sjmuny.us-east-1.es.amazonaws.com/_plugin/kibana/#/discover/Steve-Slow-Train-Analysis-(2080s-and-2083s)?_g=(refreshInterval:(display:Off,section:0,value:0),time:(from:'2016-08-01 02:36:46-0600',mode:absolute,to:'2016-08-01 05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6.5500000000000003E-2</v>
          </cell>
          <cell r="Z15">
            <v>23.335899999999999</v>
          </cell>
          <cell r="AA15">
            <v>23.270399999999999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6">
          <cell r="A16" t="str">
            <v>104-01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42583.189664351848</v>
          </cell>
          <cell r="F16">
            <v>42583.190706018519</v>
          </cell>
          <cell r="G16">
            <v>1</v>
          </cell>
          <cell r="H16" t="str">
            <v>204:119</v>
          </cell>
          <cell r="I16">
            <v>42583.222719907404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3.2013888885558117E-2</v>
          </cell>
          <cell r="N16">
            <v>46.099999995203689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https://search-rtdc-monitor-bjffxe2xuh6vdkpspy63sjmuny.us-east-1.es.amazonaws.com/_plugin/kibana/#/discover/Steve-Slow-Train-Analysis-(2080s-and-2083s)?_g=(refreshInterval:(display:Off,section:0,value:0),time:(from:'2016-08-01 03:33:07-0600',mode:absolute,to:'2016-08-01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1.1900000000000001E-2</v>
          </cell>
          <cell r="AA16">
            <v>23.260199999999998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7">
          <cell r="A17" t="str">
            <v>105-01</v>
          </cell>
          <cell r="B17">
            <v>4044</v>
          </cell>
          <cell r="C17" t="str">
            <v>DE.1.0.7.0</v>
          </cell>
          <cell r="D17" t="str">
            <v>204:755</v>
          </cell>
          <cell r="E17">
            <v>42583.167557870373</v>
          </cell>
          <cell r="F17">
            <v>42583.168749999997</v>
          </cell>
          <cell r="G17">
            <v>1</v>
          </cell>
          <cell r="H17" t="str">
            <v>204:233305</v>
          </cell>
          <cell r="I17">
            <v>42583.202569444446</v>
          </cell>
          <cell r="J17">
            <v>0</v>
          </cell>
          <cell r="K17" t="str">
            <v>4043/4044</v>
          </cell>
          <cell r="L17" t="str">
            <v>DAVIS</v>
          </cell>
          <cell r="M17">
            <v>3.3819444448454306E-2</v>
          </cell>
          <cell r="N17">
            <v>48.7000000057742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https://search-rtdc-monitor-bjffxe2xuh6vdkpspy63sjmuny.us-east-1.es.amazonaws.com/_plugin/kibana/#/discover/Steve-Slow-Train-Analysis-(2080s-and-2083s)?_g=(refreshInterval:(display:Off,section:0,value:0),time:(from:'2016-08-01 03:01:17-0600',mode:absolute,to:'2016-08-01 05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7.5499999999999998E-2</v>
          </cell>
          <cell r="Z17">
            <v>23.330500000000001</v>
          </cell>
          <cell r="AA17">
            <v>23.254999999999999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204:232654</v>
          </cell>
          <cell r="E18">
            <v>42583.211574074077</v>
          </cell>
          <cell r="F18">
            <v>42583.212523148148</v>
          </cell>
          <cell r="G18">
            <v>1</v>
          </cell>
          <cell r="H18" t="str">
            <v>204:139</v>
          </cell>
          <cell r="I18">
            <v>42583.243078703701</v>
          </cell>
          <cell r="J18">
            <v>0</v>
          </cell>
          <cell r="K18" t="str">
            <v>4011/4012</v>
          </cell>
          <cell r="L18" t="str">
            <v>DAVIS</v>
          </cell>
          <cell r="M18">
            <v>3.0555555553291924E-2</v>
          </cell>
          <cell r="N18">
            <v>43.999999996740371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https://search-rtdc-monitor-bjffxe2xuh6vdkpspy63sjmuny.us-east-1.es.amazonaws.com/_plugin/kibana/#/discover/Steve-Slow-Train-Analysis-(2080s-and-2083s)?_g=(refreshInterval:(display:Off,section:0,value:0),time:(from:'2016-08-01 04:04:40-0600',mode:absolute,to:'2016-08-01 06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1.3899999999999999E-2</v>
          </cell>
          <cell r="AA18">
            <v>23.2515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9">
          <cell r="A19" t="str">
            <v>107-01</v>
          </cell>
          <cell r="B19">
            <v>4027</v>
          </cell>
          <cell r="C19" t="str">
            <v>DE.1.0.7.0</v>
          </cell>
          <cell r="D19" t="str">
            <v>204:453</v>
          </cell>
          <cell r="E19">
            <v>42583.180520833332</v>
          </cell>
          <cell r="F19">
            <v>42583.181655092594</v>
          </cell>
          <cell r="G19">
            <v>1</v>
          </cell>
          <cell r="H19" t="str">
            <v>204:233319</v>
          </cell>
          <cell r="I19">
            <v>42583.213020833333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3.1365740738692693E-2</v>
          </cell>
          <cell r="N19">
            <v>45.166666663717479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https://search-rtdc-monitor-bjffxe2xuh6vdkpspy63sjmuny.us-east-1.es.amazonaws.com/_plugin/kibana/#/discover/Steve-Slow-Train-Analysis-(2080s-and-2083s)?_g=(refreshInterval:(display:Off,section:0,value:0),time:(from:'2016-08-01 03:19:57-0600',mode:absolute,to:'2016-08-01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23.331900000000001</v>
          </cell>
          <cell r="AA19">
            <v>23.2866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20">
          <cell r="A20" t="str">
            <v>108-01</v>
          </cell>
          <cell r="B20">
            <v>4028</v>
          </cell>
          <cell r="C20" t="str">
            <v>DE.1.0.7.0</v>
          </cell>
          <cell r="D20" t="str">
            <v>204:233006</v>
          </cell>
          <cell r="E20">
            <v>42583.218333333331</v>
          </cell>
          <cell r="F20">
            <v>42583.219050925924</v>
          </cell>
          <cell r="G20">
            <v>1</v>
          </cell>
          <cell r="H20" t="str">
            <v>204:139</v>
          </cell>
          <cell r="I20">
            <v>42583.255428240744</v>
          </cell>
          <cell r="J20">
            <v>0</v>
          </cell>
          <cell r="K20" t="str">
            <v>4027/4028</v>
          </cell>
          <cell r="L20" t="str">
            <v>SPECTOR</v>
          </cell>
          <cell r="M20">
            <v>3.6377314820128959E-2</v>
          </cell>
          <cell r="N20">
            <v>52.3833333409857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https://search-rtdc-monitor-bjffxe2xuh6vdkpspy63sjmuny.us-east-1.es.amazonaws.com/_plugin/kibana/#/discover/Steve-Slow-Train-Analysis-(2080s-and-2083s)?_g=(refreshInterval:(display:Off,section:0,value:0),time:(from:'2016-08-01 04:14:24-0600',mode:absolute,to:'2016-08-01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1.3899999999999999E-2</v>
          </cell>
          <cell r="AA20">
            <v>23.2867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">
          <cell r="A21" t="str">
            <v>109-01</v>
          </cell>
          <cell r="B21">
            <v>4014</v>
          </cell>
          <cell r="C21" t="str">
            <v>DE.1.0.7.0</v>
          </cell>
          <cell r="D21" t="str">
            <v>204:433</v>
          </cell>
          <cell r="E21">
            <v>42583.188726851855</v>
          </cell>
          <cell r="F21">
            <v>42583.189629629633</v>
          </cell>
          <cell r="G21">
            <v>1</v>
          </cell>
          <cell r="H21" t="str">
            <v>204:233293</v>
          </cell>
          <cell r="I21">
            <v>42583.222372685188</v>
          </cell>
          <cell r="J21">
            <v>0</v>
          </cell>
          <cell r="K21" t="str">
            <v>4013/4014</v>
          </cell>
          <cell r="L21" t="str">
            <v>YORK</v>
          </cell>
          <cell r="M21">
            <v>3.2743055555329192E-2</v>
          </cell>
          <cell r="N21">
            <v>47.149999999674037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https://search-rtdc-monitor-bjffxe2xuh6vdkpspy63sjmuny.us-east-1.es.amazonaws.com/_plugin/kibana/#/discover/Steve-Slow-Train-Analysis-(2080s-and-2083s)?_g=(refreshInterval:(display:Off,section:0,value:0),time:(from:'2016-08-01 03:31:46-0600',mode:absolute,to:'2016-08-01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" t="str">
            <v>N</v>
          </cell>
          <cell r="X21">
            <v>1</v>
          </cell>
          <cell r="Y21">
            <v>4.3299999999999998E-2</v>
          </cell>
          <cell r="Z21">
            <v>23.3293</v>
          </cell>
          <cell r="AA21">
            <v>23.286000000000001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22">
          <cell r="A22" t="str">
            <v>110-01</v>
          </cell>
          <cell r="B22">
            <v>4013</v>
          </cell>
          <cell r="C22" t="str">
            <v>DE.1.0.7.0</v>
          </cell>
          <cell r="D22" t="str">
            <v>204:232963</v>
          </cell>
          <cell r="E22">
            <v>42583.223958333336</v>
          </cell>
          <cell r="F22">
            <v>42583.224745370368</v>
          </cell>
          <cell r="G22">
            <v>1</v>
          </cell>
          <cell r="H22" t="str">
            <v>204:143</v>
          </cell>
          <cell r="I22">
            <v>42583.264953703707</v>
          </cell>
          <cell r="J22">
            <v>1</v>
          </cell>
          <cell r="K22" t="str">
            <v>4013/4014</v>
          </cell>
          <cell r="L22" t="str">
            <v>YORK</v>
          </cell>
          <cell r="M22">
            <v>4.0208333339251112E-2</v>
          </cell>
          <cell r="N22">
            <v>57.900000008521602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2" t="str">
            <v>N</v>
          </cell>
          <cell r="X22">
            <v>1</v>
          </cell>
          <cell r="Y22">
            <v>23.296299999999999</v>
          </cell>
          <cell r="Z22">
            <v>1.43E-2</v>
          </cell>
          <cell r="AA22">
            <v>23.282</v>
          </cell>
          <cell r="AB22">
            <v>4677</v>
          </cell>
          <cell r="AC22" t="str">
            <v>PERMANENT SPEED RESTRICTION</v>
          </cell>
          <cell r="AD22" t="str">
            <v>0110-01</v>
          </cell>
          <cell r="AE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23">
          <cell r="A23" t="str">
            <v>111-01</v>
          </cell>
          <cell r="B23">
            <v>4007</v>
          </cell>
          <cell r="C23" t="str">
            <v>DE.1.0.7.0</v>
          </cell>
          <cell r="D23" t="str">
            <v>204:712</v>
          </cell>
          <cell r="E23">
            <v>42583.205925925926</v>
          </cell>
          <cell r="F23">
            <v>42583.207094907404</v>
          </cell>
          <cell r="G23">
            <v>1</v>
          </cell>
          <cell r="H23" t="str">
            <v>204:233285</v>
          </cell>
          <cell r="I23">
            <v>42583.236793981479</v>
          </cell>
          <cell r="J23">
            <v>0</v>
          </cell>
          <cell r="K23" t="str">
            <v>4007/4008</v>
          </cell>
          <cell r="L23" t="str">
            <v>STARKS</v>
          </cell>
          <cell r="M23">
            <v>2.9699074075324461E-2</v>
          </cell>
          <cell r="N23">
            <v>42.766666668467224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https://search-rtdc-monitor-bjffxe2xuh6vdkpspy63sjmuny.us-east-1.es.amazonaws.com/_plugin/kibana/#/discover/Steve-Slow-Train-Analysis-(2080s-and-2083s)?_g=(refreshInterval:(display:Off,section:0,value:0),time:(from:'2016-08-01 03:56:32-0600',mode:absolute,to:'2016-08-01 06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7.1199999999999999E-2</v>
          </cell>
          <cell r="Z23">
            <v>23.328499999999998</v>
          </cell>
          <cell r="AA23">
            <v>23.257299999999997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24">
          <cell r="A24" t="str">
            <v>112-01</v>
          </cell>
          <cell r="B24">
            <v>4008</v>
          </cell>
          <cell r="C24" t="str">
            <v>DE.1.0.7.0</v>
          </cell>
          <cell r="D24" t="str">
            <v>204:232972</v>
          </cell>
          <cell r="E24">
            <v>42583.245567129627</v>
          </cell>
          <cell r="F24">
            <v>42583.246493055558</v>
          </cell>
          <cell r="G24">
            <v>1</v>
          </cell>
          <cell r="H24" t="str">
            <v>204:220</v>
          </cell>
          <cell r="I24">
            <v>42583.278749999998</v>
          </cell>
          <cell r="J24">
            <v>3</v>
          </cell>
          <cell r="K24" t="str">
            <v>4007/4008</v>
          </cell>
          <cell r="L24" t="str">
            <v>STARKS</v>
          </cell>
          <cell r="M24">
            <v>3.2256944439723156E-2</v>
          </cell>
          <cell r="N24">
            <v>46.449999993201345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23.2972</v>
          </cell>
          <cell r="Z24">
            <v>2.1999999999999999E-2</v>
          </cell>
          <cell r="AA24">
            <v>23.275200000000002</v>
          </cell>
          <cell r="AB24">
            <v>109135</v>
          </cell>
          <cell r="AC24" t="str">
            <v>GRADE CROSSING</v>
          </cell>
          <cell r="AD24" t="str">
            <v>0112-01</v>
          </cell>
          <cell r="AE24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25">
          <cell r="A25" t="str">
            <v>113-01</v>
          </cell>
          <cell r="B25">
            <v>4009</v>
          </cell>
          <cell r="C25" t="str">
            <v>DE.1.0.7.0</v>
          </cell>
          <cell r="D25" t="str">
            <v>204:477</v>
          </cell>
          <cell r="E25">
            <v>42583.206608796296</v>
          </cell>
          <cell r="F25">
            <v>42583.207812499997</v>
          </cell>
          <cell r="G25">
            <v>1</v>
          </cell>
          <cell r="H25" t="str">
            <v>204:233299</v>
          </cell>
          <cell r="I25">
            <v>42583.244942129626</v>
          </cell>
          <cell r="J25">
            <v>0</v>
          </cell>
          <cell r="K25" t="str">
            <v>4009/4010</v>
          </cell>
          <cell r="L25" t="str">
            <v>ISHMAEL</v>
          </cell>
          <cell r="M25">
            <v>3.7129629628907423E-2</v>
          </cell>
          <cell r="N25">
            <v>53.46666666562669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https://search-rtdc-monitor-bjffxe2xuh6vdkpspy63sjmuny.us-east-1.es.amazonaws.com/_plugin/kibana/#/discover/Steve-Slow-Train-Analysis-(2080s-and-2083s)?_g=(refreshInterval:(display:Off,section:0,value:0),time:(from:'2016-08-01 03:57:31-0600',mode:absolute,to:'2016-08-01 06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4.7699999999999999E-2</v>
          </cell>
          <cell r="Z25">
            <v>23.329899999999999</v>
          </cell>
          <cell r="AA25">
            <v>23.2822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26">
          <cell r="A26" t="str">
            <v>114-01</v>
          </cell>
          <cell r="B26">
            <v>4010</v>
          </cell>
          <cell r="C26" t="str">
            <v>DE.1.0.7.0</v>
          </cell>
          <cell r="D26" t="str">
            <v>204:232977</v>
          </cell>
          <cell r="E26">
            <v>42583.247245370374</v>
          </cell>
          <cell r="F26">
            <v>42583.248472222222</v>
          </cell>
          <cell r="G26">
            <v>1</v>
          </cell>
          <cell r="H26" t="str">
            <v>204:165</v>
          </cell>
          <cell r="I26">
            <v>42583.288715277777</v>
          </cell>
          <cell r="J26">
            <v>0</v>
          </cell>
          <cell r="K26" t="str">
            <v>4009/4010</v>
          </cell>
          <cell r="L26" t="str">
            <v>ISHMAEL</v>
          </cell>
          <cell r="M26">
            <v>4.0243055555038154E-2</v>
          </cell>
          <cell r="N26">
            <v>57.949999999254942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https://search-rtdc-monitor-bjffxe2xuh6vdkpspy63sjmuny.us-east-1.es.amazonaws.com/_plugin/kibana/#/discover/Steve-Slow-Train-Analysis-(2080s-and-2083s)?_g=(refreshInterval:(display:Off,section:0,value:0),time:(from:'2016-08-01 04:56:02-0600',mode:absolute,to:'2016-08-01 07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23.297699999999999</v>
          </cell>
          <cell r="Z26">
            <v>1.6500000000000001E-2</v>
          </cell>
          <cell r="AA26">
            <v>23.281199999999998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27">
          <cell r="A27" t="str">
            <v>115-01</v>
          </cell>
          <cell r="B27">
            <v>4029</v>
          </cell>
          <cell r="C27" t="str">
            <v>DE.1.0.7.0</v>
          </cell>
          <cell r="D27" t="str">
            <v>204:746</v>
          </cell>
          <cell r="E27">
            <v>42583.22583333333</v>
          </cell>
          <cell r="F27">
            <v>42583.226875</v>
          </cell>
          <cell r="G27">
            <v>1</v>
          </cell>
          <cell r="H27" t="str">
            <v>204:233285</v>
          </cell>
          <cell r="I27">
            <v>42583.254328703704</v>
          </cell>
          <cell r="J27">
            <v>0</v>
          </cell>
          <cell r="K27" t="str">
            <v>4029/4030</v>
          </cell>
          <cell r="L27" t="str">
            <v>MALAVE</v>
          </cell>
          <cell r="M27">
            <v>2.7453703703940846E-2</v>
          </cell>
          <cell r="N27">
            <v>39.533333333674818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https://search-rtdc-monitor-bjffxe2xuh6vdkpspy63sjmuny.us-east-1.es.amazonaws.com/_plugin/kibana/#/discover/Steve-Slow-Train-Analysis-(2080s-and-2083s)?_g=(refreshInterval:(display:Off,section:0,value:0),time:(from:'2016-08-01 04:25:12-0600',mode:absolute,to:'2016-08-01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7.46E-2</v>
          </cell>
          <cell r="Z27">
            <v>23.328499999999998</v>
          </cell>
          <cell r="AA27">
            <v>23.253899999999998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28">
          <cell r="A28" t="str">
            <v>116-01</v>
          </cell>
          <cell r="B28">
            <v>4030</v>
          </cell>
          <cell r="C28" t="str">
            <v>DE.1.0.7.0</v>
          </cell>
          <cell r="D28" t="str">
            <v>204:232972</v>
          </cell>
          <cell r="E28">
            <v>42583.264606481483</v>
          </cell>
          <cell r="F28">
            <v>42583.265902777777</v>
          </cell>
          <cell r="G28">
            <v>1</v>
          </cell>
          <cell r="H28" t="str">
            <v>204:154</v>
          </cell>
          <cell r="I28">
            <v>42583.2968287037</v>
          </cell>
          <cell r="J28">
            <v>1</v>
          </cell>
          <cell r="K28" t="str">
            <v>4029/4030</v>
          </cell>
          <cell r="L28" t="str">
            <v>MALAVE</v>
          </cell>
          <cell r="M28">
            <v>3.0925925922929309E-2</v>
          </cell>
          <cell r="N28">
            <v>44.533333329018205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23.2972</v>
          </cell>
          <cell r="Z28">
            <v>1.54E-2</v>
          </cell>
          <cell r="AA28">
            <v>23.2818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29">
          <cell r="A29" t="str">
            <v>117-01</v>
          </cell>
          <cell r="B29">
            <v>4016</v>
          </cell>
          <cell r="C29" t="str">
            <v>DE.1.0.7.0</v>
          </cell>
          <cell r="D29" t="str">
            <v>204:438</v>
          </cell>
          <cell r="E29">
            <v>42583.231747685182</v>
          </cell>
          <cell r="F29">
            <v>42583.232997685183</v>
          </cell>
          <cell r="G29">
            <v>1</v>
          </cell>
          <cell r="H29" t="str">
            <v>204:233193</v>
          </cell>
          <cell r="I29">
            <v>42583.264548611114</v>
          </cell>
          <cell r="J29">
            <v>1</v>
          </cell>
          <cell r="K29" t="str">
            <v>4015/4016</v>
          </cell>
          <cell r="L29" t="str">
            <v>ACKERMAN</v>
          </cell>
          <cell r="M29">
            <v>3.1550925930787344E-2</v>
          </cell>
          <cell r="N29">
            <v>45.433333340333775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4.3799999999999999E-2</v>
          </cell>
          <cell r="Z29">
            <v>23.319299999999998</v>
          </cell>
          <cell r="AA29">
            <v>23.275499999999997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30">
          <cell r="A30" t="str">
            <v>118-01</v>
          </cell>
          <cell r="B30">
            <v>4015</v>
          </cell>
          <cell r="C30" t="str">
            <v>DE.1.0.7.0</v>
          </cell>
          <cell r="D30" t="str">
            <v>204:232861</v>
          </cell>
          <cell r="E30">
            <v>42583.271979166668</v>
          </cell>
          <cell r="F30">
            <v>42583.273101851853</v>
          </cell>
          <cell r="G30">
            <v>1</v>
          </cell>
          <cell r="H30" t="str">
            <v>204:150</v>
          </cell>
          <cell r="I30">
            <v>42583.30773148148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3.4629629626579117E-2</v>
          </cell>
          <cell r="N30">
            <v>49.866666662273929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23.286100000000001</v>
          </cell>
          <cell r="Z30">
            <v>1.4999999999999999E-2</v>
          </cell>
          <cell r="AA30">
            <v>23.271100000000001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31">
          <cell r="A31" t="str">
            <v>119-01</v>
          </cell>
          <cell r="B31">
            <v>4044</v>
          </cell>
          <cell r="C31" t="str">
            <v>DE.1.0.7.0</v>
          </cell>
          <cell r="D31" t="str">
            <v>204:763</v>
          </cell>
          <cell r="E31">
            <v>42583.247361111113</v>
          </cell>
          <cell r="F31">
            <v>42583.248310185183</v>
          </cell>
          <cell r="G31">
            <v>1</v>
          </cell>
          <cell r="H31" t="str">
            <v>204:233298</v>
          </cell>
          <cell r="I31">
            <v>42583.283564814818</v>
          </cell>
          <cell r="J31">
            <v>0</v>
          </cell>
          <cell r="K31" t="str">
            <v>4043/4044</v>
          </cell>
          <cell r="L31" t="str">
            <v>DAVIS</v>
          </cell>
          <cell r="M31">
            <v>3.5254629634437151E-2</v>
          </cell>
          <cell r="N31">
            <v>50.766666673589498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https://search-rtdc-monitor-bjffxe2xuh6vdkpspy63sjmuny.us-east-1.es.amazonaws.com/_plugin/kibana/#/discover/Steve-Slow-Train-Analysis-(2080s-and-2083s)?_g=(refreshInterval:(display:Off,section:0,value:0),time:(from:'2016-08-01 04:56:12-0600',mode:absolute,to:'2016-08-01 07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23.329799999999999</v>
          </cell>
          <cell r="AA31">
            <v>23.253499999999999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32">
          <cell r="A32" t="str">
            <v>120-01</v>
          </cell>
          <cell r="B32">
            <v>4043</v>
          </cell>
          <cell r="C32" t="str">
            <v>DE.1.0.7.0</v>
          </cell>
          <cell r="D32" t="str">
            <v>204:232994</v>
          </cell>
          <cell r="E32">
            <v>42583.284872685188</v>
          </cell>
          <cell r="F32">
            <v>42583.285891203705</v>
          </cell>
          <cell r="G32">
            <v>1</v>
          </cell>
          <cell r="H32" t="str">
            <v>204:158</v>
          </cell>
          <cell r="I32">
            <v>42583.316168981481</v>
          </cell>
          <cell r="J32">
            <v>0</v>
          </cell>
          <cell r="K32" t="str">
            <v>4043/4044</v>
          </cell>
          <cell r="L32" t="str">
            <v>DAVIS</v>
          </cell>
          <cell r="M32">
            <v>3.0277777776063886E-2</v>
          </cell>
          <cell r="N32">
            <v>43.599999997531995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https://search-rtdc-monitor-bjffxe2xuh6vdkpspy63sjmuny.us-east-1.es.amazonaws.com/_plugin/kibana/#/discover/Steve-Slow-Train-Analysis-(2080s-and-2083s)?_g=(refreshInterval:(display:Off,section:0,value:0),time:(from:'2016-08-01 05:50:13-0600',mode:absolute,to:'2016-08-01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1.5800000000000002E-2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0120-01</v>
          </cell>
          <cell r="AE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33">
          <cell r="A33" t="str">
            <v>121-01</v>
          </cell>
          <cell r="B33">
            <v>4027</v>
          </cell>
          <cell r="C33" t="str">
            <v>DE.1.0.7.0</v>
          </cell>
          <cell r="D33" t="str">
            <v>204:442</v>
          </cell>
          <cell r="E33">
            <v>42583.258240740739</v>
          </cell>
          <cell r="F33">
            <v>42583.259305555555</v>
          </cell>
          <cell r="G33">
            <v>1</v>
          </cell>
          <cell r="H33" t="str">
            <v>204:233316</v>
          </cell>
          <cell r="I33">
            <v>42583.287314814814</v>
          </cell>
          <cell r="J33">
            <v>0</v>
          </cell>
          <cell r="K33" t="str">
            <v>4027/4028</v>
          </cell>
          <cell r="L33" t="str">
            <v>SPECTOR</v>
          </cell>
          <cell r="M33">
            <v>2.8009259258396924E-2</v>
          </cell>
          <cell r="N33">
            <v>40.33333333209157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https://search-rtdc-monitor-bjffxe2xuh6vdkpspy63sjmuny.us-east-1.es.amazonaws.com/_plugin/kibana/#/discover/Steve-Slow-Train-Analysis-(2080s-and-2083s)?_g=(refreshInterval:(display:Off,section:0,value:0),time:(from:'2016-08-01 05:11:52-0600',mode:absolute,to:'2016-08-01 07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4.4200000000000003E-2</v>
          </cell>
          <cell r="Z33">
            <v>23.331600000000002</v>
          </cell>
          <cell r="AA33">
            <v>23.287400000000002</v>
          </cell>
          <cell r="AB33" t="e">
            <v>#N/A</v>
          </cell>
          <cell r="AC33" t="e">
            <v>#N/A</v>
          </cell>
          <cell r="AD33" t="str">
            <v>0121-01</v>
          </cell>
          <cell r="AE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34">
          <cell r="A34" t="str">
            <v>122-01</v>
          </cell>
          <cell r="B34">
            <v>4028</v>
          </cell>
          <cell r="C34" t="str">
            <v>DE.1.0.7.0</v>
          </cell>
          <cell r="D34" t="str">
            <v>204:232996</v>
          </cell>
          <cell r="E34">
            <v>42583.294039351851</v>
          </cell>
          <cell r="F34">
            <v>42583.295115740744</v>
          </cell>
          <cell r="G34">
            <v>1</v>
          </cell>
          <cell r="H34" t="str">
            <v>204:150</v>
          </cell>
          <cell r="I34">
            <v>42583.325775462959</v>
          </cell>
          <cell r="J34">
            <v>0</v>
          </cell>
          <cell r="K34" t="str">
            <v>4027/4028</v>
          </cell>
          <cell r="L34" t="str">
            <v>SPECTOR</v>
          </cell>
          <cell r="M34">
            <v>3.0659722215204965E-2</v>
          </cell>
          <cell r="N34">
            <v>44.14999998989515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https://search-rtdc-monitor-bjffxe2xuh6vdkpspy63sjmuny.us-east-1.es.amazonaws.com/_plugin/kibana/#/discover/Steve-Slow-Train-Analysis-(2080s-and-2083s)?_g=(refreshInterval:(display:Off,section:0,value:0),time:(from:'2016-08-01 06:03:25-0600',mode:absolute,to:'2016-08-01 08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23.299600000000002</v>
          </cell>
          <cell r="Z34">
            <v>1.4999999999999999E-2</v>
          </cell>
          <cell r="AA34">
            <v>23.284600000000001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35">
          <cell r="A35" t="str">
            <v>123-01</v>
          </cell>
          <cell r="B35">
            <v>4014</v>
          </cell>
          <cell r="C35" t="str">
            <v>DE.1.0.7.0</v>
          </cell>
          <cell r="D35" t="str">
            <v>204:464</v>
          </cell>
          <cell r="E35">
            <v>42583.266377314816</v>
          </cell>
          <cell r="F35">
            <v>42583.267511574071</v>
          </cell>
          <cell r="G35">
            <v>1</v>
          </cell>
          <cell r="H35" t="str">
            <v>204:233298</v>
          </cell>
          <cell r="I35">
            <v>42583.301921296297</v>
          </cell>
          <cell r="J35">
            <v>0</v>
          </cell>
          <cell r="K35" t="str">
            <v>4013/4014</v>
          </cell>
          <cell r="L35" t="str">
            <v>YORK</v>
          </cell>
          <cell r="M35">
            <v>3.4409722225973383E-2</v>
          </cell>
          <cell r="N35">
            <v>49.550000005401671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https://search-rtdc-monitor-bjffxe2xuh6vdkpspy63sjmuny.us-east-1.es.amazonaws.com/_plugin/kibana/#/discover/Steve-Slow-Train-Analysis-(2080s-and-2083s)?_g=(refreshInterval:(display:Off,section:0,value:0),time:(from:'2016-08-01 05:23:35-0600',mode:absolute,to:'2016-08-01 08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23.329799999999999</v>
          </cell>
          <cell r="AA35">
            <v>23.2834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36">
          <cell r="A36" t="str">
            <v>124-01</v>
          </cell>
          <cell r="B36">
            <v>4013</v>
          </cell>
          <cell r="C36" t="str">
            <v>DE.1.0.7.0</v>
          </cell>
          <cell r="D36" t="str">
            <v>204:232972</v>
          </cell>
          <cell r="E36">
            <v>42583.302766203706</v>
          </cell>
          <cell r="F36">
            <v>42583.303495370368</v>
          </cell>
          <cell r="G36">
            <v>1</v>
          </cell>
          <cell r="H36" t="str">
            <v>204:145</v>
          </cell>
          <cell r="I36">
            <v>42583.335729166669</v>
          </cell>
          <cell r="J36">
            <v>0</v>
          </cell>
          <cell r="K36" t="str">
            <v>4013/4014</v>
          </cell>
          <cell r="L36" t="str">
            <v>YORK</v>
          </cell>
          <cell r="M36">
            <v>3.2233796300715767E-2</v>
          </cell>
          <cell r="N36">
            <v>46.416666673030704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https://search-rtdc-monitor-bjffxe2xuh6vdkpspy63sjmuny.us-east-1.es.amazonaws.com/_plugin/kibana/#/discover/Steve-Slow-Train-Analysis-(2080s-and-2083s)?_g=(refreshInterval:(display:Off,section:0,value:0),time:(from:'2016-08-01 06:15:59-0600',mode:absolute,to:'2016-08-01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1.4500000000000001E-2</v>
          </cell>
          <cell r="AA36">
            <v>23.282699999999998</v>
          </cell>
          <cell r="AB36" t="e">
            <v>#N/A</v>
          </cell>
          <cell r="AC36" t="e">
            <v>#N/A</v>
          </cell>
          <cell r="AD36" t="str">
            <v>0124-01</v>
          </cell>
          <cell r="AE3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37">
          <cell r="A37" t="str">
            <v>125-01</v>
          </cell>
          <cell r="B37">
            <v>4007</v>
          </cell>
          <cell r="C37" t="str">
            <v>DE.1.0.7.0</v>
          </cell>
          <cell r="D37" t="str">
            <v>204:519</v>
          </cell>
          <cell r="E37">
            <v>42583.284780092596</v>
          </cell>
          <cell r="F37">
            <v>42583.285694444443</v>
          </cell>
          <cell r="G37">
            <v>1</v>
          </cell>
          <cell r="H37" t="str">
            <v>204:233318</v>
          </cell>
          <cell r="I37">
            <v>42583.312962962962</v>
          </cell>
          <cell r="J37">
            <v>0</v>
          </cell>
          <cell r="K37" t="str">
            <v>4007/4008</v>
          </cell>
          <cell r="L37" t="str">
            <v>GRASTON</v>
          </cell>
          <cell r="M37">
            <v>2.7268518519122154E-2</v>
          </cell>
          <cell r="N37">
            <v>39.266666667535901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https://search-rtdc-monitor-bjffxe2xuh6vdkpspy63sjmuny.us-east-1.es.amazonaws.com/_plugin/kibana/#/discover/Steve-Slow-Train-Analysis-(2080s-and-2083s)?_g=(refreshInterval:(display:Off,section:0,value:0),time:(from:'2016-08-01 05:50:05-0600',mode:absolute,to:'2016-08-01 08:30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7" t="str">
            <v>N</v>
          </cell>
          <cell r="X37">
            <v>1</v>
          </cell>
          <cell r="Y37">
            <v>5.1900000000000002E-2</v>
          </cell>
          <cell r="Z37">
            <v>23.331800000000001</v>
          </cell>
          <cell r="AA37">
            <v>23.279900000000001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38">
          <cell r="A38" t="str">
            <v>126-01</v>
          </cell>
          <cell r="B38">
            <v>4008</v>
          </cell>
          <cell r="C38" t="str">
            <v>DE.1.0.7.0</v>
          </cell>
          <cell r="D38" t="str">
            <v>204:232988</v>
          </cell>
          <cell r="E38">
            <v>42583.316400462965</v>
          </cell>
          <cell r="F38">
            <v>42583.317442129628</v>
          </cell>
          <cell r="G38">
            <v>1</v>
          </cell>
          <cell r="H38" t="str">
            <v>204:157</v>
          </cell>
          <cell r="I38">
            <v>42583.347893518519</v>
          </cell>
          <cell r="J38">
            <v>0</v>
          </cell>
          <cell r="K38" t="str">
            <v>4007/4008</v>
          </cell>
          <cell r="L38" t="str">
            <v>GRASTON</v>
          </cell>
          <cell r="M38">
            <v>3.0451388891378883E-2</v>
          </cell>
          <cell r="N38">
            <v>43.850000003585592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https://search-rtdc-monitor-bjffxe2xuh6vdkpspy63sjmuny.us-east-1.es.amazonaws.com/_plugin/kibana/#/discover/Steve-Slow-Train-Analysis-(2080s-and-2083s)?_g=(refreshInterval:(display:Off,section:0,value:0),time:(from:'2016-08-01 06:35:37-0600',mode:absolute,to:'2016-08-01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8" t="str">
            <v>N</v>
          </cell>
          <cell r="X38">
            <v>1</v>
          </cell>
          <cell r="Y38">
            <v>23.2988</v>
          </cell>
          <cell r="Z38">
            <v>1.5699999999999999E-2</v>
          </cell>
          <cell r="AA38">
            <v>23.283100000000001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39">
          <cell r="A39" t="str">
            <v>127-01</v>
          </cell>
          <cell r="B39">
            <v>4009</v>
          </cell>
          <cell r="C39" t="str">
            <v>DE.1.0.7.0</v>
          </cell>
          <cell r="D39" t="str">
            <v>204:19128</v>
          </cell>
          <cell r="E39">
            <v>42583.297395833331</v>
          </cell>
          <cell r="F39">
            <v>42583.298518518517</v>
          </cell>
          <cell r="G39">
            <v>1</v>
          </cell>
          <cell r="H39" t="str">
            <v>204:233298</v>
          </cell>
          <cell r="I39">
            <v>42583.324247685188</v>
          </cell>
          <cell r="J39">
            <v>0</v>
          </cell>
          <cell r="K39" t="str">
            <v>4009/4010</v>
          </cell>
          <cell r="L39" t="str">
            <v>ISHMAEL</v>
          </cell>
          <cell r="M39">
            <v>2.5729166671226267E-2</v>
          </cell>
          <cell r="P39">
            <v>38.933333340100944</v>
          </cell>
          <cell r="R39" t="str">
            <v>Onboard in-route failure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https://search-rtdc-monitor-bjffxe2xuh6vdkpspy63sjmuny.us-east-1.es.amazonaws.com/_plugin/kibana/#/discover/Steve-Slow-Train-Analysis-(2080s-and-2083s)?_g=(refreshInterval:(display:Off,section:0,value:0),time:(from:'2016-08-01 06:08:15-0600',mode:absolute,to:'2016-08-01 08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Y</v>
          </cell>
          <cell r="X39">
            <v>1</v>
          </cell>
          <cell r="Y39">
            <v>1.9128000000000001</v>
          </cell>
          <cell r="Z39">
            <v>23.329799999999999</v>
          </cell>
          <cell r="AA39">
            <v>21.416999999999998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0">
          <cell r="A40" t="str">
            <v>127-01</v>
          </cell>
          <cell r="B40">
            <v>4009</v>
          </cell>
          <cell r="C40" t="str">
            <v>DE.1.0.7.0</v>
          </cell>
          <cell r="D40" t="str">
            <v>204:473</v>
          </cell>
          <cell r="E40">
            <v>42583.29078703704</v>
          </cell>
          <cell r="F40">
            <v>42583.292037037034</v>
          </cell>
          <cell r="G40">
            <v>1</v>
          </cell>
          <cell r="H40" t="str">
            <v>204:2399</v>
          </cell>
          <cell r="I40">
            <v>42583.293344907404</v>
          </cell>
          <cell r="J40">
            <v>0</v>
          </cell>
          <cell r="K40" t="str">
            <v>4009/4010</v>
          </cell>
          <cell r="L40" t="str">
            <v>ISHMAEL</v>
          </cell>
          <cell r="M40">
            <v>1.3078703705104999E-3</v>
          </cell>
          <cell r="T40" t="str">
            <v>NorthBound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https://search-rtdc-monitor-bjffxe2xuh6vdkpspy63sjmuny.us-east-1.es.amazonaws.com/_plugin/kibana/#/discover/Steve-Slow-Train-Analysis-(2080s-and-2083s)?_g=(refreshInterval:(display:Off,section:0,value:0),time:(from:'2016-08-01 05:58:44-0600',mode:absolute,to:'2016-08-01 08:02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Y</v>
          </cell>
          <cell r="X40">
            <v>0</v>
          </cell>
          <cell r="Y40">
            <v>4.7300000000000002E-2</v>
          </cell>
          <cell r="Z40">
            <v>0.2399</v>
          </cell>
          <cell r="AA40">
            <v>0.19259999999999999</v>
          </cell>
          <cell r="AB40" t="e">
            <v>#N/A</v>
          </cell>
          <cell r="AC40" t="e">
            <v>#N/A</v>
          </cell>
          <cell r="AD40" t="str">
            <v>0127-01</v>
          </cell>
          <cell r="AE40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1">
          <cell r="A41" t="str">
            <v>128-01</v>
          </cell>
          <cell r="B41">
            <v>4010</v>
          </cell>
          <cell r="C41" t="str">
            <v>DE.1.0.7.0</v>
          </cell>
          <cell r="D41" t="str">
            <v>204:232974</v>
          </cell>
          <cell r="E41">
            <v>42583.32608796296</v>
          </cell>
          <cell r="F41">
            <v>42583.327141203707</v>
          </cell>
          <cell r="G41">
            <v>1</v>
          </cell>
          <cell r="H41" t="str">
            <v>204:169</v>
          </cell>
          <cell r="I41">
            <v>42583.3590625</v>
          </cell>
          <cell r="J41">
            <v>0</v>
          </cell>
          <cell r="K41" t="str">
            <v>4009/4010</v>
          </cell>
          <cell r="L41" t="str">
            <v>ISHMAEL</v>
          </cell>
          <cell r="M41">
            <v>3.1921296293148771E-2</v>
          </cell>
          <cell r="N41">
            <v>45.96666666213423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https://search-rtdc-monitor-bjffxe2xuh6vdkpspy63sjmuny.us-east-1.es.amazonaws.com/_plugin/kibana/#/discover/Steve-Slow-Train-Analysis-(2080s-and-2083s)?_g=(refreshInterval:(display:Off,section:0,value:0),time:(from:'2016-08-01 06:49:34-0600',mode:absolute,to:'2016-08-01 09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23.2974</v>
          </cell>
          <cell r="Z41">
            <v>1.6899999999999998E-2</v>
          </cell>
          <cell r="AA41">
            <v>23.2805</v>
          </cell>
          <cell r="AB41" t="e">
            <v>#N/A</v>
          </cell>
          <cell r="AC41" t="e">
            <v>#N/A</v>
          </cell>
          <cell r="AD41" t="str">
            <v>0128-01</v>
          </cell>
          <cell r="AE41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42">
          <cell r="A42" t="str">
            <v>129-01</v>
          </cell>
          <cell r="B42">
            <v>4029</v>
          </cell>
          <cell r="C42" t="str">
            <v>DE.1.0.7.0</v>
          </cell>
          <cell r="D42" t="str">
            <v>204:466</v>
          </cell>
          <cell r="E42">
            <v>42583.301238425927</v>
          </cell>
          <cell r="F42">
            <v>42583.302060185182</v>
          </cell>
          <cell r="G42">
            <v>1</v>
          </cell>
          <cell r="H42" t="str">
            <v>204:20565</v>
          </cell>
          <cell r="I42">
            <v>42583.307546296295</v>
          </cell>
          <cell r="J42">
            <v>0</v>
          </cell>
          <cell r="K42" t="str">
            <v>4029/4030</v>
          </cell>
          <cell r="L42" t="str">
            <v>MALAVE</v>
          </cell>
          <cell r="M42">
            <v>5.4861111129866913E-3</v>
          </cell>
          <cell r="P42">
            <v>37.500000006984919</v>
          </cell>
          <cell r="R42" t="str">
            <v>Onboard in-route failure</v>
          </cell>
          <cell r="S42">
            <v>0.25</v>
          </cell>
          <cell r="T42" t="str">
            <v>NorthBound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4.6600000000000003E-2</v>
          </cell>
          <cell r="Z42">
            <v>2.0565000000000002</v>
          </cell>
          <cell r="AA42">
            <v>2.0099</v>
          </cell>
          <cell r="AB42" t="e">
            <v>#N/A</v>
          </cell>
          <cell r="AC42" t="e">
            <v>#N/A</v>
          </cell>
          <cell r="AD42" t="str">
            <v>0129-01</v>
          </cell>
          <cell r="AE42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3">
          <cell r="A43" t="str">
            <v>129-01</v>
          </cell>
          <cell r="B43">
            <v>4029</v>
          </cell>
          <cell r="C43" t="str">
            <v>DE.1.0.7.0</v>
          </cell>
          <cell r="D43" t="str">
            <v>204:64686</v>
          </cell>
          <cell r="E43">
            <v>42583.312928240739</v>
          </cell>
          <cell r="F43">
            <v>42583.313680555555</v>
          </cell>
          <cell r="G43">
            <v>1</v>
          </cell>
          <cell r="H43" t="str">
            <v>204:233278</v>
          </cell>
          <cell r="I43">
            <v>42583.334236111114</v>
          </cell>
          <cell r="J43">
            <v>1</v>
          </cell>
          <cell r="K43" t="str">
            <v>4029/4030</v>
          </cell>
          <cell r="L43" t="str">
            <v>MALAVE</v>
          </cell>
          <cell r="M43">
            <v>2.0555555558530614E-2</v>
          </cell>
          <cell r="T43" t="str">
            <v>NorthBound</v>
          </cell>
          <cell r="U43">
            <v>3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https://search-rtdc-monitor-bjffxe2xuh6vdkpspy63sjmuny.us-east-1.es.amazonaws.com/_plugin/kibana/#/discover/Steve-Slow-Train-Analysis-(2080s-and-2083s)?_g=(refreshInterval:(display:Off,section:0,value:0),time:(from:'2016-08-01 06:30:37-0600',mode:absolute,to:'2016-08-01 09:01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Y</v>
          </cell>
          <cell r="X43">
            <v>0</v>
          </cell>
          <cell r="Y43">
            <v>6.4686000000000003</v>
          </cell>
          <cell r="Z43">
            <v>23.3278</v>
          </cell>
          <cell r="AA43">
            <v>16.859200000000001</v>
          </cell>
          <cell r="AB43" t="e">
            <v>#N/A</v>
          </cell>
          <cell r="AC43" t="e">
            <v>#N/A</v>
          </cell>
          <cell r="AD43" t="str">
            <v>0129-01</v>
          </cell>
          <cell r="AE4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4">
          <cell r="A44" t="str">
            <v>130-01</v>
          </cell>
          <cell r="B44">
            <v>4030</v>
          </cell>
          <cell r="C44" t="str">
            <v>DE.1.0.7.0</v>
          </cell>
          <cell r="D44" t="str">
            <v>204:232963</v>
          </cell>
          <cell r="E44">
            <v>42583.339884259258</v>
          </cell>
          <cell r="F44">
            <v>42583.340763888889</v>
          </cell>
          <cell r="G44">
            <v>1</v>
          </cell>
          <cell r="H44" t="str">
            <v>204:161</v>
          </cell>
          <cell r="I44">
            <v>42583.367581018516</v>
          </cell>
          <cell r="J44">
            <v>0</v>
          </cell>
          <cell r="K44" t="str">
            <v>4029/4030</v>
          </cell>
          <cell r="L44" t="str">
            <v>MALAVE</v>
          </cell>
          <cell r="M44">
            <v>2.6817129626579117E-2</v>
          </cell>
          <cell r="N44">
            <v>38.616666662273929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https://search-rtdc-monitor-bjffxe2xuh6vdkpspy63sjmuny.us-east-1.es.amazonaws.com/_plugin/kibana/#/discover/Steve-Slow-Train-Analysis-(2080s-and-2083s)?_g=(refreshInterval:(display:Off,section:0,value:0),time:(from:'2016-08-01 07:09:26-0600',mode:absolute,to:'2016-08-01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23.296299999999999</v>
          </cell>
          <cell r="Z44">
            <v>1.61E-2</v>
          </cell>
          <cell r="AA44">
            <v>23.280199999999997</v>
          </cell>
          <cell r="AB44" t="e">
            <v>#N/A</v>
          </cell>
          <cell r="AC44" t="e">
            <v>#N/A</v>
          </cell>
          <cell r="AD44" t="str">
            <v>0130-01</v>
          </cell>
          <cell r="AE4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45">
          <cell r="A45" t="str">
            <v>131-01</v>
          </cell>
          <cell r="B45">
            <v>4016</v>
          </cell>
          <cell r="C45" t="str">
            <v>DE.1.0.7.0</v>
          </cell>
          <cell r="D45" t="str">
            <v>204:471</v>
          </cell>
          <cell r="E45">
            <v>42583.30877314815</v>
          </cell>
          <cell r="F45">
            <v>42583.309745370374</v>
          </cell>
          <cell r="G45">
            <v>1</v>
          </cell>
          <cell r="H45" t="str">
            <v>204:233293</v>
          </cell>
          <cell r="I45">
            <v>42583.339039351849</v>
          </cell>
          <cell r="J45">
            <v>0</v>
          </cell>
          <cell r="K45" t="str">
            <v>4015/4016</v>
          </cell>
          <cell r="L45" t="str">
            <v>ACKERMAN</v>
          </cell>
          <cell r="M45">
            <v>2.9293981475348119E-2</v>
          </cell>
          <cell r="N45">
            <v>42.183333324501291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https://search-rtdc-monitor-bjffxe2xuh6vdkpspy63sjmuny.us-east-1.es.amazonaws.com/_plugin/kibana/#/discover/Steve-Slow-Train-Analysis-(2080s-and-2083s)?_g=(refreshInterval:(display:Off,section:0,value:0),time:(from:'2016-08-01 06:24:38-0600',mode:absolute,to:'2016-08-01 09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23.3293</v>
          </cell>
          <cell r="AA45">
            <v>23.2822</v>
          </cell>
          <cell r="AB45" t="e">
            <v>#N/A</v>
          </cell>
          <cell r="AC45" t="e">
            <v>#N/A</v>
          </cell>
          <cell r="AD45" t="str">
            <v>0131-01</v>
          </cell>
          <cell r="AE4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46">
          <cell r="A46" t="str">
            <v>132-01</v>
          </cell>
          <cell r="B46">
            <v>4015</v>
          </cell>
          <cell r="C46" t="str">
            <v>DE.1.0.7.0</v>
          </cell>
          <cell r="D46" t="str">
            <v>204:232993</v>
          </cell>
          <cell r="E46">
            <v>42583.345763888887</v>
          </cell>
          <cell r="F46">
            <v>42583.346828703703</v>
          </cell>
          <cell r="G46">
            <v>1</v>
          </cell>
          <cell r="H46" t="str">
            <v>204:145</v>
          </cell>
          <cell r="I46">
            <v>42583.379363425927</v>
          </cell>
          <cell r="J46">
            <v>0</v>
          </cell>
          <cell r="K46" t="str">
            <v>4015/4016</v>
          </cell>
          <cell r="L46" t="str">
            <v>ACKERMAN</v>
          </cell>
          <cell r="M46">
            <v>3.2534722224227153E-2</v>
          </cell>
          <cell r="N46">
            <v>46.8500000028871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https://search-rtdc-monitor-bjffxe2xuh6vdkpspy63sjmuny.us-east-1.es.amazonaws.com/_plugin/kibana/#/discover/Steve-Slow-Train-Analysis-(2080s-and-2083s)?_g=(refreshInterval:(display:Off,section:0,value:0),time:(from:'2016-08-01 07:17:54-0600',mode:absolute,to:'2016-08-01 10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6" t="str">
            <v>N</v>
          </cell>
          <cell r="X46">
            <v>1</v>
          </cell>
          <cell r="Y46">
            <v>23.299299999999999</v>
          </cell>
          <cell r="Z46">
            <v>1.4500000000000001E-2</v>
          </cell>
          <cell r="AA46">
            <v>23.284799999999997</v>
          </cell>
          <cell r="AB46" t="e">
            <v>#N/A</v>
          </cell>
          <cell r="AC46" t="e">
            <v>#N/A</v>
          </cell>
          <cell r="AD46" t="str">
            <v>0132-01</v>
          </cell>
          <cell r="AE4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47">
          <cell r="A47" t="str">
            <v>133-01</v>
          </cell>
          <cell r="B47">
            <v>4044</v>
          </cell>
          <cell r="C47" t="str">
            <v>DE.1.0.7.0</v>
          </cell>
          <cell r="D47" t="str">
            <v>204:447</v>
          </cell>
          <cell r="E47">
            <v>42583.319178240738</v>
          </cell>
          <cell r="F47">
            <v>42583.320150462961</v>
          </cell>
          <cell r="G47">
            <v>1</v>
          </cell>
          <cell r="H47" t="str">
            <v>204:233286</v>
          </cell>
          <cell r="I47">
            <v>42583.348587962966</v>
          </cell>
          <cell r="J47">
            <v>0</v>
          </cell>
          <cell r="K47" t="str">
            <v>4043/4044</v>
          </cell>
          <cell r="L47" t="str">
            <v>DAVIS</v>
          </cell>
          <cell r="M47">
            <v>2.8437500004656613E-2</v>
          </cell>
          <cell r="N47">
            <v>40.950000006705523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https://search-rtdc-monitor-bjffxe2xuh6vdkpspy63sjmuny.us-east-1.es.amazonaws.com/_plugin/kibana/#/discover/Steve-Slow-Train-Analysis-(2080s-and-2083s)?_g=(refreshInterval:(display:Off,section:0,value:0),time:(from:'2016-08-01 06:39:37-0600',mode:absolute,to:'2016-08-01 09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23.328600000000002</v>
          </cell>
          <cell r="AA47">
            <v>23.283900000000003</v>
          </cell>
          <cell r="AB47" t="e">
            <v>#N/A</v>
          </cell>
          <cell r="AC47" t="e">
            <v>#N/A</v>
          </cell>
          <cell r="AD47" t="str">
            <v>0133-01</v>
          </cell>
          <cell r="AE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48">
          <cell r="A48" t="str">
            <v>134-01</v>
          </cell>
          <cell r="B48">
            <v>4043</v>
          </cell>
          <cell r="C48" t="str">
            <v>DE.1.0.7.0</v>
          </cell>
          <cell r="D48" t="str">
            <v>204:232975</v>
          </cell>
          <cell r="E48">
            <v>42583.358981481484</v>
          </cell>
          <cell r="F48">
            <v>42583.359837962962</v>
          </cell>
          <cell r="G48">
            <v>1</v>
          </cell>
          <cell r="H48" t="str">
            <v>204:160</v>
          </cell>
          <cell r="I48">
            <v>42583.392939814818</v>
          </cell>
          <cell r="J48">
            <v>0</v>
          </cell>
          <cell r="K48" t="str">
            <v>4043/4044</v>
          </cell>
          <cell r="L48" t="str">
            <v>DAVIS</v>
          </cell>
          <cell r="M48">
            <v>3.3101851855462883E-2</v>
          </cell>
          <cell r="N48">
            <v>47.666666671866551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https://search-rtdc-monitor-bjffxe2xuh6vdkpspy63sjmuny.us-east-1.es.amazonaws.com/_plugin/kibana/#/discover/Steve-Slow-Train-Analysis-(2080s-and-2083s)?_g=(refreshInterval:(display:Off,section:0,value:0),time:(from:'2016-08-01 07:36:56-0600',mode:absolute,to:'2016-08-01 10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 t="e">
            <v>#N/A</v>
          </cell>
          <cell r="AC48" t="e">
            <v>#N/A</v>
          </cell>
          <cell r="AD48" t="str">
            <v>0134-01</v>
          </cell>
          <cell r="AE4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49">
          <cell r="A49" t="str">
            <v>135-01</v>
          </cell>
          <cell r="B49">
            <v>4027</v>
          </cell>
          <cell r="C49" t="str">
            <v>DE.1.0.7.0</v>
          </cell>
          <cell r="D49" t="str">
            <v>204:449</v>
          </cell>
          <cell r="E49">
            <v>42583.329155092593</v>
          </cell>
          <cell r="F49">
            <v>42583.330150462964</v>
          </cell>
          <cell r="G49">
            <v>1</v>
          </cell>
          <cell r="H49" t="str">
            <v>204:233306</v>
          </cell>
          <cell r="I49">
            <v>42583.359826388885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2.9675925921765156E-2</v>
          </cell>
          <cell r="N49">
            <v>42.733333327341825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4.4900000000000002E-2</v>
          </cell>
          <cell r="Z49">
            <v>23.3306</v>
          </cell>
          <cell r="AA49">
            <v>23.285700000000002</v>
          </cell>
          <cell r="AB49">
            <v>42779</v>
          </cell>
          <cell r="AC49" t="str">
            <v>GRADE CROSSING</v>
          </cell>
          <cell r="AD49" t="str">
            <v>0135-01</v>
          </cell>
          <cell r="AE4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50">
          <cell r="A50" t="str">
            <v>136-01</v>
          </cell>
          <cell r="B50">
            <v>4028</v>
          </cell>
          <cell r="C50" t="str">
            <v>DE.1.0.7.0</v>
          </cell>
          <cell r="D50" t="str">
            <v>204:232996</v>
          </cell>
          <cell r="E50">
            <v>42583.365115740744</v>
          </cell>
          <cell r="F50">
            <v>42583.366342592592</v>
          </cell>
          <cell r="G50">
            <v>1</v>
          </cell>
          <cell r="H50" t="str">
            <v>204:143</v>
          </cell>
          <cell r="I50">
            <v>42583.400046296294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3.3703703702485655E-2</v>
          </cell>
          <cell r="N50">
            <v>48.533333331579342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https://search-rtdc-monitor-bjffxe2xuh6vdkpspy63sjmuny.us-east-1.es.amazonaws.com/_plugin/kibana/#/discover/Steve-Slow-Train-Analysis-(2080s-and-2083s)?_g=(refreshInterval:(display:Off,section:0,value:0),time:(from:'2016-08-01 07:45:46-0600',mode:absolute,to:'2016-08-01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1.43E-2</v>
          </cell>
          <cell r="AA50">
            <v>23.285300000000003</v>
          </cell>
          <cell r="AB50" t="e">
            <v>#N/A</v>
          </cell>
          <cell r="AC50" t="e">
            <v>#N/A</v>
          </cell>
          <cell r="AD50" t="str">
            <v>0136-01</v>
          </cell>
          <cell r="AE5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51">
          <cell r="A51" t="str">
            <v>137-01</v>
          </cell>
          <cell r="B51">
            <v>4014</v>
          </cell>
          <cell r="C51" t="str">
            <v>DE.1.0.7.0</v>
          </cell>
          <cell r="D51" t="str">
            <v>204:482</v>
          </cell>
          <cell r="E51">
            <v>42583.33666666667</v>
          </cell>
          <cell r="F51">
            <v>42583.342465277776</v>
          </cell>
          <cell r="G51">
            <v>8</v>
          </cell>
          <cell r="H51" t="str">
            <v>204:233280</v>
          </cell>
          <cell r="I51">
            <v>42583.368148148147</v>
          </cell>
          <cell r="J51">
            <v>0</v>
          </cell>
          <cell r="K51" t="str">
            <v>4013/4014</v>
          </cell>
          <cell r="L51" t="str">
            <v>YORK</v>
          </cell>
          <cell r="M51">
            <v>2.5682870371383615E-2</v>
          </cell>
          <cell r="N51">
            <v>36.983333334792405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https://search-rtdc-monitor-bjffxe2xuh6vdkpspy63sjmuny.us-east-1.es.amazonaws.com/_plugin/kibana/#/discover/Steve-Slow-Train-Analysis-(2080s-and-2083s)?_g=(refreshInterval:(display:Off,section:0,value:0),time:(from:'2016-08-01 07:04:48-0600',mode:absolute,to:'2016-08-01 09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1" t="str">
            <v>N</v>
          </cell>
          <cell r="X51">
            <v>1</v>
          </cell>
          <cell r="Y51">
            <v>4.82E-2</v>
          </cell>
          <cell r="Z51">
            <v>23.327999999999999</v>
          </cell>
          <cell r="AA51">
            <v>23.279799999999998</v>
          </cell>
          <cell r="AB51" t="e">
            <v>#N/A</v>
          </cell>
          <cell r="AC51" t="e">
            <v>#N/A</v>
          </cell>
          <cell r="AD51" t="str">
            <v>0137-01</v>
          </cell>
          <cell r="AE5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52">
          <cell r="A52" t="str">
            <v>138-01</v>
          </cell>
          <cell r="B52">
            <v>4013</v>
          </cell>
          <cell r="C52" t="str">
            <v>DE.1.0.7.0</v>
          </cell>
          <cell r="D52" t="str">
            <v>204:232963</v>
          </cell>
          <cell r="E52">
            <v>42583.369062500002</v>
          </cell>
          <cell r="F52">
            <v>42583.369826388887</v>
          </cell>
          <cell r="G52">
            <v>1</v>
          </cell>
          <cell r="H52" t="str">
            <v>204:156</v>
          </cell>
          <cell r="I52">
            <v>42583.412708333337</v>
          </cell>
          <cell r="J52">
            <v>1</v>
          </cell>
          <cell r="K52" t="str">
            <v>4013/4014</v>
          </cell>
          <cell r="L52" t="str">
            <v>YORK</v>
          </cell>
          <cell r="M52">
            <v>4.2881944449618459E-2</v>
          </cell>
          <cell r="N52">
            <v>61.750000007450581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1.5599999999999999E-2</v>
          </cell>
          <cell r="AA52">
            <v>23.2807</v>
          </cell>
          <cell r="AB52" t="e">
            <v>#N/A</v>
          </cell>
          <cell r="AC52" t="e">
            <v>#N/A</v>
          </cell>
          <cell r="AD52" t="str">
            <v>0138-01</v>
          </cell>
          <cell r="AE5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53">
          <cell r="A53" t="str">
            <v>139-01</v>
          </cell>
          <cell r="B53">
            <v>4011</v>
          </cell>
          <cell r="C53" t="str">
            <v>DE.1.0.7.0</v>
          </cell>
          <cell r="D53" t="str">
            <v>204:437</v>
          </cell>
          <cell r="E53">
            <v>42583.34952546296</v>
          </cell>
          <cell r="F53">
            <v>42583.350810185184</v>
          </cell>
          <cell r="G53">
            <v>1</v>
          </cell>
          <cell r="H53" t="str">
            <v>204:233306</v>
          </cell>
          <cell r="I53">
            <v>42583.380682870367</v>
          </cell>
          <cell r="J53">
            <v>0</v>
          </cell>
          <cell r="K53" t="str">
            <v>4011/4012</v>
          </cell>
          <cell r="L53" t="str">
            <v>STARKS</v>
          </cell>
          <cell r="M53">
            <v>2.9872685183363501E-2</v>
          </cell>
          <cell r="N53">
            <v>43.016666664043441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https://search-rtdc-monitor-bjffxe2xuh6vdkpspy63sjmuny.us-east-1.es.amazonaws.com/_plugin/kibana/#/discover/Steve-Slow-Train-Analysis-(2080s-and-2083s)?_g=(refreshInterval:(display:Off,section:0,value:0),time:(from:'2016-08-01 07:23:19-0600',mode:absolute,to:'2016-08-01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3" t="str">
            <v>N</v>
          </cell>
          <cell r="X53">
            <v>1</v>
          </cell>
          <cell r="Y53">
            <v>4.3700000000000003E-2</v>
          </cell>
          <cell r="Z53">
            <v>23.3306</v>
          </cell>
          <cell r="AA53">
            <v>23.286899999999999</v>
          </cell>
          <cell r="AB53" t="e">
            <v>#N/A</v>
          </cell>
          <cell r="AC53" t="e">
            <v>#N/A</v>
          </cell>
          <cell r="AD53" t="str">
            <v>0139-01</v>
          </cell>
          <cell r="AE5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54">
          <cell r="A54" t="str">
            <v>140-01</v>
          </cell>
          <cell r="B54">
            <v>4012</v>
          </cell>
          <cell r="C54" t="str">
            <v>DE.1.0.7.0</v>
          </cell>
          <cell r="D54" t="str">
            <v>204:232989</v>
          </cell>
          <cell r="E54">
            <v>42583.390277777777</v>
          </cell>
          <cell r="F54">
            <v>42583.391527777778</v>
          </cell>
          <cell r="G54">
            <v>1</v>
          </cell>
          <cell r="H54" t="str">
            <v>204:143</v>
          </cell>
          <cell r="I54">
            <v>42583.421122685184</v>
          </cell>
          <cell r="J54">
            <v>0</v>
          </cell>
          <cell r="K54" t="str">
            <v>4011/4012</v>
          </cell>
          <cell r="L54" t="str">
            <v>STARKS</v>
          </cell>
          <cell r="M54">
            <v>2.9594907406135462E-2</v>
          </cell>
          <cell r="N54">
            <v>42.616666664835066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https://search-rtdc-monitor-bjffxe2xuh6vdkpspy63sjmuny.us-east-1.es.amazonaws.com/_plugin/kibana/#/discover/Steve-Slow-Train-Analysis-(2080s-and-2083s)?_g=(refreshInterval:(display:Off,section:0,value:0),time:(from:'2016-08-01 08:22:00-0600',mode:absolute,to:'2016-08-01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23.2989</v>
          </cell>
          <cell r="Z54">
            <v>1.43E-2</v>
          </cell>
          <cell r="AA54">
            <v>23.284600000000001</v>
          </cell>
          <cell r="AB54" t="e">
            <v>#N/A</v>
          </cell>
          <cell r="AC54" t="e">
            <v>#N/A</v>
          </cell>
          <cell r="AD54" t="str">
            <v>0140-01</v>
          </cell>
          <cell r="AE5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55">
          <cell r="A55" t="str">
            <v>141-01</v>
          </cell>
          <cell r="B55">
            <v>4009</v>
          </cell>
          <cell r="C55" t="str">
            <v>DE.1.0.7.0</v>
          </cell>
          <cell r="D55" t="str">
            <v>204:471</v>
          </cell>
          <cell r="E55">
            <v>42583.360497685186</v>
          </cell>
          <cell r="F55">
            <v>42583.361481481479</v>
          </cell>
          <cell r="G55">
            <v>1</v>
          </cell>
          <cell r="H55" t="str">
            <v>204:233311</v>
          </cell>
          <cell r="I55">
            <v>42583.398692129631</v>
          </cell>
          <cell r="J55">
            <v>0</v>
          </cell>
          <cell r="K55" t="str">
            <v>4009/4010</v>
          </cell>
          <cell r="L55" t="str">
            <v>ISHMAEL</v>
          </cell>
          <cell r="M55">
            <v>3.7210648151813075E-2</v>
          </cell>
          <cell r="N55">
            <v>53.583333338610828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https://search-rtdc-monitor-bjffxe2xuh6vdkpspy63sjmuny.us-east-1.es.amazonaws.com/_plugin/kibana/#/discover/Steve-Slow-Train-Analysis-(2080s-and-2083s)?_g=(refreshInterval:(display:Off,section:0,value:0),time:(from:'2016-08-01 07:39:07-0600',mode:absolute,to:'2016-08-01 10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23.331099999999999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0141-01</v>
          </cell>
          <cell r="AE5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56">
          <cell r="A56" t="str">
            <v>142-01</v>
          </cell>
          <cell r="B56">
            <v>4010</v>
          </cell>
          <cell r="C56" t="str">
            <v>DE.1.0.7.0</v>
          </cell>
          <cell r="D56" t="str">
            <v>204:232982</v>
          </cell>
          <cell r="E56">
            <v>42583.400960648149</v>
          </cell>
          <cell r="F56">
            <v>42583.401759259257</v>
          </cell>
          <cell r="G56">
            <v>1</v>
          </cell>
          <cell r="H56" t="str">
            <v>204:170</v>
          </cell>
          <cell r="I56">
            <v>42583.431875000002</v>
          </cell>
          <cell r="J56">
            <v>0</v>
          </cell>
          <cell r="K56" t="str">
            <v>4009/4010</v>
          </cell>
          <cell r="L56" t="str">
            <v>ISHMAEL</v>
          </cell>
          <cell r="M56">
            <v>3.0115740744804498E-2</v>
          </cell>
          <cell r="N56">
            <v>43.366666672518477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https://search-rtdc-monitor-bjffxe2xuh6vdkpspy63sjmuny.us-east-1.es.amazonaws.com/_plugin/kibana/#/discover/Steve-Slow-Train-Analysis-(2080s-and-2083s)?_g=(refreshInterval:(display:Off,section:0,value:0),time:(from:'2016-08-01 08:37:23-0600',mode:absolute,to:'2016-08-01 11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6" t="str">
            <v>N</v>
          </cell>
          <cell r="X56">
            <v>1</v>
          </cell>
          <cell r="Y56">
            <v>23.298200000000001</v>
          </cell>
          <cell r="Z56">
            <v>1.7000000000000001E-2</v>
          </cell>
          <cell r="AA56">
            <v>23.281200000000002</v>
          </cell>
          <cell r="AB56" t="e">
            <v>#N/A</v>
          </cell>
          <cell r="AC56" t="e">
            <v>#N/A</v>
          </cell>
          <cell r="AD56" t="str">
            <v>0142-01</v>
          </cell>
          <cell r="AE5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57">
          <cell r="A57" t="str">
            <v>143-01</v>
          </cell>
          <cell r="B57">
            <v>4029</v>
          </cell>
          <cell r="C57" t="str">
            <v>DE.1.0.7.0</v>
          </cell>
          <cell r="D57" t="str">
            <v>204:473</v>
          </cell>
          <cell r="E57">
            <v>42583.372395833336</v>
          </cell>
          <cell r="F57">
            <v>42583.373298611114</v>
          </cell>
          <cell r="G57">
            <v>1</v>
          </cell>
          <cell r="H57" t="str">
            <v>204:233314</v>
          </cell>
          <cell r="I57">
            <v>42583.406307870369</v>
          </cell>
          <cell r="J57">
            <v>2</v>
          </cell>
          <cell r="K57" t="str">
            <v>4029/4030</v>
          </cell>
          <cell r="L57" t="str">
            <v>MALAVE</v>
          </cell>
          <cell r="M57">
            <v>3.3009259255777579E-2</v>
          </cell>
          <cell r="N57">
            <v>47.533333328319713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4.7300000000000002E-2</v>
          </cell>
          <cell r="Z57">
            <v>23.331399999999999</v>
          </cell>
          <cell r="AA57">
            <v>23.284099999999999</v>
          </cell>
          <cell r="AB57">
            <v>58783</v>
          </cell>
          <cell r="AC57" t="str">
            <v>GRADE CROSSING</v>
          </cell>
          <cell r="AD57" t="str">
            <v>0143-01</v>
          </cell>
          <cell r="AE5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58">
          <cell r="A58" t="str">
            <v>144-01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42583.412743055553</v>
          </cell>
          <cell r="F58">
            <v>42583.413668981484</v>
          </cell>
          <cell r="G58">
            <v>1</v>
          </cell>
          <cell r="H58" t="str">
            <v>204:158</v>
          </cell>
          <cell r="I58">
            <v>42583.442094907405</v>
          </cell>
          <cell r="J58">
            <v>0</v>
          </cell>
          <cell r="K58" t="str">
            <v>4029/4030</v>
          </cell>
          <cell r="L58" t="str">
            <v>MALAVE</v>
          </cell>
          <cell r="M58">
            <v>2.8425925920601003E-2</v>
          </cell>
          <cell r="N58">
            <v>40.933333325665444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https://search-rtdc-monitor-bjffxe2xuh6vdkpspy63sjmuny.us-east-1.es.amazonaws.com/_plugin/kibana/#/discover/Steve-Slow-Train-Analysis-(2080s-and-2083s)?_g=(refreshInterval:(display:Off,section:0,value:0),time:(from:'2016-08-01 08:54:21-0600',mode:absolute,to:'2016-08-01 11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1.5800000000000002E-2</v>
          </cell>
          <cell r="AA58">
            <v>23.2836</v>
          </cell>
          <cell r="AB58" t="e">
            <v>#N/A</v>
          </cell>
          <cell r="AC58" t="e">
            <v>#N/A</v>
          </cell>
          <cell r="AD58" t="str">
            <v>0144-01</v>
          </cell>
          <cell r="AE5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59">
          <cell r="A59" t="str">
            <v>145-01</v>
          </cell>
          <cell r="B59">
            <v>4016</v>
          </cell>
          <cell r="C59" t="str">
            <v>DE.1.0.7.0</v>
          </cell>
          <cell r="D59" t="str">
            <v>204:447</v>
          </cell>
          <cell r="E59">
            <v>42583.381122685183</v>
          </cell>
          <cell r="F59">
            <v>42583.382025462961</v>
          </cell>
          <cell r="G59">
            <v>1</v>
          </cell>
          <cell r="H59" t="str">
            <v>204:233297</v>
          </cell>
          <cell r="I59">
            <v>42583.412465277775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3.0439814814599231E-2</v>
          </cell>
          <cell r="N59">
            <v>43.833333333022892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https://search-rtdc-monitor-bjffxe2xuh6vdkpspy63sjmuny.us-east-1.es.amazonaws.com/_plugin/kibana/#/discover/Steve-Slow-Train-Analysis-(2080s-and-2083s)?_g=(refreshInterval:(display:Off,section:0,value:0),time:(from:'2016-08-01 08:08:49-0600',mode:absolute,to:'2016-08-01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9" t="str">
            <v>N</v>
          </cell>
          <cell r="X59">
            <v>1</v>
          </cell>
          <cell r="Y59">
            <v>4.4699999999999997E-2</v>
          </cell>
          <cell r="Z59">
            <v>23.329699999999999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0145-01</v>
          </cell>
          <cell r="AE5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60">
          <cell r="A60" t="str">
            <v>146-01</v>
          </cell>
          <cell r="B60">
            <v>4015</v>
          </cell>
          <cell r="C60" t="str">
            <v>DE.1.0.7.0</v>
          </cell>
          <cell r="D60" t="str">
            <v>204:232992</v>
          </cell>
          <cell r="E60">
            <v>42583.418715277781</v>
          </cell>
          <cell r="F60">
            <v>42583.419918981483</v>
          </cell>
          <cell r="G60">
            <v>1</v>
          </cell>
          <cell r="H60" t="str">
            <v>204:129</v>
          </cell>
          <cell r="I60">
            <v>42583.451111111113</v>
          </cell>
          <cell r="J60">
            <v>1</v>
          </cell>
          <cell r="K60" t="str">
            <v>4015/4016</v>
          </cell>
          <cell r="L60" t="str">
            <v>ACKERMAN</v>
          </cell>
          <cell r="M60">
            <v>3.1192129630653653E-2</v>
          </cell>
          <cell r="N60">
            <v>44.916666668141261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0" t="str">
            <v>N</v>
          </cell>
          <cell r="X60">
            <v>1</v>
          </cell>
          <cell r="Y60">
            <v>23.299199999999999</v>
          </cell>
          <cell r="Z60">
            <v>1.29E-2</v>
          </cell>
          <cell r="AA60">
            <v>23.286300000000001</v>
          </cell>
          <cell r="AB60" t="e">
            <v>#N/A</v>
          </cell>
          <cell r="AC60" t="e">
            <v>#N/A</v>
          </cell>
          <cell r="AD60" t="str">
            <v>0146-01</v>
          </cell>
          <cell r="AE6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61">
          <cell r="A61" t="str">
            <v>147-01</v>
          </cell>
          <cell r="B61">
            <v>4044</v>
          </cell>
          <cell r="C61" t="str">
            <v>DE.1.0.7.0</v>
          </cell>
          <cell r="D61" t="str">
            <v>204:464</v>
          </cell>
          <cell r="E61">
            <v>42583.394861111112</v>
          </cell>
          <cell r="F61">
            <v>42583.395810185182</v>
          </cell>
          <cell r="G61">
            <v>1</v>
          </cell>
          <cell r="H61" t="str">
            <v>204:233306</v>
          </cell>
          <cell r="I61">
            <v>42583.422986111109</v>
          </cell>
          <cell r="J61">
            <v>0</v>
          </cell>
          <cell r="K61" t="str">
            <v>4043/4044</v>
          </cell>
          <cell r="L61" t="str">
            <v>DAVIS</v>
          </cell>
          <cell r="M61">
            <v>2.7175925926712807E-2</v>
          </cell>
          <cell r="N61">
            <v>39.133333334466442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https://search-rtdc-monitor-bjffxe2xuh6vdkpspy63sjmuny.us-east-1.es.amazonaws.com/_plugin/kibana/#/discover/Steve-Slow-Train-Analysis-(2080s-and-2083s)?_g=(refreshInterval:(display:Off,section:0,value:0),time:(from:'2016-08-01 08:28:36-0600',mode:absolute,to:'2016-08-01 11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 t="e">
            <v>#N/A</v>
          </cell>
          <cell r="AC61" t="e">
            <v>#N/A</v>
          </cell>
          <cell r="AD61" t="str">
            <v>0147-01</v>
          </cell>
          <cell r="AE6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62">
          <cell r="A62" t="str">
            <v>148-01</v>
          </cell>
          <cell r="B62">
            <v>4043</v>
          </cell>
          <cell r="C62" t="str">
            <v>DE.1.0.7.0</v>
          </cell>
          <cell r="D62" t="str">
            <v>204:232981</v>
          </cell>
          <cell r="E62">
            <v>42583.428449074076</v>
          </cell>
          <cell r="F62">
            <v>42583.429456018515</v>
          </cell>
          <cell r="G62">
            <v>1</v>
          </cell>
          <cell r="H62" t="str">
            <v>204:154</v>
          </cell>
          <cell r="I62">
            <v>42583.465196759258</v>
          </cell>
          <cell r="J62">
            <v>0</v>
          </cell>
          <cell r="K62" t="str">
            <v>4043/4044</v>
          </cell>
          <cell r="L62" t="str">
            <v>DAVIS</v>
          </cell>
          <cell r="M62">
            <v>3.574074074276723E-2</v>
          </cell>
          <cell r="N62">
            <v>51.466666669584811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https://search-rtdc-monitor-bjffxe2xuh6vdkpspy63sjmuny.us-east-1.es.amazonaws.com/_plugin/kibana/#/discover/Steve-Slow-Train-Analysis-(2080s-and-2083s)?_g=(refreshInterval:(display:Off,section:0,value:0),time:(from:'2016-08-01 09:16:58-0600',mode:absolute,to:'2016-08-01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23.298100000000002</v>
          </cell>
          <cell r="Z62">
            <v>1.54E-2</v>
          </cell>
          <cell r="AA62">
            <v>23.282700000000002</v>
          </cell>
          <cell r="AB62" t="e">
            <v>#N/A</v>
          </cell>
          <cell r="AC62" t="e">
            <v>#N/A</v>
          </cell>
          <cell r="AD62" t="str">
            <v>0148-01</v>
          </cell>
          <cell r="AE6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63">
          <cell r="A63" t="str">
            <v>149-01</v>
          </cell>
          <cell r="B63">
            <v>4027</v>
          </cell>
          <cell r="C63" t="str">
            <v>DE.1.0.7.0</v>
          </cell>
          <cell r="D63" t="str">
            <v>204:437</v>
          </cell>
          <cell r="E63">
            <v>42583.402349537035</v>
          </cell>
          <cell r="F63">
            <v>42583.403182870374</v>
          </cell>
          <cell r="G63">
            <v>1</v>
          </cell>
          <cell r="H63" t="str">
            <v>204:233309</v>
          </cell>
          <cell r="I63">
            <v>42583.430972222224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2.7789351850515231E-2</v>
          </cell>
          <cell r="N63">
            <v>40.016666664741933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https://search-rtdc-monitor-bjffxe2xuh6vdkpspy63sjmuny.us-east-1.es.amazonaws.com/_plugin/kibana/#/discover/Steve-Slow-Train-Analysis-(2080s-and-2083s)?_g=(refreshInterval:(display:Off,section:0,value:0),time:(from:'2016-08-01 08:39:23-0600',mode:absolute,to:'2016-08-01 11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4.3700000000000003E-2</v>
          </cell>
          <cell r="Z63">
            <v>23.3309</v>
          </cell>
          <cell r="AA63">
            <v>23.287199999999999</v>
          </cell>
          <cell r="AB63" t="e">
            <v>#N/A</v>
          </cell>
          <cell r="AC63" t="e">
            <v>#N/A</v>
          </cell>
          <cell r="AD63" t="str">
            <v>0149-01</v>
          </cell>
          <cell r="AE6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64">
          <cell r="A64" t="str">
            <v>150-01</v>
          </cell>
          <cell r="B64">
            <v>4028</v>
          </cell>
          <cell r="C64" t="str">
            <v>DE.1.0.7.0</v>
          </cell>
          <cell r="D64" t="str">
            <v>204:232992</v>
          </cell>
          <cell r="E64">
            <v>42583.439895833333</v>
          </cell>
          <cell r="F64">
            <v>42583.440879629627</v>
          </cell>
          <cell r="G64">
            <v>1</v>
          </cell>
          <cell r="H64" t="str">
            <v>204:130</v>
          </cell>
          <cell r="I64">
            <v>42583.474675925929</v>
          </cell>
          <cell r="J64">
            <v>0</v>
          </cell>
          <cell r="K64" t="str">
            <v>4027/4028</v>
          </cell>
          <cell r="L64" t="str">
            <v>SPECTOR</v>
          </cell>
          <cell r="M64">
            <v>3.3796296302170958E-2</v>
          </cell>
          <cell r="N64">
            <v>48.66666667512618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https://search-rtdc-monitor-bjffxe2xuh6vdkpspy63sjmuny.us-east-1.es.amazonaws.com/_plugin/kibana/#/discover/Steve-Slow-Train-Analysis-(2080s-and-2083s)?_g=(refreshInterval:(display:Off,section:0,value:0),time:(from:'2016-08-01 09:33:27-0600',mode:absolute,to:'2016-08-01 12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23.299199999999999</v>
          </cell>
          <cell r="Z64">
            <v>1.2999999999999999E-2</v>
          </cell>
          <cell r="AA64">
            <v>23.286199999999997</v>
          </cell>
          <cell r="AB64" t="e">
            <v>#N/A</v>
          </cell>
          <cell r="AC64" t="e">
            <v>#N/A</v>
          </cell>
          <cell r="AD64" t="str">
            <v>0150-01</v>
          </cell>
          <cell r="AE6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65">
          <cell r="A65" t="str">
            <v>151-01</v>
          </cell>
          <cell r="B65">
            <v>4014</v>
          </cell>
          <cell r="C65" t="str">
            <v>DE.1.0.7.0</v>
          </cell>
          <cell r="D65" t="str">
            <v>204:457</v>
          </cell>
          <cell r="E65">
            <v>42583.414189814815</v>
          </cell>
          <cell r="F65">
            <v>42583.415127314816</v>
          </cell>
          <cell r="G65">
            <v>1</v>
          </cell>
          <cell r="H65" t="str">
            <v>204:233293</v>
          </cell>
          <cell r="I65">
            <v>42583.441168981481</v>
          </cell>
          <cell r="J65">
            <v>0</v>
          </cell>
          <cell r="K65" t="str">
            <v>4013/4014</v>
          </cell>
          <cell r="L65" t="str">
            <v>YORK</v>
          </cell>
          <cell r="M65">
            <v>2.6041666664241347E-2</v>
          </cell>
          <cell r="N65">
            <v>37.49999999650754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https://search-rtdc-monitor-bjffxe2xuh6vdkpspy63sjmuny.us-east-1.es.amazonaws.com/_plugin/kibana/#/discover/Steve-Slow-Train-Analysis-(2080s-and-2083s)?_g=(refreshInterval:(display:Off,section:0,value:0),time:(from:'2016-08-01 08:56:26-0600',mode:absolute,to:'2016-08-01 11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5" t="str">
            <v>N</v>
          </cell>
          <cell r="X65">
            <v>1</v>
          </cell>
          <cell r="Y65">
            <v>4.5699999999999998E-2</v>
          </cell>
          <cell r="Z65">
            <v>23.3293</v>
          </cell>
          <cell r="AA65">
            <v>23.2836</v>
          </cell>
          <cell r="AB65" t="e">
            <v>#N/A</v>
          </cell>
          <cell r="AC65" t="e">
            <v>#N/A</v>
          </cell>
          <cell r="AD65" t="str">
            <v>0151-01</v>
          </cell>
          <cell r="AE6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66">
          <cell r="A66" t="str">
            <v>152-01</v>
          </cell>
          <cell r="B66">
            <v>4013</v>
          </cell>
          <cell r="C66" t="str">
            <v>DE.1.0.7.0</v>
          </cell>
          <cell r="D66" t="str">
            <v>204:232968</v>
          </cell>
          <cell r="E66">
            <v>42583.443344907406</v>
          </cell>
          <cell r="F66">
            <v>42583.444479166668</v>
          </cell>
          <cell r="G66">
            <v>1</v>
          </cell>
          <cell r="H66" t="str">
            <v>204:150</v>
          </cell>
          <cell r="I66">
            <v>42583.484594907408</v>
          </cell>
          <cell r="J66">
            <v>0</v>
          </cell>
          <cell r="K66" t="str">
            <v>4013/4014</v>
          </cell>
          <cell r="L66" t="str">
            <v>YORK</v>
          </cell>
          <cell r="M66">
            <v>4.0115740739565808E-2</v>
          </cell>
          <cell r="N66">
            <v>57.766666664974764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https://search-rtdc-monitor-bjffxe2xuh6vdkpspy63sjmuny.us-east-1.es.amazonaws.com/_plugin/kibana/#/discover/Steve-Slow-Train-Analysis-(2080s-and-2083s)?_g=(refreshInterval:(display:Off,section:0,value:0),time:(from:'2016-08-01 09:38:25-0600',mode:absolute,to:'2016-08-01 12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6" t="str">
            <v>N</v>
          </cell>
          <cell r="X66">
            <v>1</v>
          </cell>
          <cell r="Y66">
            <v>23.296800000000001</v>
          </cell>
          <cell r="Z66">
            <v>1.4999999999999999E-2</v>
          </cell>
          <cell r="AA66">
            <v>23.2818</v>
          </cell>
          <cell r="AB66" t="e">
            <v>#N/A</v>
          </cell>
          <cell r="AC66" t="e">
            <v>#N/A</v>
          </cell>
          <cell r="AD66" t="str">
            <v>0152-01</v>
          </cell>
          <cell r="AE6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67">
          <cell r="A67" t="str">
            <v>153-01</v>
          </cell>
          <cell r="B67">
            <v>4011</v>
          </cell>
          <cell r="C67" t="str">
            <v>DE.1.0.7.0</v>
          </cell>
          <cell r="D67" t="str">
            <v>204:433</v>
          </cell>
          <cell r="E67">
            <v>42583.423750000002</v>
          </cell>
          <cell r="F67">
            <v>42583.424479166664</v>
          </cell>
          <cell r="G67">
            <v>1</v>
          </cell>
          <cell r="H67" t="str">
            <v>204:233211</v>
          </cell>
          <cell r="I67">
            <v>42583.454826388886</v>
          </cell>
          <cell r="J67">
            <v>4</v>
          </cell>
          <cell r="K67" t="str">
            <v>4011/4012</v>
          </cell>
          <cell r="L67" t="str">
            <v>STARKS</v>
          </cell>
          <cell r="M67">
            <v>3.0347222222189885E-2</v>
          </cell>
          <cell r="N67">
            <v>43.699999999953434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7" t="str">
            <v>N</v>
          </cell>
          <cell r="X67">
            <v>1</v>
          </cell>
          <cell r="Y67">
            <v>4.3299999999999998E-2</v>
          </cell>
          <cell r="Z67">
            <v>23.321100000000001</v>
          </cell>
          <cell r="AA67">
            <v>23.277800000000003</v>
          </cell>
          <cell r="AB67">
            <v>27333</v>
          </cell>
          <cell r="AC67" t="str">
            <v>PERMANENT SPEED RESTRICTION</v>
          </cell>
          <cell r="AD67" t="str">
            <v>0153-01</v>
          </cell>
          <cell r="AE67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68">
          <cell r="A68" t="str">
            <v>154-01</v>
          </cell>
          <cell r="B68">
            <v>4012</v>
          </cell>
          <cell r="C68" t="str">
            <v>DE.1.0.7.0</v>
          </cell>
          <cell r="D68" t="str">
            <v>204:232907</v>
          </cell>
          <cell r="E68">
            <v>42583.465543981481</v>
          </cell>
          <cell r="F68">
            <v>42583.466493055559</v>
          </cell>
          <cell r="G68">
            <v>1</v>
          </cell>
          <cell r="H68" t="str">
            <v>204:158</v>
          </cell>
          <cell r="I68">
            <v>42583.499282407407</v>
          </cell>
          <cell r="J68">
            <v>1</v>
          </cell>
          <cell r="K68" t="str">
            <v>4011/4012</v>
          </cell>
          <cell r="L68" t="str">
            <v>STARKS</v>
          </cell>
          <cell r="M68">
            <v>3.2789351847895887E-2</v>
          </cell>
          <cell r="N68">
            <v>47.216666660970077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23.290700000000001</v>
          </cell>
          <cell r="Z68">
            <v>1.5800000000000002E-2</v>
          </cell>
          <cell r="AA68">
            <v>23.274900000000002</v>
          </cell>
          <cell r="AB68">
            <v>228668</v>
          </cell>
          <cell r="AC68" t="str">
            <v>PERMANENT SPEED RESTRICTION</v>
          </cell>
          <cell r="AD68" t="str">
            <v>0154-01</v>
          </cell>
          <cell r="AE6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69">
          <cell r="A69" t="str">
            <v>155-01</v>
          </cell>
          <cell r="B69">
            <v>4009</v>
          </cell>
          <cell r="C69" t="str">
            <v>DE.1.0.7.0</v>
          </cell>
          <cell r="D69" t="str">
            <v>204:484</v>
          </cell>
          <cell r="E69">
            <v>42583.435833333337</v>
          </cell>
          <cell r="F69">
            <v>42583.436793981484</v>
          </cell>
          <cell r="G69">
            <v>1</v>
          </cell>
          <cell r="H69" t="str">
            <v>204:233297</v>
          </cell>
          <cell r="I69">
            <v>42583.463287037041</v>
          </cell>
          <cell r="J69">
            <v>0</v>
          </cell>
          <cell r="K69" t="str">
            <v>4009/4010</v>
          </cell>
          <cell r="L69" t="str">
            <v>SANTIZO</v>
          </cell>
          <cell r="M69">
            <v>2.6493055556784384E-2</v>
          </cell>
          <cell r="N69">
            <v>38.150000001769513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https://search-rtdc-monitor-bjffxe2xuh6vdkpspy63sjmuny.us-east-1.es.amazonaws.com/_plugin/kibana/#/discover/Steve-Slow-Train-Analysis-(2080s-and-2083s)?_g=(refreshInterval:(display:Off,section:0,value:0),time:(from:'2016-08-01 09:27:36-0600',mode:absolute,to:'2016-08-01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9" t="str">
            <v>N</v>
          </cell>
          <cell r="X69">
            <v>1</v>
          </cell>
          <cell r="Y69">
            <v>4.8399999999999999E-2</v>
          </cell>
          <cell r="Z69">
            <v>23.329699999999999</v>
          </cell>
          <cell r="AA69">
            <v>23.281299999999998</v>
          </cell>
          <cell r="AB69" t="e">
            <v>#N/A</v>
          </cell>
          <cell r="AC69" t="e">
            <v>#N/A</v>
          </cell>
          <cell r="AD69" t="str">
            <v>0155-01</v>
          </cell>
          <cell r="AE6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70">
          <cell r="A70" t="str">
            <v>156-01</v>
          </cell>
          <cell r="B70">
            <v>4010</v>
          </cell>
          <cell r="C70" t="str">
            <v>DE.1.0.7.0</v>
          </cell>
          <cell r="D70" t="str">
            <v>204:233000</v>
          </cell>
          <cell r="E70">
            <v>42583.465011574073</v>
          </cell>
          <cell r="F70">
            <v>42583.466168981482</v>
          </cell>
          <cell r="G70">
            <v>1</v>
          </cell>
          <cell r="H70" t="str">
            <v>204:127</v>
          </cell>
          <cell r="I70">
            <v>42583.505023148151</v>
          </cell>
          <cell r="J70">
            <v>0</v>
          </cell>
          <cell r="K70" t="str">
            <v>4009/4010</v>
          </cell>
          <cell r="L70" t="str">
            <v>SANTIZO</v>
          </cell>
          <cell r="M70">
            <v>3.885416666889796E-2</v>
          </cell>
          <cell r="N70">
            <v>55.950000003213063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https://search-rtdc-monitor-bjffxe2xuh6vdkpspy63sjmuny.us-east-1.es.amazonaws.com/_plugin/kibana/#/discover/Steve-Slow-Train-Analysis-(2080s-and-2083s)?_g=(refreshInterval:(display:Off,section:0,value:0),time:(from:'2016-08-01 10:09:37-0600',mode:absolute,to:'2016-08-01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1.2699999999999999E-2</v>
          </cell>
          <cell r="AA70">
            <v>23.287300000000002</v>
          </cell>
          <cell r="AB70" t="e">
            <v>#N/A</v>
          </cell>
          <cell r="AC70" t="e">
            <v>#N/A</v>
          </cell>
          <cell r="AD70" t="str">
            <v>0156-01</v>
          </cell>
          <cell r="AE70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71">
          <cell r="A71" t="str">
            <v>157-01</v>
          </cell>
          <cell r="B71">
            <v>4029</v>
          </cell>
          <cell r="C71" t="str">
            <v>DE.1.0.7.0</v>
          </cell>
          <cell r="D71" t="str">
            <v>204:460</v>
          </cell>
          <cell r="E71">
            <v>42583.446817129632</v>
          </cell>
          <cell r="F71">
            <v>42583.447638888887</v>
          </cell>
          <cell r="G71">
            <v>1</v>
          </cell>
          <cell r="H71" t="str">
            <v>204:233276</v>
          </cell>
          <cell r="I71">
            <v>42583.47457175926</v>
          </cell>
          <cell r="J71">
            <v>0</v>
          </cell>
          <cell r="K71" t="str">
            <v>4029/4030</v>
          </cell>
          <cell r="L71" t="str">
            <v>MALAVE</v>
          </cell>
          <cell r="M71">
            <v>2.6932870372547768E-2</v>
          </cell>
          <cell r="N71">
            <v>38.783333336468786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https://search-rtdc-monitor-bjffxe2xuh6vdkpspy63sjmuny.us-east-1.es.amazonaws.com/_plugin/kibana/#/discover/Steve-Slow-Train-Analysis-(2080s-and-2083s)?_g=(refreshInterval:(display:Off,section:0,value:0),time:(from:'2016-08-01 09:43:25-0600',mode:absolute,to:'2016-08-01 12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23.3276</v>
          </cell>
          <cell r="AA71">
            <v>23.281600000000001</v>
          </cell>
          <cell r="AB71" t="e">
            <v>#N/A</v>
          </cell>
          <cell r="AC71" t="e">
            <v>#N/A</v>
          </cell>
          <cell r="AD71" t="str">
            <v>0157-01</v>
          </cell>
          <cell r="AE71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72">
          <cell r="A72" t="str">
            <v>158-01</v>
          </cell>
          <cell r="B72">
            <v>4030</v>
          </cell>
          <cell r="C72" t="str">
            <v>DE.1.0.7.0</v>
          </cell>
          <cell r="D72" t="str">
            <v>204:232946</v>
          </cell>
          <cell r="E72">
            <v>42583.485972222225</v>
          </cell>
          <cell r="F72">
            <v>42583.486886574072</v>
          </cell>
          <cell r="G72">
            <v>1</v>
          </cell>
          <cell r="H72" t="str">
            <v>204:163</v>
          </cell>
          <cell r="I72">
            <v>42583.519745370373</v>
          </cell>
          <cell r="J72">
            <v>0</v>
          </cell>
          <cell r="K72" t="str">
            <v>4029/4030</v>
          </cell>
          <cell r="L72" t="str">
            <v>MALAVE</v>
          </cell>
          <cell r="M72">
            <v>3.2858796301297843E-2</v>
          </cell>
          <cell r="N72">
            <v>47.316666673868895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https://search-rtdc-monitor-bjffxe2xuh6vdkpspy63sjmuny.us-east-1.es.amazonaws.com/_plugin/kibana/#/discover/Steve-Slow-Train-Analysis-(2080s-and-2083s)?_g=(refreshInterval:(display:Off,section:0,value:0),time:(from:'2016-08-01 10:39:48-0600',mode:absolute,to:'2016-08-01 13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23.294599999999999</v>
          </cell>
          <cell r="Z72">
            <v>1.6299999999999999E-2</v>
          </cell>
          <cell r="AA72">
            <v>23.278299999999998</v>
          </cell>
          <cell r="AB72" t="e">
            <v>#N/A</v>
          </cell>
          <cell r="AC72" t="e">
            <v>#N/A</v>
          </cell>
          <cell r="AD72" t="str">
            <v>0158-01</v>
          </cell>
          <cell r="AE72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73">
          <cell r="A73" t="str">
            <v>159-01</v>
          </cell>
          <cell r="B73">
            <v>4016</v>
          </cell>
          <cell r="C73" t="str">
            <v>DE.1.0.7.0</v>
          </cell>
          <cell r="D73" t="str">
            <v>204:435</v>
          </cell>
          <cell r="E73">
            <v>42583.454340277778</v>
          </cell>
          <cell r="F73">
            <v>42583.455520833333</v>
          </cell>
          <cell r="G73">
            <v>1</v>
          </cell>
          <cell r="H73" t="str">
            <v>204:233240</v>
          </cell>
          <cell r="I73">
            <v>42583.49119212963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3.5671296296641231E-2</v>
          </cell>
          <cell r="N73">
            <v>51.366666667163372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https://search-rtdc-monitor-bjffxe2xuh6vdkpspy63sjmuny.us-east-1.es.amazonaws.com/_plugin/kibana/#/discover/Steve-Slow-Train-Analysis-(2080s-and-2083s)?_g=(refreshInterval:(display:Off,section:0,value:0),time:(from:'2016-08-01 09:54:15-0600',mode:absolute,to:'2016-08-01 12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3" t="str">
            <v>N</v>
          </cell>
          <cell r="X73">
            <v>1</v>
          </cell>
          <cell r="Y73">
            <v>4.3499999999999997E-2</v>
          </cell>
          <cell r="Z73">
            <v>23.324000000000002</v>
          </cell>
          <cell r="AA73">
            <v>23.2805</v>
          </cell>
          <cell r="AB73" t="e">
            <v>#N/A</v>
          </cell>
          <cell r="AC73" t="e">
            <v>#N/A</v>
          </cell>
          <cell r="AD73" t="str">
            <v>0159-01</v>
          </cell>
          <cell r="AE73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74">
          <cell r="A74" t="str">
            <v>160-01</v>
          </cell>
          <cell r="B74">
            <v>4015</v>
          </cell>
          <cell r="C74" t="str">
            <v>DE.1.0.7.0</v>
          </cell>
          <cell r="D74" t="str">
            <v>204:232943</v>
          </cell>
          <cell r="E74">
            <v>42583.494629629633</v>
          </cell>
          <cell r="F74">
            <v>42583.495821759258</v>
          </cell>
          <cell r="G74">
            <v>1</v>
          </cell>
          <cell r="H74" t="str">
            <v>204:145</v>
          </cell>
          <cell r="I74">
            <v>42583.526331018518</v>
          </cell>
          <cell r="J74">
            <v>0</v>
          </cell>
          <cell r="K74" t="str">
            <v>4015/4016</v>
          </cell>
          <cell r="L74" t="str">
            <v>STEWART</v>
          </cell>
          <cell r="M74">
            <v>3.050925926072523E-2</v>
          </cell>
          <cell r="N74">
            <v>43.933333335444331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https://search-rtdc-monitor-bjffxe2xuh6vdkpspy63sjmuny.us-east-1.es.amazonaws.com/_plugin/kibana/#/discover/Steve-Slow-Train-Analysis-(2080s-and-2083s)?_g=(refreshInterval:(display:Off,section:0,value:0),time:(from:'2016-08-01 10:52:16-0600',mode:absolute,to:'2016-08-01 13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4" t="str">
            <v>N</v>
          </cell>
          <cell r="X74">
            <v>1</v>
          </cell>
          <cell r="Y74">
            <v>23.2943</v>
          </cell>
          <cell r="Z74">
            <v>1.4500000000000001E-2</v>
          </cell>
          <cell r="AA74">
            <v>23.279799999999998</v>
          </cell>
          <cell r="AB74" t="e">
            <v>#N/A</v>
          </cell>
          <cell r="AC74" t="e">
            <v>#N/A</v>
          </cell>
          <cell r="AD74" t="str">
            <v>0160-01</v>
          </cell>
          <cell r="AE74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75">
          <cell r="A75" t="str">
            <v>161-01</v>
          </cell>
          <cell r="B75">
            <v>4044</v>
          </cell>
          <cell r="C75" t="str">
            <v>DE.1.0.7.0</v>
          </cell>
          <cell r="D75" t="str">
            <v>204:462</v>
          </cell>
          <cell r="E75">
            <v>42583.467442129629</v>
          </cell>
          <cell r="F75">
            <v>42583.468414351853</v>
          </cell>
          <cell r="G75">
            <v>1</v>
          </cell>
          <cell r="H75" t="str">
            <v>204:233303</v>
          </cell>
          <cell r="I75">
            <v>42583.495833333334</v>
          </cell>
          <cell r="J75">
            <v>0</v>
          </cell>
          <cell r="K75" t="str">
            <v>4043/4044</v>
          </cell>
          <cell r="L75" t="str">
            <v>GRASTON</v>
          </cell>
          <cell r="M75">
            <v>2.7418981480877846E-2</v>
          </cell>
          <cell r="N75">
            <v>39.483333332464099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https://search-rtdc-monitor-bjffxe2xuh6vdkpspy63sjmuny.us-east-1.es.amazonaws.com/_plugin/kibana/#/discover/Steve-Slow-Train-Analysis-(2080s-and-2083s)?_g=(refreshInterval:(display:Off,section:0,value:0),time:(from:'2016-08-01 10:13:07-0600',mode:absolute,to:'2016-08-01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5" t="str">
            <v>N</v>
          </cell>
          <cell r="X75">
            <v>1</v>
          </cell>
          <cell r="Y75">
            <v>4.6199999999999998E-2</v>
          </cell>
          <cell r="Z75">
            <v>23.330300000000001</v>
          </cell>
          <cell r="AA75">
            <v>23.284100000000002</v>
          </cell>
          <cell r="AB75" t="e">
            <v>#N/A</v>
          </cell>
          <cell r="AC75" t="e">
            <v>#N/A</v>
          </cell>
          <cell r="AD75" t="str">
            <v>0161-01</v>
          </cell>
          <cell r="AE75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76">
          <cell r="A76" t="str">
            <v>162-01</v>
          </cell>
          <cell r="B76">
            <v>4043</v>
          </cell>
          <cell r="C76" t="str">
            <v>DE.1.0.7.0</v>
          </cell>
          <cell r="D76" t="str">
            <v>204:232980</v>
          </cell>
          <cell r="E76">
            <v>42583.50409722222</v>
          </cell>
          <cell r="F76">
            <v>42583.505243055559</v>
          </cell>
          <cell r="G76">
            <v>1</v>
          </cell>
          <cell r="H76" t="str">
            <v>204:149</v>
          </cell>
          <cell r="I76">
            <v>42583.534791666665</v>
          </cell>
          <cell r="J76">
            <v>0</v>
          </cell>
          <cell r="K76" t="str">
            <v>4043/4044</v>
          </cell>
          <cell r="L76" t="str">
            <v>GRASTON</v>
          </cell>
          <cell r="M76">
            <v>2.954861110629281E-2</v>
          </cell>
          <cell r="N76">
            <v>42.549999993061647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https://search-rtdc-monitor-bjffxe2xuh6vdkpspy63sjmuny.us-east-1.es.amazonaws.com/_plugin/kibana/#/discover/Steve-Slow-Train-Analysis-(2080s-and-2083s)?_g=(refreshInterval:(display:Off,section:0,value:0),time:(from:'2016-08-01 11:05:54-0600',mode:absolute,to:'2016-08-01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23.297999999999998</v>
          </cell>
          <cell r="Z76">
            <v>1.49E-2</v>
          </cell>
          <cell r="AA76">
            <v>23.283099999999997</v>
          </cell>
          <cell r="AB76" t="e">
            <v>#N/A</v>
          </cell>
          <cell r="AC76" t="e">
            <v>#N/A</v>
          </cell>
          <cell r="AD76" t="str">
            <v>0162-01</v>
          </cell>
          <cell r="AE76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77">
          <cell r="A77" t="str">
            <v>163-01</v>
          </cell>
          <cell r="B77">
            <v>4027</v>
          </cell>
          <cell r="C77" t="str">
            <v>DE.1.0.7.0</v>
          </cell>
          <cell r="D77" t="str">
            <v>204:464</v>
          </cell>
          <cell r="E77">
            <v>42583.478564814817</v>
          </cell>
          <cell r="F77">
            <v>42583.479849537034</v>
          </cell>
          <cell r="G77">
            <v>1</v>
          </cell>
          <cell r="H77" t="str">
            <v>204:233314</v>
          </cell>
          <cell r="I77">
            <v>42583.512106481481</v>
          </cell>
          <cell r="J77">
            <v>0</v>
          </cell>
          <cell r="K77" t="str">
            <v>4027/4028</v>
          </cell>
          <cell r="L77" t="str">
            <v>OUN</v>
          </cell>
          <cell r="M77">
            <v>3.2256944446999114E-2</v>
          </cell>
          <cell r="N77">
            <v>46.450000003678724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https://search-rtdc-monitor-bjffxe2xuh6vdkpspy63sjmuny.us-east-1.es.amazonaws.com/_plugin/kibana/#/discover/Steve-Slow-Train-Analysis-(2080s-and-2083s)?_g=(refreshInterval:(display:Off,section:0,value:0),time:(from:'2016-08-01 10:29:08-0600',mode:absolute,to:'2016-08-01 13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23.331399999999999</v>
          </cell>
          <cell r="AA77">
            <v>23.285</v>
          </cell>
          <cell r="AB77" t="e">
            <v>#N/A</v>
          </cell>
          <cell r="AC77" t="e">
            <v>#N/A</v>
          </cell>
          <cell r="AD77" t="str">
            <v>0163-01</v>
          </cell>
          <cell r="AE77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78">
          <cell r="A78" t="str">
            <v>164-01</v>
          </cell>
          <cell r="B78">
            <v>4028</v>
          </cell>
          <cell r="C78" t="str">
            <v>DE.1.0.7.0</v>
          </cell>
          <cell r="D78" t="str">
            <v>204:233000</v>
          </cell>
          <cell r="E78">
            <v>42583.514131944445</v>
          </cell>
          <cell r="F78">
            <v>42583.515243055554</v>
          </cell>
          <cell r="G78">
            <v>1</v>
          </cell>
          <cell r="H78" t="str">
            <v>204:134</v>
          </cell>
          <cell r="I78">
            <v>42583.545590277776</v>
          </cell>
          <cell r="J78">
            <v>0</v>
          </cell>
          <cell r="K78" t="str">
            <v>4027/4028</v>
          </cell>
          <cell r="L78" t="str">
            <v>OUN</v>
          </cell>
          <cell r="M78">
            <v>3.0347222222189885E-2</v>
          </cell>
          <cell r="N78">
            <v>43.699999999953434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https://search-rtdc-monitor-bjffxe2xuh6vdkpspy63sjmuny.us-east-1.es.amazonaws.com/_plugin/kibana/#/discover/Steve-Slow-Train-Analysis-(2080s-and-2083s)?_g=(refreshInterval:(display:Off,section:0,value:0),time:(from:'2016-08-01 11:20:21-0600',mode:absolute,to:'2016-08-01 14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1.34E-2</v>
          </cell>
          <cell r="AA78">
            <v>23.2866</v>
          </cell>
          <cell r="AB78" t="e">
            <v>#N/A</v>
          </cell>
          <cell r="AC78" t="e">
            <v>#N/A</v>
          </cell>
          <cell r="AD78" t="str">
            <v>0164-01</v>
          </cell>
          <cell r="AE78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79">
          <cell r="A79" t="str">
            <v>165-01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42583.487962962965</v>
          </cell>
          <cell r="F79">
            <v>42583.492303240739</v>
          </cell>
          <cell r="G79">
            <v>6</v>
          </cell>
          <cell r="H79" t="str">
            <v>204:233312</v>
          </cell>
          <cell r="I79">
            <v>42583.521863425929</v>
          </cell>
          <cell r="J79">
            <v>0</v>
          </cell>
          <cell r="K79" t="str">
            <v>4013/4014</v>
          </cell>
          <cell r="L79" t="str">
            <v>MAYBERRY</v>
          </cell>
          <cell r="M79">
            <v>2.956018519034842E-2</v>
          </cell>
          <cell r="N79">
            <v>42.566666674101725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https://search-rtdc-monitor-bjffxe2xuh6vdkpspy63sjmuny.us-east-1.es.amazonaws.com/_plugin/kibana/#/discover/Steve-Slow-Train-Analysis-(2080s-and-2083s)?_g=(refreshInterval:(display:Off,section:0,value:0),time:(from:'2016-08-01 10:42:40-0600',mode:absolute,to:'2016-08-01 13:31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23.331199999999999</v>
          </cell>
          <cell r="AA79">
            <v>23.286799999999999</v>
          </cell>
          <cell r="AB79" t="e">
            <v>#N/A</v>
          </cell>
          <cell r="AC79" t="e">
            <v>#N/A</v>
          </cell>
          <cell r="AD79" t="str">
            <v>0165-01</v>
          </cell>
          <cell r="AE79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80">
          <cell r="A80" t="str">
            <v>166-01</v>
          </cell>
          <cell r="B80">
            <v>4013</v>
          </cell>
          <cell r="C80" t="str">
            <v>DE.1.0.7.0</v>
          </cell>
          <cell r="D80" t="str">
            <v>204:232963</v>
          </cell>
          <cell r="E80">
            <v>42583.525000000001</v>
          </cell>
          <cell r="F80">
            <v>42583.526354166665</v>
          </cell>
          <cell r="G80">
            <v>1</v>
          </cell>
          <cell r="H80" t="str">
            <v>204:227</v>
          </cell>
          <cell r="I80">
            <v>42583.558738425927</v>
          </cell>
          <cell r="J80">
            <v>4</v>
          </cell>
          <cell r="K80" t="str">
            <v>4013/4014</v>
          </cell>
          <cell r="L80" t="str">
            <v>MAYBERRY</v>
          </cell>
          <cell r="M80">
            <v>3.238425926247146E-2</v>
          </cell>
          <cell r="N80">
            <v>46.633333337958902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2.2700000000000001E-2</v>
          </cell>
          <cell r="AA80">
            <v>23.273599999999998</v>
          </cell>
          <cell r="AB80">
            <v>63309</v>
          </cell>
          <cell r="AC80" t="str">
            <v>GRADE CROSSING</v>
          </cell>
          <cell r="AD80" t="str">
            <v>0166-01</v>
          </cell>
          <cell r="AE80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81">
          <cell r="A81" t="str">
            <v>167-01</v>
          </cell>
          <cell r="B81">
            <v>4011</v>
          </cell>
          <cell r="C81" t="str">
            <v>DE.1.0.7.0</v>
          </cell>
          <cell r="D81" t="str">
            <v>204:453</v>
          </cell>
          <cell r="E81">
            <v>42583.502627314818</v>
          </cell>
          <cell r="F81">
            <v>42583.503680555557</v>
          </cell>
          <cell r="G81">
            <v>1</v>
          </cell>
          <cell r="H81" t="str">
            <v>204:233329</v>
          </cell>
          <cell r="I81">
            <v>42583.534351851849</v>
          </cell>
          <cell r="J81">
            <v>0</v>
          </cell>
          <cell r="K81" t="str">
            <v>4011/4012</v>
          </cell>
          <cell r="L81" t="str">
            <v>YOUNG</v>
          </cell>
          <cell r="M81">
            <v>3.0671296291984618E-2</v>
          </cell>
          <cell r="N81">
            <v>44.16666666045785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https://search-rtdc-monitor-bjffxe2xuh6vdkpspy63sjmuny.us-east-1.es.amazonaws.com/_plugin/kibana/#/discover/Steve-Slow-Train-Analysis-(2080s-and-2083s)?_g=(refreshInterval:(display:Off,section:0,value:0),time:(from:'2016-08-01 11:03:47-0600',mode:absolute,to:'2016-08-01 13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23.332899999999999</v>
          </cell>
          <cell r="AA81">
            <v>23.287599999999998</v>
          </cell>
          <cell r="AB81" t="e">
            <v>#N/A</v>
          </cell>
          <cell r="AC81" t="e">
            <v>#N/A</v>
          </cell>
          <cell r="AD81" t="str">
            <v>0167-01</v>
          </cell>
          <cell r="AE81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82">
          <cell r="A82" t="str">
            <v>168-01</v>
          </cell>
          <cell r="B82">
            <v>4012</v>
          </cell>
          <cell r="C82" t="str">
            <v>DE.1.0.7.0</v>
          </cell>
          <cell r="D82" t="str">
            <v>204:233013</v>
          </cell>
          <cell r="E82">
            <v>42583.535995370374</v>
          </cell>
          <cell r="F82">
            <v>42583.537187499998</v>
          </cell>
          <cell r="G82">
            <v>1</v>
          </cell>
          <cell r="H82" t="str">
            <v>204:189</v>
          </cell>
          <cell r="I82">
            <v>42583.569016203706</v>
          </cell>
          <cell r="J82">
            <v>0</v>
          </cell>
          <cell r="K82" t="str">
            <v>4011/4012</v>
          </cell>
          <cell r="L82" t="str">
            <v>YOUNG</v>
          </cell>
          <cell r="M82">
            <v>3.1828703708015382E-2</v>
          </cell>
          <cell r="N82">
            <v>45.83333333954215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https://search-rtdc-monitor-bjffxe2xuh6vdkpspy63sjmuny.us-east-1.es.amazonaws.com/_plugin/kibana/#/discover/Steve-Slow-Train-Analysis-(2080s-and-2083s)?_g=(refreshInterval:(display:Off,section:0,value:0),time:(from:'2016-08-01 11:51:50-0600',mode:absolute,to:'2016-08-01 14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23.301300000000001</v>
          </cell>
          <cell r="Z82">
            <v>1.89E-2</v>
          </cell>
          <cell r="AA82">
            <v>23.282400000000003</v>
          </cell>
          <cell r="AB82" t="e">
            <v>#N/A</v>
          </cell>
          <cell r="AC82" t="e">
            <v>#N/A</v>
          </cell>
          <cell r="AD82" t="str">
            <v>0168-01</v>
          </cell>
          <cell r="AE82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83">
          <cell r="A83" t="str">
            <v>169-01</v>
          </cell>
          <cell r="B83">
            <v>4009</v>
          </cell>
          <cell r="C83" t="str">
            <v>DE.1.0.7.0</v>
          </cell>
          <cell r="D83" t="str">
            <v>204:429</v>
          </cell>
          <cell r="E83">
            <v>42583.50712962963</v>
          </cell>
          <cell r="F83">
            <v>42583.509548611109</v>
          </cell>
          <cell r="G83">
            <v>3</v>
          </cell>
          <cell r="H83" t="str">
            <v>204:233351</v>
          </cell>
          <cell r="I83">
            <v>42583.544895833336</v>
          </cell>
          <cell r="J83">
            <v>0</v>
          </cell>
          <cell r="K83" t="str">
            <v>4009/4010</v>
          </cell>
          <cell r="L83" t="str">
            <v>STORY</v>
          </cell>
          <cell r="M83">
            <v>3.5347222226846498E-2</v>
          </cell>
          <cell r="N83">
            <v>50.900000006658956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https://search-rtdc-monitor-bjffxe2xuh6vdkpspy63sjmuny.us-east-1.es.amazonaws.com/_plugin/kibana/#/discover/Steve-Slow-Train-Analysis-(2080s-and-2083s)?_g=(refreshInterval:(display:Off,section:0,value:0),time:(from:'2016-08-01 11:10:16-0600',mode:absolute,to:'2016-08-01 14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3" t="str">
            <v>N</v>
          </cell>
          <cell r="X83">
            <v>1</v>
          </cell>
          <cell r="Y83">
            <v>4.2900000000000001E-2</v>
          </cell>
          <cell r="Z83">
            <v>23.335100000000001</v>
          </cell>
          <cell r="AA83">
            <v>23.292200000000001</v>
          </cell>
          <cell r="AB83" t="e">
            <v>#N/A</v>
          </cell>
          <cell r="AC83" t="e">
            <v>#N/A</v>
          </cell>
          <cell r="AD83" t="str">
            <v>0169-01</v>
          </cell>
          <cell r="AE83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84">
          <cell r="A84" t="str">
            <v>170-01</v>
          </cell>
          <cell r="B84">
            <v>4010</v>
          </cell>
          <cell r="C84" t="str">
            <v>DE.1.0.7.0</v>
          </cell>
          <cell r="D84" t="str">
            <v>204:233032</v>
          </cell>
          <cell r="E84">
            <v>42583.546805555554</v>
          </cell>
          <cell r="F84">
            <v>42583.548437500001</v>
          </cell>
          <cell r="G84">
            <v>2</v>
          </cell>
          <cell r="H84" t="str">
            <v>204:231</v>
          </cell>
          <cell r="I84">
            <v>42583.580474537041</v>
          </cell>
          <cell r="J84">
            <v>1</v>
          </cell>
          <cell r="K84" t="str">
            <v>4009/4010</v>
          </cell>
          <cell r="L84" t="str">
            <v>STORY</v>
          </cell>
          <cell r="M84">
            <v>3.2037037039117422E-2</v>
          </cell>
          <cell r="N84">
            <v>46.133333336329088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4" t="str">
            <v>N</v>
          </cell>
          <cell r="X84">
            <v>1</v>
          </cell>
          <cell r="Y84">
            <v>23.3032</v>
          </cell>
          <cell r="Z84">
            <v>2.3099999999999999E-2</v>
          </cell>
          <cell r="AA84">
            <v>23.280100000000001</v>
          </cell>
          <cell r="AB84" t="e">
            <v>#N/A</v>
          </cell>
          <cell r="AC84" t="e">
            <v>#N/A</v>
          </cell>
          <cell r="AD84" t="str">
            <v>0170-01</v>
          </cell>
          <cell r="AE8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85">
          <cell r="A85" t="str">
            <v>171-01</v>
          </cell>
          <cell r="B85">
            <v>4029</v>
          </cell>
          <cell r="C85" t="str">
            <v>DE.1.0.7.0</v>
          </cell>
          <cell r="D85" t="str">
            <v>204:477</v>
          </cell>
          <cell r="E85">
            <v>42583.521261574075</v>
          </cell>
          <cell r="F85">
            <v>42583.522534722222</v>
          </cell>
          <cell r="G85">
            <v>1</v>
          </cell>
          <cell r="H85" t="str">
            <v>204:233302</v>
          </cell>
          <cell r="I85">
            <v>42583.555497685185</v>
          </cell>
          <cell r="J85">
            <v>0</v>
          </cell>
          <cell r="K85" t="str">
            <v>4029/4030</v>
          </cell>
          <cell r="L85" t="str">
            <v>DE LA ROSA</v>
          </cell>
          <cell r="M85">
            <v>3.2962962963210884E-2</v>
          </cell>
          <cell r="N85">
            <v>47.466666667023674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https://search-rtdc-monitor-bjffxe2xuh6vdkpspy63sjmuny.us-east-1.es.amazonaws.com/_plugin/kibana/#/discover/Steve-Slow-Train-Analysis-(2080s-and-2083s)?_g=(refreshInterval:(display:Off,section:0,value:0),time:(from:'2016-08-01 11:30:37-0600',mode:absolute,to:'2016-08-01 14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4.7699999999999999E-2</v>
          </cell>
          <cell r="Z85">
            <v>23.330200000000001</v>
          </cell>
          <cell r="AA85">
            <v>23.282500000000002</v>
          </cell>
          <cell r="AB85" t="e">
            <v>#N/A</v>
          </cell>
          <cell r="AC85" t="e">
            <v>#N/A</v>
          </cell>
          <cell r="AD85" t="str">
            <v>0171-01</v>
          </cell>
          <cell r="AE8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86">
          <cell r="A86" t="str">
            <v>172-01</v>
          </cell>
          <cell r="B86">
            <v>4030</v>
          </cell>
          <cell r="C86" t="str">
            <v>DE.1.0.7.0</v>
          </cell>
          <cell r="D86" t="str">
            <v>204:232996</v>
          </cell>
          <cell r="E86">
            <v>42583.557430555556</v>
          </cell>
          <cell r="F86">
            <v>42583.558692129627</v>
          </cell>
          <cell r="G86">
            <v>1</v>
          </cell>
          <cell r="H86" t="str">
            <v>204:183</v>
          </cell>
          <cell r="I86">
            <v>42583.58871527778</v>
          </cell>
          <cell r="J86">
            <v>0</v>
          </cell>
          <cell r="K86" t="str">
            <v>4029/4030</v>
          </cell>
          <cell r="L86" t="str">
            <v>DE LA ROSA</v>
          </cell>
          <cell r="M86">
            <v>3.0023148152395152E-2</v>
          </cell>
          <cell r="N86">
            <v>43.233333339449018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https://search-rtdc-monitor-bjffxe2xuh6vdkpspy63sjmuny.us-east-1.es.amazonaws.com/_plugin/kibana/#/discover/Steve-Slow-Train-Analysis-(2080s-and-2083s)?_g=(refreshInterval:(display:Off,section:0,value:0),time:(from:'2016-08-01 12:22:42-0600',mode:absolute,to:'2016-08-01 15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23.299600000000002</v>
          </cell>
          <cell r="Z86">
            <v>1.83E-2</v>
          </cell>
          <cell r="AA86">
            <v>23.281300000000002</v>
          </cell>
          <cell r="AB86" t="e">
            <v>#N/A</v>
          </cell>
          <cell r="AC86" t="e">
            <v>#N/A</v>
          </cell>
          <cell r="AD86" t="str">
            <v>0172-01</v>
          </cell>
          <cell r="AE8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87">
          <cell r="A87" t="str">
            <v>173-01</v>
          </cell>
          <cell r="B87">
            <v>4016</v>
          </cell>
          <cell r="C87" t="str">
            <v>DE.1.0.7.0</v>
          </cell>
          <cell r="D87" t="str">
            <v>204:467</v>
          </cell>
          <cell r="E87">
            <v>42583.528657407405</v>
          </cell>
          <cell r="F87">
            <v>42583.529537037037</v>
          </cell>
          <cell r="G87">
            <v>1</v>
          </cell>
          <cell r="H87" t="str">
            <v>204:233305</v>
          </cell>
          <cell r="I87">
            <v>42583.559918981482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3.0381944445252884E-2</v>
          </cell>
          <cell r="N87">
            <v>43.750000001164153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https://search-rtdc-monitor-bjffxe2xuh6vdkpspy63sjmuny.us-east-1.es.amazonaws.com/_plugin/kibana/#/discover/Steve-Slow-Train-Analysis-(2080s-and-2083s)?_g=(refreshInterval:(display:Off,section:0,value:0),time:(from:'2016-08-01 11:41:16-0600',mode:absolute,to:'2016-08-01 14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7" t="str">
            <v>N</v>
          </cell>
          <cell r="X87">
            <v>1</v>
          </cell>
          <cell r="Y87">
            <v>4.6699999999999998E-2</v>
          </cell>
          <cell r="Z87">
            <v>23.330500000000001</v>
          </cell>
          <cell r="AA87">
            <v>23.283799999999999</v>
          </cell>
          <cell r="AB87" t="e">
            <v>#N/A</v>
          </cell>
          <cell r="AC87" t="e">
            <v>#N/A</v>
          </cell>
          <cell r="AD87" t="str">
            <v>0173-01</v>
          </cell>
          <cell r="AE87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88">
          <cell r="A88" t="str">
            <v>174-01</v>
          </cell>
          <cell r="B88">
            <v>4015</v>
          </cell>
          <cell r="C88" t="str">
            <v>DE.1.0.7.0</v>
          </cell>
          <cell r="D88" t="str">
            <v>204:232982</v>
          </cell>
          <cell r="E88">
            <v>42583.567395833335</v>
          </cell>
          <cell r="F88">
            <v>42583.568460648145</v>
          </cell>
          <cell r="G88">
            <v>1</v>
          </cell>
          <cell r="H88" t="str">
            <v>204:165</v>
          </cell>
          <cell r="I88">
            <v>42583.601261574076</v>
          </cell>
          <cell r="J88">
            <v>1</v>
          </cell>
          <cell r="K88" t="str">
            <v>4015/4016</v>
          </cell>
          <cell r="L88" t="str">
            <v>STEWART</v>
          </cell>
          <cell r="M88">
            <v>3.2800925931951497E-2</v>
          </cell>
          <cell r="N88">
            <v>47.233333342010155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8" t="str">
            <v>N</v>
          </cell>
          <cell r="X88">
            <v>1</v>
          </cell>
          <cell r="Y88">
            <v>23.298200000000001</v>
          </cell>
          <cell r="Z88">
            <v>1.6500000000000001E-2</v>
          </cell>
          <cell r="AA88">
            <v>23.281700000000001</v>
          </cell>
          <cell r="AB88">
            <v>63309</v>
          </cell>
          <cell r="AC88" t="str">
            <v>GRADE CROSSING</v>
          </cell>
          <cell r="AD88" t="str">
            <v>0174-01</v>
          </cell>
          <cell r="AE88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89">
          <cell r="A89" t="str">
            <v>175-01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42583.538368055553</v>
          </cell>
          <cell r="F89">
            <v>42583.539918981478</v>
          </cell>
          <cell r="G89">
            <v>2</v>
          </cell>
          <cell r="H89" t="str">
            <v>204:233295</v>
          </cell>
          <cell r="I89">
            <v>42583.568402777775</v>
          </cell>
          <cell r="J89">
            <v>0</v>
          </cell>
          <cell r="K89" t="str">
            <v>4043/4044</v>
          </cell>
          <cell r="L89" t="str">
            <v>KILLION</v>
          </cell>
          <cell r="M89">
            <v>2.8483796297223307E-2</v>
          </cell>
          <cell r="N89">
            <v>41.016666668001562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https://search-rtdc-monitor-bjffxe2xuh6vdkpspy63sjmuny.us-east-1.es.amazonaws.com/_plugin/kibana/#/discover/Steve-Slow-Train-Analysis-(2080s-and-2083s)?_g=(refreshInterval:(display:Off,section:0,value:0),time:(from:'2016-08-01 11:55:15-0600',mode:absolute,to:'2016-08-01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23.329499999999999</v>
          </cell>
          <cell r="AA89">
            <v>23.284399999999998</v>
          </cell>
          <cell r="AB89" t="e">
            <v>#N/A</v>
          </cell>
          <cell r="AC89" t="e">
            <v>#N/A</v>
          </cell>
          <cell r="AD89" t="str">
            <v>0175-01</v>
          </cell>
          <cell r="AE8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90">
          <cell r="A90" t="str">
            <v>176-01</v>
          </cell>
          <cell r="B90">
            <v>4043</v>
          </cell>
          <cell r="C90" t="str">
            <v>DE.1.0.7.0</v>
          </cell>
          <cell r="D90" t="str">
            <v>204:232983</v>
          </cell>
          <cell r="E90">
            <v>42583.574618055558</v>
          </cell>
          <cell r="F90">
            <v>42583.575578703705</v>
          </cell>
          <cell r="G90">
            <v>1</v>
          </cell>
          <cell r="H90" t="str">
            <v>204:154</v>
          </cell>
          <cell r="I90">
            <v>42583.611655092594</v>
          </cell>
          <cell r="J90">
            <v>0</v>
          </cell>
          <cell r="K90" t="str">
            <v>4043/4044</v>
          </cell>
          <cell r="L90" t="str">
            <v>KILLION</v>
          </cell>
          <cell r="M90">
            <v>3.6076388889341615E-2</v>
          </cell>
          <cell r="N90">
            <v>51.950000000651926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https://search-rtdc-monitor-bjffxe2xuh6vdkpspy63sjmuny.us-east-1.es.amazonaws.com/_plugin/kibana/#/discover/Steve-Slow-Train-Analysis-(2080s-and-2083s)?_g=(refreshInterval:(display:Off,section:0,value:0),time:(from:'2016-08-01 12:47:27-0600',mode:absolute,to:'2016-08-01 15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23.298300000000001</v>
          </cell>
          <cell r="Z90">
            <v>1.54E-2</v>
          </cell>
          <cell r="AA90">
            <v>23.282900000000001</v>
          </cell>
          <cell r="AB90" t="e">
            <v>#N/A</v>
          </cell>
          <cell r="AC90" t="e">
            <v>#N/A</v>
          </cell>
          <cell r="AD90" t="str">
            <v>0176-01</v>
          </cell>
          <cell r="AE9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91">
          <cell r="A91" t="str">
            <v>177-01</v>
          </cell>
          <cell r="B91">
            <v>4027</v>
          </cell>
          <cell r="C91" t="str">
            <v>DE.1.0.7.0</v>
          </cell>
          <cell r="D91" t="str">
            <v>204:427</v>
          </cell>
          <cell r="E91">
            <v>42583.547291666669</v>
          </cell>
          <cell r="F91">
            <v>42583.54923611111</v>
          </cell>
          <cell r="G91">
            <v>2</v>
          </cell>
          <cell r="H91" t="str">
            <v>204:233299</v>
          </cell>
          <cell r="I91">
            <v>42583.579398148147</v>
          </cell>
          <cell r="J91">
            <v>0</v>
          </cell>
          <cell r="K91" t="str">
            <v>4027/4028</v>
          </cell>
          <cell r="L91" t="str">
            <v>OUN</v>
          </cell>
          <cell r="M91">
            <v>3.0162037037371192E-2</v>
          </cell>
          <cell r="N91">
            <v>43.433333333814517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https://search-rtdc-monitor-bjffxe2xuh6vdkpspy63sjmuny.us-east-1.es.amazonaws.com/_plugin/kibana/#/discover/Steve-Slow-Train-Analysis-(2080s-and-2083s)?_g=(refreshInterval:(display:Off,section:0,value:0),time:(from:'2016-08-01 12:08:06-0600',mode:absolute,to:'2016-08-01 14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4.2700000000000002E-2</v>
          </cell>
          <cell r="Z91">
            <v>23.329899999999999</v>
          </cell>
          <cell r="AA91">
            <v>23.287199999999999</v>
          </cell>
          <cell r="AB91" t="e">
            <v>#N/A</v>
          </cell>
          <cell r="AC91" t="e">
            <v>#N/A</v>
          </cell>
          <cell r="AD91" t="str">
            <v>0177-01</v>
          </cell>
          <cell r="AE9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92">
          <cell r="A92" t="str">
            <v>178-01</v>
          </cell>
          <cell r="B92">
            <v>4028</v>
          </cell>
          <cell r="C92" t="str">
            <v>DE.1.0.7.0</v>
          </cell>
          <cell r="D92" t="str">
            <v>204:232973</v>
          </cell>
          <cell r="E92">
            <v>42583.587673611109</v>
          </cell>
          <cell r="F92">
            <v>42583.58865740741</v>
          </cell>
          <cell r="G92">
            <v>1</v>
          </cell>
          <cell r="H92" t="str">
            <v>204:141</v>
          </cell>
          <cell r="I92">
            <v>42583.621828703705</v>
          </cell>
          <cell r="J92">
            <v>0</v>
          </cell>
          <cell r="K92" t="str">
            <v>4027/4028</v>
          </cell>
          <cell r="L92" t="str">
            <v>OUN</v>
          </cell>
          <cell r="M92">
            <v>3.3171296294312924E-2</v>
          </cell>
          <cell r="N92">
            <v>47.766666663810611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https://search-rtdc-monitor-bjffxe2xuh6vdkpspy63sjmuny.us-east-1.es.amazonaws.com/_plugin/kibana/#/discover/Steve-Slow-Train-Analysis-(2080s-and-2083s)?_g=(refreshInterval:(display:Off,section:0,value:0),time:(from:'2016-08-01 13:06:15-0600',mode:absolute,to:'2016-08-01 15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1.41E-2</v>
          </cell>
          <cell r="AA92">
            <v>23.283200000000001</v>
          </cell>
          <cell r="AB92" t="e">
            <v>#N/A</v>
          </cell>
          <cell r="AC92" t="e">
            <v>#N/A</v>
          </cell>
          <cell r="AD92" t="str">
            <v>0178-01</v>
          </cell>
          <cell r="AE9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93">
          <cell r="A93" t="str">
            <v>179-01</v>
          </cell>
          <cell r="B93">
            <v>4014</v>
          </cell>
          <cell r="C93" t="str">
            <v>DE.1.0.7.0</v>
          </cell>
          <cell r="D93" t="str">
            <v>204:517</v>
          </cell>
          <cell r="E93">
            <v>42583.560104166667</v>
          </cell>
          <cell r="F93">
            <v>42583.563067129631</v>
          </cell>
          <cell r="G93">
            <v>4</v>
          </cell>
          <cell r="H93" t="str">
            <v>204:233297</v>
          </cell>
          <cell r="I93">
            <v>42583.590995370374</v>
          </cell>
          <cell r="J93">
            <v>0</v>
          </cell>
          <cell r="K93" t="str">
            <v>4013/4014</v>
          </cell>
          <cell r="L93" t="str">
            <v>MAYBERRY</v>
          </cell>
          <cell r="M93">
            <v>2.792824074276723E-2</v>
          </cell>
          <cell r="N93">
            <v>40.216666669584811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https://search-rtdc-monitor-bjffxe2xuh6vdkpspy63sjmuny.us-east-1.es.amazonaws.com/_plugin/kibana/#/discover/Steve-Slow-Train-Analysis-(2080s-and-2083s)?_g=(refreshInterval:(display:Off,section:0,value:0),time:(from:'2016-08-01 12:26:33-0600',mode:absolute,to:'2016-08-01 15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3" t="str">
            <v>N</v>
          </cell>
          <cell r="X93">
            <v>1</v>
          </cell>
          <cell r="Y93">
            <v>5.1700000000000003E-2</v>
          </cell>
          <cell r="Z93">
            <v>23.329699999999999</v>
          </cell>
          <cell r="AA93">
            <v>23.277999999999999</v>
          </cell>
          <cell r="AB93" t="e">
            <v>#N/A</v>
          </cell>
          <cell r="AC93" t="e">
            <v>#N/A</v>
          </cell>
          <cell r="AD93" t="str">
            <v>0179-01</v>
          </cell>
          <cell r="AE93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94">
          <cell r="A94" t="str">
            <v>180-01</v>
          </cell>
          <cell r="B94">
            <v>4013</v>
          </cell>
          <cell r="C94" t="str">
            <v>DE.1.0.7.0</v>
          </cell>
          <cell r="D94" t="str">
            <v>204:232983</v>
          </cell>
          <cell r="E94">
            <v>42583.596435185187</v>
          </cell>
          <cell r="F94">
            <v>42583.597569444442</v>
          </cell>
          <cell r="G94">
            <v>1</v>
          </cell>
          <cell r="H94" t="str">
            <v>204:152</v>
          </cell>
          <cell r="I94">
            <v>42583.631157407406</v>
          </cell>
          <cell r="J94">
            <v>2</v>
          </cell>
          <cell r="K94" t="str">
            <v>4013/4014</v>
          </cell>
          <cell r="L94" t="str">
            <v>MAYBERRY</v>
          </cell>
          <cell r="M94">
            <v>3.3587962963792961E-2</v>
          </cell>
          <cell r="N94">
            <v>48.366666667861864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1.52E-2</v>
          </cell>
          <cell r="AA94">
            <v>23.283100000000001</v>
          </cell>
          <cell r="AB94" t="e">
            <v>#N/A</v>
          </cell>
          <cell r="AC94" t="e">
            <v>#N/A</v>
          </cell>
          <cell r="AD94" t="str">
            <v>0180-01</v>
          </cell>
          <cell r="AE94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95">
          <cell r="A95" t="str">
            <v>181-01</v>
          </cell>
          <cell r="B95">
            <v>4011</v>
          </cell>
          <cell r="C95" t="str">
            <v>DE.1.0.7.0</v>
          </cell>
          <cell r="D95" t="str">
            <v>204:486</v>
          </cell>
          <cell r="E95">
            <v>42583.570694444446</v>
          </cell>
          <cell r="F95">
            <v>42583.571770833332</v>
          </cell>
          <cell r="G95">
            <v>1</v>
          </cell>
          <cell r="H95" t="str">
            <v>204:233301</v>
          </cell>
          <cell r="I95">
            <v>42583.600405092591</v>
          </cell>
          <cell r="J95">
            <v>0</v>
          </cell>
          <cell r="K95" t="str">
            <v>4011/4012</v>
          </cell>
          <cell r="L95" t="str">
            <v>YOUNG</v>
          </cell>
          <cell r="M95">
            <v>2.8634259258979E-2</v>
          </cell>
          <cell r="N95">
            <v>41.23333333292976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https://search-rtdc-monitor-bjffxe2xuh6vdkpspy63sjmuny.us-east-1.es.amazonaws.com/_plugin/kibana/#/discover/Steve-Slow-Train-Analysis-(2080s-and-2083s)?_g=(refreshInterval:(display:Off,section:0,value:0),time:(from:'2016-08-01 12:41:48-0600',mode:absolute,to:'2016-08-01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5" t="str">
            <v>N</v>
          </cell>
          <cell r="X95">
            <v>1</v>
          </cell>
          <cell r="Y95">
            <v>4.8599999999999997E-2</v>
          </cell>
          <cell r="Z95">
            <v>23.330100000000002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0181-01</v>
          </cell>
          <cell r="AE9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96">
          <cell r="A96" t="str">
            <v>182-01</v>
          </cell>
          <cell r="B96">
            <v>4012</v>
          </cell>
          <cell r="C96" t="str">
            <v>DE.1.0.7.0</v>
          </cell>
          <cell r="D96" t="str">
            <v>204:232990</v>
          </cell>
          <cell r="E96">
            <v>42583.605775462966</v>
          </cell>
          <cell r="F96">
            <v>42583.607523148145</v>
          </cell>
          <cell r="G96">
            <v>2</v>
          </cell>
          <cell r="H96" t="str">
            <v>204:163</v>
          </cell>
          <cell r="I96">
            <v>42583.641944444447</v>
          </cell>
          <cell r="J96">
            <v>0</v>
          </cell>
          <cell r="K96" t="str">
            <v>4011/4012</v>
          </cell>
          <cell r="L96" t="str">
            <v>YOUNG</v>
          </cell>
          <cell r="M96">
            <v>3.4421296302753035E-2</v>
          </cell>
          <cell r="N96">
            <v>49.56666667596437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https://search-rtdc-monitor-bjffxe2xuh6vdkpspy63sjmuny.us-east-1.es.amazonaws.com/_plugin/kibana/#/discover/Steve-Slow-Train-Analysis-(2080s-and-2083s)?_g=(refreshInterval:(display:Off,section:0,value:0),time:(from:'2016-08-01 13:32:19-0600',mode:absolute,to:'2016-08-01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1.6299999999999999E-2</v>
          </cell>
          <cell r="AA96">
            <v>23.282699999999998</v>
          </cell>
          <cell r="AB96" t="e">
            <v>#N/A</v>
          </cell>
          <cell r="AC96" t="e">
            <v>#N/A</v>
          </cell>
          <cell r="AD96" t="str">
            <v>0182-01</v>
          </cell>
          <cell r="AE9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97">
          <cell r="A97" t="str">
            <v>183-01</v>
          </cell>
          <cell r="B97">
            <v>4009</v>
          </cell>
          <cell r="C97" t="str">
            <v>DE.1.0.7.0</v>
          </cell>
          <cell r="D97" t="str">
            <v>204:546</v>
          </cell>
          <cell r="E97">
            <v>42583.581446759257</v>
          </cell>
          <cell r="F97">
            <v>42583.582453703704</v>
          </cell>
          <cell r="G97">
            <v>1</v>
          </cell>
          <cell r="H97" t="str">
            <v>204:233338</v>
          </cell>
          <cell r="I97">
            <v>42583.611990740741</v>
          </cell>
          <cell r="J97">
            <v>3</v>
          </cell>
          <cell r="K97" t="str">
            <v>4009/4010</v>
          </cell>
          <cell r="L97" t="str">
            <v>STORY</v>
          </cell>
          <cell r="M97">
            <v>2.9537037036789116E-2</v>
          </cell>
          <cell r="N97">
            <v>42.533333332976326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7" t="str">
            <v>N</v>
          </cell>
          <cell r="X97">
            <v>1</v>
          </cell>
          <cell r="Y97">
            <v>5.4600000000000003E-2</v>
          </cell>
          <cell r="Z97">
            <v>23.3338</v>
          </cell>
          <cell r="AA97">
            <v>23.279199999999999</v>
          </cell>
          <cell r="AB97" t="e">
            <v>#N/A</v>
          </cell>
          <cell r="AC97" t="e">
            <v>#N/A</v>
          </cell>
          <cell r="AD97" t="str">
            <v>0183-01</v>
          </cell>
          <cell r="AE97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98">
          <cell r="A98" t="str">
            <v>184-01</v>
          </cell>
          <cell r="B98">
            <v>4010</v>
          </cell>
          <cell r="C98" t="str">
            <v>DE.1.0.7.0</v>
          </cell>
          <cell r="D98" t="str">
            <v>204:233017</v>
          </cell>
          <cell r="E98">
            <v>42583.618634259263</v>
          </cell>
          <cell r="F98">
            <v>42583.620127314818</v>
          </cell>
          <cell r="G98">
            <v>2</v>
          </cell>
          <cell r="H98" t="str">
            <v>204:143</v>
          </cell>
          <cell r="I98">
            <v>42583.650949074072</v>
          </cell>
          <cell r="J98">
            <v>2</v>
          </cell>
          <cell r="K98" t="str">
            <v>4009/4010</v>
          </cell>
          <cell r="L98" t="str">
            <v>STORY</v>
          </cell>
          <cell r="M98">
            <v>3.0821759253740311E-2</v>
          </cell>
          <cell r="N98">
            <v>44.383333325386047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8" t="str">
            <v>N</v>
          </cell>
          <cell r="X98">
            <v>1</v>
          </cell>
          <cell r="Y98">
            <v>23.3017</v>
          </cell>
          <cell r="Z98">
            <v>1.43E-2</v>
          </cell>
          <cell r="AA98">
            <v>23.287400000000002</v>
          </cell>
          <cell r="AB98">
            <v>33257</v>
          </cell>
          <cell r="AC98" t="str">
            <v>GRADE CROSSING</v>
          </cell>
          <cell r="AD98" t="str">
            <v>0184-01</v>
          </cell>
          <cell r="AE98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99">
          <cell r="A99" t="str">
            <v>185-01</v>
          </cell>
          <cell r="B99">
            <v>4029</v>
          </cell>
          <cell r="C99" t="str">
            <v>DE.1.0.7.0</v>
          </cell>
          <cell r="D99" t="str">
            <v>204:478</v>
          </cell>
          <cell r="E99">
            <v>42583.590567129628</v>
          </cell>
          <cell r="F99">
            <v>42583.591574074075</v>
          </cell>
          <cell r="G99">
            <v>1</v>
          </cell>
          <cell r="H99" t="str">
            <v>204:233282</v>
          </cell>
          <cell r="I99">
            <v>42583.618923611109</v>
          </cell>
          <cell r="J99">
            <v>0</v>
          </cell>
          <cell r="K99" t="str">
            <v>4029/4030</v>
          </cell>
          <cell r="L99" t="str">
            <v>DE LA ROSA</v>
          </cell>
          <cell r="M99">
            <v>2.7349537034751847E-2</v>
          </cell>
          <cell r="N99">
            <v>39.38333333004266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https://search-rtdc-monitor-bjffxe2xuh6vdkpspy63sjmuny.us-east-1.es.amazonaws.com/_plugin/kibana/#/discover/Steve-Slow-Train-Analysis-(2080s-and-2083s)?_g=(refreshInterval:(display:Off,section:0,value:0),time:(from:'2016-08-01 13:10:25-0600',mode:absolute,to:'2016-08-01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4.7800000000000002E-2</v>
          </cell>
          <cell r="Z99">
            <v>23.328199999999999</v>
          </cell>
          <cell r="AA99">
            <v>23.2804</v>
          </cell>
          <cell r="AB99" t="e">
            <v>#N/A</v>
          </cell>
          <cell r="AC99" t="e">
            <v>#N/A</v>
          </cell>
          <cell r="AD99" t="str">
            <v>0185-01</v>
          </cell>
          <cell r="AE99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00">
          <cell r="A100" t="str">
            <v>186-01</v>
          </cell>
          <cell r="B100">
            <v>4030</v>
          </cell>
          <cell r="C100" t="str">
            <v>DE.1.0.7.0</v>
          </cell>
          <cell r="D100" t="str">
            <v>204:232977</v>
          </cell>
          <cell r="E100">
            <v>42583.628553240742</v>
          </cell>
          <cell r="F100">
            <v>42583.629421296297</v>
          </cell>
          <cell r="G100">
            <v>1</v>
          </cell>
          <cell r="H100" t="str">
            <v>204:163</v>
          </cell>
          <cell r="I100">
            <v>42583.659687500003</v>
          </cell>
          <cell r="J100">
            <v>0</v>
          </cell>
          <cell r="K100" t="str">
            <v>4029/4030</v>
          </cell>
          <cell r="L100" t="str">
            <v>DE LA ROSA</v>
          </cell>
          <cell r="M100">
            <v>3.0266203706560191E-2</v>
          </cell>
          <cell r="N100">
            <v>43.583333337446675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https://search-rtdc-monitor-bjffxe2xuh6vdkpspy63sjmuny.us-east-1.es.amazonaws.com/_plugin/kibana/#/discover/Steve-Slow-Train-Analysis-(2080s-and-2083s)?_g=(refreshInterval:(display:Off,section:0,value:0),time:(from:'2016-08-01 14:05:07-0600',mode:absolute,to:'2016-08-01 16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1.6299999999999999E-2</v>
          </cell>
          <cell r="AA100">
            <v>23.281399999999998</v>
          </cell>
          <cell r="AB100" t="e">
            <v>#N/A</v>
          </cell>
          <cell r="AC100" t="e">
            <v>#N/A</v>
          </cell>
          <cell r="AD100" t="str">
            <v>0186-01</v>
          </cell>
          <cell r="AE100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01">
          <cell r="A101" t="str">
            <v>187-01</v>
          </cell>
          <cell r="B101">
            <v>4016</v>
          </cell>
          <cell r="C101" t="str">
            <v>DE.1.0.7.0</v>
          </cell>
          <cell r="D101" t="str">
            <v>204:449</v>
          </cell>
          <cell r="E101">
            <v>42583.603217592594</v>
          </cell>
          <cell r="F101">
            <v>42583.604432870372</v>
          </cell>
          <cell r="G101">
            <v>1</v>
          </cell>
          <cell r="H101" t="str">
            <v>204:233293</v>
          </cell>
          <cell r="I101">
            <v>42583.630636574075</v>
          </cell>
          <cell r="J101">
            <v>0</v>
          </cell>
          <cell r="K101" t="str">
            <v>4015/4016</v>
          </cell>
          <cell r="L101" t="str">
            <v>STEWART</v>
          </cell>
          <cell r="M101">
            <v>2.6203703702776693E-2</v>
          </cell>
          <cell r="N101">
            <v>37.733333331998438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https://search-rtdc-monitor-bjffxe2xuh6vdkpspy63sjmuny.us-east-1.es.amazonaws.com/_plugin/kibana/#/discover/Steve-Slow-Train-Analysis-(2080s-and-2083s)?_g=(refreshInterval:(display:Off,section:0,value:0),time:(from:'2016-08-01 13:28:38-0600',mode:absolute,to:'2016-08-01 16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23.3293</v>
          </cell>
          <cell r="AA101">
            <v>23.284400000000002</v>
          </cell>
          <cell r="AB101" t="e">
            <v>#N/A</v>
          </cell>
          <cell r="AC101" t="e">
            <v>#N/A</v>
          </cell>
          <cell r="AD101" t="str">
            <v>0187-01</v>
          </cell>
          <cell r="AE101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02">
          <cell r="A102" t="str">
            <v>188-01</v>
          </cell>
          <cell r="B102">
            <v>4015</v>
          </cell>
          <cell r="C102" t="str">
            <v>DE.1.0.7.0</v>
          </cell>
          <cell r="D102" t="str">
            <v>204:232993</v>
          </cell>
          <cell r="E102">
            <v>42583.640127314815</v>
          </cell>
          <cell r="F102">
            <v>42583.640925925924</v>
          </cell>
          <cell r="G102">
            <v>1</v>
          </cell>
          <cell r="H102" t="str">
            <v>204:160</v>
          </cell>
          <cell r="I102">
            <v>42583.672256944446</v>
          </cell>
          <cell r="J102">
            <v>1</v>
          </cell>
          <cell r="K102" t="str">
            <v>4015/4016</v>
          </cell>
          <cell r="L102" t="str">
            <v>STEWART</v>
          </cell>
          <cell r="M102">
            <v>3.1331018522905651E-2</v>
          </cell>
          <cell r="N102">
            <v>45.116666672984138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N</v>
          </cell>
          <cell r="X102">
            <v>1</v>
          </cell>
          <cell r="Y102">
            <v>23.299299999999999</v>
          </cell>
          <cell r="Z102">
            <v>1.6E-2</v>
          </cell>
          <cell r="AA102">
            <v>23.283300000000001</v>
          </cell>
          <cell r="AB102">
            <v>128462</v>
          </cell>
          <cell r="AC102" t="str">
            <v>GRADE CROSSING</v>
          </cell>
          <cell r="AD102" t="str">
            <v>0188-01</v>
          </cell>
          <cell r="AE102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03">
          <cell r="A103" t="str">
            <v>189-01</v>
          </cell>
          <cell r="B103">
            <v>4044</v>
          </cell>
          <cell r="C103" t="str">
            <v>DE.1.0.7.0</v>
          </cell>
          <cell r="D103" t="str">
            <v>204:460</v>
          </cell>
          <cell r="E103">
            <v>42583.61278935185</v>
          </cell>
          <cell r="F103">
            <v>42583.613993055558</v>
          </cell>
          <cell r="G103">
            <v>1</v>
          </cell>
          <cell r="H103" t="str">
            <v>204:233255</v>
          </cell>
          <cell r="I103">
            <v>42583.644918981481</v>
          </cell>
          <cell r="J103">
            <v>1</v>
          </cell>
          <cell r="K103" t="str">
            <v>4043/4044</v>
          </cell>
          <cell r="L103" t="str">
            <v>KILLION</v>
          </cell>
          <cell r="M103">
            <v>3.0925925922929309E-2</v>
          </cell>
          <cell r="N103">
            <v>44.533333329018205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4.5999999999999999E-2</v>
          </cell>
          <cell r="Z103">
            <v>23.325500000000002</v>
          </cell>
          <cell r="AA103">
            <v>23.279500000000002</v>
          </cell>
          <cell r="AB103" t="e">
            <v>#N/A</v>
          </cell>
          <cell r="AC103" t="e">
            <v>#N/A</v>
          </cell>
          <cell r="AD103" t="str">
            <v>0189-01</v>
          </cell>
          <cell r="AE103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04">
          <cell r="A104" t="str">
            <v>190-01</v>
          </cell>
          <cell r="B104">
            <v>4043</v>
          </cell>
          <cell r="C104" t="str">
            <v>DE.1.0.7.0</v>
          </cell>
          <cell r="D104" t="str">
            <v>204:232959</v>
          </cell>
          <cell r="E104">
            <v>42583.647002314814</v>
          </cell>
          <cell r="F104">
            <v>42583.648298611108</v>
          </cell>
          <cell r="G104">
            <v>1</v>
          </cell>
          <cell r="H104" t="str">
            <v>204:165</v>
          </cell>
          <cell r="I104">
            <v>42583.681828703702</v>
          </cell>
          <cell r="J104">
            <v>1</v>
          </cell>
          <cell r="K104" t="str">
            <v>4043/4044</v>
          </cell>
          <cell r="L104" t="str">
            <v>KILLION</v>
          </cell>
          <cell r="M104">
            <v>3.3530092594446614E-2</v>
          </cell>
          <cell r="N104">
            <v>48.283333336003125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23.2959</v>
          </cell>
          <cell r="Z104">
            <v>1.6500000000000001E-2</v>
          </cell>
          <cell r="AA104">
            <v>23.279399999999999</v>
          </cell>
          <cell r="AB104" t="e">
            <v>#N/A</v>
          </cell>
          <cell r="AC104" t="e">
            <v>#N/A</v>
          </cell>
          <cell r="AD104" t="str">
            <v>0190-01</v>
          </cell>
          <cell r="AE104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05">
          <cell r="A105" t="str">
            <v>191-01</v>
          </cell>
          <cell r="B105">
            <v>4027</v>
          </cell>
          <cell r="C105" t="str">
            <v>DE.1.0.7.0</v>
          </cell>
          <cell r="D105" t="str">
            <v>204:457</v>
          </cell>
          <cell r="E105">
            <v>42583.623206018521</v>
          </cell>
          <cell r="F105">
            <v>42583.624155092592</v>
          </cell>
          <cell r="G105">
            <v>1</v>
          </cell>
          <cell r="H105" t="str">
            <v>204:233331</v>
          </cell>
          <cell r="I105">
            <v>42583.651354166665</v>
          </cell>
          <cell r="J105">
            <v>0</v>
          </cell>
          <cell r="K105" t="str">
            <v>4027/4028</v>
          </cell>
          <cell r="L105" t="str">
            <v>OUN</v>
          </cell>
          <cell r="M105">
            <v>2.7199074072996154E-2</v>
          </cell>
          <cell r="N105">
            <v>39.166666665114462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https://search-rtdc-monitor-bjffxe2xuh6vdkpspy63sjmuny.us-east-1.es.amazonaws.com/_plugin/kibana/#/discover/Steve-Slow-Train-Analysis-(2080s-and-2083s)?_g=(refreshInterval:(display:Off,section:0,value:0),time:(from:'2016-08-01 13:57:25-0600',mode:absolute,to:'2016-08-01 16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23.333100000000002</v>
          </cell>
          <cell r="AA105">
            <v>23.287400000000002</v>
          </cell>
          <cell r="AB105" t="e">
            <v>#N/A</v>
          </cell>
          <cell r="AC105" t="e">
            <v>#N/A</v>
          </cell>
          <cell r="AD105" t="str">
            <v>0191-01</v>
          </cell>
          <cell r="AE105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06">
          <cell r="A106" t="str">
            <v>192-01</v>
          </cell>
          <cell r="B106">
            <v>4028</v>
          </cell>
          <cell r="C106" t="str">
            <v>DE.1.0.7.0</v>
          </cell>
          <cell r="D106" t="str">
            <v>204:233027</v>
          </cell>
          <cell r="E106">
            <v>42583.661215277774</v>
          </cell>
          <cell r="F106">
            <v>42583.662048611113</v>
          </cell>
          <cell r="G106">
            <v>1</v>
          </cell>
          <cell r="H106" t="str">
            <v>204:154</v>
          </cell>
          <cell r="I106">
            <v>42583.694189814814</v>
          </cell>
          <cell r="J106">
            <v>0</v>
          </cell>
          <cell r="K106" t="str">
            <v>4027/4028</v>
          </cell>
          <cell r="L106" t="str">
            <v>OUN</v>
          </cell>
          <cell r="M106">
            <v>3.2141203701030463E-2</v>
          </cell>
          <cell r="N106">
            <v>46.283333329483867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https://search-rtdc-monitor-bjffxe2xuh6vdkpspy63sjmuny.us-east-1.es.amazonaws.com/_plugin/kibana/#/discover/Steve-Slow-Train-Analysis-(2080s-and-2083s)?_g=(refreshInterval:(display:Off,section:0,value:0),time:(from:'2016-08-01 14:52:09-0600',mode:absolute,to:'2016-08-01 17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23.302700000000002</v>
          </cell>
          <cell r="Z106">
            <v>1.54E-2</v>
          </cell>
          <cell r="AA106">
            <v>23.287300000000002</v>
          </cell>
          <cell r="AB106" t="e">
            <v>#N/A</v>
          </cell>
          <cell r="AC106" t="e">
            <v>#N/A</v>
          </cell>
          <cell r="AD106" t="str">
            <v>0192-01</v>
          </cell>
          <cell r="AE106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07">
          <cell r="A107" t="str">
            <v>193-01</v>
          </cell>
          <cell r="B107">
            <v>4014</v>
          </cell>
          <cell r="C107" t="str">
            <v>DE.1.0.7.0</v>
          </cell>
          <cell r="D107" t="str">
            <v>204:460</v>
          </cell>
          <cell r="E107">
            <v>42583.634710648148</v>
          </cell>
          <cell r="F107">
            <v>42583.635601851849</v>
          </cell>
          <cell r="G107">
            <v>1</v>
          </cell>
          <cell r="H107" t="str">
            <v>204:233261</v>
          </cell>
          <cell r="I107">
            <v>42583.661423611113</v>
          </cell>
          <cell r="J107">
            <v>0</v>
          </cell>
          <cell r="K107" t="str">
            <v>4013/4014</v>
          </cell>
          <cell r="L107" t="str">
            <v>MAYBERRY</v>
          </cell>
          <cell r="M107">
            <v>2.5821759263635613E-2</v>
          </cell>
          <cell r="N107">
            <v>37.183333339635283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https://search-rtdc-monitor-bjffxe2xuh6vdkpspy63sjmuny.us-east-1.es.amazonaws.com/_plugin/kibana/#/discover/Steve-Slow-Train-Analysis-(2080s-and-2083s)?_g=(refreshInterval:(display:Off,section:0,value:0),time:(from:'2016-08-01 14:13:59-0600',mode:absolute,to:'2016-08-01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23.3261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0193-01</v>
          </cell>
          <cell r="AE107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08">
          <cell r="A108" t="str">
            <v>194-01</v>
          </cell>
          <cell r="B108">
            <v>4013</v>
          </cell>
          <cell r="C108" t="str">
            <v>DE.1.0.7.0</v>
          </cell>
          <cell r="D108" t="str">
            <v>204:232963</v>
          </cell>
          <cell r="E108">
            <v>42583.671643518515</v>
          </cell>
          <cell r="F108">
            <v>42583.672453703701</v>
          </cell>
          <cell r="G108">
            <v>1</v>
          </cell>
          <cell r="H108" t="str">
            <v>204:143</v>
          </cell>
          <cell r="I108">
            <v>42583.702118055553</v>
          </cell>
          <cell r="J108">
            <v>0</v>
          </cell>
          <cell r="K108" t="str">
            <v>4013/4014</v>
          </cell>
          <cell r="L108" t="str">
            <v>MAYBERRY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https://search-rtdc-monitor-bjffxe2xuh6vdkpspy63sjmuny.us-east-1.es.amazonaws.com/_plugin/kibana/#/discover/Steve-Slow-Train-Analysis-(2080s-and-2083s)?_g=(refreshInterval:(display:Off,section:0,value:0),time:(from:'2016-08-01 15:07:10-0600',mode:absolute,to:'2016-08-01 17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1.43E-2</v>
          </cell>
          <cell r="AA108">
            <v>23.282</v>
          </cell>
          <cell r="AB108" t="e">
            <v>#N/A</v>
          </cell>
          <cell r="AC108" t="e">
            <v>#N/A</v>
          </cell>
          <cell r="AD108" t="str">
            <v>0194-01</v>
          </cell>
          <cell r="AE108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09">
          <cell r="A109" t="str">
            <v>195-01</v>
          </cell>
          <cell r="B109">
            <v>4011</v>
          </cell>
          <cell r="C109" t="str">
            <v>DE.1.0.7.0</v>
          </cell>
          <cell r="D109" t="str">
            <v>204:457</v>
          </cell>
          <cell r="E109">
            <v>42583.643437500003</v>
          </cell>
          <cell r="F109">
            <v>42583.644606481481</v>
          </cell>
          <cell r="G109">
            <v>1</v>
          </cell>
          <cell r="H109" t="str">
            <v>204:233315</v>
          </cell>
          <cell r="I109">
            <v>42583.67423611111</v>
          </cell>
          <cell r="J109">
            <v>0</v>
          </cell>
          <cell r="K109" t="str">
            <v>4011/4012</v>
          </cell>
          <cell r="L109" t="str">
            <v>YOUNG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https://search-rtdc-monitor-bjffxe2xuh6vdkpspy63sjmuny.us-east-1.es.amazonaws.com/_plugin/kibana/#/discover/Steve-Slow-Train-Analysis-(2080s-and-2083s)?_g=(refreshInterval:(display:Off,section:0,value:0),time:(from:'2016-08-01 14:26:33-0600',mode:absolute,to:'2016-08-01 17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9" t="str">
            <v>N</v>
          </cell>
          <cell r="X109">
            <v>1</v>
          </cell>
          <cell r="Y109">
            <v>4.5699999999999998E-2</v>
          </cell>
          <cell r="Z109">
            <v>23.331499999999998</v>
          </cell>
          <cell r="AA109">
            <v>23.285799999999998</v>
          </cell>
          <cell r="AB109" t="e">
            <v>#N/A</v>
          </cell>
          <cell r="AC109" t="e">
            <v>#N/A</v>
          </cell>
          <cell r="AD109" t="str">
            <v>0195-01</v>
          </cell>
          <cell r="AE109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10">
          <cell r="A110" t="str">
            <v>196-01</v>
          </cell>
          <cell r="B110">
            <v>4012</v>
          </cell>
          <cell r="C110" t="str">
            <v>DE.1.0.7.0</v>
          </cell>
          <cell r="D110" t="str">
            <v>204:233004</v>
          </cell>
          <cell r="E110">
            <v>42583.677129629628</v>
          </cell>
          <cell r="F110">
            <v>42583.678159722222</v>
          </cell>
          <cell r="G110">
            <v>1</v>
          </cell>
          <cell r="H110" t="str">
            <v>204:180</v>
          </cell>
          <cell r="I110">
            <v>42583.714375000003</v>
          </cell>
          <cell r="J110">
            <v>1</v>
          </cell>
          <cell r="K110" t="str">
            <v>4011/4012</v>
          </cell>
          <cell r="L110" t="str">
            <v>YOUNG</v>
          </cell>
          <cell r="M110">
            <v>3.6215277781593613E-2</v>
          </cell>
          <cell r="N110">
            <v>52.150000005494803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23.3004</v>
          </cell>
          <cell r="Z110">
            <v>1.7999999999999999E-2</v>
          </cell>
          <cell r="AA110">
            <v>23.282399999999999</v>
          </cell>
          <cell r="AB110" t="e">
            <v>#N/A</v>
          </cell>
          <cell r="AC110" t="e">
            <v>#N/A</v>
          </cell>
          <cell r="AD110" t="str">
            <v>0196-01</v>
          </cell>
          <cell r="AE110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11">
          <cell r="A111" t="str">
            <v>197-01</v>
          </cell>
          <cell r="B111">
            <v>4009</v>
          </cell>
          <cell r="C111" t="str">
            <v>DE.1.0.7.0</v>
          </cell>
          <cell r="D111" t="str">
            <v>204:453</v>
          </cell>
          <cell r="E111">
            <v>42583.652326388888</v>
          </cell>
          <cell r="F111">
            <v>42583.653368055559</v>
          </cell>
          <cell r="G111">
            <v>1</v>
          </cell>
          <cell r="H111" t="str">
            <v>204:233374</v>
          </cell>
          <cell r="I111">
            <v>42583.681342592594</v>
          </cell>
          <cell r="J111">
            <v>0</v>
          </cell>
          <cell r="K111" t="str">
            <v>4009/4010</v>
          </cell>
          <cell r="L111" t="str">
            <v>STORY</v>
          </cell>
          <cell r="M111">
            <v>2.7974537035333924E-2</v>
          </cell>
          <cell r="N111">
            <v>40.283333330880851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https://search-rtdc-monitor-bjffxe2xuh6vdkpspy63sjmuny.us-east-1.es.amazonaws.com/_plugin/kibana/#/discover/Steve-Slow-Train-Analysis-(2080s-and-2083s)?_g=(refreshInterval:(display:Off,section:0,value:0),time:(from:'2016-08-01 14:39:21-0600',mode:absolute,to:'2016-08-01 17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23.337399999999999</v>
          </cell>
          <cell r="AA111">
            <v>23.292099999999998</v>
          </cell>
          <cell r="AB111" t="e">
            <v>#N/A</v>
          </cell>
          <cell r="AC111" t="e">
            <v>#N/A</v>
          </cell>
          <cell r="AD111" t="str">
            <v>0197-01</v>
          </cell>
          <cell r="AE111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12">
          <cell r="A112" t="str">
            <v>198-01</v>
          </cell>
          <cell r="B112">
            <v>4010</v>
          </cell>
          <cell r="C112" t="str">
            <v>DE.1.0.7.0</v>
          </cell>
          <cell r="D112" t="str">
            <v>204:233057</v>
          </cell>
          <cell r="E112">
            <v>42583.690150462964</v>
          </cell>
          <cell r="F112">
            <v>42583.691250000003</v>
          </cell>
          <cell r="G112">
            <v>1</v>
          </cell>
          <cell r="H112" t="str">
            <v>204:114</v>
          </cell>
          <cell r="I112">
            <v>42583.723217592589</v>
          </cell>
          <cell r="J112">
            <v>0</v>
          </cell>
          <cell r="K112" t="str">
            <v>4009/4010</v>
          </cell>
          <cell r="L112" t="str">
            <v>STORY</v>
          </cell>
          <cell r="M112">
            <v>3.1967592585715465E-2</v>
          </cell>
          <cell r="N112">
            <v>46.03333332343027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https://search-rtdc-monitor-bjffxe2xuh6vdkpspy63sjmuny.us-east-1.es.amazonaws.com/_plugin/kibana/#/discover/Steve-Slow-Train-Analysis-(2080s-and-2083s)?_g=(refreshInterval:(display:Off,section:0,value:0),time:(from:'2016-08-01 15:33:49-0600',mode:absolute,to:'2016-08-01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2" t="str">
            <v>N</v>
          </cell>
          <cell r="X112">
            <v>1</v>
          </cell>
          <cell r="Y112">
            <v>23.305700000000002</v>
          </cell>
          <cell r="Z112">
            <v>1.14E-2</v>
          </cell>
          <cell r="AA112">
            <v>23.294300000000003</v>
          </cell>
          <cell r="AB112" t="e">
            <v>#N/A</v>
          </cell>
          <cell r="AC112" t="e">
            <v>#N/A</v>
          </cell>
          <cell r="AD112" t="str">
            <v>0198-01</v>
          </cell>
          <cell r="AE112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13">
          <cell r="A113" t="str">
            <v>199-01</v>
          </cell>
          <cell r="B113">
            <v>4029</v>
          </cell>
          <cell r="C113" t="str">
            <v>DE.1.0.7.0</v>
          </cell>
          <cell r="D113" t="str">
            <v>204:491</v>
          </cell>
          <cell r="E113">
            <v>42583.666435185187</v>
          </cell>
          <cell r="F113">
            <v>42583.667210648149</v>
          </cell>
          <cell r="G113">
            <v>1</v>
          </cell>
          <cell r="H113" t="str">
            <v>204:233310</v>
          </cell>
          <cell r="I113">
            <v>42583.692233796297</v>
          </cell>
          <cell r="J113">
            <v>0</v>
          </cell>
          <cell r="K113" t="str">
            <v>4029/4030</v>
          </cell>
          <cell r="L113" t="str">
            <v>DE LA ROSA</v>
          </cell>
          <cell r="M113">
            <v>2.5023148147738539E-2</v>
          </cell>
          <cell r="N113">
            <v>36.033333332743496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https://search-rtdc-monitor-bjffxe2xuh6vdkpspy63sjmuny.us-east-1.es.amazonaws.com/_plugin/kibana/#/discover/Steve-Slow-Train-Analysis-(2080s-and-2083s)?_g=(refreshInterval:(display:Off,section:0,value:0),time:(from:'2016-08-01 14:59:40-0600',mode:absolute,to:'2016-08-01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4.9099999999999998E-2</v>
          </cell>
          <cell r="Z113">
            <v>23.331</v>
          </cell>
          <cell r="AA113">
            <v>23.2819</v>
          </cell>
          <cell r="AB113" t="e">
            <v>#N/A</v>
          </cell>
          <cell r="AC113" t="e">
            <v>#N/A</v>
          </cell>
          <cell r="AD113" t="str">
            <v>0199-01</v>
          </cell>
          <cell r="AE11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14">
          <cell r="A114" t="str">
            <v>200-01</v>
          </cell>
          <cell r="B114">
            <v>4030</v>
          </cell>
          <cell r="C114" t="str">
            <v>DE.1.0.7.0</v>
          </cell>
          <cell r="D114" t="str">
            <v>204:232993</v>
          </cell>
          <cell r="E114">
            <v>42583.701770833337</v>
          </cell>
          <cell r="F114">
            <v>42583.702650462961</v>
          </cell>
          <cell r="G114">
            <v>1</v>
          </cell>
          <cell r="H114" t="str">
            <v>204:161</v>
          </cell>
          <cell r="I114">
            <v>42583.73232638889</v>
          </cell>
          <cell r="J114">
            <v>0</v>
          </cell>
          <cell r="K114" t="str">
            <v>4029/4030</v>
          </cell>
          <cell r="L114" t="str">
            <v>DE LA ROSA</v>
          </cell>
          <cell r="M114">
            <v>2.9675925929041114E-2</v>
          </cell>
          <cell r="N114">
            <v>42.733333337819204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https://search-rtdc-monitor-bjffxe2xuh6vdkpspy63sjmuny.us-east-1.es.amazonaws.com/_plugin/kibana/#/discover/Steve-Slow-Train-Analysis-(2080s-and-2083s)?_g=(refreshInterval:(display:Off,section:0,value:0),time:(from:'2016-08-01 15:50:33-0600',mode:absolute,to:'2016-08-01 18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23.299299999999999</v>
          </cell>
          <cell r="Z114">
            <v>1.61E-2</v>
          </cell>
          <cell r="AA114">
            <v>23.283199999999997</v>
          </cell>
          <cell r="AB114" t="e">
            <v>#N/A</v>
          </cell>
          <cell r="AC114" t="e">
            <v>#N/A</v>
          </cell>
          <cell r="AD114" t="str">
            <v>0200-01</v>
          </cell>
          <cell r="AE11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15">
          <cell r="A115" t="str">
            <v>201-01</v>
          </cell>
          <cell r="B115">
            <v>4016</v>
          </cell>
          <cell r="C115" t="str">
            <v>DE.1.0.7.0</v>
          </cell>
          <cell r="D115" t="str">
            <v>204:437</v>
          </cell>
          <cell r="E115">
            <v>42583.674872685187</v>
          </cell>
          <cell r="F115">
            <v>42583.675949074073</v>
          </cell>
          <cell r="G115">
            <v>1</v>
          </cell>
          <cell r="H115" t="str">
            <v>204:233297</v>
          </cell>
          <cell r="I115">
            <v>42583.703587962962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2.7638888888759539E-2</v>
          </cell>
          <cell r="N115">
            <v>39.799999999813735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https://search-rtdc-monitor-bjffxe2xuh6vdkpspy63sjmuny.us-east-1.es.amazonaws.com/_plugin/kibana/#/discover/Steve-Slow-Train-Analysis-(2080s-and-2083s)?_g=(refreshInterval:(display:Off,section:0,value:0),time:(from:'2016-08-01 15:11:49-0600',mode:absolute,to:'2016-08-01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N</v>
          </cell>
          <cell r="X115">
            <v>1</v>
          </cell>
          <cell r="Y115">
            <v>4.3700000000000003E-2</v>
          </cell>
          <cell r="Z115">
            <v>23.329699999999999</v>
          </cell>
          <cell r="AA115">
            <v>23.285999999999998</v>
          </cell>
          <cell r="AB115" t="e">
            <v>#N/A</v>
          </cell>
          <cell r="AC115" t="e">
            <v>#N/A</v>
          </cell>
          <cell r="AD115" t="str">
            <v>0201-01</v>
          </cell>
          <cell r="AE11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16">
          <cell r="A116" t="str">
            <v>202-01</v>
          </cell>
          <cell r="B116">
            <v>4015</v>
          </cell>
          <cell r="C116" t="str">
            <v>DE.1.0.7.0</v>
          </cell>
          <cell r="D116" t="str">
            <v>204:232969</v>
          </cell>
          <cell r="E116">
            <v>42583.712997685187</v>
          </cell>
          <cell r="F116">
            <v>42583.713738425926</v>
          </cell>
          <cell r="G116">
            <v>1</v>
          </cell>
          <cell r="H116" t="str">
            <v>204:150</v>
          </cell>
          <cell r="I116">
            <v>42583.744525462964</v>
          </cell>
          <cell r="J116">
            <v>0</v>
          </cell>
          <cell r="K116" t="str">
            <v>4015/4016</v>
          </cell>
          <cell r="L116" t="str">
            <v>STEWART</v>
          </cell>
          <cell r="M116">
            <v>3.0787037037953269E-2</v>
          </cell>
          <cell r="N116">
            <v>44.333333334652707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https://search-rtdc-monitor-bjffxe2xuh6vdkpspy63sjmuny.us-east-1.es.amazonaws.com/_plugin/kibana/#/discover/Steve-Slow-Train-Analysis-(2080s-and-2083s)?_g=(refreshInterval:(display:Off,section:0,value:0),time:(from:'2016-08-01 16:06:43-0600',mode:absolute,to:'2016-08-01 18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23.296900000000001</v>
          </cell>
          <cell r="Z116">
            <v>1.4999999999999999E-2</v>
          </cell>
          <cell r="AA116">
            <v>23.2819</v>
          </cell>
          <cell r="AB116" t="e">
            <v>#N/A</v>
          </cell>
          <cell r="AC116" t="e">
            <v>#N/A</v>
          </cell>
          <cell r="AD116" t="str">
            <v>0202-01</v>
          </cell>
          <cell r="AE1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17">
          <cell r="A117" t="str">
            <v>203-01</v>
          </cell>
          <cell r="B117">
            <v>4044</v>
          </cell>
          <cell r="C117" t="str">
            <v>DE.1.0.7.0</v>
          </cell>
          <cell r="D117" t="str">
            <v>204:449</v>
          </cell>
          <cell r="E117">
            <v>42583.683622685188</v>
          </cell>
          <cell r="F117">
            <v>42583.684606481482</v>
          </cell>
          <cell r="G117">
            <v>1</v>
          </cell>
          <cell r="H117" t="str">
            <v>204:233244</v>
          </cell>
          <cell r="I117">
            <v>42583.713541666664</v>
          </cell>
          <cell r="J117">
            <v>2</v>
          </cell>
          <cell r="K117" t="str">
            <v>4043/4044</v>
          </cell>
          <cell r="L117" t="str">
            <v>KILLION</v>
          </cell>
          <cell r="M117">
            <v>2.8935185182490386E-2</v>
          </cell>
          <cell r="N117">
            <v>41.666666662786156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7" t="str">
            <v>N</v>
          </cell>
          <cell r="X117">
            <v>1</v>
          </cell>
          <cell r="Y117">
            <v>4.4900000000000002E-2</v>
          </cell>
          <cell r="Z117">
            <v>23.324400000000001</v>
          </cell>
          <cell r="AA117">
            <v>23.279500000000002</v>
          </cell>
          <cell r="AB117" t="e">
            <v>#N/A</v>
          </cell>
          <cell r="AC117" t="e">
            <v>#N/A</v>
          </cell>
          <cell r="AD117" t="str">
            <v>0203-01</v>
          </cell>
          <cell r="AE1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18">
          <cell r="A118" t="str">
            <v>204-01</v>
          </cell>
          <cell r="B118">
            <v>4043</v>
          </cell>
          <cell r="C118" t="str">
            <v>DE.1.0.7.0</v>
          </cell>
          <cell r="D118" t="str">
            <v>204:232928</v>
          </cell>
          <cell r="E118">
            <v>42583.720127314817</v>
          </cell>
          <cell r="F118">
            <v>42583.720995370371</v>
          </cell>
          <cell r="G118">
            <v>1</v>
          </cell>
          <cell r="H118" t="str">
            <v>204:223</v>
          </cell>
          <cell r="I118">
            <v>42583.754247685189</v>
          </cell>
          <cell r="J118">
            <v>1</v>
          </cell>
          <cell r="K118" t="str">
            <v>4043/4044</v>
          </cell>
          <cell r="L118" t="str">
            <v>KILLION</v>
          </cell>
          <cell r="M118">
            <v>3.3252314817218576E-2</v>
          </cell>
          <cell r="N118">
            <v>47.883333336794749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23.2928</v>
          </cell>
          <cell r="Z118">
            <v>2.23E-2</v>
          </cell>
          <cell r="AA118">
            <v>23.270499999999998</v>
          </cell>
          <cell r="AB118" t="e">
            <v>#N/A</v>
          </cell>
          <cell r="AC118" t="e">
            <v>#N/A</v>
          </cell>
          <cell r="AD118" t="str">
            <v>0204-01</v>
          </cell>
          <cell r="AE11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19">
          <cell r="A119" t="str">
            <v>205-01</v>
          </cell>
          <cell r="B119">
            <v>4027</v>
          </cell>
          <cell r="C119" t="str">
            <v>DE.1.0.7.0</v>
          </cell>
          <cell r="D119" t="str">
            <v>204:446</v>
          </cell>
          <cell r="E119">
            <v>42583.695763888885</v>
          </cell>
          <cell r="F119">
            <v>42583.696770833332</v>
          </cell>
          <cell r="G119">
            <v>1</v>
          </cell>
          <cell r="H119" t="str">
            <v>204:233234</v>
          </cell>
          <cell r="I119">
            <v>42583.724317129629</v>
          </cell>
          <cell r="J119">
            <v>0</v>
          </cell>
          <cell r="K119" t="str">
            <v>4027/4028</v>
          </cell>
          <cell r="L119" t="str">
            <v>OUN</v>
          </cell>
          <cell r="M119">
            <v>2.7546296296350192E-2</v>
          </cell>
          <cell r="N119">
            <v>39.666666666744277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https://search-rtdc-monitor-bjffxe2xuh6vdkpspy63sjmuny.us-east-1.es.amazonaws.com/_plugin/kibana/#/discover/Steve-Slow-Train-Analysis-(2080s-and-2083s)?_g=(refreshInterval:(display:Off,section:0,value:0),time:(from:'2016-08-01 15:41:54-0600',mode:absolute,to:'2016-08-01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4.4600000000000001E-2</v>
          </cell>
          <cell r="Z119">
            <v>23.323399999999999</v>
          </cell>
          <cell r="AA119">
            <v>23.2788</v>
          </cell>
          <cell r="AB119" t="e">
            <v>#N/A</v>
          </cell>
          <cell r="AC119" t="e">
            <v>#N/A</v>
          </cell>
          <cell r="AD119" t="str">
            <v>0205-01</v>
          </cell>
          <cell r="AE1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20">
          <cell r="A120" t="str">
            <v>206-01</v>
          </cell>
          <cell r="B120">
            <v>4028</v>
          </cell>
          <cell r="C120" t="str">
            <v>DE.1.0.7.0</v>
          </cell>
          <cell r="D120" t="str">
            <v>204:232917</v>
          </cell>
          <cell r="E120">
            <v>42583.733761574076</v>
          </cell>
          <cell r="F120">
            <v>42583.734571759262</v>
          </cell>
          <cell r="G120">
            <v>1</v>
          </cell>
          <cell r="H120" t="str">
            <v>204:160</v>
          </cell>
          <cell r="I120">
            <v>42583.764479166668</v>
          </cell>
          <cell r="J120">
            <v>0</v>
          </cell>
          <cell r="K120" t="str">
            <v>4027/4028</v>
          </cell>
          <cell r="L120" t="str">
            <v>OUN</v>
          </cell>
          <cell r="M120">
            <v>2.9907407406426501E-2</v>
          </cell>
          <cell r="N120">
            <v>43.066666665254161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https://search-rtdc-monitor-bjffxe2xuh6vdkpspy63sjmuny.us-east-1.es.amazonaws.com/_plugin/kibana/#/discover/Steve-Slow-Train-Analysis-(2080s-and-2083s)?_g=(refreshInterval:(display:Off,section:0,value:0),time:(from:'2016-08-01 16:36:37-0600',mode:absolute,to:'2016-08-01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23.291699999999999</v>
          </cell>
          <cell r="Z120">
            <v>1.6E-2</v>
          </cell>
          <cell r="AA120">
            <v>23.275700000000001</v>
          </cell>
          <cell r="AB120" t="e">
            <v>#N/A</v>
          </cell>
          <cell r="AC120" t="e">
            <v>#N/A</v>
          </cell>
          <cell r="AD120" t="str">
            <v>0206-01</v>
          </cell>
          <cell r="AE1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21">
          <cell r="A121" t="str">
            <v>207-01</v>
          </cell>
          <cell r="B121">
            <v>4014</v>
          </cell>
          <cell r="C121" t="str">
            <v>DE.1.0.7.0</v>
          </cell>
          <cell r="D121" t="str">
            <v>204:457</v>
          </cell>
          <cell r="E121">
            <v>42583.704687500001</v>
          </cell>
          <cell r="F121">
            <v>42583.706157407411</v>
          </cell>
          <cell r="G121">
            <v>2</v>
          </cell>
          <cell r="H121" t="str">
            <v>204:233297</v>
          </cell>
          <cell r="I121">
            <v>42583.734942129631</v>
          </cell>
          <cell r="J121">
            <v>2</v>
          </cell>
          <cell r="K121" t="str">
            <v>4013/4014</v>
          </cell>
          <cell r="L121" t="str">
            <v>MAYBERRY</v>
          </cell>
          <cell r="M121">
            <v>2.8784722220734693E-2</v>
          </cell>
          <cell r="N121">
            <v>41.449999997857958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1" t="str">
            <v>N</v>
          </cell>
          <cell r="X121">
            <v>1</v>
          </cell>
          <cell r="Y121">
            <v>4.5699999999999998E-2</v>
          </cell>
          <cell r="Z121">
            <v>23.329699999999999</v>
          </cell>
          <cell r="AA121">
            <v>23.283999999999999</v>
          </cell>
          <cell r="AB121">
            <v>17867</v>
          </cell>
          <cell r="AC121" t="str">
            <v>PERMANENT SPEED RESTRICTION</v>
          </cell>
          <cell r="AD121" t="str">
            <v>0207-01</v>
          </cell>
          <cell r="AE1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22">
          <cell r="A122" t="str">
            <v>208-01</v>
          </cell>
          <cell r="B122">
            <v>4013</v>
          </cell>
          <cell r="C122" t="str">
            <v>DE.1.0.7.0</v>
          </cell>
          <cell r="D122" t="str">
            <v>204:232985</v>
          </cell>
          <cell r="E122">
            <v>42583.737627314818</v>
          </cell>
          <cell r="F122">
            <v>42583.739768518521</v>
          </cell>
          <cell r="G122">
            <v>3</v>
          </cell>
          <cell r="H122" t="str">
            <v>204:156</v>
          </cell>
          <cell r="I122">
            <v>42583.777025462965</v>
          </cell>
          <cell r="J122">
            <v>0</v>
          </cell>
          <cell r="K122" t="str">
            <v>4013/4014</v>
          </cell>
          <cell r="L122" t="str">
            <v>MAYBERRY</v>
          </cell>
          <cell r="M122">
            <v>3.7256944444379769E-2</v>
          </cell>
          <cell r="N122">
            <v>53.649999999906868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https://search-rtdc-monitor-bjffxe2xuh6vdkpspy63sjmuny.us-east-1.es.amazonaws.com/_plugin/kibana/#/discover/Steve-Slow-Train-Analysis-(2080s-and-2083s)?_g=(refreshInterval:(display:Off,section:0,value:0),time:(from:'2016-08-01 16:42:11-0600',mode:absolute,to:'2016-08-01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2" t="str">
            <v>N</v>
          </cell>
          <cell r="X122">
            <v>1</v>
          </cell>
          <cell r="Y122">
            <v>23.298500000000001</v>
          </cell>
          <cell r="Z122">
            <v>1.5599999999999999E-2</v>
          </cell>
          <cell r="AA122">
            <v>23.282900000000001</v>
          </cell>
          <cell r="AB122" t="e">
            <v>#N/A</v>
          </cell>
          <cell r="AC122" t="e">
            <v>#N/A</v>
          </cell>
          <cell r="AD122" t="str">
            <v>0208-01</v>
          </cell>
          <cell r="AE1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23">
          <cell r="A123" t="str">
            <v>209-01</v>
          </cell>
          <cell r="B123">
            <v>4011</v>
          </cell>
          <cell r="C123" t="str">
            <v>DE.1.0.7.0</v>
          </cell>
          <cell r="D123" t="str">
            <v>204:489</v>
          </cell>
          <cell r="E123">
            <v>42583.71733796296</v>
          </cell>
          <cell r="F123">
            <v>42583.718900462962</v>
          </cell>
          <cell r="G123">
            <v>2</v>
          </cell>
          <cell r="H123" t="str">
            <v>204:233284</v>
          </cell>
          <cell r="I123">
            <v>42583.744328703702</v>
          </cell>
          <cell r="J123">
            <v>0</v>
          </cell>
          <cell r="K123" t="str">
            <v>4011/4012</v>
          </cell>
          <cell r="L123" t="str">
            <v>ROBINSON</v>
          </cell>
          <cell r="M123">
            <v>2.5428240740438923E-2</v>
          </cell>
          <cell r="N123">
            <v>36.616666666232049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https://search-rtdc-monitor-bjffxe2xuh6vdkpspy63sjmuny.us-east-1.es.amazonaws.com/_plugin/kibana/#/discover/Steve-Slow-Train-Analysis-(2080s-and-2083s)?_g=(refreshInterval:(display:Off,section:0,value:0),time:(from:'2016-08-01 16:12:58-0600',mode:absolute,to:'2016-08-01 18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3" t="str">
            <v>N</v>
          </cell>
          <cell r="X123">
            <v>1</v>
          </cell>
          <cell r="Y123">
            <v>4.8899999999999999E-2</v>
          </cell>
          <cell r="Z123">
            <v>23.328399999999998</v>
          </cell>
          <cell r="AA123">
            <v>23.279499999999999</v>
          </cell>
          <cell r="AB123" t="e">
            <v>#N/A</v>
          </cell>
          <cell r="AC123" t="e">
            <v>#N/A</v>
          </cell>
          <cell r="AD123" t="str">
            <v>0209-01</v>
          </cell>
          <cell r="AE12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24">
          <cell r="A124" t="str">
            <v>210-01</v>
          </cell>
          <cell r="B124">
            <v>4012</v>
          </cell>
          <cell r="C124" t="str">
            <v>DE.1.0.7.0</v>
          </cell>
          <cell r="D124" t="str">
            <v>204:232965</v>
          </cell>
          <cell r="E124">
            <v>42583.751562500001</v>
          </cell>
          <cell r="F124">
            <v>42583.752627314818</v>
          </cell>
          <cell r="G124">
            <v>1</v>
          </cell>
          <cell r="H124" t="str">
            <v>204:169</v>
          </cell>
          <cell r="I124">
            <v>42583.784907407404</v>
          </cell>
          <cell r="J124">
            <v>0</v>
          </cell>
          <cell r="K124" t="str">
            <v>4011/4012</v>
          </cell>
          <cell r="L124" t="str">
            <v>ROBINSON</v>
          </cell>
          <cell r="M124">
            <v>3.2280092586006504E-2</v>
          </cell>
          <cell r="N124">
            <v>46.483333323849365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https://search-rtdc-monitor-bjffxe2xuh6vdkpspy63sjmuny.us-east-1.es.amazonaws.com/_plugin/kibana/#/discover/Steve-Slow-Train-Analysis-(2080s-and-2083s)?_g=(refreshInterval:(display:Off,section:0,value:0),time:(from:'2016-08-01 17:02:15-0600',mode:absolute,to:'2016-08-01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23.296500000000002</v>
          </cell>
          <cell r="Z124">
            <v>1.6899999999999998E-2</v>
          </cell>
          <cell r="AA124">
            <v>23.279600000000002</v>
          </cell>
          <cell r="AB124" t="e">
            <v>#N/A</v>
          </cell>
          <cell r="AC124" t="e">
            <v>#N/A</v>
          </cell>
          <cell r="AD124" t="str">
            <v>0210-01</v>
          </cell>
          <cell r="AE12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25">
          <cell r="A125" t="str">
            <v>211-01</v>
          </cell>
          <cell r="B125">
            <v>4009</v>
          </cell>
          <cell r="C125" t="str">
            <v>DE.1.0.7.0</v>
          </cell>
          <cell r="D125" t="str">
            <v>204:411</v>
          </cell>
          <cell r="E125">
            <v>42583.725601851853</v>
          </cell>
          <cell r="F125">
            <v>42583.726643518516</v>
          </cell>
          <cell r="G125">
            <v>1</v>
          </cell>
          <cell r="H125" t="str">
            <v>204:233308</v>
          </cell>
          <cell r="I125">
            <v>42583.756782407407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3.0138888891087845E-2</v>
          </cell>
          <cell r="N125">
            <v>43.400000003166497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https://search-rtdc-monitor-bjffxe2xuh6vdkpspy63sjmuny.us-east-1.es.amazonaws.com/_plugin/kibana/#/discover/Steve-Slow-Train-Analysis-(2080s-and-2083s)?_g=(refreshInterval:(display:Off,section:0,value:0),time:(from:'2016-08-01 16:24:52-0600',mode:absolute,to:'2016-08-01 19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5" t="str">
            <v>N</v>
          </cell>
          <cell r="X125">
            <v>1</v>
          </cell>
          <cell r="Y125">
            <v>4.1099999999999998E-2</v>
          </cell>
          <cell r="Z125">
            <v>23.3308</v>
          </cell>
          <cell r="AA125">
            <v>23.2897</v>
          </cell>
          <cell r="AB125" t="e">
            <v>#N/A</v>
          </cell>
          <cell r="AC125" t="e">
            <v>#N/A</v>
          </cell>
          <cell r="AD125" t="str">
            <v>0211-01</v>
          </cell>
          <cell r="AE1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26">
          <cell r="A126" t="str">
            <v>212-01</v>
          </cell>
          <cell r="B126">
            <v>4010</v>
          </cell>
          <cell r="C126" t="str">
            <v>DE.1.0.7.0</v>
          </cell>
          <cell r="D126" t="str">
            <v>204:232996</v>
          </cell>
          <cell r="E126">
            <v>42583.760868055557</v>
          </cell>
          <cell r="F126">
            <v>42583.762233796297</v>
          </cell>
          <cell r="G126">
            <v>1</v>
          </cell>
          <cell r="H126" t="str">
            <v>204:156</v>
          </cell>
          <cell r="I126">
            <v>42583.798275462963</v>
          </cell>
          <cell r="J126">
            <v>1</v>
          </cell>
          <cell r="K126" t="str">
            <v>4009/4010</v>
          </cell>
          <cell r="L126" t="str">
            <v>YOUNG</v>
          </cell>
          <cell r="M126">
            <v>3.6041666666278616E-2</v>
          </cell>
          <cell r="N126">
            <v>51.899999999441206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1.5599999999999999E-2</v>
          </cell>
          <cell r="AA126">
            <v>23.284000000000002</v>
          </cell>
          <cell r="AB126" t="e">
            <v>#N/A</v>
          </cell>
          <cell r="AC126" t="e">
            <v>#N/A</v>
          </cell>
          <cell r="AD126" t="str">
            <v>0212-01</v>
          </cell>
          <cell r="AE1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27">
          <cell r="A127" t="str">
            <v>213-01</v>
          </cell>
          <cell r="B127">
            <v>4029</v>
          </cell>
          <cell r="C127" t="str">
            <v>DE.1.0.7.0</v>
          </cell>
          <cell r="D127" t="str">
            <v>204:467</v>
          </cell>
          <cell r="E127">
            <v>42583.734988425924</v>
          </cell>
          <cell r="F127">
            <v>42583.736759259256</v>
          </cell>
          <cell r="G127">
            <v>2</v>
          </cell>
          <cell r="H127" t="str">
            <v>204:233303</v>
          </cell>
          <cell r="I127">
            <v>42583.764097222222</v>
          </cell>
          <cell r="J127">
            <v>0</v>
          </cell>
          <cell r="K127" t="str">
            <v>4029/4030</v>
          </cell>
          <cell r="L127" t="str">
            <v>NEWELL</v>
          </cell>
          <cell r="M127">
            <v>2.7337962965248153E-2</v>
          </cell>
          <cell r="N127">
            <v>39.36666666995734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https://search-rtdc-monitor-bjffxe2xuh6vdkpspy63sjmuny.us-east-1.es.amazonaws.com/_plugin/kibana/#/discover/Steve-Slow-Train-Analysis-(2080s-and-2083s)?_g=(refreshInterval:(display:Off,section:0,value:0),time:(from:'2016-08-01 16:38:23-0600',mode:absolute,to:'2016-08-01 19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4.6699999999999998E-2</v>
          </cell>
          <cell r="Z127">
            <v>23.330300000000001</v>
          </cell>
          <cell r="AA127">
            <v>23.2836</v>
          </cell>
          <cell r="AB127" t="e">
            <v>#N/A</v>
          </cell>
          <cell r="AC127" t="e">
            <v>#N/A</v>
          </cell>
          <cell r="AD127" t="str">
            <v>0213-01</v>
          </cell>
          <cell r="AE1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28">
          <cell r="A128" t="str">
            <v>214-01</v>
          </cell>
          <cell r="B128">
            <v>4030</v>
          </cell>
          <cell r="C128" t="str">
            <v>DE.1.0.7.0</v>
          </cell>
          <cell r="D128" t="str">
            <v>204:232996</v>
          </cell>
          <cell r="E128">
            <v>42583.77443287037</v>
          </cell>
          <cell r="F128">
            <v>42583.778749999998</v>
          </cell>
          <cell r="G128">
            <v>6</v>
          </cell>
          <cell r="H128" t="str">
            <v>204:163</v>
          </cell>
          <cell r="I128">
            <v>42583.8049537037</v>
          </cell>
          <cell r="J128">
            <v>0</v>
          </cell>
          <cell r="K128" t="str">
            <v>4029/4030</v>
          </cell>
          <cell r="L128" t="str">
            <v>NEWELL</v>
          </cell>
          <cell r="M128">
            <v>2.6203703702776693E-2</v>
          </cell>
          <cell r="N128">
            <v>37.733333331998438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https://search-rtdc-monitor-bjffxe2xuh6vdkpspy63sjmuny.us-east-1.es.amazonaws.com/_plugin/kibana/#/discover/Steve-Slow-Train-Analysis-(2080s-and-2083s)?_g=(refreshInterval:(display:Off,section:0,value:0),time:(from:'2016-08-01 17:35:11-0600',mode:absolute,to:'2016-08-01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23.299600000000002</v>
          </cell>
          <cell r="Z128">
            <v>1.6299999999999999E-2</v>
          </cell>
          <cell r="AA128">
            <v>23.283300000000001</v>
          </cell>
          <cell r="AB128" t="e">
            <v>#N/A</v>
          </cell>
          <cell r="AC128" t="e">
            <v>#N/A</v>
          </cell>
          <cell r="AD128" t="str">
            <v>0214-01</v>
          </cell>
          <cell r="AE1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29">
          <cell r="A129" t="str">
            <v>215-01</v>
          </cell>
          <cell r="B129">
            <v>4016</v>
          </cell>
          <cell r="C129" t="str">
            <v>DE.1.0.7.0</v>
          </cell>
          <cell r="D129" t="str">
            <v>204:469</v>
          </cell>
          <cell r="E129">
            <v>42583.745937500003</v>
          </cell>
          <cell r="F129">
            <v>42583.747002314813</v>
          </cell>
          <cell r="G129">
            <v>1</v>
          </cell>
          <cell r="H129" t="str">
            <v>204:233291</v>
          </cell>
          <cell r="I129">
            <v>42583.775972222225</v>
          </cell>
          <cell r="J129">
            <v>0</v>
          </cell>
          <cell r="K129" t="str">
            <v>4015/4016</v>
          </cell>
          <cell r="L129" t="str">
            <v>DE LA ROSA</v>
          </cell>
          <cell r="M129">
            <v>2.8969907412829343E-2</v>
          </cell>
          <cell r="N129">
            <v>41.716666674474254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https://search-rtdc-monitor-bjffxe2xuh6vdkpspy63sjmuny.us-east-1.es.amazonaws.com/_plugin/kibana/#/discover/Steve-Slow-Train-Analysis-(2080s-and-2083s)?_g=(refreshInterval:(display:Off,section:0,value:0),time:(from:'2016-08-01 16:54:09-0600',mode:absolute,to:'2016-08-01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9" t="str">
            <v>N</v>
          </cell>
          <cell r="X129">
            <v>1</v>
          </cell>
          <cell r="Y129">
            <v>4.6899999999999997E-2</v>
          </cell>
          <cell r="Z129">
            <v>23.3291</v>
          </cell>
          <cell r="AA129">
            <v>23.2822</v>
          </cell>
          <cell r="AB129" t="e">
            <v>#N/A</v>
          </cell>
          <cell r="AC129" t="e">
            <v>#N/A</v>
          </cell>
          <cell r="AD129" t="str">
            <v>0215-01</v>
          </cell>
          <cell r="AE1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30">
          <cell r="A130" t="str">
            <v>216-01</v>
          </cell>
          <cell r="B130">
            <v>4015</v>
          </cell>
          <cell r="C130" t="str">
            <v>DE.1.0.7.0</v>
          </cell>
          <cell r="D130" t="str">
            <v>204:232987</v>
          </cell>
          <cell r="E130">
            <v>42583.785462962966</v>
          </cell>
          <cell r="F130">
            <v>42583.786446759259</v>
          </cell>
          <cell r="G130">
            <v>1</v>
          </cell>
          <cell r="H130" t="str">
            <v>204:160</v>
          </cell>
          <cell r="I130">
            <v>42583.817060185182</v>
          </cell>
          <cell r="J130">
            <v>1</v>
          </cell>
          <cell r="K130" t="str">
            <v>4015/4016</v>
          </cell>
          <cell r="L130" t="str">
            <v>DE LA ROSA</v>
          </cell>
          <cell r="M130">
            <v>3.0613425922638271E-2</v>
          </cell>
          <cell r="N130">
            <v>44.08333332859911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1.6E-2</v>
          </cell>
          <cell r="AA130">
            <v>23.282700000000002</v>
          </cell>
          <cell r="AB130">
            <v>78469</v>
          </cell>
          <cell r="AC130" t="str">
            <v>GRADE CROSSING</v>
          </cell>
          <cell r="AD130" t="str">
            <v>0216-01</v>
          </cell>
          <cell r="AE1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31">
          <cell r="A131" t="str">
            <v>217-01</v>
          </cell>
          <cell r="B131">
            <v>4044</v>
          </cell>
          <cell r="C131" t="str">
            <v>DE.1.0.7.0</v>
          </cell>
          <cell r="D131" t="str">
            <v>204:533</v>
          </cell>
          <cell r="E131">
            <v>42583.758506944447</v>
          </cell>
          <cell r="F131">
            <v>42583.759594907409</v>
          </cell>
          <cell r="G131">
            <v>1</v>
          </cell>
          <cell r="H131" t="str">
            <v>204:233295</v>
          </cell>
          <cell r="I131">
            <v>42583.785486111112</v>
          </cell>
          <cell r="J131">
            <v>0</v>
          </cell>
          <cell r="K131" t="str">
            <v>4043/4044</v>
          </cell>
          <cell r="L131" t="str">
            <v>CHANDLER</v>
          </cell>
          <cell r="M131">
            <v>2.5891203702485655E-2</v>
          </cell>
          <cell r="N131">
            <v>37.283333331579342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https://search-rtdc-monitor-bjffxe2xuh6vdkpspy63sjmuny.us-east-1.es.amazonaws.com/_plugin/kibana/#/discover/Steve-Slow-Train-Analysis-(2080s-and-2083s)?_g=(refreshInterval:(display:Off,section:0,value:0),time:(from:'2016-08-01 17:12:15-0600',mode:absolute,to:'2016-08-01 19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1" t="str">
            <v>N</v>
          </cell>
          <cell r="X131">
            <v>1</v>
          </cell>
          <cell r="Y131">
            <v>5.33E-2</v>
          </cell>
          <cell r="Z131">
            <v>23.329499999999999</v>
          </cell>
          <cell r="AA131">
            <v>23.276199999999999</v>
          </cell>
          <cell r="AB131" t="e">
            <v>#N/A</v>
          </cell>
          <cell r="AC131" t="e">
            <v>#N/A</v>
          </cell>
          <cell r="AD131" t="str">
            <v>0217-01</v>
          </cell>
          <cell r="AE1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32">
          <cell r="A132" t="str">
            <v>218-01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42583.797407407408</v>
          </cell>
          <cell r="F132">
            <v>42583.798263888886</v>
          </cell>
          <cell r="G132">
            <v>1</v>
          </cell>
          <cell r="H132" t="str">
            <v>204:160</v>
          </cell>
          <cell r="I132">
            <v>42583.826678240737</v>
          </cell>
          <cell r="J132">
            <v>0</v>
          </cell>
          <cell r="K132" t="str">
            <v>4043/4044</v>
          </cell>
          <cell r="L132" t="str">
            <v>CHANDLER</v>
          </cell>
          <cell r="M132">
            <v>2.8414351851097308E-2</v>
          </cell>
          <cell r="N132">
            <v>40.916666665580124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https://search-rtdc-monitor-bjffxe2xuh6vdkpspy63sjmuny.us-east-1.es.amazonaws.com/_plugin/kibana/#/discover/Steve-Slow-Train-Analysis-(2080s-and-2083s)?_g=(refreshInterval:(display:Off,section:0,value:0),time:(from:'2016-08-01 18:08:16-0600',mode:absolute,to:'2016-08-01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1.6E-2</v>
          </cell>
          <cell r="AA132">
            <v>23.282800000000002</v>
          </cell>
          <cell r="AB132" t="e">
            <v>#N/A</v>
          </cell>
          <cell r="AC132" t="e">
            <v>#N/A</v>
          </cell>
          <cell r="AD132" t="str">
            <v>0218-01</v>
          </cell>
          <cell r="AE1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33">
          <cell r="A133" t="str">
            <v>219-01</v>
          </cell>
          <cell r="B133">
            <v>4027</v>
          </cell>
          <cell r="C133" t="str">
            <v>DE.1.0.7.0</v>
          </cell>
          <cell r="D133" t="str">
            <v>204:469</v>
          </cell>
          <cell r="E133">
            <v>42583.767407407409</v>
          </cell>
          <cell r="F133">
            <v>42583.770983796298</v>
          </cell>
          <cell r="G133">
            <v>5</v>
          </cell>
          <cell r="H133" t="str">
            <v>204:233287</v>
          </cell>
          <cell r="I133">
            <v>42583.796446759261</v>
          </cell>
          <cell r="J133">
            <v>0</v>
          </cell>
          <cell r="K133" t="str">
            <v>4027/4028</v>
          </cell>
          <cell r="L133" t="str">
            <v>HAITHCOX</v>
          </cell>
          <cell r="M133">
            <v>2.5462962963501923E-2</v>
          </cell>
          <cell r="N133">
            <v>36.666666667442769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https://search-rtdc-monitor-bjffxe2xuh6vdkpspy63sjmuny.us-east-1.es.amazonaws.com/_plugin/kibana/#/discover/Steve-Slow-Train-Analysis-(2080s-and-2083s)?_g=(refreshInterval:(display:Off,section:0,value:0),time:(from:'2016-08-01 17:25:04-0600',mode:absolute,to:'2016-08-01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4.6899999999999997E-2</v>
          </cell>
          <cell r="Z133">
            <v>23.328700000000001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0219-01</v>
          </cell>
          <cell r="AE1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34">
          <cell r="A134" t="str">
            <v>220-01</v>
          </cell>
          <cell r="B134">
            <v>4028</v>
          </cell>
          <cell r="C134" t="str">
            <v>DE.1.0.7.0</v>
          </cell>
          <cell r="D134" t="str">
            <v>204:232974</v>
          </cell>
          <cell r="E134">
            <v>42583.80537037037</v>
          </cell>
          <cell r="F134">
            <v>42583.80641203704</v>
          </cell>
          <cell r="G134">
            <v>1</v>
          </cell>
          <cell r="H134" t="str">
            <v>204:141</v>
          </cell>
          <cell r="I134">
            <v>42583.836944444447</v>
          </cell>
          <cell r="J134">
            <v>0</v>
          </cell>
          <cell r="K134" t="str">
            <v>4027/4028</v>
          </cell>
          <cell r="L134" t="str">
            <v>HAITHCOX</v>
          </cell>
          <cell r="M134">
            <v>3.0532407407008577E-2</v>
          </cell>
          <cell r="N134">
            <v>43.966666666092351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https://search-rtdc-monitor-bjffxe2xuh6vdkpspy63sjmuny.us-east-1.es.amazonaws.com/_plugin/kibana/#/discover/Steve-Slow-Train-Analysis-(2080s-and-2083s)?_g=(refreshInterval:(display:Off,section:0,value:0),time:(from:'2016-08-01 18:19:44-0600',mode:absolute,to:'2016-08-01 21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23.2974</v>
          </cell>
          <cell r="Z134">
            <v>1.41E-2</v>
          </cell>
          <cell r="AA134">
            <v>23.283300000000001</v>
          </cell>
          <cell r="AB134" t="e">
            <v>#N/A</v>
          </cell>
          <cell r="AC134" t="e">
            <v>#N/A</v>
          </cell>
          <cell r="AD134" t="str">
            <v>0220-01</v>
          </cell>
          <cell r="AE1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35">
          <cell r="A135" t="str">
            <v>221-01</v>
          </cell>
          <cell r="B135">
            <v>4011</v>
          </cell>
          <cell r="C135" t="str">
            <v>DE.1.0.7.0</v>
          </cell>
          <cell r="D135" t="str">
            <v>204:449</v>
          </cell>
          <cell r="E135">
            <v>42583.786597222221</v>
          </cell>
          <cell r="F135">
            <v>42583.787604166668</v>
          </cell>
          <cell r="G135">
            <v>1</v>
          </cell>
          <cell r="H135" t="str">
            <v>204:233280</v>
          </cell>
          <cell r="I135">
            <v>42583.819386574076</v>
          </cell>
          <cell r="J135">
            <v>1</v>
          </cell>
          <cell r="K135" t="str">
            <v>4011/4012</v>
          </cell>
          <cell r="L135" t="str">
            <v>ROBINSON</v>
          </cell>
          <cell r="M135">
            <v>3.178240740817273E-2</v>
          </cell>
          <cell r="N135">
            <v>45.766666667768732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23.327999999999999</v>
          </cell>
          <cell r="AA135">
            <v>23.283100000000001</v>
          </cell>
          <cell r="AB135" t="e">
            <v>#N/A</v>
          </cell>
          <cell r="AC135" t="e">
            <v>#N/A</v>
          </cell>
          <cell r="AD135" t="str">
            <v>0221-01</v>
          </cell>
          <cell r="AE13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36">
          <cell r="A136" t="str">
            <v>222-01</v>
          </cell>
          <cell r="B136">
            <v>4012</v>
          </cell>
          <cell r="C136" t="str">
            <v>DE.1.0.7.0</v>
          </cell>
          <cell r="D136" t="str">
            <v>204:232970</v>
          </cell>
          <cell r="E136">
            <v>42583.825995370367</v>
          </cell>
          <cell r="F136">
            <v>42583.827060185184</v>
          </cell>
          <cell r="G136">
            <v>1</v>
          </cell>
          <cell r="H136" t="str">
            <v>204:158</v>
          </cell>
          <cell r="I136">
            <v>42583.859571759262</v>
          </cell>
          <cell r="J136">
            <v>1</v>
          </cell>
          <cell r="K136" t="str">
            <v>4011/4012</v>
          </cell>
          <cell r="L136" t="str">
            <v>ROBINSON</v>
          </cell>
          <cell r="M136">
            <v>3.2511574077943806E-2</v>
          </cell>
          <cell r="N136">
            <v>46.81666667223908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6" t="str">
            <v>N</v>
          </cell>
          <cell r="X136">
            <v>1</v>
          </cell>
          <cell r="Y136">
            <v>23.297000000000001</v>
          </cell>
          <cell r="Z136">
            <v>1.5800000000000002E-2</v>
          </cell>
          <cell r="AA136">
            <v>23.281200000000002</v>
          </cell>
          <cell r="AB136" t="e">
            <v>#N/A</v>
          </cell>
          <cell r="AC136" t="e">
            <v>#N/A</v>
          </cell>
          <cell r="AD136" t="str">
            <v>0222-01</v>
          </cell>
          <cell r="AE13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37">
          <cell r="A137" t="str">
            <v>223-01</v>
          </cell>
          <cell r="B137">
            <v>4029</v>
          </cell>
          <cell r="C137" t="str">
            <v>DE.1.0.7.0</v>
          </cell>
          <cell r="D137" t="str">
            <v>204:446</v>
          </cell>
          <cell r="E137">
            <v>42583.806759259256</v>
          </cell>
          <cell r="F137">
            <v>42583.807766203703</v>
          </cell>
          <cell r="G137">
            <v>1</v>
          </cell>
          <cell r="H137" t="str">
            <v>204:233312</v>
          </cell>
          <cell r="I137">
            <v>42583.837210648147</v>
          </cell>
          <cell r="J137">
            <v>0</v>
          </cell>
          <cell r="K137" t="str">
            <v>4029/4030</v>
          </cell>
          <cell r="L137" t="str">
            <v>NEWELL</v>
          </cell>
          <cell r="M137">
            <v>2.9444444444379769E-2</v>
          </cell>
          <cell r="N137">
            <v>42.399999999906868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https://search-rtdc-monitor-bjffxe2xuh6vdkpspy63sjmuny.us-east-1.es.amazonaws.com/_plugin/kibana/#/discover/Steve-Slow-Train-Analysis-(2080s-and-2083s)?_g=(refreshInterval:(display:Off,section:0,value:0),time:(from:'2016-08-01 18:21:44-0600',mode:absolute,to:'2016-08-01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7" t="str">
            <v>N</v>
          </cell>
          <cell r="X137">
            <v>1</v>
          </cell>
          <cell r="Y137">
            <v>4.4600000000000001E-2</v>
          </cell>
          <cell r="Z137">
            <v>23.331199999999999</v>
          </cell>
          <cell r="AA137">
            <v>23.2866</v>
          </cell>
          <cell r="AB137" t="e">
            <v>#N/A</v>
          </cell>
          <cell r="AC137" t="e">
            <v>#N/A</v>
          </cell>
          <cell r="AD137" t="str">
            <v>0223-01</v>
          </cell>
          <cell r="AE13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38">
          <cell r="A138" t="str">
            <v>224-01</v>
          </cell>
          <cell r="B138">
            <v>4030</v>
          </cell>
          <cell r="C138" t="str">
            <v>DE.1.0.7.0</v>
          </cell>
          <cell r="D138" t="str">
            <v>204:232998</v>
          </cell>
          <cell r="E138">
            <v>42583.83861111111</v>
          </cell>
          <cell r="F138">
            <v>42583.839594907404</v>
          </cell>
          <cell r="G138">
            <v>1</v>
          </cell>
          <cell r="H138" t="str">
            <v>204:143</v>
          </cell>
          <cell r="I138">
            <v>42583.877847222226</v>
          </cell>
          <cell r="J138">
            <v>0</v>
          </cell>
          <cell r="K138" t="str">
            <v>4029/4030</v>
          </cell>
          <cell r="L138" t="str">
            <v>NEWELL</v>
          </cell>
          <cell r="M138">
            <v>3.8252314821875188E-2</v>
          </cell>
          <cell r="N138">
            <v>55.083333343500271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https://search-rtdc-monitor-bjffxe2xuh6vdkpspy63sjmuny.us-east-1.es.amazonaws.com/_plugin/kibana/#/discover/Steve-Slow-Train-Analysis-(2080s-and-2083s)?_g=(refreshInterval:(display:Off,section:0,value:0),time:(from:'2016-08-01 19:07:36-0600',mode:absolute,to:'2016-08-01 22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1.43E-2</v>
          </cell>
          <cell r="AA138">
            <v>23.285500000000003</v>
          </cell>
          <cell r="AB138" t="e">
            <v>#N/A</v>
          </cell>
          <cell r="AC138" t="e">
            <v>#N/A</v>
          </cell>
          <cell r="AD138" t="str">
            <v>0224-01</v>
          </cell>
          <cell r="AE13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39">
          <cell r="A139" t="str">
            <v>225-01</v>
          </cell>
          <cell r="B139">
            <v>4044</v>
          </cell>
          <cell r="C139" t="str">
            <v>DE.1.0.7.0</v>
          </cell>
          <cell r="D139" t="str">
            <v>204:497</v>
          </cell>
          <cell r="E139">
            <v>42583.830740740741</v>
          </cell>
          <cell r="F139">
            <v>42583.832048611112</v>
          </cell>
          <cell r="G139">
            <v>1</v>
          </cell>
          <cell r="H139" t="str">
            <v>204:233287</v>
          </cell>
          <cell r="I139">
            <v>42583.859293981484</v>
          </cell>
          <cell r="J139">
            <v>0</v>
          </cell>
          <cell r="K139" t="str">
            <v>4043/4044</v>
          </cell>
          <cell r="L139" t="str">
            <v>CHANDLER</v>
          </cell>
          <cell r="M139">
            <v>2.7245370372838806E-2</v>
          </cell>
          <cell r="N139">
            <v>39.233333336887881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https://search-rtdc-monitor-bjffxe2xuh6vdkpspy63sjmuny.us-east-1.es.amazonaws.com/_plugin/kibana/#/discover/Steve-Slow-Train-Analysis-(2080s-and-2083s)?_g=(refreshInterval:(display:Off,section:0,value:0),time:(from:'2016-08-01 18:56:16-0600',mode:absolute,to:'2016-08-01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9" t="str">
            <v>N</v>
          </cell>
          <cell r="X139">
            <v>1</v>
          </cell>
          <cell r="Y139">
            <v>4.9700000000000001E-2</v>
          </cell>
          <cell r="Z139">
            <v>23.328700000000001</v>
          </cell>
          <cell r="AA139">
            <v>23.279</v>
          </cell>
          <cell r="AB139" t="e">
            <v>#N/A</v>
          </cell>
          <cell r="AC139" t="e">
            <v>#N/A</v>
          </cell>
          <cell r="AD139" t="str">
            <v>0225-01</v>
          </cell>
          <cell r="AE13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0">
          <cell r="A140" t="str">
            <v>226-01</v>
          </cell>
          <cell r="B140">
            <v>4043</v>
          </cell>
          <cell r="C140" t="str">
            <v>DE.1.0.7.0</v>
          </cell>
          <cell r="D140" t="str">
            <v>204:232977</v>
          </cell>
          <cell r="E140">
            <v>42583.870532407411</v>
          </cell>
          <cell r="F140">
            <v>42583.871550925927</v>
          </cell>
          <cell r="G140">
            <v>1</v>
          </cell>
          <cell r="H140" t="str">
            <v>204:176</v>
          </cell>
          <cell r="I140">
            <v>42583.899756944447</v>
          </cell>
          <cell r="J140">
            <v>0</v>
          </cell>
          <cell r="K140" t="str">
            <v>4043/4044</v>
          </cell>
          <cell r="L140" t="str">
            <v>CHANDLER</v>
          </cell>
          <cell r="M140">
            <v>2.8206018519995268E-2</v>
          </cell>
          <cell r="N140">
            <v>40.616666668793187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https://search-rtdc-monitor-bjffxe2xuh6vdkpspy63sjmuny.us-east-1.es.amazonaws.com/_plugin/kibana/#/discover/Steve-Slow-Train-Analysis-(2080s-and-2083s)?_g=(refreshInterval:(display:Off,section:0,value:0),time:(from:'2016-08-01 19:53:34-0600',mode:absolute,to:'2016-08-01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1.7600000000000001E-2</v>
          </cell>
          <cell r="AA140">
            <v>23.280099999999997</v>
          </cell>
          <cell r="AB140" t="e">
            <v>#N/A</v>
          </cell>
          <cell r="AC140" t="e">
            <v>#N/A</v>
          </cell>
          <cell r="AD140" t="str">
            <v>0226-01</v>
          </cell>
          <cell r="AE14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41">
          <cell r="A141" t="str">
            <v>227-01</v>
          </cell>
          <cell r="B141">
            <v>4027</v>
          </cell>
          <cell r="C141" t="str">
            <v>DE.1.0.7.0</v>
          </cell>
          <cell r="D141" t="str">
            <v>204:437</v>
          </cell>
          <cell r="E141">
            <v>42583.850347222222</v>
          </cell>
          <cell r="F141">
            <v>42583.854456018518</v>
          </cell>
          <cell r="G141">
            <v>5</v>
          </cell>
          <cell r="H141" t="str">
            <v>204:233302</v>
          </cell>
          <cell r="I141">
            <v>42583.880104166667</v>
          </cell>
          <cell r="J141">
            <v>0</v>
          </cell>
          <cell r="K141" t="str">
            <v>4027/4028</v>
          </cell>
          <cell r="L141" t="str">
            <v>HAITHCOX</v>
          </cell>
          <cell r="M141">
            <v>2.5648148148320615E-2</v>
          </cell>
          <cell r="N141">
            <v>36.933333333581686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https://search-rtdc-monitor-bjffxe2xuh6vdkpspy63sjmuny.us-east-1.es.amazonaws.com/_plugin/kibana/#/discover/Steve-Slow-Train-Analysis-(2080s-and-2083s)?_g=(refreshInterval:(display:Off,section:0,value:0),time:(from:'2016-08-01 19:24:30-0600',mode:absolute,to:'2016-08-01 22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4.3700000000000003E-2</v>
          </cell>
          <cell r="Z141">
            <v>23.330200000000001</v>
          </cell>
          <cell r="AA141">
            <v>23.2865</v>
          </cell>
          <cell r="AB141" t="e">
            <v>#N/A</v>
          </cell>
          <cell r="AC141" t="e">
            <v>#N/A</v>
          </cell>
          <cell r="AD141" t="str">
            <v>0227-01</v>
          </cell>
          <cell r="AE14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42">
          <cell r="A142" t="str">
            <v>228-01</v>
          </cell>
          <cell r="B142">
            <v>4028</v>
          </cell>
          <cell r="C142" t="str">
            <v>DE.1.0.7.0</v>
          </cell>
          <cell r="D142" t="str">
            <v>204:232998</v>
          </cell>
          <cell r="E142">
            <v>42583.888680555552</v>
          </cell>
          <cell r="F142">
            <v>42583.890497685185</v>
          </cell>
          <cell r="G142">
            <v>2</v>
          </cell>
          <cell r="H142" t="str">
            <v>204:134</v>
          </cell>
          <cell r="I142">
            <v>42583.924340277779</v>
          </cell>
          <cell r="J142">
            <v>1</v>
          </cell>
          <cell r="K142" t="str">
            <v>4027/4028</v>
          </cell>
          <cell r="L142" t="str">
            <v>HAITHCOX</v>
          </cell>
          <cell r="M142">
            <v>3.3842592594737653E-2</v>
          </cell>
          <cell r="N142">
            <v>48.73333333642222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23.299800000000001</v>
          </cell>
          <cell r="Z142">
            <v>1.34E-2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0228-01</v>
          </cell>
          <cell r="AE14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43">
          <cell r="A143" t="str">
            <v>229-01</v>
          </cell>
          <cell r="B143">
            <v>4011</v>
          </cell>
          <cell r="C143" t="str">
            <v>DE.1.0.7.0</v>
          </cell>
          <cell r="D143" t="str">
            <v>204:458</v>
          </cell>
          <cell r="E143">
            <v>42583.868993055556</v>
          </cell>
          <cell r="F143">
            <v>42583.87</v>
          </cell>
          <cell r="G143">
            <v>1</v>
          </cell>
          <cell r="H143" t="str">
            <v>204:233291</v>
          </cell>
          <cell r="I143">
            <v>42583.903703703705</v>
          </cell>
          <cell r="J143">
            <v>0</v>
          </cell>
          <cell r="K143" t="str">
            <v>4011/4012</v>
          </cell>
          <cell r="L143" t="str">
            <v>ROBINSON</v>
          </cell>
          <cell r="M143">
            <v>3.3703703702485655E-2</v>
          </cell>
          <cell r="N143">
            <v>48.533333331579342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https://search-rtdc-monitor-bjffxe2xuh6vdkpspy63sjmuny.us-east-1.es.amazonaws.com/_plugin/kibana/#/discover/Steve-Slow-Train-Analysis-(2080s-and-2083s)?_g=(refreshInterval:(display:Off,section:0,value:0),time:(from:'2016-08-01 19:51:21-0600',mode:absolute,to:'2016-08-01 22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3" t="str">
            <v>N</v>
          </cell>
          <cell r="X143">
            <v>1</v>
          </cell>
          <cell r="Y143">
            <v>4.58E-2</v>
          </cell>
          <cell r="Z143">
            <v>23.3291</v>
          </cell>
          <cell r="AA143">
            <v>23.283300000000001</v>
          </cell>
          <cell r="AB143" t="e">
            <v>#N/A</v>
          </cell>
          <cell r="AC143" t="e">
            <v>#N/A</v>
          </cell>
          <cell r="AD143" t="str">
            <v>0229-01</v>
          </cell>
          <cell r="AE14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44">
          <cell r="A144" t="str">
            <v>230-01</v>
          </cell>
          <cell r="B144">
            <v>4012</v>
          </cell>
          <cell r="C144" t="str">
            <v>DE.1.0.7.0</v>
          </cell>
          <cell r="D144" t="str">
            <v>204:232981</v>
          </cell>
          <cell r="E144">
            <v>42583.908761574072</v>
          </cell>
          <cell r="F144">
            <v>42583.90960648148</v>
          </cell>
          <cell r="G144">
            <v>1</v>
          </cell>
          <cell r="H144" t="str">
            <v>204:174</v>
          </cell>
          <cell r="I144">
            <v>42583.943796296298</v>
          </cell>
          <cell r="J144">
            <v>1</v>
          </cell>
          <cell r="K144" t="str">
            <v>4011/4012</v>
          </cell>
          <cell r="L144" t="str">
            <v>ROBINSON</v>
          </cell>
          <cell r="M144">
            <v>3.4189814818091691E-2</v>
          </cell>
          <cell r="N144">
            <v>49.233333338052034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4" t="str">
            <v>N</v>
          </cell>
          <cell r="X144">
            <v>1</v>
          </cell>
          <cell r="Y144">
            <v>23.298100000000002</v>
          </cell>
          <cell r="Z144">
            <v>1.7399999999999999E-2</v>
          </cell>
          <cell r="AA144">
            <v>23.280700000000003</v>
          </cell>
          <cell r="AB144" t="e">
            <v>#N/A</v>
          </cell>
          <cell r="AC144" t="e">
            <v>#N/A</v>
          </cell>
          <cell r="AD144" t="str">
            <v>0230-01</v>
          </cell>
          <cell r="AE14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45">
          <cell r="A145" t="str">
            <v>231-01</v>
          </cell>
          <cell r="B145">
            <v>4029</v>
          </cell>
          <cell r="C145" t="str">
            <v>DE.1.0.7.0</v>
          </cell>
          <cell r="D145" t="str">
            <v>204:469</v>
          </cell>
          <cell r="E145">
            <v>42583.892604166664</v>
          </cell>
          <cell r="F145">
            <v>42583.89371527778</v>
          </cell>
          <cell r="G145">
            <v>1</v>
          </cell>
          <cell r="H145" t="str">
            <v>204:233353</v>
          </cell>
          <cell r="I145">
            <v>42583.921967592592</v>
          </cell>
          <cell r="J145">
            <v>0</v>
          </cell>
          <cell r="K145" t="str">
            <v>4029/4030</v>
          </cell>
          <cell r="L145" t="str">
            <v>NEWELL</v>
          </cell>
          <cell r="M145">
            <v>2.8252314812561963E-2</v>
          </cell>
          <cell r="N145">
            <v>40.683333330089226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https://search-rtdc-monitor-bjffxe2xuh6vdkpspy63sjmuny.us-east-1.es.amazonaws.com/_plugin/kibana/#/discover/Steve-Slow-Train-Analysis-(2080s-and-2083s)?_g=(refreshInterval:(display:Off,section:0,value:0),time:(from:'2016-08-01 20:25:21-0600',mode:absolute,to:'2016-08-01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23.3353</v>
          </cell>
          <cell r="AA145">
            <v>23.288399999999999</v>
          </cell>
          <cell r="AB145" t="e">
            <v>#N/A</v>
          </cell>
          <cell r="AC145" t="e">
            <v>#N/A</v>
          </cell>
          <cell r="AD145" t="str">
            <v>0231-01</v>
          </cell>
          <cell r="AE14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46">
          <cell r="A146" t="str">
            <v>232-01</v>
          </cell>
          <cell r="B146">
            <v>4030</v>
          </cell>
          <cell r="C146" t="str">
            <v>DE.1.0.7.0</v>
          </cell>
          <cell r="D146" t="str">
            <v>204:232998</v>
          </cell>
          <cell r="E146">
            <v>42583.932141203702</v>
          </cell>
          <cell r="F146">
            <v>42583.933148148149</v>
          </cell>
          <cell r="G146">
            <v>1</v>
          </cell>
          <cell r="H146" t="str">
            <v>204:158</v>
          </cell>
          <cell r="I146">
            <v>42583.9612037037</v>
          </cell>
          <cell r="J146">
            <v>0</v>
          </cell>
          <cell r="K146" t="str">
            <v>4029/4030</v>
          </cell>
          <cell r="L146" t="str">
            <v>NEWELL</v>
          </cell>
          <cell r="M146">
            <v>2.8055555550963618E-2</v>
          </cell>
          <cell r="N146">
            <v>40.39999999338761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https://search-rtdc-monitor-bjffxe2xuh6vdkpspy63sjmuny.us-east-1.es.amazonaws.com/_plugin/kibana/#/discover/Steve-Slow-Train-Analysis-(2080s-and-2083s)?_g=(refreshInterval:(display:Off,section:0,value:0),time:(from:'2016-08-01 21:22:17-0600',mode:absolute,to:'2016-08-02 00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6" t="str">
            <v>N</v>
          </cell>
          <cell r="X146">
            <v>1</v>
          </cell>
          <cell r="Y146">
            <v>23.299800000000001</v>
          </cell>
          <cell r="Z146">
            <v>1.5800000000000002E-2</v>
          </cell>
          <cell r="AA146">
            <v>23.284000000000002</v>
          </cell>
          <cell r="AB146" t="e">
            <v>#N/A</v>
          </cell>
          <cell r="AC146" t="e">
            <v>#N/A</v>
          </cell>
          <cell r="AD146" t="str">
            <v>0232-01</v>
          </cell>
          <cell r="AE14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47">
          <cell r="A147" t="str">
            <v>233-01</v>
          </cell>
          <cell r="B147">
            <v>4044</v>
          </cell>
          <cell r="C147" t="str">
            <v>DE.1.0.7.0</v>
          </cell>
          <cell r="D147" t="str">
            <v>204:467</v>
          </cell>
          <cell r="E147">
            <v>42583.90997685185</v>
          </cell>
          <cell r="F147">
            <v>42583.91101851852</v>
          </cell>
          <cell r="G147">
            <v>1</v>
          </cell>
          <cell r="H147" t="str">
            <v>204:36932</v>
          </cell>
          <cell r="I147">
            <v>42583.925185185188</v>
          </cell>
          <cell r="J147">
            <v>3</v>
          </cell>
          <cell r="K147" t="str">
            <v>4043/4044</v>
          </cell>
          <cell r="L147" t="str">
            <v>CHANDLER</v>
          </cell>
          <cell r="M147">
            <v>1.4166666667733807E-2</v>
          </cell>
          <cell r="P147">
            <v>45.86666667019017</v>
          </cell>
          <cell r="R147" t="str">
            <v>Wi-MAX outage</v>
          </cell>
          <cell r="S147">
            <v>0.5</v>
          </cell>
          <cell r="T147" t="str">
            <v>NorthBound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7" t="str">
            <v>Y</v>
          </cell>
          <cell r="X147">
            <v>1</v>
          </cell>
          <cell r="Y147">
            <v>4.6699999999999998E-2</v>
          </cell>
          <cell r="Z147">
            <v>3.6932</v>
          </cell>
          <cell r="AA147">
            <v>3.6465000000000001</v>
          </cell>
          <cell r="AB147" t="e">
            <v>#N/A</v>
          </cell>
          <cell r="AC147" t="e">
            <v>#N/A</v>
          </cell>
          <cell r="AD147" t="str">
            <v>0233-01</v>
          </cell>
          <cell r="AE1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8">
          <cell r="A148" t="str">
            <v>233-01</v>
          </cell>
          <cell r="B148">
            <v>4044</v>
          </cell>
          <cell r="C148" t="str">
            <v>DE.1.0.7.0</v>
          </cell>
          <cell r="D148" t="str">
            <v>204:64688</v>
          </cell>
          <cell r="E148">
            <v>42583.930474537039</v>
          </cell>
          <cell r="F148">
            <v>42583.931111111109</v>
          </cell>
          <cell r="G148">
            <v>0</v>
          </cell>
          <cell r="H148" t="str">
            <v>204:233291</v>
          </cell>
          <cell r="I148">
            <v>42583.948796296296</v>
          </cell>
          <cell r="J148">
            <v>0</v>
          </cell>
          <cell r="K148" t="str">
            <v>4043/4044</v>
          </cell>
          <cell r="L148" t="str">
            <v>CHANDLER</v>
          </cell>
          <cell r="M148">
            <v>1.7685185186564922E-2</v>
          </cell>
          <cell r="T148" t="str">
            <v>NorthBound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https://search-rtdc-monitor-bjffxe2xuh6vdkpspy63sjmuny.us-east-1.es.amazonaws.com/_plugin/kibana/#/discover/Steve-Slow-Train-Analysis-(2080s-and-2083s)?_g=(refreshInterval:(display:Off,section:0,value:0),time:(from:'2016-08-01 21:19:53-0600',mode:absolute,to:'2016-08-01 23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8" t="str">
            <v>Y</v>
          </cell>
          <cell r="X148">
            <v>0</v>
          </cell>
          <cell r="Y148">
            <v>6.4687999999999999</v>
          </cell>
          <cell r="Z148">
            <v>23.3291</v>
          </cell>
          <cell r="AA148">
            <v>16.860300000000002</v>
          </cell>
          <cell r="AB148" t="e">
            <v>#N/A</v>
          </cell>
          <cell r="AC148" t="e">
            <v>#N/A</v>
          </cell>
          <cell r="AD148" t="str">
            <v>0233-01</v>
          </cell>
          <cell r="AE148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9">
          <cell r="A149" t="str">
            <v>234-01</v>
          </cell>
          <cell r="B149">
            <v>4043</v>
          </cell>
          <cell r="C149" t="str">
            <v>DE.1.0.7.0</v>
          </cell>
          <cell r="D149" t="str">
            <v>204:232982</v>
          </cell>
          <cell r="E149">
            <v>42583.953726851854</v>
          </cell>
          <cell r="F149">
            <v>42583.954687500001</v>
          </cell>
          <cell r="G149">
            <v>1</v>
          </cell>
          <cell r="H149" t="str">
            <v>204:161</v>
          </cell>
          <cell r="I149">
            <v>42583.983634259261</v>
          </cell>
          <cell r="J149">
            <v>0</v>
          </cell>
          <cell r="K149" t="str">
            <v>4043/4044</v>
          </cell>
          <cell r="L149" t="str">
            <v>CHANDLER</v>
          </cell>
          <cell r="M149">
            <v>2.8946759259270038E-2</v>
          </cell>
          <cell r="N149">
            <v>41.683333333348855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https://search-rtdc-monitor-bjffxe2xuh6vdkpspy63sjmuny.us-east-1.es.amazonaws.com/_plugin/kibana/#/discover/Steve-Slow-Train-Analysis-(2080s-and-2083s)?_g=(refreshInterval:(display:Off,section:0,value:0),time:(from:'2016-08-01 21:53:22-0600',mode:absolute,to:'2016-08-02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9" t="str">
            <v>N</v>
          </cell>
          <cell r="X149">
            <v>1</v>
          </cell>
          <cell r="Y149">
            <v>23.298200000000001</v>
          </cell>
          <cell r="Z149">
            <v>1.61E-2</v>
          </cell>
          <cell r="AA149">
            <v>23.2821</v>
          </cell>
          <cell r="AB149" t="e">
            <v>#N/A</v>
          </cell>
          <cell r="AC149" t="e">
            <v>#N/A</v>
          </cell>
          <cell r="AD149" t="str">
            <v>0234-01</v>
          </cell>
          <cell r="AE149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50">
          <cell r="A150" t="str">
            <v>235-01</v>
          </cell>
          <cell r="B150">
            <v>4027</v>
          </cell>
          <cell r="C150" t="str">
            <v>DE.1.0.7.0</v>
          </cell>
          <cell r="D150" t="str">
            <v>204:457</v>
          </cell>
          <cell r="E150">
            <v>42583.936921296299</v>
          </cell>
          <cell r="F150">
            <v>42583.937835648147</v>
          </cell>
          <cell r="G150">
            <v>1</v>
          </cell>
          <cell r="H150" t="str">
            <v>204:233291</v>
          </cell>
          <cell r="I150">
            <v>42583.963275462964</v>
          </cell>
          <cell r="J150">
            <v>0</v>
          </cell>
          <cell r="K150" t="str">
            <v>4027/4028</v>
          </cell>
          <cell r="L150" t="str">
            <v>HAITHCOX</v>
          </cell>
          <cell r="M150">
            <v>2.5439814817218576E-2</v>
          </cell>
          <cell r="N150">
            <v>36.633333336794749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https://search-rtdc-monitor-bjffxe2xuh6vdkpspy63sjmuny.us-east-1.es.amazonaws.com/_plugin/kibana/#/discover/Steve-Slow-Train-Analysis-(2080s-and-2083s)?_g=(refreshInterval:(display:Off,section:0,value:0),time:(from:'2016-08-01 21:29:10-0600',mode:absolute,to:'2016-08-02 00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23.3291</v>
          </cell>
          <cell r="AA150">
            <v>23.2834</v>
          </cell>
          <cell r="AB150" t="e">
            <v>#N/A</v>
          </cell>
          <cell r="AC150" t="e">
            <v>#N/A</v>
          </cell>
          <cell r="AD150" t="str">
            <v>0235-01</v>
          </cell>
          <cell r="AE150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51">
          <cell r="A151" t="str">
            <v>236-01</v>
          </cell>
          <cell r="B151">
            <v>4028</v>
          </cell>
          <cell r="C151" t="str">
            <v>DE.1.0.7.0</v>
          </cell>
          <cell r="D151" t="str">
            <v>204:232994</v>
          </cell>
          <cell r="E151">
            <v>42583.971886574072</v>
          </cell>
          <cell r="F151">
            <v>42583.973530092589</v>
          </cell>
          <cell r="G151">
            <v>2</v>
          </cell>
          <cell r="H151" t="str">
            <v>204:163</v>
          </cell>
          <cell r="I151">
            <v>42584.002997685187</v>
          </cell>
          <cell r="J151">
            <v>0</v>
          </cell>
          <cell r="K151" t="str">
            <v>4027/4028</v>
          </cell>
          <cell r="L151" t="str">
            <v>HAITHCOX</v>
          </cell>
          <cell r="M151">
            <v>2.9467592597939074E-2</v>
          </cell>
          <cell r="N151">
            <v>42.433333341032267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https://search-rtdc-monitor-bjffxe2xuh6vdkpspy63sjmuny.us-east-1.es.amazonaws.com/_plugin/kibana/#/discover/Steve-Slow-Train-Analysis-(2080s-and-2083s)?_g=(refreshInterval:(display:Off,section:0,value:0),time:(from:'2016-08-01 22:19:31-0600',mode:absolute,to:'2016-08-02 01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1.6299999999999999E-2</v>
          </cell>
          <cell r="AA151">
            <v>23.283099999999997</v>
          </cell>
          <cell r="AB151" t="e">
            <v>#N/A</v>
          </cell>
          <cell r="AC151" t="e">
            <v>#N/A</v>
          </cell>
          <cell r="AD151" t="str">
            <v>0236-01</v>
          </cell>
          <cell r="AE151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52">
          <cell r="A152" t="str">
            <v>237-01</v>
          </cell>
          <cell r="B152">
            <v>4011</v>
          </cell>
          <cell r="C152" t="str">
            <v>DE.1.0.7.0</v>
          </cell>
          <cell r="D152" t="str">
            <v>204:493</v>
          </cell>
          <cell r="E152">
            <v>42583.947708333333</v>
          </cell>
          <cell r="F152">
            <v>42583.951423611114</v>
          </cell>
          <cell r="G152">
            <v>5</v>
          </cell>
          <cell r="H152" t="str">
            <v>204:233299</v>
          </cell>
          <cell r="I152">
            <v>42583.98364583333</v>
          </cell>
          <cell r="J152">
            <v>0</v>
          </cell>
          <cell r="K152" t="str">
            <v>4011/4012</v>
          </cell>
          <cell r="L152" t="str">
            <v>ROBINSON</v>
          </cell>
          <cell r="M152">
            <v>3.2222222216660157E-2</v>
          </cell>
          <cell r="N152">
            <v>46.399999991990626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https://search-rtdc-monitor-bjffxe2xuh6vdkpspy63sjmuny.us-east-1.es.amazonaws.com/_plugin/kibana/#/discover/Steve-Slow-Train-Analysis-(2080s-and-2083s)?_g=(refreshInterval:(display:Off,section:0,value:0),time:(from:'2016-08-01 21:44:42-0600',mode:absolute,to:'2016-08-02 00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2" t="str">
            <v>N</v>
          </cell>
          <cell r="X152">
            <v>1</v>
          </cell>
          <cell r="Y152">
            <v>4.9299999999999997E-2</v>
          </cell>
          <cell r="Z152">
            <v>23.329899999999999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0237-01</v>
          </cell>
          <cell r="AE152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53">
          <cell r="A153" t="str">
            <v>238-01</v>
          </cell>
          <cell r="B153">
            <v>4012</v>
          </cell>
          <cell r="C153" t="str">
            <v>DE.1.0.7.0</v>
          </cell>
          <cell r="D153" t="str">
            <v>204:232971</v>
          </cell>
          <cell r="E153">
            <v>42583.989814814813</v>
          </cell>
          <cell r="F153">
            <v>42583.990937499999</v>
          </cell>
          <cell r="G153">
            <v>1</v>
          </cell>
          <cell r="H153" t="str">
            <v>204:205</v>
          </cell>
          <cell r="I153">
            <v>42584.027083333334</v>
          </cell>
          <cell r="J153">
            <v>1</v>
          </cell>
          <cell r="K153" t="str">
            <v>4011/4012</v>
          </cell>
          <cell r="L153" t="str">
            <v>ROBINSON</v>
          </cell>
          <cell r="M153">
            <v>3.6145833335467614E-2</v>
          </cell>
          <cell r="N153">
            <v>52.050000003073364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N</v>
          </cell>
          <cell r="X153">
            <v>1</v>
          </cell>
          <cell r="Y153">
            <v>23.2971</v>
          </cell>
          <cell r="Z153">
            <v>2.0500000000000001E-2</v>
          </cell>
          <cell r="AA153">
            <v>23.276600000000002</v>
          </cell>
          <cell r="AB153" t="e">
            <v>#N/A</v>
          </cell>
          <cell r="AC153" t="e">
            <v>#N/A</v>
          </cell>
          <cell r="AD153" t="str">
            <v>0238-01</v>
          </cell>
          <cell r="AE153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54">
          <cell r="A154" t="str">
            <v>239-01</v>
          </cell>
          <cell r="B154">
            <v>4029</v>
          </cell>
          <cell r="C154" t="str">
            <v>DE.1.0.7.0</v>
          </cell>
          <cell r="D154" t="str">
            <v>204:128246</v>
          </cell>
          <cell r="E154">
            <v>42583.997314814813</v>
          </cell>
          <cell r="F154">
            <v>42583.997858796298</v>
          </cell>
          <cell r="G154">
            <v>0</v>
          </cell>
          <cell r="H154" t="str">
            <v>204:233312</v>
          </cell>
          <cell r="I154">
            <v>42584.0078125</v>
          </cell>
          <cell r="J154">
            <v>0</v>
          </cell>
          <cell r="K154" t="str">
            <v>4029/4030</v>
          </cell>
          <cell r="L154" t="str">
            <v>NEWELL</v>
          </cell>
          <cell r="M154">
            <v>9.9537037021946162E-3</v>
          </cell>
          <cell r="P154">
            <v>31.8999999971129</v>
          </cell>
          <cell r="R154" t="str">
            <v>Wi-MAX outage</v>
          </cell>
          <cell r="S154">
            <v>0.75</v>
          </cell>
          <cell r="T154" t="str">
            <v>NorthBound</v>
          </cell>
          <cell r="U154">
            <v>0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4" t="str">
            <v>Y</v>
          </cell>
          <cell r="X154">
            <v>1</v>
          </cell>
          <cell r="Y154">
            <v>12.8246</v>
          </cell>
          <cell r="Z154">
            <v>23.331199999999999</v>
          </cell>
          <cell r="AA154">
            <v>10.506599999999999</v>
          </cell>
          <cell r="AB154" t="e">
            <v>#N/A</v>
          </cell>
          <cell r="AC154" t="e">
            <v>#N/A</v>
          </cell>
          <cell r="AD154" t="str">
            <v>0239-01</v>
          </cell>
          <cell r="AE154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5">
          <cell r="A155" t="str">
            <v>239-01</v>
          </cell>
          <cell r="B155">
            <v>4029</v>
          </cell>
          <cell r="C155" t="str">
            <v>DE.1.0.7.0</v>
          </cell>
          <cell r="D155" t="str">
            <v>204:480</v>
          </cell>
          <cell r="E155">
            <v>42583.975624999999</v>
          </cell>
          <cell r="F155">
            <v>42583.976805555554</v>
          </cell>
          <cell r="G155">
            <v>1</v>
          </cell>
          <cell r="H155" t="str">
            <v>204:64194</v>
          </cell>
          <cell r="I155">
            <v>42583.989004629628</v>
          </cell>
          <cell r="J155">
            <v>1</v>
          </cell>
          <cell r="K155" t="str">
            <v>4029/4030</v>
          </cell>
          <cell r="L155" t="str">
            <v>NEWELL</v>
          </cell>
          <cell r="M155">
            <v>1.2199074073578231E-2</v>
          </cell>
          <cell r="T155" t="str">
            <v>NorthBound</v>
          </cell>
          <cell r="U155">
            <v>9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https://search-rtdc-monitor-bjffxe2xuh6vdkpspy63sjmuny.us-east-1.es.amazonaws.com/_plugin/kibana/#/discover/Steve-Slow-Train-Analysis-(2080s-and-2083s)?_g=(refreshInterval:(display:Off,section:0,value:0),time:(from:'2016-08-01 22:24:54-0600',mode:absolute,to:'2016-08-02 00:44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5" t="str">
            <v>Y</v>
          </cell>
          <cell r="X155">
            <v>0</v>
          </cell>
          <cell r="Y155">
            <v>4.8000000000000001E-2</v>
          </cell>
          <cell r="Z155">
            <v>6.4194000000000004</v>
          </cell>
          <cell r="AA155">
            <v>6.3714000000000004</v>
          </cell>
          <cell r="AB155" t="e">
            <v>#N/A</v>
          </cell>
          <cell r="AC155" t="e">
            <v>#N/A</v>
          </cell>
          <cell r="AD155" t="str">
            <v>0239-01</v>
          </cell>
          <cell r="AE15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6">
          <cell r="A156" t="str">
            <v>240-01</v>
          </cell>
          <cell r="B156">
            <v>4030</v>
          </cell>
          <cell r="C156" t="str">
            <v>DE.1.0.7.0</v>
          </cell>
          <cell r="D156" t="str">
            <v>204:232984</v>
          </cell>
          <cell r="E156">
            <v>42584.012511574074</v>
          </cell>
          <cell r="F156">
            <v>42584.013287037036</v>
          </cell>
          <cell r="G156">
            <v>1</v>
          </cell>
          <cell r="H156" t="str">
            <v>204:147</v>
          </cell>
          <cell r="I156">
            <v>42584.044328703705</v>
          </cell>
          <cell r="J156">
            <v>0</v>
          </cell>
          <cell r="K156" t="str">
            <v>4029/4030</v>
          </cell>
          <cell r="L156" t="str">
            <v>NEWELL</v>
          </cell>
          <cell r="M156">
            <v>3.104166666889796E-2</v>
          </cell>
          <cell r="N156">
            <v>44.700000003213063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https://search-rtdc-monitor-bjffxe2xuh6vdkpspy63sjmuny.us-east-1.es.amazonaws.com/_plugin/kibana/#/discover/Steve-Slow-Train-Analysis-(2080s-and-2083s)?_g=(refreshInterval:(display:Off,section:0,value:0),time:(from:'2016-08-01 23:18:01-0600',mode:absolute,to:'2016-08-02 02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1.47E-2</v>
          </cell>
          <cell r="AA156">
            <v>23.2837</v>
          </cell>
          <cell r="AB156" t="e">
            <v>#N/A</v>
          </cell>
          <cell r="AC156" t="e">
            <v>#N/A</v>
          </cell>
          <cell r="AD156" t="str">
            <v>0240-01</v>
          </cell>
          <cell r="AE156" t="str">
            <v>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 &amp; aws s3 cp s3://rtdc.mdm.uploadarchive/RTDC4030/2016-08-03/ "C:\Users\stu\Documents\Analysis\2016-02-23 RTDC Observations"\RTDC4030\2016-08-03 --recursive &amp; "C:\Users\stu\Documents\GitHub\mrs-test-scripts\Headless Mode &amp; Sideloading\WalkAndUnGZ.bat" "C:\Users\stu\Documents\Analysis\2016-02-23 RTDC Observations"\RTDC4030\2016-08-03</v>
          </cell>
        </row>
        <row r="157">
          <cell r="A157" t="str">
            <v>241-01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42583.998425925929</v>
          </cell>
          <cell r="F157">
            <v>42583.999467592592</v>
          </cell>
          <cell r="G157">
            <v>1</v>
          </cell>
          <cell r="H157" t="str">
            <v>204:233282</v>
          </cell>
          <cell r="I157">
            <v>42584.025578703702</v>
          </cell>
          <cell r="J157">
            <v>0</v>
          </cell>
          <cell r="K157" t="str">
            <v>4043/4044</v>
          </cell>
          <cell r="L157" t="str">
            <v>CHANDLER</v>
          </cell>
          <cell r="M157">
            <v>2.6111111110367347E-2</v>
          </cell>
          <cell r="N157">
            <v>37.599999998928979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22:57:44-0600',mode:absolute,to:'2016-08-02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23.328199999999999</v>
          </cell>
          <cell r="AA157">
            <v>23.282699999999998</v>
          </cell>
          <cell r="AB157" t="e">
            <v>#N/A</v>
          </cell>
          <cell r="AC157" t="e">
            <v>#N/A</v>
          </cell>
          <cell r="AD157" t="str">
            <v>0241-01</v>
          </cell>
          <cell r="AE15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58">
          <cell r="A158" t="str">
            <v>242-01</v>
          </cell>
          <cell r="B158">
            <v>4043</v>
          </cell>
          <cell r="C158" t="str">
            <v>DE.1.0.7.0</v>
          </cell>
          <cell r="D158" t="str">
            <v>204:232963</v>
          </cell>
          <cell r="E158">
            <v>42584.037280092591</v>
          </cell>
          <cell r="F158">
            <v>42584.038321759261</v>
          </cell>
          <cell r="G158">
            <v>1</v>
          </cell>
          <cell r="H158" t="str">
            <v>204:154</v>
          </cell>
          <cell r="I158">
            <v>42584.066863425927</v>
          </cell>
          <cell r="J158">
            <v>0</v>
          </cell>
          <cell r="K158" t="str">
            <v>4043/4044</v>
          </cell>
          <cell r="L158" t="str">
            <v>CHANDLER</v>
          </cell>
          <cell r="M158">
            <v>2.8541666666569654E-2</v>
          </cell>
          <cell r="N158">
            <v>41.099999999860302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https://search-rtdc-monitor-bjffxe2xuh6vdkpspy63sjmuny.us-east-1.es.amazonaws.com/_plugin/kibana/#/discover/Steve-Slow-Train-Analysis-(2080s-and-2083s)?_g=(refreshInterval:(display:Off,section:0,value:0),time:(from:'2016-08-01 23:53:41-0600',mode:absolute,to:'2016-08-02 02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23.296299999999999</v>
          </cell>
          <cell r="Z158">
            <v>1.54E-2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0242-01</v>
          </cell>
          <cell r="AE158" t="str">
            <v>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 &amp; aws s3 cp s3://rtdc.mdm.uploadarchive/RTDC4043/2016-08-03/ "C:\Users\stu\Documents\Analysis\2016-02-23 RTDC Observations"\RTDC4043\2016-08-03 --recursive &amp; "C:\Users\stu\Documents\GitHub\mrs-test-scripts\Headless Mode &amp; Sideloading\WalkAndUnGZ.bat" "C:\Users\stu\Documents\Analysis\2016-02-23 RTDC Observations"\RTDC4043\2016-08-03</v>
          </cell>
        </row>
        <row r="159">
          <cell r="A159" t="str">
            <v>243-01</v>
          </cell>
          <cell r="B159">
            <v>4027</v>
          </cell>
          <cell r="C159" t="str">
            <v>DE.1.0.7.0</v>
          </cell>
          <cell r="D159" t="str">
            <v>204:451</v>
          </cell>
          <cell r="E159">
            <v>42584.016215277778</v>
          </cell>
          <cell r="F159">
            <v>42584.020983796298</v>
          </cell>
          <cell r="G159">
            <v>6</v>
          </cell>
          <cell r="H159" t="str">
            <v>204:233291</v>
          </cell>
          <cell r="I159">
            <v>42584.046550925923</v>
          </cell>
          <cell r="J159">
            <v>0</v>
          </cell>
          <cell r="K159" t="str">
            <v>4027/4028</v>
          </cell>
          <cell r="L159" t="str">
            <v>HAITHCOX</v>
          </cell>
          <cell r="M159">
            <v>2.5567129625414964E-2</v>
          </cell>
          <cell r="N159">
            <v>36.816666660597548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https://search-rtdc-monitor-bjffxe2xuh6vdkpspy63sjmuny.us-east-1.es.amazonaws.com/_plugin/kibana/#/discover/Steve-Slow-Train-Analysis-(2080s-and-2083s)?_g=(refreshInterval:(display:Off,section:0,value:0),time:(from:'2016-08-01 23:23:21-0600',mode:absolute,to:'2016-08-02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23.3291</v>
          </cell>
          <cell r="AA159">
            <v>23.283999999999999</v>
          </cell>
          <cell r="AB159" t="e">
            <v>#N/A</v>
          </cell>
          <cell r="AC159" t="e">
            <v>#N/A</v>
          </cell>
          <cell r="AD159" t="str">
            <v>0243-01</v>
          </cell>
          <cell r="AE159" t="str">
            <v>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 &amp; aws s3 cp s3://rtdc.mdm.uploadarchive/RTDC4027/2016-08-03/ "C:\Users\stu\Documents\Analysis\2016-02-23 RTDC Observations"\RTDC4027\2016-08-03 --recursive &amp; "C:\Users\stu\Documents\GitHub\mrs-test-scripts\Headless Mode &amp; Sideloading\WalkAndUnGZ.bat" "C:\Users\stu\Documents\Analysis\2016-02-23 RTDC Observations"\RTDC4027\2016-08-03</v>
          </cell>
        </row>
        <row r="160">
          <cell r="A160" t="str">
            <v>244-01</v>
          </cell>
          <cell r="B160">
            <v>4028</v>
          </cell>
          <cell r="C160" t="str">
            <v>DE.1.0.7.0</v>
          </cell>
          <cell r="D160" t="str">
            <v>204:232971</v>
          </cell>
          <cell r="E160">
            <v>42584.053935185184</v>
          </cell>
          <cell r="F160">
            <v>42584.054629629631</v>
          </cell>
          <cell r="G160">
            <v>1</v>
          </cell>
          <cell r="H160" t="str">
            <v>204:176</v>
          </cell>
          <cell r="I160">
            <v>42584.085810185185</v>
          </cell>
          <cell r="J160">
            <v>0</v>
          </cell>
          <cell r="K160" t="str">
            <v>4027/4028</v>
          </cell>
          <cell r="L160" t="str">
            <v>HAITHCOX</v>
          </cell>
          <cell r="M160">
            <v>3.1180555553874001E-2</v>
          </cell>
          <cell r="N160">
            <v>44.899999997578561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00:17:40-0600',mode:absolute,to:'2016-08-02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0" t="str">
            <v>N</v>
          </cell>
          <cell r="X160">
            <v>1</v>
          </cell>
          <cell r="Y160">
            <v>23.2971</v>
          </cell>
          <cell r="Z160">
            <v>1.7600000000000001E-2</v>
          </cell>
          <cell r="AA160">
            <v>23.279499999999999</v>
          </cell>
          <cell r="AB160" t="e">
            <v>#N/A</v>
          </cell>
          <cell r="AC160" t="e">
            <v>#N/A</v>
          </cell>
          <cell r="AD160" t="str">
            <v>0244-01</v>
          </cell>
          <cell r="AE160" t="str">
            <v>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 &amp; aws s3 cp s3://rtdc.mdm.uploadarchive/RTDC4028/2016-08-03/ "C:\Users\stu\Documents\Analysis\2016-02-23 RTDC Observations"\RTDC4028\2016-08-03 --recursive &amp; "C:\Users\stu\Documents\GitHub\mrs-test-scripts\Headless Mode &amp; Sideloading\WalkAndUnGZ.bat" "C:\Users\stu\Documents\Analysis\2016-02-23 RTDC Observations"\RTDC4028\2016-08-03</v>
          </cell>
        </row>
        <row r="161">
          <cell r="A161" t="str">
            <v>800-01</v>
          </cell>
          <cell r="B161">
            <v>4041</v>
          </cell>
          <cell r="C161" t="str">
            <v>DE.1.0.7.0</v>
          </cell>
          <cell r="D161" t="str">
            <v>300:58656</v>
          </cell>
          <cell r="E161">
            <v>42583.209479166668</v>
          </cell>
          <cell r="F161">
            <v>42583.210694444446</v>
          </cell>
          <cell r="G161">
            <v>1</v>
          </cell>
          <cell r="H161" t="str">
            <v>204:680</v>
          </cell>
          <cell r="I161">
            <v>42583.227337962962</v>
          </cell>
          <cell r="J161">
            <v>1</v>
          </cell>
          <cell r="K161" t="str">
            <v>4041/4042</v>
          </cell>
          <cell r="L161" t="str">
            <v>SANTIZO</v>
          </cell>
          <cell r="M161">
            <v>1.6643518516502809E-2</v>
          </cell>
          <cell r="N161">
            <v>23.966666663764045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1" t="str">
            <v>N</v>
          </cell>
          <cell r="X161">
            <v>485</v>
          </cell>
          <cell r="Y161">
            <v>5.8655999999999997</v>
          </cell>
          <cell r="Z161">
            <v>6.8000000000000005E-2</v>
          </cell>
          <cell r="AA161">
            <v>5.7976000000000001</v>
          </cell>
          <cell r="AB161" t="e">
            <v>#N/A</v>
          </cell>
          <cell r="AC161" t="e">
            <v>#N/A</v>
          </cell>
          <cell r="AD161" t="str">
            <v>0800-01</v>
          </cell>
          <cell r="AE16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2">
          <cell r="A162" t="str">
            <v>801-01</v>
          </cell>
          <cell r="B162">
            <v>4042</v>
          </cell>
          <cell r="C162" t="str">
            <v>DE.1.0.7.0</v>
          </cell>
          <cell r="D162" t="str">
            <v>204:969</v>
          </cell>
          <cell r="E162">
            <v>42583.239907407406</v>
          </cell>
          <cell r="F162">
            <v>42583.241400462961</v>
          </cell>
          <cell r="G162">
            <v>2</v>
          </cell>
          <cell r="H162" t="str">
            <v>300:58956</v>
          </cell>
          <cell r="I162">
            <v>42583.255914351852</v>
          </cell>
          <cell r="J162">
            <v>1</v>
          </cell>
          <cell r="K162" t="str">
            <v>4041/4042</v>
          </cell>
          <cell r="L162" t="str">
            <v>SANTIZO</v>
          </cell>
          <cell r="M162">
            <v>1.4513888891087845E-2</v>
          </cell>
          <cell r="N162">
            <v>20.900000003166497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9.69E-2</v>
          </cell>
          <cell r="Z162">
            <v>5.8956</v>
          </cell>
          <cell r="AA162">
            <v>5.7987000000000002</v>
          </cell>
          <cell r="AB162" t="e">
            <v>#N/A</v>
          </cell>
          <cell r="AC162" t="e">
            <v>#N/A</v>
          </cell>
          <cell r="AD162" t="str">
            <v>0801-01</v>
          </cell>
          <cell r="AE16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3">
          <cell r="A163" t="str">
            <v>802-01</v>
          </cell>
          <cell r="B163">
            <v>4041</v>
          </cell>
          <cell r="C163" t="str">
            <v>DE.1.0.7.0</v>
          </cell>
          <cell r="D163" t="str">
            <v>300:58626</v>
          </cell>
          <cell r="E163">
            <v>42583.256631944445</v>
          </cell>
          <cell r="F163">
            <v>42583.257511574076</v>
          </cell>
          <cell r="G163">
            <v>1</v>
          </cell>
          <cell r="H163" t="str">
            <v>204:715</v>
          </cell>
          <cell r="I163">
            <v>42583.267893518518</v>
          </cell>
          <cell r="J163">
            <v>0</v>
          </cell>
          <cell r="K163" t="str">
            <v>4041/4042</v>
          </cell>
          <cell r="L163" t="str">
            <v>SANTIZO</v>
          </cell>
          <cell r="M163">
            <v>1.0381944441178348E-2</v>
          </cell>
          <cell r="N163">
            <v>14.949999995296821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https://search-rtdc-monitor-bjffxe2xuh6vdkpspy63sjmuny.us-east-1.es.amazonaws.com/_plugin/kibana/#/discover/Steve-Slow-Train-Analysis-(2080s-and-2083s)?_g=(refreshInterval:(display:Off,section:0,value:0),time:(from:'2016-08-01 05:09:33-0600',mode:absolute,to:'2016-08-01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5.8625999999999996</v>
          </cell>
          <cell r="Z163">
            <v>7.1499999999999994E-2</v>
          </cell>
          <cell r="AA163">
            <v>5.7910999999999992</v>
          </cell>
          <cell r="AB163" t="e">
            <v>#N/A</v>
          </cell>
          <cell r="AC163" t="e">
            <v>#N/A</v>
          </cell>
          <cell r="AD163" t="str">
            <v>0802-01</v>
          </cell>
          <cell r="AE16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4">
          <cell r="A164" t="str">
            <v>803-01</v>
          </cell>
          <cell r="B164">
            <v>4025</v>
          </cell>
          <cell r="C164" t="str">
            <v>DE.1.0.7.0</v>
          </cell>
          <cell r="D164" t="str">
            <v>204:878</v>
          </cell>
          <cell r="E164">
            <v>42583.261932870373</v>
          </cell>
          <cell r="F164">
            <v>42583.263148148151</v>
          </cell>
          <cell r="G164">
            <v>1</v>
          </cell>
          <cell r="H164" t="str">
            <v>300:58990</v>
          </cell>
          <cell r="I164">
            <v>42583.274618055555</v>
          </cell>
          <cell r="J164">
            <v>0</v>
          </cell>
          <cell r="K164" t="str">
            <v>4025/4026</v>
          </cell>
          <cell r="L164" t="str">
            <v>ROCHA</v>
          </cell>
          <cell r="M164">
            <v>1.1469907403807156E-2</v>
          </cell>
          <cell r="N164">
            <v>16.516666661482304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4" t="str">
            <v>N</v>
          </cell>
          <cell r="X164">
            <v>1</v>
          </cell>
          <cell r="Y164">
            <v>8.7800000000000003E-2</v>
          </cell>
          <cell r="Z164">
            <v>5.899</v>
          </cell>
          <cell r="AA164">
            <v>5.8112000000000004</v>
          </cell>
          <cell r="AB164" t="e">
            <v>#N/A</v>
          </cell>
          <cell r="AC164" t="e">
            <v>#N/A</v>
          </cell>
          <cell r="AD164" t="str">
            <v>0803-01</v>
          </cell>
          <cell r="AE16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5">
          <cell r="A165" t="str">
            <v>804-01</v>
          </cell>
          <cell r="B165">
            <v>4026</v>
          </cell>
          <cell r="C165" t="str">
            <v>DE.1.0.7.0</v>
          </cell>
          <cell r="D165" t="str">
            <v>300:58670</v>
          </cell>
          <cell r="E165">
            <v>42583.275833333333</v>
          </cell>
          <cell r="F165">
            <v>42583.276747685188</v>
          </cell>
          <cell r="G165">
            <v>1</v>
          </cell>
          <cell r="H165" t="str">
            <v>204:659</v>
          </cell>
          <cell r="I165">
            <v>42583.289351851854</v>
          </cell>
          <cell r="J165">
            <v>1</v>
          </cell>
          <cell r="K165" t="str">
            <v>4025/4026</v>
          </cell>
          <cell r="L165" t="str">
            <v>ROCHA</v>
          </cell>
          <cell r="M165">
            <v>1.2604166666278616E-2</v>
          </cell>
          <cell r="N165">
            <v>18.149999999441206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5" t="str">
            <v>N</v>
          </cell>
          <cell r="X165">
            <v>1</v>
          </cell>
          <cell r="Y165">
            <v>5.867</v>
          </cell>
          <cell r="Z165">
            <v>6.59E-2</v>
          </cell>
          <cell r="AA165">
            <v>5.8010999999999999</v>
          </cell>
          <cell r="AB165" t="e">
            <v>#N/A</v>
          </cell>
          <cell r="AC165" t="e">
            <v>#N/A</v>
          </cell>
          <cell r="AD165" t="str">
            <v>0804-01</v>
          </cell>
          <cell r="AE16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66">
          <cell r="A166" t="str">
            <v>805-01</v>
          </cell>
          <cell r="B166">
            <v>4042</v>
          </cell>
          <cell r="C166" t="str">
            <v>DE.1.0.7.0</v>
          </cell>
          <cell r="D166" t="str">
            <v>204:997</v>
          </cell>
          <cell r="E166">
            <v>42583.269050925926</v>
          </cell>
          <cell r="F166">
            <v>42583.269872685189</v>
          </cell>
          <cell r="G166">
            <v>1</v>
          </cell>
          <cell r="H166" t="str">
            <v>300:58952</v>
          </cell>
          <cell r="I166">
            <v>42583.295451388891</v>
          </cell>
          <cell r="J166">
            <v>0</v>
          </cell>
          <cell r="K166" t="str">
            <v>4041/4042</v>
          </cell>
          <cell r="L166" t="str">
            <v>SANTIZO</v>
          </cell>
          <cell r="M166">
            <v>2.5578703702194616E-2</v>
          </cell>
          <cell r="N166">
            <v>36.833333331160247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https://search-rtdc-monitor-bjffxe2xuh6vdkpspy63sjmuny.us-east-1.es.amazonaws.com/_plugin/kibana/#/discover/Steve-Slow-Train-Analysis-(2080s-and-2083s)?_g=(refreshInterval:(display:Off,section:0,value:0),time:(from:'2016-08-01 05:27:26-0600',mode:absolute,to:'2016-08-01 08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9.9699999999999997E-2</v>
          </cell>
          <cell r="Z166">
            <v>5.8952</v>
          </cell>
          <cell r="AA166">
            <v>5.7954999999999997</v>
          </cell>
          <cell r="AB166" t="e">
            <v>#N/A</v>
          </cell>
          <cell r="AC166" t="e">
            <v>#N/A</v>
          </cell>
          <cell r="AD166" t="str">
            <v>0805-01</v>
          </cell>
          <cell r="AE16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7">
          <cell r="A167" t="str">
            <v>806-01</v>
          </cell>
          <cell r="B167">
            <v>4041</v>
          </cell>
          <cell r="C167" t="str">
            <v>DE.1.0.7.0</v>
          </cell>
          <cell r="D167" t="str">
            <v>300:58636</v>
          </cell>
          <cell r="E167">
            <v>42583.296238425923</v>
          </cell>
          <cell r="F167">
            <v>42583.297164351854</v>
          </cell>
          <cell r="G167">
            <v>1</v>
          </cell>
          <cell r="H167" t="str">
            <v>204:663</v>
          </cell>
          <cell r="I167">
            <v>42583.30972222222</v>
          </cell>
          <cell r="J167">
            <v>1</v>
          </cell>
          <cell r="K167" t="str">
            <v>4041/4042</v>
          </cell>
          <cell r="L167" t="str">
            <v>SANTIZO</v>
          </cell>
          <cell r="M167">
            <v>1.2557870366435964E-2</v>
          </cell>
          <cell r="N167">
            <v>18.083333327667788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5.8635999999999999</v>
          </cell>
          <cell r="Z167">
            <v>6.6299999999999998E-2</v>
          </cell>
          <cell r="AA167">
            <v>5.7972999999999999</v>
          </cell>
          <cell r="AB167" t="e">
            <v>#N/A</v>
          </cell>
          <cell r="AC167" t="e">
            <v>#N/A</v>
          </cell>
          <cell r="AD167" t="str">
            <v>0806-01</v>
          </cell>
          <cell r="AE16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8">
          <cell r="A168" t="str">
            <v>807-01</v>
          </cell>
          <cell r="B168">
            <v>4025</v>
          </cell>
          <cell r="C168" t="str">
            <v>DE.1.0.7.0</v>
          </cell>
          <cell r="D168" t="str">
            <v>204:951</v>
          </cell>
          <cell r="E168">
            <v>42583.30572916667</v>
          </cell>
          <cell r="F168">
            <v>42583.306481481479</v>
          </cell>
          <cell r="G168">
            <v>1</v>
          </cell>
          <cell r="H168" t="str">
            <v>300:58992</v>
          </cell>
          <cell r="I168">
            <v>42583.316400462965</v>
          </cell>
          <cell r="J168">
            <v>0</v>
          </cell>
          <cell r="K168" t="str">
            <v>4025/4026</v>
          </cell>
          <cell r="L168" t="str">
            <v>ROCHA</v>
          </cell>
          <cell r="M168">
            <v>9.9189814864075743E-3</v>
          </cell>
          <cell r="N168">
            <v>14.283333340426907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5.8992000000000004</v>
          </cell>
          <cell r="AA168">
            <v>5.8041</v>
          </cell>
          <cell r="AB168" t="e">
            <v>#N/A</v>
          </cell>
          <cell r="AC168" t="e">
            <v>#N/A</v>
          </cell>
          <cell r="AD168" t="str">
            <v>0807-01</v>
          </cell>
          <cell r="AE16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9">
          <cell r="A169" t="str">
            <v>808-01</v>
          </cell>
          <cell r="B169">
            <v>4026</v>
          </cell>
          <cell r="C169" t="str">
            <v>DE.1.0.7.0</v>
          </cell>
          <cell r="D169" t="str">
            <v>300:58666</v>
          </cell>
          <cell r="E169">
            <v>42583.317962962959</v>
          </cell>
          <cell r="F169">
            <v>42583.318726851852</v>
          </cell>
          <cell r="G169">
            <v>1</v>
          </cell>
          <cell r="H169" t="str">
            <v>204:652</v>
          </cell>
          <cell r="I169">
            <v>42583.331296296295</v>
          </cell>
          <cell r="J169">
            <v>0</v>
          </cell>
          <cell r="K169" t="str">
            <v>4025/4026</v>
          </cell>
          <cell r="L169" t="str">
            <v>ROCHA</v>
          </cell>
          <cell r="M169">
            <v>1.2569444443215616E-2</v>
          </cell>
          <cell r="N169">
            <v>18.099999998230487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https://search-rtdc-monitor-bjffxe2xuh6vdkpspy63sjmuny.us-east-1.es.amazonaws.com/_plugin/kibana/#/discover/Steve-Slow-Train-Analysis-(2080s-and-2083s)?_g=(refreshInterval:(display:Off,section:0,value:0),time:(from:'2016-08-01 06:37:52-0600',mode:absolute,to:'2016-08-01 08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N</v>
          </cell>
          <cell r="X169">
            <v>1</v>
          </cell>
          <cell r="Y169">
            <v>5.8666</v>
          </cell>
          <cell r="Z169">
            <v>6.5199999999999994E-2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0808-01</v>
          </cell>
          <cell r="AE16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0">
          <cell r="A170" t="str">
            <v>809-01</v>
          </cell>
          <cell r="B170">
            <v>4042</v>
          </cell>
          <cell r="C170" t="str">
            <v>DE.1.0.7.0</v>
          </cell>
          <cell r="D170" t="str">
            <v>204:948</v>
          </cell>
          <cell r="E170">
            <v>42583.310891203706</v>
          </cell>
          <cell r="F170">
            <v>42583.311967592592</v>
          </cell>
          <cell r="G170">
            <v>1</v>
          </cell>
          <cell r="H170" t="str">
            <v>300:58931</v>
          </cell>
          <cell r="I170">
            <v>42583.337152777778</v>
          </cell>
          <cell r="J170">
            <v>0</v>
          </cell>
          <cell r="K170" t="str">
            <v>4041/4042</v>
          </cell>
          <cell r="L170" t="str">
            <v>SANTIZO</v>
          </cell>
          <cell r="M170">
            <v>2.5185185186273884E-2</v>
          </cell>
          <cell r="N170">
            <v>36.266666668234393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https://search-rtdc-monitor-bjffxe2xuh6vdkpspy63sjmuny.us-east-1.es.amazonaws.com/_plugin/kibana/#/discover/Steve-Slow-Train-Analysis-(2080s-and-2083s)?_g=(refreshInterval:(display:Off,section:0,value:0),time:(from:'2016-08-01 06:27:41-0600',mode:absolute,to:'2016-08-01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0" t="str">
            <v>N</v>
          </cell>
          <cell r="X170">
            <v>1</v>
          </cell>
          <cell r="Y170">
            <v>9.4799999999999995E-2</v>
          </cell>
          <cell r="Z170">
            <v>5.8930999999999996</v>
          </cell>
          <cell r="AA170">
            <v>5.7982999999999993</v>
          </cell>
          <cell r="AB170" t="e">
            <v>#N/A</v>
          </cell>
          <cell r="AC170" t="e">
            <v>#N/A</v>
          </cell>
          <cell r="AD170" t="str">
            <v>0809-01</v>
          </cell>
          <cell r="AE17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71">
          <cell r="A171" t="str">
            <v>810-01</v>
          </cell>
          <cell r="B171">
            <v>4041</v>
          </cell>
          <cell r="C171" t="str">
            <v>DE.1.0.7.0</v>
          </cell>
          <cell r="D171" t="str">
            <v>300:58624</v>
          </cell>
          <cell r="E171">
            <v>42583.337962962964</v>
          </cell>
          <cell r="F171">
            <v>42583.338819444441</v>
          </cell>
          <cell r="G171">
            <v>1</v>
          </cell>
          <cell r="H171" t="str">
            <v>204:733</v>
          </cell>
          <cell r="I171">
            <v>42583.351331018515</v>
          </cell>
          <cell r="J171">
            <v>1</v>
          </cell>
          <cell r="K171" t="str">
            <v>4041/4042</v>
          </cell>
          <cell r="L171" t="str">
            <v>SANTIZO</v>
          </cell>
          <cell r="M171">
            <v>1.2511574073869269E-2</v>
          </cell>
          <cell r="N171">
            <v>18.016666666371748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1" t="str">
            <v>N</v>
          </cell>
          <cell r="X171">
            <v>1</v>
          </cell>
          <cell r="Y171">
            <v>5.8624000000000001</v>
          </cell>
          <cell r="Z171">
            <v>7.3300000000000004E-2</v>
          </cell>
          <cell r="AA171">
            <v>5.7891000000000004</v>
          </cell>
          <cell r="AB171" t="e">
            <v>#N/A</v>
          </cell>
          <cell r="AC171" t="e">
            <v>#N/A</v>
          </cell>
          <cell r="AD171" t="str">
            <v>0810-01</v>
          </cell>
          <cell r="AE17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72">
          <cell r="A172" t="str">
            <v>811-01</v>
          </cell>
          <cell r="B172">
            <v>4025</v>
          </cell>
          <cell r="C172" t="str">
            <v>DE.1.0.7.0</v>
          </cell>
          <cell r="D172" t="str">
            <v>204:929</v>
          </cell>
          <cell r="E172">
            <v>42583.346932870372</v>
          </cell>
          <cell r="F172">
            <v>42583.347650462965</v>
          </cell>
          <cell r="G172">
            <v>1</v>
          </cell>
          <cell r="H172" t="str">
            <v>300:58976</v>
          </cell>
          <cell r="I172">
            <v>42583.357372685183</v>
          </cell>
          <cell r="J172">
            <v>0</v>
          </cell>
          <cell r="K172" t="str">
            <v>4025/4026</v>
          </cell>
          <cell r="L172" t="str">
            <v>ROCHA</v>
          </cell>
          <cell r="M172">
            <v>9.7222222175332718E-3</v>
          </cell>
          <cell r="N172">
            <v>13.999999993247911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https://search-rtdc-monitor-bjffxe2xuh6vdkpspy63sjmuny.us-east-1.es.amazonaws.com/_plugin/kibana/#/discover/Steve-Slow-Train-Analysis-(2080s-and-2083s)?_g=(refreshInterval:(display:Off,section:0,value:0),time:(from:'2016-08-01 07:19:35-0600',mode:absolute,to:'2016-08-01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2" t="str">
            <v>N</v>
          </cell>
          <cell r="X172">
            <v>1</v>
          </cell>
          <cell r="Y172">
            <v>9.2899999999999996E-2</v>
          </cell>
          <cell r="Z172">
            <v>5.8975999999999997</v>
          </cell>
          <cell r="AA172">
            <v>5.8046999999999995</v>
          </cell>
          <cell r="AB172" t="e">
            <v>#N/A</v>
          </cell>
          <cell r="AC172" t="e">
            <v>#N/A</v>
          </cell>
          <cell r="AD172" t="str">
            <v>0811-01</v>
          </cell>
          <cell r="AE17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3">
          <cell r="A173" t="str">
            <v>812-01</v>
          </cell>
          <cell r="B173">
            <v>4026</v>
          </cell>
          <cell r="C173" t="str">
            <v>DE.1.0.7.0</v>
          </cell>
          <cell r="D173" t="str">
            <v>300:58658</v>
          </cell>
          <cell r="E173">
            <v>42583.35832175926</v>
          </cell>
          <cell r="F173">
            <v>42583.359050925923</v>
          </cell>
          <cell r="G173">
            <v>1</v>
          </cell>
          <cell r="H173" t="str">
            <v>204:638</v>
          </cell>
          <cell r="I173">
            <v>42583.37164351852</v>
          </cell>
          <cell r="J173">
            <v>0</v>
          </cell>
          <cell r="K173" t="str">
            <v>4025/4026</v>
          </cell>
          <cell r="L173" t="str">
            <v>ROCHA</v>
          </cell>
          <cell r="M173">
            <v>1.2592592596774921E-2</v>
          </cell>
          <cell r="N173">
            <v>18.133333339355886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https://search-rtdc-monitor-bjffxe2xuh6vdkpspy63sjmuny.us-east-1.es.amazonaws.com/_plugin/kibana/#/discover/Steve-Slow-Train-Analysis-(2080s-and-2083s)?_g=(refreshInterval:(display:Off,section:0,value:0),time:(from:'2016-08-01 07:35:59-0600',mode:absolute,to:'2016-08-01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3" t="str">
            <v>N</v>
          </cell>
          <cell r="X173">
            <v>1</v>
          </cell>
          <cell r="Y173">
            <v>5.8658000000000001</v>
          </cell>
          <cell r="Z173">
            <v>6.3799999999999996E-2</v>
          </cell>
          <cell r="AA173">
            <v>5.8020000000000005</v>
          </cell>
          <cell r="AB173" t="e">
            <v>#N/A</v>
          </cell>
          <cell r="AC173" t="e">
            <v>#N/A</v>
          </cell>
          <cell r="AD173" t="str">
            <v>0812-01</v>
          </cell>
          <cell r="AE17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4">
          <cell r="A174" t="str">
            <v>813-01</v>
          </cell>
          <cell r="B174">
            <v>4025</v>
          </cell>
          <cell r="C174" t="str">
            <v>DE.1.0.7.0</v>
          </cell>
          <cell r="D174" t="str">
            <v>204:929</v>
          </cell>
          <cell r="E174">
            <v>42583.388819444444</v>
          </cell>
          <cell r="F174">
            <v>42583.389490740738</v>
          </cell>
          <cell r="G174">
            <v>0</v>
          </cell>
          <cell r="H174" t="str">
            <v>300:59007</v>
          </cell>
          <cell r="I174">
            <v>42583.399664351855</v>
          </cell>
          <cell r="J174">
            <v>0</v>
          </cell>
          <cell r="K174" t="str">
            <v>4025/4026</v>
          </cell>
          <cell r="L174" t="str">
            <v>ROCHA</v>
          </cell>
          <cell r="M174">
            <v>1.0173611117352266E-2</v>
          </cell>
          <cell r="N174">
            <v>14.650000008987263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4" t="str">
            <v>N</v>
          </cell>
          <cell r="X174">
            <v>1</v>
          </cell>
          <cell r="Y174">
            <v>9.2899999999999996E-2</v>
          </cell>
          <cell r="Z174">
            <v>5.9006999999999996</v>
          </cell>
          <cell r="AA174">
            <v>5.8077999999999994</v>
          </cell>
          <cell r="AB174" t="e">
            <v>#N/A</v>
          </cell>
          <cell r="AC174" t="e">
            <v>#N/A</v>
          </cell>
          <cell r="AD174" t="str">
            <v>0813-01</v>
          </cell>
          <cell r="AE17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5">
          <cell r="A175" t="str">
            <v>814-01</v>
          </cell>
          <cell r="B175">
            <v>4026</v>
          </cell>
          <cell r="C175" t="str">
            <v>DE.1.0.7.0</v>
          </cell>
          <cell r="D175" t="str">
            <v>300:58696</v>
          </cell>
          <cell r="E175">
            <v>42583.401145833333</v>
          </cell>
          <cell r="F175">
            <v>42583.401990740742</v>
          </cell>
          <cell r="G175">
            <v>1</v>
          </cell>
          <cell r="H175" t="str">
            <v>204:647</v>
          </cell>
          <cell r="I175">
            <v>42583.412777777776</v>
          </cell>
          <cell r="J175">
            <v>0</v>
          </cell>
          <cell r="K175" t="str">
            <v>4025/4026</v>
          </cell>
          <cell r="L175" t="str">
            <v>ROCHA</v>
          </cell>
          <cell r="M175">
            <v>1.0787037033878732E-2</v>
          </cell>
          <cell r="N175">
            <v>15.533333328785375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https://search-rtdc-monitor-bjffxe2xuh6vdkpspy63sjmuny.us-east-1.es.amazonaws.com/_plugin/kibana/#/discover/Steve-Slow-Train-Analysis-(2080s-and-2083s)?_g=(refreshInterval:(display:Off,section:0,value:0),time:(from:'2016-08-01 08:37:39-0600',mode:absolute,to:'2016-08-01 10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5" t="str">
            <v>N</v>
          </cell>
          <cell r="X175">
            <v>1</v>
          </cell>
          <cell r="Y175">
            <v>5.8696000000000002</v>
          </cell>
          <cell r="Z175">
            <v>6.4699999999999994E-2</v>
          </cell>
          <cell r="AA175">
            <v>5.8048999999999999</v>
          </cell>
          <cell r="AB175" t="e">
            <v>#N/A</v>
          </cell>
          <cell r="AC175" t="e">
            <v>#N/A</v>
          </cell>
          <cell r="AD175" t="str">
            <v>0814-01</v>
          </cell>
          <cell r="AE17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6">
          <cell r="A176" t="str">
            <v>815-01</v>
          </cell>
          <cell r="B176">
            <v>4025</v>
          </cell>
          <cell r="C176" t="str">
            <v>DE.1.0.7.0</v>
          </cell>
          <cell r="D176" t="str">
            <v>204:934</v>
          </cell>
          <cell r="E176">
            <v>42583.43</v>
          </cell>
          <cell r="F176">
            <v>42583.430694444447</v>
          </cell>
          <cell r="G176">
            <v>1</v>
          </cell>
          <cell r="H176" t="str">
            <v>300:58931</v>
          </cell>
          <cell r="I176">
            <v>42583.441724537035</v>
          </cell>
          <cell r="J176">
            <v>1</v>
          </cell>
          <cell r="K176" t="str">
            <v>4025/4026</v>
          </cell>
          <cell r="L176" t="str">
            <v>ROCHA</v>
          </cell>
          <cell r="M176">
            <v>1.1030092588043772E-2</v>
          </cell>
          <cell r="N176">
            <v>15.883333326783031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6" t="str">
            <v>N</v>
          </cell>
          <cell r="X176">
            <v>1</v>
          </cell>
          <cell r="Y176">
            <v>9.3399999999999997E-2</v>
          </cell>
          <cell r="Z176">
            <v>5.8930999999999996</v>
          </cell>
          <cell r="AA176">
            <v>5.7996999999999996</v>
          </cell>
          <cell r="AB176" t="e">
            <v>#N/A</v>
          </cell>
          <cell r="AC176" t="e">
            <v>#N/A</v>
          </cell>
          <cell r="AD176" t="str">
            <v>0815-01</v>
          </cell>
          <cell r="AE17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7">
          <cell r="A177" t="str">
            <v>816-01</v>
          </cell>
          <cell r="B177">
            <v>4026</v>
          </cell>
          <cell r="C177" t="str">
            <v>DE.1.0.7.0</v>
          </cell>
          <cell r="D177" t="str">
            <v>300:58619</v>
          </cell>
          <cell r="E177">
            <v>42583.442569444444</v>
          </cell>
          <cell r="F177">
            <v>42583.443518518521</v>
          </cell>
          <cell r="G177">
            <v>1</v>
          </cell>
          <cell r="H177" t="str">
            <v>204:636</v>
          </cell>
          <cell r="I177">
            <v>42583.454722222225</v>
          </cell>
          <cell r="J177">
            <v>0</v>
          </cell>
          <cell r="K177" t="str">
            <v>4025/4026</v>
          </cell>
          <cell r="L177" t="str">
            <v>ROCHA</v>
          </cell>
          <cell r="M177">
            <v>1.1203703703358769E-2</v>
          </cell>
          <cell r="N177">
            <v>16.133333332836628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https://search-rtdc-monitor-bjffxe2xuh6vdkpspy63sjmuny.us-east-1.es.amazonaws.com/_plugin/kibana/#/discover/Steve-Slow-Train-Analysis-(2080s-and-2083s)?_g=(refreshInterval:(display:Off,section:0,value:0),time:(from:'2016-08-01 09:37:18-0600',mode:absolute,to:'2016-08-01 11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7" t="str">
            <v>N</v>
          </cell>
          <cell r="X177">
            <v>1</v>
          </cell>
          <cell r="Y177">
            <v>5.8619000000000003</v>
          </cell>
          <cell r="Z177">
            <v>6.3600000000000004E-2</v>
          </cell>
          <cell r="AA177">
            <v>5.7983000000000002</v>
          </cell>
          <cell r="AB177" t="e">
            <v>#N/A</v>
          </cell>
          <cell r="AC177" t="e">
            <v>#N/A</v>
          </cell>
          <cell r="AD177" t="str">
            <v>0816-01</v>
          </cell>
          <cell r="AE17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8">
          <cell r="A178" t="str">
            <v>817-01</v>
          </cell>
          <cell r="B178">
            <v>4025</v>
          </cell>
          <cell r="C178" t="str">
            <v>DE.1.0.7.0</v>
          </cell>
          <cell r="D178" t="str">
            <v>204:929</v>
          </cell>
          <cell r="E178">
            <v>42583.472002314818</v>
          </cell>
          <cell r="F178">
            <v>42583.472766203704</v>
          </cell>
          <cell r="G178">
            <v>1</v>
          </cell>
          <cell r="H178" t="str">
            <v>300:58975</v>
          </cell>
          <cell r="I178">
            <v>42583.483530092592</v>
          </cell>
          <cell r="J178">
            <v>1</v>
          </cell>
          <cell r="K178" t="str">
            <v>4025/4026</v>
          </cell>
          <cell r="L178" t="str">
            <v>ROCHA</v>
          </cell>
          <cell r="M178">
            <v>1.0763888887595385E-2</v>
          </cell>
          <cell r="N178">
            <v>15.499999998137355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8" t="str">
            <v>N</v>
          </cell>
          <cell r="X178">
            <v>1</v>
          </cell>
          <cell r="Y178">
            <v>9.2899999999999996E-2</v>
          </cell>
          <cell r="Z178">
            <v>5.8975</v>
          </cell>
          <cell r="AA178">
            <v>5.8045999999999998</v>
          </cell>
          <cell r="AB178" t="e">
            <v>#N/A</v>
          </cell>
          <cell r="AC178" t="e">
            <v>#N/A</v>
          </cell>
          <cell r="AD178" t="str">
            <v>0817-01</v>
          </cell>
          <cell r="AE17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9">
          <cell r="A179" t="str">
            <v>818-01</v>
          </cell>
          <cell r="B179">
            <v>4026</v>
          </cell>
          <cell r="C179" t="str">
            <v>DE.1.0.7.0</v>
          </cell>
          <cell r="D179" t="str">
            <v>300:58660</v>
          </cell>
          <cell r="E179">
            <v>42583.487743055557</v>
          </cell>
          <cell r="F179">
            <v>42583.488530092596</v>
          </cell>
          <cell r="G179">
            <v>1</v>
          </cell>
          <cell r="H179" t="str">
            <v>204:654</v>
          </cell>
          <cell r="I179">
            <v>42583.498506944445</v>
          </cell>
          <cell r="J179">
            <v>0</v>
          </cell>
          <cell r="K179" t="str">
            <v>4025/4026</v>
          </cell>
          <cell r="L179" t="str">
            <v>ROCHA</v>
          </cell>
          <cell r="M179">
            <v>9.9768518484779634E-3</v>
          </cell>
          <cell r="N179">
            <v>14.366666661808267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https://search-rtdc-monitor-bjffxe2xuh6vdkpspy63sjmuny.us-east-1.es.amazonaws.com/_plugin/kibana/#/discover/Steve-Slow-Train-Analysis-(2080s-and-2083s)?_g=(refreshInterval:(display:Off,section:0,value:0),time:(from:'2016-08-01 10:42:21-0600',mode:absolute,to:'2016-08-01 12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9" t="str">
            <v>N</v>
          </cell>
          <cell r="X179">
            <v>1</v>
          </cell>
          <cell r="Y179">
            <v>5.8659999999999997</v>
          </cell>
          <cell r="Z179">
            <v>6.54E-2</v>
          </cell>
          <cell r="AA179">
            <v>5.8005999999999993</v>
          </cell>
          <cell r="AB179" t="e">
            <v>#N/A</v>
          </cell>
          <cell r="AC179" t="e">
            <v>#N/A</v>
          </cell>
          <cell r="AD179" t="str">
            <v>0818-01</v>
          </cell>
          <cell r="AE17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0">
          <cell r="A180" t="str">
            <v>819-01</v>
          </cell>
          <cell r="B180">
            <v>4025</v>
          </cell>
          <cell r="C180" t="str">
            <v>DE.1.0.7.0</v>
          </cell>
          <cell r="D180" t="str">
            <v>204:934</v>
          </cell>
          <cell r="E180">
            <v>42583.512662037036</v>
          </cell>
          <cell r="F180">
            <v>42583.513796296298</v>
          </cell>
          <cell r="G180">
            <v>1</v>
          </cell>
          <cell r="H180" t="str">
            <v>300:58954</v>
          </cell>
          <cell r="I180">
            <v>42583.524085648147</v>
          </cell>
          <cell r="J180">
            <v>0</v>
          </cell>
          <cell r="K180" t="str">
            <v>4025/4026</v>
          </cell>
          <cell r="L180" t="str">
            <v>ROCHA</v>
          </cell>
          <cell r="M180">
            <v>1.0289351848769002E-2</v>
          </cell>
          <cell r="N180">
            <v>14.816666662227362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https://search-rtdc-monitor-bjffxe2xuh6vdkpspy63sjmuny.us-east-1.es.amazonaws.com/_plugin/kibana/#/discover/Steve-Slow-Train-Analysis-(2080s-and-2083s)?_g=(refreshInterval:(display:Off,section:0,value:0),time:(from:'2016-08-01 11:18:14-0600',mode:absolute,to:'2016-08-01 13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0" t="str">
            <v>N</v>
          </cell>
          <cell r="X180">
            <v>1</v>
          </cell>
          <cell r="Y180">
            <v>9.3399999999999997E-2</v>
          </cell>
          <cell r="Z180">
            <v>5.8954000000000004</v>
          </cell>
          <cell r="AA180">
            <v>5.8020000000000005</v>
          </cell>
          <cell r="AB180" t="e">
            <v>#N/A</v>
          </cell>
          <cell r="AC180" t="e">
            <v>#N/A</v>
          </cell>
          <cell r="AD180" t="str">
            <v>0819-01</v>
          </cell>
          <cell r="AE18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1">
          <cell r="A181" t="str">
            <v>820-01</v>
          </cell>
          <cell r="B181">
            <v>4026</v>
          </cell>
          <cell r="C181" t="str">
            <v>DE.1.0.7.0</v>
          </cell>
          <cell r="D181" t="str">
            <v>300:58638</v>
          </cell>
          <cell r="E181">
            <v>42583.527986111112</v>
          </cell>
          <cell r="F181">
            <v>42583.528587962966</v>
          </cell>
          <cell r="G181">
            <v>0</v>
          </cell>
          <cell r="H181" t="str">
            <v>204:640</v>
          </cell>
          <cell r="I181">
            <v>42583.538287037038</v>
          </cell>
          <cell r="J181">
            <v>1</v>
          </cell>
          <cell r="K181" t="str">
            <v>4025/4026</v>
          </cell>
          <cell r="L181" t="str">
            <v>ROCHA</v>
          </cell>
          <cell r="M181">
            <v>9.6990740712499246E-3</v>
          </cell>
          <cell r="N181">
            <v>13.966666662599891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1" t="str">
            <v>N</v>
          </cell>
          <cell r="X181">
            <v>1</v>
          </cell>
          <cell r="Y181">
            <v>5.8638000000000003</v>
          </cell>
          <cell r="Z181">
            <v>6.4000000000000001E-2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0820-01</v>
          </cell>
          <cell r="AE18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2">
          <cell r="A182" t="str">
            <v>821-01</v>
          </cell>
          <cell r="B182">
            <v>4025</v>
          </cell>
          <cell r="C182" t="str">
            <v>DE.1.0.7.0</v>
          </cell>
          <cell r="D182" t="str">
            <v>204:937</v>
          </cell>
          <cell r="E182">
            <v>42583.551493055558</v>
          </cell>
          <cell r="F182">
            <v>42583.553298611114</v>
          </cell>
          <cell r="G182">
            <v>2</v>
          </cell>
          <cell r="H182" t="str">
            <v>300:58920</v>
          </cell>
          <cell r="I182">
            <v>42583.567812499998</v>
          </cell>
          <cell r="J182">
            <v>0</v>
          </cell>
          <cell r="K182" t="str">
            <v>4025/4026</v>
          </cell>
          <cell r="L182" t="str">
            <v>SWANSON</v>
          </cell>
          <cell r="M182">
            <v>1.4513888883811887E-2</v>
          </cell>
          <cell r="N182">
            <v>20.899999992689118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https://search-rtdc-monitor-bjffxe2xuh6vdkpspy63sjmuny.us-east-1.es.amazonaws.com/_plugin/kibana/#/discover/Steve-Slow-Train-Analysis-(2080s-and-2083s)?_g=(refreshInterval:(display:Off,section:0,value:0),time:(from:'2016-08-01 12:14:09-0600',mode:absolute,to:'2016-08-01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5.8920000000000003</v>
          </cell>
          <cell r="AA182">
            <v>5.7983000000000002</v>
          </cell>
          <cell r="AB182" t="e">
            <v>#N/A</v>
          </cell>
          <cell r="AC182" t="e">
            <v>#N/A</v>
          </cell>
          <cell r="AD182" t="str">
            <v>0821-01</v>
          </cell>
          <cell r="AE18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3">
          <cell r="A183" t="str">
            <v>822-01</v>
          </cell>
          <cell r="B183">
            <v>4026</v>
          </cell>
          <cell r="C183" t="str">
            <v>DE.1.0.7.0</v>
          </cell>
          <cell r="D183" t="str">
            <v>300:58608</v>
          </cell>
          <cell r="E183">
            <v>42583.569328703707</v>
          </cell>
          <cell r="F183">
            <v>42583.570347222223</v>
          </cell>
          <cell r="G183">
            <v>1</v>
          </cell>
          <cell r="H183" t="str">
            <v>204:663</v>
          </cell>
          <cell r="I183">
            <v>42583.580775462964</v>
          </cell>
          <cell r="J183">
            <v>0</v>
          </cell>
          <cell r="K183" t="str">
            <v>4025/4026</v>
          </cell>
          <cell r="L183" t="str">
            <v>SWANSON</v>
          </cell>
          <cell r="M183">
            <v>1.0428240741021E-2</v>
          </cell>
          <cell r="N183">
            <v>15.01666666707024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https://search-rtdc-monitor-bjffxe2xuh6vdkpspy63sjmuny.us-east-1.es.amazonaws.com/_plugin/kibana/#/discover/Steve-Slow-Train-Analysis-(2080s-and-2083s)?_g=(refreshInterval:(display:Off,section:0,value:0),time:(from:'2016-08-01 12:39:50-0600',mode:absolute,to:'2016-08-01 14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3" t="str">
            <v>N</v>
          </cell>
          <cell r="X183">
            <v>1</v>
          </cell>
          <cell r="Y183">
            <v>5.8608000000000002</v>
          </cell>
          <cell r="Z183">
            <v>6.6299999999999998E-2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0822-01</v>
          </cell>
          <cell r="AE18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4">
          <cell r="A184" t="str">
            <v>823-01</v>
          </cell>
          <cell r="B184">
            <v>4025</v>
          </cell>
          <cell r="C184" t="str">
            <v>DE.1.0.7.0</v>
          </cell>
          <cell r="D184" t="str">
            <v>204:955</v>
          </cell>
          <cell r="E184">
            <v>42583.592199074075</v>
          </cell>
          <cell r="F184">
            <v>42583.593356481484</v>
          </cell>
          <cell r="G184">
            <v>1</v>
          </cell>
          <cell r="H184" t="str">
            <v>300:58920</v>
          </cell>
          <cell r="I184">
            <v>42583.60900462963</v>
          </cell>
          <cell r="J184">
            <v>0</v>
          </cell>
          <cell r="K184" t="str">
            <v>4025/4026</v>
          </cell>
          <cell r="L184" t="str">
            <v>SWANSON</v>
          </cell>
          <cell r="M184">
            <v>1.5648148146283347E-2</v>
          </cell>
          <cell r="N184">
            <v>22.53333333064802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https://search-rtdc-monitor-bjffxe2xuh6vdkpspy63sjmuny.us-east-1.es.amazonaws.com/_plugin/kibana/#/discover/Steve-Slow-Train-Analysis-(2080s-and-2083s)?_g=(refreshInterval:(display:Off,section:0,value:0),time:(from:'2016-08-01 13:12:46-0600',mode:absolute,to:'2016-08-01 15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4" t="str">
            <v>N</v>
          </cell>
          <cell r="X184">
            <v>1</v>
          </cell>
          <cell r="Y184">
            <v>9.5500000000000002E-2</v>
          </cell>
          <cell r="Z184">
            <v>5.8920000000000003</v>
          </cell>
          <cell r="AA184">
            <v>5.7965</v>
          </cell>
          <cell r="AB184" t="e">
            <v>#N/A</v>
          </cell>
          <cell r="AC184" t="e">
            <v>#N/A</v>
          </cell>
          <cell r="AD184" t="str">
            <v>0823-01</v>
          </cell>
          <cell r="AE18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5">
          <cell r="A185" t="str">
            <v>824-01</v>
          </cell>
          <cell r="B185">
            <v>4026</v>
          </cell>
          <cell r="C185" t="str">
            <v>DE.1.0.7.0</v>
          </cell>
          <cell r="D185" t="str">
            <v>300:58602</v>
          </cell>
          <cell r="E185">
            <v>42583.612060185187</v>
          </cell>
          <cell r="F185">
            <v>42583.613009259258</v>
          </cell>
          <cell r="G185">
            <v>1</v>
          </cell>
          <cell r="H185" t="str">
            <v>204:645</v>
          </cell>
          <cell r="I185">
            <v>42583.623437499999</v>
          </cell>
          <cell r="J185">
            <v>0</v>
          </cell>
          <cell r="K185" t="str">
            <v>4025/4026</v>
          </cell>
          <cell r="L185" t="str">
            <v>SWANSON</v>
          </cell>
          <cell r="M185">
            <v>1.0428240741021E-2</v>
          </cell>
          <cell r="N185">
            <v>15.01666666707024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https://search-rtdc-monitor-bjffxe2xuh6vdkpspy63sjmuny.us-east-1.es.amazonaws.com/_plugin/kibana/#/discover/Steve-Slow-Train-Analysis-(2080s-and-2083s)?_g=(refreshInterval:(display:Off,section:0,value:0),time:(from:'2016-08-01 13:41:22-0600',mode:absolute,to:'2016-08-01 15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5" t="str">
            <v>N</v>
          </cell>
          <cell r="X185">
            <v>1</v>
          </cell>
          <cell r="Y185">
            <v>5.8601999999999999</v>
          </cell>
          <cell r="Z185">
            <v>6.4500000000000002E-2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0824-01</v>
          </cell>
          <cell r="AE18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6">
          <cell r="A186" t="str">
            <v>825-01</v>
          </cell>
          <cell r="B186">
            <v>4025</v>
          </cell>
          <cell r="C186" t="str">
            <v>DE.1.0.7.0</v>
          </cell>
          <cell r="D186" t="str">
            <v>204:1091</v>
          </cell>
          <cell r="E186">
            <v>42583.639016203706</v>
          </cell>
          <cell r="F186">
            <v>42583.643368055556</v>
          </cell>
          <cell r="G186">
            <v>6</v>
          </cell>
          <cell r="H186" t="str">
            <v>300:58924</v>
          </cell>
          <cell r="I186">
            <v>42583.653877314813</v>
          </cell>
          <cell r="J186">
            <v>0</v>
          </cell>
          <cell r="K186" t="str">
            <v>4025/4026</v>
          </cell>
          <cell r="L186" t="str">
            <v>SWANSON</v>
          </cell>
          <cell r="M186">
            <v>1.0509259256650694E-2</v>
          </cell>
          <cell r="N186">
            <v>15.133333329576999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https://search-rtdc-monitor-bjffxe2xuh6vdkpspy63sjmuny.us-east-1.es.amazonaws.com/_plugin/kibana/#/discover/Steve-Slow-Train-Analysis-(2080s-and-2083s)?_g=(refreshInterval:(display:Off,section:0,value:0),time:(from:'2016-08-01 14:20:11-0600',mode:absolute,to:'2016-08-01 16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6" t="str">
            <v>N</v>
          </cell>
          <cell r="X186">
            <v>1</v>
          </cell>
          <cell r="Y186">
            <v>0.1091</v>
          </cell>
          <cell r="Z186">
            <v>5.8924000000000003</v>
          </cell>
          <cell r="AA186">
            <v>5.7833000000000006</v>
          </cell>
          <cell r="AB186" t="e">
            <v>#N/A</v>
          </cell>
          <cell r="AC186" t="e">
            <v>#N/A</v>
          </cell>
          <cell r="AD186" t="str">
            <v>0825-01</v>
          </cell>
          <cell r="AE18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7">
          <cell r="A187" t="str">
            <v>826-01</v>
          </cell>
          <cell r="B187">
            <v>4026</v>
          </cell>
          <cell r="C187" t="str">
            <v>DE.1.0.7.0</v>
          </cell>
          <cell r="D187" t="str">
            <v>300:58609</v>
          </cell>
          <cell r="E187">
            <v>42583.654664351852</v>
          </cell>
          <cell r="F187">
            <v>42583.656134259261</v>
          </cell>
          <cell r="G187">
            <v>2</v>
          </cell>
          <cell r="H187" t="str">
            <v>204:705</v>
          </cell>
          <cell r="I187">
            <v>42583.66609953704</v>
          </cell>
          <cell r="J187">
            <v>0</v>
          </cell>
          <cell r="K187" t="str">
            <v>4025/4026</v>
          </cell>
          <cell r="L187" t="str">
            <v>SWANSON</v>
          </cell>
          <cell r="M187">
            <v>9.9652777789742686E-3</v>
          </cell>
          <cell r="N187">
            <v>14.350000001722947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https://search-rtdc-monitor-bjffxe2xuh6vdkpspy63sjmuny.us-east-1.es.amazonaws.com/_plugin/kibana/#/discover/Steve-Slow-Train-Analysis-(2080s-and-2083s)?_g=(refreshInterval:(display:Off,section:0,value:0),time:(from:'2016-08-01 14:42:43-0600',mode:absolute,to:'2016-08-01 16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7.0499999999999993E-2</v>
          </cell>
          <cell r="AA187">
            <v>5.7904</v>
          </cell>
          <cell r="AB187" t="e">
            <v>#N/A</v>
          </cell>
          <cell r="AC187" t="e">
            <v>#N/A</v>
          </cell>
          <cell r="AD187" t="str">
            <v>0826-01</v>
          </cell>
          <cell r="AE18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8">
          <cell r="A188" t="str">
            <v>827-01</v>
          </cell>
          <cell r="B188">
            <v>4042</v>
          </cell>
          <cell r="C188" t="str">
            <v>DE.1.0.7.0</v>
          </cell>
          <cell r="D188" t="str">
            <v>204:897</v>
          </cell>
          <cell r="E188">
            <v>42583.655729166669</v>
          </cell>
          <cell r="F188">
            <v>42583.656736111108</v>
          </cell>
          <cell r="G188">
            <v>1</v>
          </cell>
          <cell r="H188" t="str">
            <v>300:58926</v>
          </cell>
          <cell r="I188">
            <v>42583.672442129631</v>
          </cell>
          <cell r="J188">
            <v>1</v>
          </cell>
          <cell r="K188" t="str">
            <v>4041/4042</v>
          </cell>
          <cell r="L188" t="str">
            <v>COOLAHAN</v>
          </cell>
          <cell r="M188">
            <v>1.5706018522905651E-2</v>
          </cell>
          <cell r="N188">
            <v>22.616666672984138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8.9700000000000002E-2</v>
          </cell>
          <cell r="Z188">
            <v>5.8925999999999998</v>
          </cell>
          <cell r="AA188">
            <v>5.8029000000000002</v>
          </cell>
          <cell r="AB188" t="e">
            <v>#N/A</v>
          </cell>
          <cell r="AC188" t="e">
            <v>#N/A</v>
          </cell>
          <cell r="AD188" t="str">
            <v>0827-01</v>
          </cell>
          <cell r="AE188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89">
          <cell r="A189" t="str">
            <v>828-01</v>
          </cell>
          <cell r="B189">
            <v>4041</v>
          </cell>
          <cell r="C189" t="str">
            <v>DE.1.0.7.0</v>
          </cell>
          <cell r="D189" t="str">
            <v>300:58707</v>
          </cell>
          <cell r="E189">
            <v>42583.67391203704</v>
          </cell>
          <cell r="F189">
            <v>42583.674895833334</v>
          </cell>
          <cell r="G189">
            <v>1</v>
          </cell>
          <cell r="H189" t="str">
            <v>204:661</v>
          </cell>
          <cell r="I189">
            <v>42583.688310185185</v>
          </cell>
          <cell r="J189">
            <v>0</v>
          </cell>
          <cell r="K189" t="str">
            <v>4041/4042</v>
          </cell>
          <cell r="L189" t="str">
            <v>COOLAHAN</v>
          </cell>
          <cell r="M189">
            <v>1.3414351851679385E-2</v>
          </cell>
          <cell r="N189">
            <v>19.316666666418314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https://search-rtdc-monitor-bjffxe2xuh6vdkpspy63sjmuny.us-east-1.es.amazonaws.com/_plugin/kibana/#/discover/Steve-Slow-Train-Analysis-(2080s-and-2083s)?_g=(refreshInterval:(display:Off,section:0,value:0),time:(from:'2016-08-01 15:10:26-0600',mode:absolute,to:'2016-08-01 17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5.8707000000000003</v>
          </cell>
          <cell r="Z189">
            <v>6.6100000000000006E-2</v>
          </cell>
          <cell r="AA189">
            <v>5.8046000000000006</v>
          </cell>
          <cell r="AB189" t="e">
            <v>#N/A</v>
          </cell>
          <cell r="AC189" t="e">
            <v>#N/A</v>
          </cell>
          <cell r="AD189" t="str">
            <v>0828-01</v>
          </cell>
          <cell r="AE189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0">
          <cell r="A190" t="str">
            <v>829-01</v>
          </cell>
          <cell r="B190">
            <v>4025</v>
          </cell>
          <cell r="C190" t="str">
            <v>DE.1.0.7.0</v>
          </cell>
          <cell r="D190" t="str">
            <v>204:993</v>
          </cell>
          <cell r="E190">
            <v>42583.675578703704</v>
          </cell>
          <cell r="F190">
            <v>42583.676550925928</v>
          </cell>
          <cell r="G190">
            <v>1</v>
          </cell>
          <cell r="H190" t="str">
            <v>300:58918</v>
          </cell>
          <cell r="I190">
            <v>42583.691944444443</v>
          </cell>
          <cell r="J190">
            <v>0</v>
          </cell>
          <cell r="K190" t="str">
            <v>4025/4026</v>
          </cell>
          <cell r="L190" t="str">
            <v>SWANSON</v>
          </cell>
          <cell r="M190">
            <v>1.5393518515338656E-2</v>
          </cell>
          <cell r="N190">
            <v>22.166666662087664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https://search-rtdc-monitor-bjffxe2xuh6vdkpspy63sjmuny.us-east-1.es.amazonaws.com/_plugin/kibana/#/discover/Steve-Slow-Train-Analysis-(2080s-and-2083s)?_g=(refreshInterval:(display:Off,section:0,value:0),time:(from:'2016-08-01 15:12:50-0600',mode:absolute,to:'2016-08-01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0" t="str">
            <v>N</v>
          </cell>
          <cell r="X190">
            <v>1</v>
          </cell>
          <cell r="Y190">
            <v>9.9299999999999999E-2</v>
          </cell>
          <cell r="Z190">
            <v>5.8917999999999999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0829-01</v>
          </cell>
          <cell r="AE19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1">
          <cell r="A191" t="str">
            <v>830-01</v>
          </cell>
          <cell r="B191">
            <v>4026</v>
          </cell>
          <cell r="C191" t="str">
            <v>DE.1.0.7.0</v>
          </cell>
          <cell r="D191" t="str">
            <v>300:58606</v>
          </cell>
          <cell r="E191">
            <v>42583.693032407406</v>
          </cell>
          <cell r="F191">
            <v>42583.694745370369</v>
          </cell>
          <cell r="G191">
            <v>2</v>
          </cell>
          <cell r="H191" t="str">
            <v>204:678</v>
          </cell>
          <cell r="I191">
            <v>42583.705879629626</v>
          </cell>
          <cell r="J191">
            <v>0</v>
          </cell>
          <cell r="K191" t="str">
            <v>4025/4026</v>
          </cell>
          <cell r="L191" t="str">
            <v>SWANSON</v>
          </cell>
          <cell r="M191">
            <v>1.113425925723277E-2</v>
          </cell>
          <cell r="N191">
            <v>16.033333330415189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https://search-rtdc-monitor-bjffxe2xuh6vdkpspy63sjmuny.us-east-1.es.amazonaws.com/_plugin/kibana/#/discover/Steve-Slow-Train-Analysis-(2080s-and-2083s)?_g=(refreshInterval:(display:Off,section:0,value:0),time:(from:'2016-08-01 15:37:58-0600',mode:absolute,to:'2016-08-01 17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6.7799999999999999E-2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0830-01</v>
          </cell>
          <cell r="AE19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2">
          <cell r="A192" t="str">
            <v>831-01</v>
          </cell>
          <cell r="B192">
            <v>4042</v>
          </cell>
          <cell r="C192" t="str">
            <v>DE.1.0.7.0</v>
          </cell>
          <cell r="D192" t="str">
            <v>204:955</v>
          </cell>
          <cell r="E192">
            <v>42583.698865740742</v>
          </cell>
          <cell r="F192">
            <v>42583.700312499997</v>
          </cell>
          <cell r="G192">
            <v>2</v>
          </cell>
          <cell r="H192" t="str">
            <v>300:58784</v>
          </cell>
          <cell r="I192">
            <v>42583.713171296295</v>
          </cell>
          <cell r="J192">
            <v>1</v>
          </cell>
          <cell r="K192" t="str">
            <v>4041/4042</v>
          </cell>
          <cell r="L192" t="str">
            <v>COOLAHAN</v>
          </cell>
          <cell r="M192">
            <v>1.2858796297223307E-2</v>
          </cell>
          <cell r="N192">
            <v>18.516666668001562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2" t="str">
            <v>N</v>
          </cell>
          <cell r="X192">
            <v>1</v>
          </cell>
          <cell r="Y192">
            <v>9.5500000000000002E-2</v>
          </cell>
          <cell r="Z192">
            <v>5.8784000000000001</v>
          </cell>
          <cell r="AA192">
            <v>5.7828999999999997</v>
          </cell>
          <cell r="AB192" t="e">
            <v>#N/A</v>
          </cell>
          <cell r="AC192" t="e">
            <v>#N/A</v>
          </cell>
          <cell r="AD192" t="str">
            <v>0831-01</v>
          </cell>
          <cell r="AE19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3">
          <cell r="A193" t="str">
            <v>832-01</v>
          </cell>
          <cell r="B193">
            <v>4041</v>
          </cell>
          <cell r="C193" t="str">
            <v>DE.1.0.7.0</v>
          </cell>
          <cell r="D193" t="str">
            <v>300:58666</v>
          </cell>
          <cell r="E193">
            <v>42583.714270833334</v>
          </cell>
          <cell r="F193">
            <v>42583.715266203704</v>
          </cell>
          <cell r="G193">
            <v>1</v>
          </cell>
          <cell r="H193" t="str">
            <v>204:710</v>
          </cell>
          <cell r="I193">
            <v>42583.726087962961</v>
          </cell>
          <cell r="J193">
            <v>0</v>
          </cell>
          <cell r="K193" t="str">
            <v>4041/4042</v>
          </cell>
          <cell r="L193" t="str">
            <v>COOLAHAN</v>
          </cell>
          <cell r="M193">
            <v>1.0821759256941732E-2</v>
          </cell>
          <cell r="N193">
            <v>15.583333329996094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https://search-rtdc-monitor-bjffxe2xuh6vdkpspy63sjmuny.us-east-1.es.amazonaws.com/_plugin/kibana/#/discover/Steve-Slow-Train-Analysis-(2080s-and-2083s)?_g=(refreshInterval:(display:Off,section:0,value:0),time:(from:'2016-08-01 16:08:33-0600',mode:absolute,to:'2016-08-01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3" t="str">
            <v>N</v>
          </cell>
          <cell r="X193">
            <v>1</v>
          </cell>
          <cell r="Y193">
            <v>5.8666</v>
          </cell>
          <cell r="Z193">
            <v>7.0999999999999994E-2</v>
          </cell>
          <cell r="AA193">
            <v>5.7956000000000003</v>
          </cell>
          <cell r="AB193" t="e">
            <v>#N/A</v>
          </cell>
          <cell r="AC193" t="e">
            <v>#N/A</v>
          </cell>
          <cell r="AD193" t="str">
            <v>0832-01</v>
          </cell>
          <cell r="AE19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4">
          <cell r="A194" t="str">
            <v>833-01</v>
          </cell>
          <cell r="B194">
            <v>4025</v>
          </cell>
          <cell r="C194" t="str">
            <v>DE.1.0.7.0</v>
          </cell>
          <cell r="D194" t="str">
            <v>204:965</v>
          </cell>
          <cell r="E194">
            <v>42583.717673611114</v>
          </cell>
          <cell r="F194">
            <v>42583.71875</v>
          </cell>
          <cell r="G194">
            <v>1</v>
          </cell>
          <cell r="H194" t="str">
            <v>300:58929</v>
          </cell>
          <cell r="I194">
            <v>42583.733344907407</v>
          </cell>
          <cell r="J194">
            <v>1</v>
          </cell>
          <cell r="K194" t="str">
            <v>4025/4026</v>
          </cell>
          <cell r="L194" t="str">
            <v>SWANSON</v>
          </cell>
          <cell r="M194">
            <v>1.4594907406717539E-2</v>
          </cell>
          <cell r="N194">
            <v>21.016666665673256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4" t="str">
            <v>N</v>
          </cell>
          <cell r="X194">
            <v>1</v>
          </cell>
          <cell r="Y194">
            <v>9.6500000000000002E-2</v>
          </cell>
          <cell r="Z194">
            <v>5.8929</v>
          </cell>
          <cell r="AA194">
            <v>5.7964000000000002</v>
          </cell>
          <cell r="AB194" t="e">
            <v>#N/A</v>
          </cell>
          <cell r="AC194" t="e">
            <v>#N/A</v>
          </cell>
          <cell r="AD194" t="str">
            <v>0833-01</v>
          </cell>
          <cell r="AE19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5">
          <cell r="A195" t="str">
            <v>834-01</v>
          </cell>
          <cell r="B195">
            <v>4026</v>
          </cell>
          <cell r="C195" t="str">
            <v>DE.1.0.7.0</v>
          </cell>
          <cell r="D195" t="str">
            <v>300:58609</v>
          </cell>
          <cell r="E195">
            <v>42583.734409722223</v>
          </cell>
          <cell r="F195">
            <v>42583.73542824074</v>
          </cell>
          <cell r="G195">
            <v>1</v>
          </cell>
          <cell r="H195" t="str">
            <v>204:689</v>
          </cell>
          <cell r="I195">
            <v>42583.74796296296</v>
          </cell>
          <cell r="J195">
            <v>0</v>
          </cell>
          <cell r="K195" t="str">
            <v>4025/4026</v>
          </cell>
          <cell r="L195" t="str">
            <v>SWANSON</v>
          </cell>
          <cell r="M195">
            <v>1.2534722220152617E-2</v>
          </cell>
          <cell r="N195">
            <v>18.049999997019768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https://search-rtdc-monitor-bjffxe2xuh6vdkpspy63sjmuny.us-east-1.es.amazonaws.com/_plugin/kibana/#/discover/Steve-Slow-Train-Analysis-(2080s-and-2083s)?_g=(refreshInterval:(display:Off,section:0,value:0),time:(from:'2016-08-01 16:37:33-0600',mode:absolute,to:'2016-08-01 18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6.8900000000000003E-2</v>
          </cell>
          <cell r="AA195">
            <v>5.7919999999999998</v>
          </cell>
          <cell r="AB195" t="e">
            <v>#N/A</v>
          </cell>
          <cell r="AC195" t="e">
            <v>#N/A</v>
          </cell>
          <cell r="AD195" t="str">
            <v>0834-01</v>
          </cell>
          <cell r="AE19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6">
          <cell r="A196" t="str">
            <v>835-01</v>
          </cell>
          <cell r="B196">
            <v>4042</v>
          </cell>
          <cell r="C196" t="str">
            <v>DE.1.0.7.0</v>
          </cell>
          <cell r="D196" t="str">
            <v>204:990</v>
          </cell>
          <cell r="E196">
            <v>42583.739652777775</v>
          </cell>
          <cell r="F196">
            <v>42583.740983796299</v>
          </cell>
          <cell r="G196">
            <v>1</v>
          </cell>
          <cell r="H196" t="str">
            <v>300:58978</v>
          </cell>
          <cell r="I196">
            <v>42583.756157407406</v>
          </cell>
          <cell r="J196">
            <v>0</v>
          </cell>
          <cell r="K196" t="str">
            <v>4041/4042</v>
          </cell>
          <cell r="L196" t="str">
            <v>COOLAHAN</v>
          </cell>
          <cell r="M196">
            <v>1.5173611107456964E-2</v>
          </cell>
          <cell r="N196">
            <v>21.849999994738027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https://search-rtdc-monitor-bjffxe2xuh6vdkpspy63sjmuny.us-east-1.es.amazonaws.com/_plugin/kibana/#/discover/Steve-Slow-Train-Analysis-(2080s-and-2083s)?_g=(refreshInterval:(display:Off,section:0,value:0),time:(from:'2016-08-01 16:45:06-0600',mode:absolute,to:'2016-08-01 19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6" t="str">
            <v>N</v>
          </cell>
          <cell r="X196">
            <v>1</v>
          </cell>
          <cell r="Y196">
            <v>9.9000000000000005E-2</v>
          </cell>
          <cell r="Z196">
            <v>5.8978000000000002</v>
          </cell>
          <cell r="AA196">
            <v>5.7988</v>
          </cell>
          <cell r="AB196" t="e">
            <v>#N/A</v>
          </cell>
          <cell r="AC196" t="e">
            <v>#N/A</v>
          </cell>
          <cell r="AD196" t="str">
            <v>0835-01</v>
          </cell>
          <cell r="AE19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7">
          <cell r="A197" t="str">
            <v>836-01</v>
          </cell>
          <cell r="B197">
            <v>4041</v>
          </cell>
          <cell r="C197" t="str">
            <v>DE.1.0.7.0</v>
          </cell>
          <cell r="D197" t="str">
            <v>300:58655</v>
          </cell>
          <cell r="E197">
            <v>42583.757118055553</v>
          </cell>
          <cell r="F197">
            <v>42583.758020833331</v>
          </cell>
          <cell r="G197">
            <v>1</v>
          </cell>
          <cell r="H197" t="str">
            <v>204:726</v>
          </cell>
          <cell r="I197">
            <v>42583.768761574072</v>
          </cell>
          <cell r="J197">
            <v>0</v>
          </cell>
          <cell r="K197" t="str">
            <v>4041/4042</v>
          </cell>
          <cell r="L197" t="str">
            <v>COOLAHAN</v>
          </cell>
          <cell r="M197">
            <v>1.0740740741312038E-2</v>
          </cell>
          <cell r="N197">
            <v>15.466666667489335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https://search-rtdc-monitor-bjffxe2xuh6vdkpspy63sjmuny.us-east-1.es.amazonaws.com/_plugin/kibana/#/discover/Steve-Slow-Train-Analysis-(2080s-and-2083s)?_g=(refreshInterval:(display:Off,section:0,value:0),time:(from:'2016-08-01 17:10:15-0600',mode:absolute,to:'2016-08-01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7" t="str">
            <v>N</v>
          </cell>
          <cell r="X197">
            <v>1</v>
          </cell>
          <cell r="Y197">
            <v>5.8654999999999999</v>
          </cell>
          <cell r="Z197">
            <v>7.2599999999999998E-2</v>
          </cell>
          <cell r="AA197">
            <v>5.7928999999999995</v>
          </cell>
          <cell r="AB197" t="e">
            <v>#N/A</v>
          </cell>
          <cell r="AC197" t="e">
            <v>#N/A</v>
          </cell>
          <cell r="AD197" t="str">
            <v>0836-01</v>
          </cell>
          <cell r="AE19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8">
          <cell r="A198" t="str">
            <v>837-01</v>
          </cell>
          <cell r="B198">
            <v>4025</v>
          </cell>
          <cell r="C198" t="str">
            <v>DE.1.0.7.0</v>
          </cell>
          <cell r="D198" t="str">
            <v>204:976</v>
          </cell>
          <cell r="E198">
            <v>42583.757476851853</v>
          </cell>
          <cell r="F198">
            <v>42583.758784722224</v>
          </cell>
          <cell r="G198">
            <v>1</v>
          </cell>
          <cell r="H198" t="str">
            <v>300:58926</v>
          </cell>
          <cell r="I198">
            <v>42583.775405092594</v>
          </cell>
          <cell r="J198">
            <v>1</v>
          </cell>
          <cell r="K198" t="str">
            <v>4025/4026</v>
          </cell>
          <cell r="L198" t="str">
            <v>SWANSON</v>
          </cell>
          <cell r="M198">
            <v>1.6620370370219462E-2</v>
          </cell>
          <cell r="N198">
            <v>23.933333333116025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5.8925999999999998</v>
          </cell>
          <cell r="AA198">
            <v>5.7949999999999999</v>
          </cell>
          <cell r="AB198" t="e">
            <v>#N/A</v>
          </cell>
          <cell r="AC198" t="e">
            <v>#N/A</v>
          </cell>
          <cell r="AD198" t="str">
            <v>0837-01</v>
          </cell>
          <cell r="AE19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9">
          <cell r="A199" t="str">
            <v>838-01</v>
          </cell>
          <cell r="B199">
            <v>4026</v>
          </cell>
          <cell r="C199" t="str">
            <v>DE.1.0.7.0</v>
          </cell>
          <cell r="D199" t="str">
            <v>300:58611</v>
          </cell>
          <cell r="E199">
            <v>42583.776620370372</v>
          </cell>
          <cell r="F199">
            <v>42583.777858796297</v>
          </cell>
          <cell r="G199">
            <v>1</v>
          </cell>
          <cell r="H199" t="str">
            <v>204:675</v>
          </cell>
          <cell r="I199">
            <v>42583.788206018522</v>
          </cell>
          <cell r="J199">
            <v>0</v>
          </cell>
          <cell r="K199" t="str">
            <v>4025/4026</v>
          </cell>
          <cell r="L199" t="str">
            <v>SWANSON</v>
          </cell>
          <cell r="M199">
            <v>1.0347222225391306E-2</v>
          </cell>
          <cell r="N199">
            <v>14.900000004563481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https://search-rtdc-monitor-bjffxe2xuh6vdkpspy63sjmuny.us-east-1.es.amazonaws.com/_plugin/kibana/#/discover/Steve-Slow-Train-Analysis-(2080s-and-2083s)?_g=(refreshInterval:(display:Off,section:0,value:0),time:(from:'2016-08-01 17:38:20-0600',mode:absolute,to:'2016-08-01 19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9" t="str">
            <v>N</v>
          </cell>
          <cell r="X199">
            <v>1</v>
          </cell>
          <cell r="Y199">
            <v>5.8611000000000004</v>
          </cell>
          <cell r="Z199">
            <v>6.7500000000000004E-2</v>
          </cell>
          <cell r="AA199">
            <v>5.7936000000000005</v>
          </cell>
          <cell r="AB199" t="e">
            <v>#N/A</v>
          </cell>
          <cell r="AC199" t="e">
            <v>#N/A</v>
          </cell>
          <cell r="AD199" t="str">
            <v>0838-01</v>
          </cell>
          <cell r="AE19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0">
          <cell r="A200" t="str">
            <v>839-01</v>
          </cell>
          <cell r="B200">
            <v>4042</v>
          </cell>
          <cell r="C200" t="str">
            <v>DE.1.0.7.0</v>
          </cell>
          <cell r="D200" t="str">
            <v>204:1016</v>
          </cell>
          <cell r="E200">
            <v>42583.780046296299</v>
          </cell>
          <cell r="F200">
            <v>42583.78125</v>
          </cell>
          <cell r="G200">
            <v>1</v>
          </cell>
          <cell r="H200" t="str">
            <v>300:58939</v>
          </cell>
          <cell r="I200">
            <v>42583.796585648146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1.5335648145992309E-2</v>
          </cell>
          <cell r="N200">
            <v>22.083333330228925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https://search-rtdc-monitor-bjffxe2xuh6vdkpspy63sjmuny.us-east-1.es.amazonaws.com/_plugin/kibana/#/discover/Steve-Slow-Train-Analysis-(2080s-and-2083s)?_g=(refreshInterval:(display:Off,section:0,value:0),time:(from:'2016-08-01 17:43:16-0600',mode:absolute,to:'2016-08-01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1</v>
          </cell>
          <cell r="Y200">
            <v>0.1016</v>
          </cell>
          <cell r="Z200">
            <v>5.8939000000000004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0839-01</v>
          </cell>
          <cell r="AE20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201">
          <cell r="A201" t="str">
            <v>840-01</v>
          </cell>
          <cell r="B201">
            <v>4026</v>
          </cell>
          <cell r="C201" t="str">
            <v>DE.1.0.7.0</v>
          </cell>
          <cell r="D201" t="str">
            <v>300:58608</v>
          </cell>
          <cell r="E201">
            <v>42583.818159722221</v>
          </cell>
          <cell r="F201">
            <v>42583.819143518522</v>
          </cell>
          <cell r="G201">
            <v>1</v>
          </cell>
          <cell r="H201" t="str">
            <v>204:663</v>
          </cell>
          <cell r="I201">
            <v>42583.830092592594</v>
          </cell>
          <cell r="J201">
            <v>0</v>
          </cell>
          <cell r="K201" t="str">
            <v>4025/4026</v>
          </cell>
          <cell r="L201" t="str">
            <v>SWANSON</v>
          </cell>
          <cell r="M201">
            <v>1.0949074072414078E-2</v>
          </cell>
          <cell r="N201">
            <v>15.766666664276272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https://search-rtdc-monitor-bjffxe2xuh6vdkpspy63sjmuny.us-east-1.es.amazonaws.com/_plugin/kibana/#/discover/Steve-Slow-Train-Analysis-(2080s-and-2083s)?_g=(refreshInterval:(display:Off,section:0,value:0),time:(from:'2016-08-01 18:38:09-0600',mode:absolute,to:'2016-08-01 20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6.6299999999999998E-2</v>
          </cell>
          <cell r="AA201">
            <v>5.7945000000000002</v>
          </cell>
          <cell r="AB201" t="e">
            <v>#N/A</v>
          </cell>
          <cell r="AC201" t="e">
            <v>#N/A</v>
          </cell>
          <cell r="AD201" t="str">
            <v>0840-01</v>
          </cell>
          <cell r="AE20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2">
          <cell r="A202" t="str">
            <v>841-01</v>
          </cell>
          <cell r="B202">
            <v>4025</v>
          </cell>
          <cell r="C202" t="str">
            <v>DE.1.0.7.0</v>
          </cell>
          <cell r="D202" t="str">
            <v>204:969</v>
          </cell>
          <cell r="E202">
            <v>42583.802719907406</v>
          </cell>
          <cell r="F202">
            <v>42583.803576388891</v>
          </cell>
          <cell r="G202">
            <v>1</v>
          </cell>
          <cell r="H202" t="str">
            <v>300:58924</v>
          </cell>
          <cell r="I202">
            <v>42583.817025462966</v>
          </cell>
          <cell r="J202">
            <v>0</v>
          </cell>
          <cell r="K202" t="str">
            <v>4025/4026</v>
          </cell>
          <cell r="L202" t="str">
            <v>SWANSON</v>
          </cell>
          <cell r="M202">
            <v>1.3449074074742384E-2</v>
          </cell>
          <cell r="N202">
            <v>19.366666667629033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https://search-rtdc-monitor-bjffxe2xuh6vdkpspy63sjmuny.us-east-1.es.amazonaws.com/_plugin/kibana/#/discover/Steve-Slow-Train-Analysis-(2080s-and-2083s)?_g=(refreshInterval:(display:Off,section:0,value:0),time:(from:'2016-08-01 18:15:55-0600',mode:absolute,to:'2016-08-01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2" t="str">
            <v>N</v>
          </cell>
          <cell r="X202">
            <v>1</v>
          </cell>
          <cell r="Y202">
            <v>9.69E-2</v>
          </cell>
          <cell r="Z202">
            <v>5.8924000000000003</v>
          </cell>
          <cell r="AA202">
            <v>5.7955000000000005</v>
          </cell>
          <cell r="AB202" t="e">
            <v>#N/A</v>
          </cell>
          <cell r="AC202" t="e">
            <v>#N/A</v>
          </cell>
          <cell r="AD202" t="str">
            <v>0841-01</v>
          </cell>
          <cell r="AE20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3">
          <cell r="A203" t="str">
            <v>842-01</v>
          </cell>
          <cell r="B203">
            <v>4026</v>
          </cell>
          <cell r="C203" t="str">
            <v>DE.1.0.7.0</v>
          </cell>
          <cell r="D203" t="str">
            <v>300:58602</v>
          </cell>
          <cell r="E203">
            <v>42583.8596875</v>
          </cell>
          <cell r="F203">
            <v>42583.860578703701</v>
          </cell>
          <cell r="G203">
            <v>1</v>
          </cell>
          <cell r="H203" t="str">
            <v>204:692</v>
          </cell>
          <cell r="I203">
            <v>42583.871712962966</v>
          </cell>
          <cell r="J203">
            <v>0</v>
          </cell>
          <cell r="K203" t="str">
            <v>4025/4026</v>
          </cell>
          <cell r="L203" t="str">
            <v>SWANSON</v>
          </cell>
          <cell r="M203">
            <v>1.1134259264508728E-2</v>
          </cell>
          <cell r="N203">
            <v>16.033333340892568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https://search-rtdc-monitor-bjffxe2xuh6vdkpspy63sjmuny.us-east-1.es.amazonaws.com/_plugin/kibana/#/discover/Steve-Slow-Train-Analysis-(2080s-and-2083s)?_g=(refreshInterval:(display:Off,section:0,value:0),time:(from:'2016-08-01 19:37:57-0600',mode:absolute,to:'2016-08-01 21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6.9199999999999998E-2</v>
          </cell>
          <cell r="AA203">
            <v>5.7909999999999995</v>
          </cell>
          <cell r="AB203" t="e">
            <v>#N/A</v>
          </cell>
          <cell r="AC203" t="e">
            <v>#N/A</v>
          </cell>
          <cell r="AD203" t="str">
            <v>0842-01</v>
          </cell>
          <cell r="AE20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4">
          <cell r="A204" t="str">
            <v>843-01</v>
          </cell>
          <cell r="B204">
            <v>4025</v>
          </cell>
          <cell r="C204" t="str">
            <v>DE.1.0.7.0</v>
          </cell>
          <cell r="D204" t="str">
            <v>204:965</v>
          </cell>
          <cell r="E204">
            <v>42583.843252314815</v>
          </cell>
          <cell r="F204">
            <v>42583.844293981485</v>
          </cell>
          <cell r="G204">
            <v>1</v>
          </cell>
          <cell r="H204" t="str">
            <v>300:58918</v>
          </cell>
          <cell r="I204">
            <v>42583.858796296299</v>
          </cell>
          <cell r="J204">
            <v>0</v>
          </cell>
          <cell r="K204" t="str">
            <v>4025/4026</v>
          </cell>
          <cell r="L204" t="str">
            <v>SWANSON</v>
          </cell>
          <cell r="M204">
            <v>1.4502314814308193E-2</v>
          </cell>
          <cell r="N204">
            <v>20.883333332603797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https://search-rtdc-monitor-bjffxe2xuh6vdkpspy63sjmuny.us-east-1.es.amazonaws.com/_plugin/kibana/#/discover/Steve-Slow-Train-Analysis-(2080s-and-2083s)?_g=(refreshInterval:(display:Off,section:0,value:0),time:(from:'2016-08-01 19:14:17-0600',mode:absolute,to:'2016-08-01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4" t="str">
            <v>N</v>
          </cell>
          <cell r="X204">
            <v>1</v>
          </cell>
          <cell r="Y204">
            <v>9.6500000000000002E-2</v>
          </cell>
          <cell r="Z204">
            <v>5.8917999999999999</v>
          </cell>
          <cell r="AA204">
            <v>5.7953000000000001</v>
          </cell>
          <cell r="AB204" t="e">
            <v>#N/A</v>
          </cell>
          <cell r="AC204" t="e">
            <v>#N/A</v>
          </cell>
          <cell r="AD204" t="str">
            <v>0843-01</v>
          </cell>
          <cell r="AE20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5">
          <cell r="A205" t="str">
            <v>844-01</v>
          </cell>
          <cell r="B205">
            <v>4026</v>
          </cell>
          <cell r="C205" t="str">
            <v>DE.1.0.7.0</v>
          </cell>
          <cell r="D205" t="str">
            <v>300:58643</v>
          </cell>
          <cell r="E205">
            <v>42583.90185185185</v>
          </cell>
          <cell r="F205">
            <v>42583.903055555558</v>
          </cell>
          <cell r="G205">
            <v>1</v>
          </cell>
          <cell r="H205" t="str">
            <v>204:692</v>
          </cell>
          <cell r="I205">
            <v>42583.914976851855</v>
          </cell>
          <cell r="J205">
            <v>0</v>
          </cell>
          <cell r="K205" t="str">
            <v>4025/4026</v>
          </cell>
          <cell r="L205" t="str">
            <v>COOLAHAN</v>
          </cell>
          <cell r="M205">
            <v>1.1921296296350192E-2</v>
          </cell>
          <cell r="N205">
            <v>17.166666666744277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https://search-rtdc-monitor-bjffxe2xuh6vdkpspy63sjmuny.us-east-1.es.amazonaws.com/_plugin/kibana/#/discover/Steve-Slow-Train-Analysis-(2080s-and-2083s)?_g=(refreshInterval:(display:Off,section:0,value:0),time:(from:'2016-08-01 20:38:40-0600',mode:absolute,to:'2016-08-01 22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5" t="str">
            <v>N</v>
          </cell>
          <cell r="X205">
            <v>1</v>
          </cell>
          <cell r="Y205">
            <v>5.8643000000000001</v>
          </cell>
          <cell r="Z205">
            <v>6.9199999999999998E-2</v>
          </cell>
          <cell r="AA205">
            <v>5.7950999999999997</v>
          </cell>
          <cell r="AB205" t="e">
            <v>#N/A</v>
          </cell>
          <cell r="AC205" t="e">
            <v>#N/A</v>
          </cell>
          <cell r="AD205" t="str">
            <v>0844-01</v>
          </cell>
          <cell r="AE20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6">
          <cell r="A206" t="str">
            <v>845-01</v>
          </cell>
          <cell r="B206">
            <v>4025</v>
          </cell>
          <cell r="C206" t="str">
            <v>DE.1.0.7.0</v>
          </cell>
          <cell r="D206" t="str">
            <v>204:969</v>
          </cell>
          <cell r="E206">
            <v>42583.885393518518</v>
          </cell>
          <cell r="F206">
            <v>42583.886805555558</v>
          </cell>
          <cell r="G206">
            <v>2</v>
          </cell>
          <cell r="H206" t="str">
            <v>300:58948</v>
          </cell>
          <cell r="I206">
            <v>42583.900972222225</v>
          </cell>
          <cell r="J206">
            <v>0</v>
          </cell>
          <cell r="K206" t="str">
            <v>4025/4026</v>
          </cell>
          <cell r="L206" t="str">
            <v>COOLAHAN</v>
          </cell>
          <cell r="M206">
            <v>1.4166666667733807E-2</v>
          </cell>
          <cell r="N206">
            <v>20.400000001536682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https://search-rtdc-monitor-bjffxe2xuh6vdkpspy63sjmuny.us-east-1.es.amazonaws.com/_plugin/kibana/#/discover/Steve-Slow-Train-Analysis-(2080s-and-2083s)?_g=(refreshInterval:(display:Off,section:0,value:0),time:(from:'2016-08-01 20:14:58-0600',mode:absolute,to:'2016-08-01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N</v>
          </cell>
          <cell r="X206">
            <v>1</v>
          </cell>
          <cell r="Y206">
            <v>9.69E-2</v>
          </cell>
          <cell r="Z206">
            <v>5.8948</v>
          </cell>
          <cell r="AA206">
            <v>5.7979000000000003</v>
          </cell>
          <cell r="AB206" t="e">
            <v>#N/A</v>
          </cell>
          <cell r="AC206" t="e">
            <v>#N/A</v>
          </cell>
          <cell r="AD206" t="str">
            <v>0845-01</v>
          </cell>
          <cell r="AE20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7">
          <cell r="A207" t="str">
            <v>847-01</v>
          </cell>
          <cell r="B207">
            <v>4025</v>
          </cell>
          <cell r="C207" t="str">
            <v>DE.1.0.7.0</v>
          </cell>
          <cell r="D207" t="str">
            <v>204:965</v>
          </cell>
          <cell r="E207">
            <v>42583.928530092591</v>
          </cell>
          <cell r="F207">
            <v>42583.929791666669</v>
          </cell>
          <cell r="G207">
            <v>1</v>
          </cell>
          <cell r="H207" t="str">
            <v>300:58982</v>
          </cell>
          <cell r="I207">
            <v>42583.942569444444</v>
          </cell>
          <cell r="J207">
            <v>0</v>
          </cell>
          <cell r="K207" t="str">
            <v>4025/4026</v>
          </cell>
          <cell r="L207" t="str">
            <v>COOLAHAN</v>
          </cell>
          <cell r="M207">
            <v>1.2777777774317656E-2</v>
          </cell>
          <cell r="N207">
            <v>18.399999995017424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https://search-rtdc-monitor-bjffxe2xuh6vdkpspy63sjmuny.us-east-1.es.amazonaws.com/_plugin/kibana/#/discover/Steve-Slow-Train-Analysis-(2080s-and-2083s)?_g=(refreshInterval:(display:Off,section:0,value:0),time:(from:'2016-08-01 21:17:05-0600',mode:absolute,to:'2016-08-01 23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N</v>
          </cell>
          <cell r="X207">
            <v>2</v>
          </cell>
          <cell r="Y207">
            <v>9.6500000000000002E-2</v>
          </cell>
          <cell r="Z207">
            <v>5.8982000000000001</v>
          </cell>
          <cell r="AA207">
            <v>5.8017000000000003</v>
          </cell>
          <cell r="AB207" t="e">
            <v>#N/A</v>
          </cell>
          <cell r="AC207" t="e">
            <v>#N/A</v>
          </cell>
          <cell r="AD207" t="str">
            <v>0847-01</v>
          </cell>
          <cell r="AE207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8">
          <cell r="A208" t="str">
            <v>307-01</v>
          </cell>
          <cell r="B208">
            <v>4016</v>
          </cell>
          <cell r="C208" t="str">
            <v>DE.1.0.7.0</v>
          </cell>
          <cell r="D208" t="str">
            <v>204:451</v>
          </cell>
          <cell r="E208">
            <v>42583.819988425923</v>
          </cell>
          <cell r="F208">
            <v>42583.821226851855</v>
          </cell>
          <cell r="G208">
            <v>1</v>
          </cell>
          <cell r="H208" t="str">
            <v>300:23304</v>
          </cell>
          <cell r="I208">
            <v>42583.830740740741</v>
          </cell>
          <cell r="J208">
            <v>0</v>
          </cell>
          <cell r="K208" t="str">
            <v>4015/4016</v>
          </cell>
          <cell r="L208" t="str">
            <v>DE LA ROSA</v>
          </cell>
          <cell r="M208">
            <v>9.5138888864312321E-3</v>
          </cell>
          <cell r="N208">
            <v>13.699999996460974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https://search-rtdc-monitor-bjffxe2xuh6vdkpspy63sjmuny.us-east-1.es.amazonaws.com/_plugin/kibana/#/discover/Steve-Slow-Train-Analysis-(2080s-and-2083s)?_g=(refreshInterval:(display:Off,section:0,value:0),time:(from:'2016-08-01 18:40:47-0600',mode:absolute,to:'2016-08-01 20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63</v>
          </cell>
          <cell r="Y208">
            <v>4.5100000000000001E-2</v>
          </cell>
          <cell r="Z208">
            <v>2.3304</v>
          </cell>
          <cell r="AA208">
            <v>2.2852999999999999</v>
          </cell>
          <cell r="AB208" t="e">
            <v>#N/A</v>
          </cell>
          <cell r="AC208" t="e">
            <v>#N/A</v>
          </cell>
          <cell r="AD208" t="str">
            <v>0307-01</v>
          </cell>
          <cell r="AE208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209">
          <cell r="A209" t="str">
            <v>308-01</v>
          </cell>
          <cell r="B209">
            <v>4028</v>
          </cell>
          <cell r="C209" t="str">
            <v>DE.1.0.7.0</v>
          </cell>
          <cell r="D209" t="str">
            <v>300:25796</v>
          </cell>
          <cell r="E209">
            <v>42583.167094907411</v>
          </cell>
          <cell r="F209">
            <v>42583.168599537035</v>
          </cell>
          <cell r="G209">
            <v>2</v>
          </cell>
          <cell r="H209" t="str">
            <v>300:25311</v>
          </cell>
          <cell r="I209">
            <v>42583.171666666669</v>
          </cell>
          <cell r="J209">
            <v>0</v>
          </cell>
          <cell r="K209" t="str">
            <v>4027/4028</v>
          </cell>
          <cell r="L209" t="str">
            <v>SPECTOR</v>
          </cell>
          <cell r="M209">
            <v>3.0671296335640363E-3</v>
          </cell>
          <cell r="N209">
            <v>4.4166666723322123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https://search-rtdc-monitor-bjffxe2xuh6vdkpspy63sjmuny.us-east-1.es.amazonaws.com/_plugin/kibana/#/discover/Steve-Slow-Train-Analysis-(2080s-and-2083s)?_g=(refreshInterval:(display:Off,section:0,value:0),time:(from:'2016-08-01 03:00:37-0600',mode:absolute,to:'2016-08-01 05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9" t="str">
            <v>Y</v>
          </cell>
          <cell r="X209">
            <v>1</v>
          </cell>
          <cell r="Y209">
            <v>2.5796000000000001</v>
          </cell>
          <cell r="Z209">
            <v>2.5310999999999999</v>
          </cell>
          <cell r="AA209">
            <v>4.850000000000021E-2</v>
          </cell>
          <cell r="AB209" t="e">
            <v>#N/A</v>
          </cell>
          <cell r="AC209" t="e">
            <v>#N/A</v>
          </cell>
          <cell r="AD209" t="str">
            <v>0308-01</v>
          </cell>
          <cell r="AE209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0">
          <cell r="A210" t="str">
            <v>309-01</v>
          </cell>
          <cell r="B210">
            <v>4011</v>
          </cell>
          <cell r="C210" t="str">
            <v>DE.1.0.7.0</v>
          </cell>
          <cell r="D210" t="str">
            <v>204:506</v>
          </cell>
          <cell r="E210">
            <v>42584.029317129629</v>
          </cell>
          <cell r="F210">
            <v>42584.030300925922</v>
          </cell>
          <cell r="G210">
            <v>1</v>
          </cell>
          <cell r="H210" t="str">
            <v>300:23302</v>
          </cell>
          <cell r="I210">
            <v>42584.038310185184</v>
          </cell>
          <cell r="J210">
            <v>0</v>
          </cell>
          <cell r="K210" t="str">
            <v>4011/4012</v>
          </cell>
          <cell r="L210" t="str">
            <v>ROBINSON</v>
          </cell>
          <cell r="M210">
            <v>8.0092592615983449E-3</v>
          </cell>
          <cell r="N210">
            <v>11.533333336701617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https://search-rtdc-monitor-bjffxe2xuh6vdkpspy63sjmuny.us-east-1.es.amazonaws.com/_plugin/kibana/#/discover/Steve-Slow-Train-Analysis-(2080s-and-2083s)?_g=(refreshInterval:(display:Off,section:0,value:0),time:(from:'2016-08-01 23:42:13-0600',mode:absolute,to:'2016-08-02 01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0" t="str">
            <v>Y</v>
          </cell>
          <cell r="X210">
            <v>1</v>
          </cell>
          <cell r="Y210">
            <v>5.0599999999999999E-2</v>
          </cell>
          <cell r="Z210">
            <v>2.3302</v>
          </cell>
          <cell r="AA210">
            <v>2.2795999999999998</v>
          </cell>
          <cell r="AB210" t="e">
            <v>#N/A</v>
          </cell>
          <cell r="AC210" t="e">
            <v>#N/A</v>
          </cell>
          <cell r="AD210" t="str">
            <v>0309-01</v>
          </cell>
          <cell r="AE210" t="str">
            <v>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 &amp; aws s3 cp s3://rtdc.mdm.uploadarchive/RTDC4011/2016-08-03/ "C:\Users\stu\Documents\Analysis\2016-02-23 RTDC Observations"\RTDC4011\2016-08-03 --recursive &amp; "C:\Users\stu\Documents\GitHub\mrs-test-scripts\Headless Mode &amp; Sideloading\WalkAndUnGZ.bat" "C:\Users\stu\Documents\Analysis\2016-02-23 RTDC Observations"\RTDC4011\2016-08-03</v>
          </cell>
        </row>
        <row r="211">
          <cell r="A211" t="str">
            <v>315-31</v>
          </cell>
          <cell r="B211">
            <v>4040</v>
          </cell>
          <cell r="C211" t="str">
            <v>DE.1.0.7.0</v>
          </cell>
          <cell r="D211" t="str">
            <v>204:462</v>
          </cell>
          <cell r="E211">
            <v>42583.090254629627</v>
          </cell>
          <cell r="F211">
            <v>42583.09107638889</v>
          </cell>
          <cell r="G211">
            <v>1</v>
          </cell>
          <cell r="H211" t="str">
            <v>300:23306</v>
          </cell>
          <cell r="I211">
            <v>42583.098715277774</v>
          </cell>
          <cell r="J211">
            <v>0</v>
          </cell>
          <cell r="K211" t="str">
            <v>4039/4040</v>
          </cell>
          <cell r="L211" t="str">
            <v>CHANDLER</v>
          </cell>
          <cell r="M211">
            <v>7.6388888846850023E-3</v>
          </cell>
          <cell r="N211">
            <v>10.999999993946403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1" t="str">
            <v>Y</v>
          </cell>
          <cell r="X211">
            <v>6</v>
          </cell>
          <cell r="Y211">
            <v>4.6199999999999998E-2</v>
          </cell>
          <cell r="Z211">
            <v>2.3306</v>
          </cell>
          <cell r="AA211">
            <v>2.2844000000000002</v>
          </cell>
          <cell r="AB211" t="e">
            <v>#N/A</v>
          </cell>
          <cell r="AC211" t="e">
            <v>#N/A</v>
          </cell>
          <cell r="AD211" t="str">
            <v>0315-31</v>
          </cell>
          <cell r="AE211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212">
          <cell r="A212" t="str">
            <v>904-01</v>
          </cell>
          <cell r="B212">
            <v>4041</v>
          </cell>
          <cell r="C212" t="str">
            <v>DE.1.0.7.0</v>
          </cell>
          <cell r="D212" t="str">
            <v>300:26067</v>
          </cell>
          <cell r="E212">
            <v>42583.640601851854</v>
          </cell>
          <cell r="F212">
            <v>42583.641435185185</v>
          </cell>
          <cell r="G212">
            <v>1</v>
          </cell>
          <cell r="H212" t="str">
            <v>300:24965</v>
          </cell>
          <cell r="I212">
            <v>42583.643564814818</v>
          </cell>
          <cell r="J212">
            <v>0</v>
          </cell>
          <cell r="K212" t="str">
            <v>4041/4042</v>
          </cell>
          <cell r="L212" t="str">
            <v>COOLAHAN</v>
          </cell>
          <cell r="M212">
            <v>2.1296296326909214E-3</v>
          </cell>
          <cell r="N212">
            <v>3.0666666710749269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https://search-rtdc-monitor-bjffxe2xuh6vdkpspy63sjmuny.us-east-1.es.amazonaws.com/_plugin/kibana/#/discover/Steve-Slow-Train-Analysis-(2080s-and-2083s)?_g=(refreshInterval:(display:Off,section:0,value:0),time:(from:'2016-08-01 14:22:28-0600',mode:absolute,to:'2016-08-01 16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57</v>
          </cell>
          <cell r="Y212">
            <v>2.6067</v>
          </cell>
          <cell r="Z212">
            <v>2.4965000000000002</v>
          </cell>
          <cell r="AA212">
            <v>0.11019999999999985</v>
          </cell>
          <cell r="AB212" t="e">
            <v>#N/A</v>
          </cell>
          <cell r="AC212" t="e">
            <v>#N/A</v>
          </cell>
          <cell r="AD212" t="str">
            <v>0904-01</v>
          </cell>
          <cell r="AE212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3">
          <cell r="A213" t="str">
            <v>906-01</v>
          </cell>
          <cell r="B213">
            <v>4041</v>
          </cell>
          <cell r="C213" t="str">
            <v>DE.1.0.7.0</v>
          </cell>
          <cell r="D213" t="str">
            <v>300:58609</v>
          </cell>
          <cell r="E213">
            <v>42583.797754629632</v>
          </cell>
          <cell r="F213">
            <v>42583.798842592594</v>
          </cell>
          <cell r="G213">
            <v>1</v>
          </cell>
          <cell r="H213" t="str">
            <v>300:28774</v>
          </cell>
          <cell r="I213">
            <v>42583.805023148147</v>
          </cell>
          <cell r="J213">
            <v>0</v>
          </cell>
          <cell r="K213" t="str">
            <v>4041/4042</v>
          </cell>
          <cell r="L213" t="str">
            <v>COOLAHAN</v>
          </cell>
          <cell r="M213">
            <v>6.1805555524188094E-3</v>
          </cell>
          <cell r="N213">
            <v>8.8999999954830855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https://search-rtdc-monitor-bjffxe2xuh6vdkpspy63sjmuny.us-east-1.es.amazonaws.com/_plugin/kibana/#/discover/Steve-Slow-Train-Analysis-(2080s-and-2083s)?_g=(refreshInterval:(display:Off,section:0,value:0),time:(from:'2016-08-01 18:08:46-0600',mode:absolute,to:'2016-08-01 20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3" t="str">
            <v>Y</v>
          </cell>
          <cell r="X213">
            <v>2</v>
          </cell>
          <cell r="Y213">
            <v>5.8609</v>
          </cell>
          <cell r="Z213">
            <v>2.8774000000000002</v>
          </cell>
          <cell r="AA213">
            <v>2.9834999999999998</v>
          </cell>
          <cell r="AB213" t="e">
            <v>#N/A</v>
          </cell>
          <cell r="AC213" t="e">
            <v>#N/A</v>
          </cell>
          <cell r="AD213" t="str">
            <v>0906-01</v>
          </cell>
          <cell r="AE21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4">
          <cell r="A214" t="str">
            <v>908-01</v>
          </cell>
          <cell r="B214">
            <v>4026</v>
          </cell>
          <cell r="C214" t="str">
            <v>DE.1.0.7.0</v>
          </cell>
          <cell r="D214" t="str">
            <v>300:58660</v>
          </cell>
          <cell r="E214">
            <v>42583.943622685183</v>
          </cell>
          <cell r="F214">
            <v>42583.944918981484</v>
          </cell>
          <cell r="G214">
            <v>1</v>
          </cell>
          <cell r="H214" t="str">
            <v>300:21564</v>
          </cell>
          <cell r="I214">
            <v>42583.952592592592</v>
          </cell>
          <cell r="J214">
            <v>0</v>
          </cell>
          <cell r="K214" t="str">
            <v>4025/4026</v>
          </cell>
          <cell r="L214" t="str">
            <v>COOLAHAN</v>
          </cell>
          <cell r="M214">
            <v>7.6736111077480018E-3</v>
          </cell>
          <cell r="N214">
            <v>11.049999995157123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https://search-rtdc-monitor-bjffxe2xuh6vdkpspy63sjmuny.us-east-1.es.amazonaws.com/_plugin/kibana/#/discover/Steve-Slow-Train-Analysis-(2080s-and-2083s)?_g=(refreshInterval:(display:Off,section:0,value:0),time:(from:'2016-08-01 21:38:49-0600',mode:absolute,to:'2016-08-01 23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4" t="str">
            <v>Y</v>
          </cell>
          <cell r="X214">
            <v>2</v>
          </cell>
          <cell r="Y214">
            <v>5.8659999999999997</v>
          </cell>
          <cell r="Z214">
            <v>2.1564000000000001</v>
          </cell>
          <cell r="AA214">
            <v>3.7095999999999996</v>
          </cell>
          <cell r="AB214" t="e">
            <v>#N/A</v>
          </cell>
          <cell r="AC214" t="e">
            <v>#N/A</v>
          </cell>
          <cell r="AD214" t="str">
            <v>0908-01</v>
          </cell>
          <cell r="AE214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</sheetData>
      <sheetData sheetId="1" refreshError="1"/>
      <sheetData sheetId="2" refreshError="1"/>
      <sheetData sheetId="3">
        <row r="1">
          <cell r="C1" t="str">
            <v>233-31</v>
          </cell>
          <cell r="D1">
            <v>2030000</v>
          </cell>
          <cell r="E1" t="str">
            <v>KILLION</v>
          </cell>
        </row>
        <row r="2">
          <cell r="C2" t="str">
            <v>211-01</v>
          </cell>
          <cell r="D2">
            <v>1140000</v>
          </cell>
          <cell r="E2" t="str">
            <v>YOUNG</v>
          </cell>
        </row>
        <row r="3">
          <cell r="C3" t="str">
            <v>214-01</v>
          </cell>
          <cell r="D3">
            <v>1810000</v>
          </cell>
          <cell r="E3" t="str">
            <v>NEWELL</v>
          </cell>
        </row>
        <row r="4">
          <cell r="C4" t="str">
            <v>315-01</v>
          </cell>
          <cell r="D4">
            <v>2090000</v>
          </cell>
          <cell r="E4" t="str">
            <v>HAITHCOX</v>
          </cell>
        </row>
        <row r="5">
          <cell r="C5" t="str">
            <v>831-01</v>
          </cell>
          <cell r="D5">
            <v>1290000</v>
          </cell>
          <cell r="E5" t="str">
            <v>COOLAHAN</v>
          </cell>
        </row>
        <row r="6">
          <cell r="C6" t="str">
            <v>111-02</v>
          </cell>
          <cell r="D6">
            <v>2100000</v>
          </cell>
          <cell r="E6" t="str">
            <v>ISHMAEL</v>
          </cell>
        </row>
        <row r="7">
          <cell r="C7" t="str">
            <v>901-02</v>
          </cell>
          <cell r="D7">
            <v>1110000</v>
          </cell>
          <cell r="E7" t="str">
            <v>STARKS</v>
          </cell>
        </row>
        <row r="8">
          <cell r="C8" t="str">
            <v>122-02</v>
          </cell>
          <cell r="D8">
            <v>1090000</v>
          </cell>
          <cell r="E8" t="str">
            <v>SPECTOR</v>
          </cell>
        </row>
        <row r="9">
          <cell r="C9" t="str">
            <v>188-01</v>
          </cell>
          <cell r="D9">
            <v>880000</v>
          </cell>
          <cell r="E9" t="str">
            <v>STEWART</v>
          </cell>
        </row>
        <row r="10">
          <cell r="C10" t="str">
            <v>826-01</v>
          </cell>
          <cell r="D10">
            <v>2150000</v>
          </cell>
          <cell r="E10" t="str">
            <v>SWANSON</v>
          </cell>
        </row>
        <row r="11">
          <cell r="C11" t="str">
            <v>198-01</v>
          </cell>
          <cell r="D11">
            <v>1740000</v>
          </cell>
          <cell r="E11" t="str">
            <v>STORY</v>
          </cell>
        </row>
        <row r="12">
          <cell r="C12" t="str">
            <v>4057/58-01</v>
          </cell>
          <cell r="D12">
            <v>0</v>
          </cell>
          <cell r="E12" t="str">
            <v>HAUSER</v>
          </cell>
        </row>
        <row r="13">
          <cell r="C13" t="str">
            <v>301-02</v>
          </cell>
          <cell r="D13">
            <v>540000</v>
          </cell>
          <cell r="E13" t="str">
            <v>MADLOM</v>
          </cell>
        </row>
        <row r="14">
          <cell r="C14" t="str">
            <v>207-01</v>
          </cell>
          <cell r="D14">
            <v>1520000</v>
          </cell>
          <cell r="E14" t="str">
            <v>MAYBERRY</v>
          </cell>
        </row>
        <row r="15">
          <cell r="C15" t="str">
            <v>117-02</v>
          </cell>
          <cell r="D15">
            <v>1260000</v>
          </cell>
          <cell r="E15" t="str">
            <v>ACKERMAN</v>
          </cell>
        </row>
        <row r="16">
          <cell r="C16" t="str">
            <v>202-01</v>
          </cell>
          <cell r="D16">
            <v>880000</v>
          </cell>
          <cell r="E16" t="str">
            <v>STEWART</v>
          </cell>
        </row>
        <row r="17">
          <cell r="C17" t="str">
            <v>108-02</v>
          </cell>
          <cell r="D17">
            <v>1090000</v>
          </cell>
          <cell r="E17" t="str">
            <v>SPECTOR</v>
          </cell>
        </row>
        <row r="18">
          <cell r="C18" t="str">
            <v>833-01</v>
          </cell>
          <cell r="D18">
            <v>2150000</v>
          </cell>
          <cell r="E18" t="str">
            <v>SWANSON</v>
          </cell>
        </row>
        <row r="19">
          <cell r="C19" t="str">
            <v>106-02</v>
          </cell>
          <cell r="D19">
            <v>1990000</v>
          </cell>
          <cell r="E19" t="str">
            <v>DAVIS</v>
          </cell>
        </row>
        <row r="20">
          <cell r="C20" t="str">
            <v>215-01</v>
          </cell>
          <cell r="D20">
            <v>1780000</v>
          </cell>
          <cell r="E20" t="str">
            <v>DE LA ROSA</v>
          </cell>
        </row>
        <row r="21">
          <cell r="C21" t="str">
            <v>240-01</v>
          </cell>
          <cell r="D21">
            <v>1810000</v>
          </cell>
          <cell r="E21" t="str">
            <v>NEWELL</v>
          </cell>
        </row>
        <row r="22">
          <cell r="C22" t="str">
            <v>212-01</v>
          </cell>
          <cell r="D22">
            <v>1140000</v>
          </cell>
          <cell r="E22" t="str">
            <v>YOUNG</v>
          </cell>
        </row>
        <row r="23">
          <cell r="C23" t="str">
            <v>233-01</v>
          </cell>
          <cell r="D23">
            <v>1800000</v>
          </cell>
          <cell r="E23" t="str">
            <v>CHANDLER</v>
          </cell>
        </row>
        <row r="24">
          <cell r="C24" t="str">
            <v>838-01</v>
          </cell>
          <cell r="D24">
            <v>2150000</v>
          </cell>
          <cell r="E24" t="str">
            <v>SWANSON</v>
          </cell>
        </row>
        <row r="25">
          <cell r="C25" t="str">
            <v>231-01</v>
          </cell>
          <cell r="D25">
            <v>1810000</v>
          </cell>
          <cell r="E25" t="str">
            <v>NEWELL</v>
          </cell>
        </row>
        <row r="26">
          <cell r="C26" t="str">
            <v>844-01</v>
          </cell>
          <cell r="D26">
            <v>1290000</v>
          </cell>
          <cell r="E26" t="str">
            <v>COOLAHAN</v>
          </cell>
        </row>
        <row r="27">
          <cell r="C27" t="str">
            <v>845-01</v>
          </cell>
          <cell r="D27">
            <v>1290000</v>
          </cell>
          <cell r="E27" t="str">
            <v>COOLAHAN</v>
          </cell>
        </row>
        <row r="28">
          <cell r="C28" t="str">
            <v>236-01</v>
          </cell>
          <cell r="D28">
            <v>2090000</v>
          </cell>
          <cell r="E28" t="str">
            <v>HAITHCOX</v>
          </cell>
        </row>
        <row r="29">
          <cell r="C29" t="str">
            <v>307-01</v>
          </cell>
          <cell r="D29">
            <v>1780000</v>
          </cell>
          <cell r="E29" t="str">
            <v>DE LA ROSA</v>
          </cell>
        </row>
        <row r="30">
          <cell r="C30" t="str">
            <v>102-02</v>
          </cell>
          <cell r="D30">
            <v>1360000</v>
          </cell>
          <cell r="E30" t="str">
            <v>SANTIZO</v>
          </cell>
        </row>
        <row r="31">
          <cell r="C31" t="str">
            <v>206-01</v>
          </cell>
          <cell r="D31">
            <v>2110000</v>
          </cell>
          <cell r="E31" t="str">
            <v>OUN</v>
          </cell>
        </row>
        <row r="32">
          <cell r="C32" t="str">
            <v>127-02</v>
          </cell>
          <cell r="D32">
            <v>1360000</v>
          </cell>
          <cell r="E32" t="str">
            <v>SANTIZO</v>
          </cell>
        </row>
        <row r="33">
          <cell r="C33" t="str">
            <v>204-01</v>
          </cell>
          <cell r="D33">
            <v>2030000</v>
          </cell>
          <cell r="E33" t="str">
            <v>KILLION</v>
          </cell>
        </row>
        <row r="34">
          <cell r="C34" t="str">
            <v>222-31</v>
          </cell>
          <cell r="D34">
            <v>1180000</v>
          </cell>
          <cell r="E34" t="str">
            <v>LEVERE</v>
          </cell>
        </row>
        <row r="35">
          <cell r="C35" t="str">
            <v>196-01</v>
          </cell>
          <cell r="D35">
            <v>1140000</v>
          </cell>
          <cell r="E35" t="str">
            <v>YOUNG</v>
          </cell>
        </row>
        <row r="36">
          <cell r="C36" t="str">
            <v>227-31</v>
          </cell>
          <cell r="D36">
            <v>1800000</v>
          </cell>
          <cell r="E36" t="str">
            <v>CHANDLER</v>
          </cell>
        </row>
        <row r="37">
          <cell r="C37" t="str">
            <v>829-01</v>
          </cell>
          <cell r="D37">
            <v>2150000</v>
          </cell>
          <cell r="E37" t="str">
            <v>SWANSON</v>
          </cell>
        </row>
        <row r="38">
          <cell r="C38" t="str">
            <v>1830-31</v>
          </cell>
          <cell r="D38">
            <v>1780000</v>
          </cell>
          <cell r="E38" t="str">
            <v>DE LA ROSA</v>
          </cell>
        </row>
        <row r="39">
          <cell r="C39" t="str">
            <v>829-01</v>
          </cell>
          <cell r="D39">
            <v>2150000</v>
          </cell>
          <cell r="E39" t="str">
            <v>SWANSON</v>
          </cell>
        </row>
        <row r="40">
          <cell r="C40" t="str">
            <v>236-31</v>
          </cell>
          <cell r="D40">
            <v>1800000</v>
          </cell>
          <cell r="E40" t="str">
            <v>CHANDLER</v>
          </cell>
        </row>
        <row r="41">
          <cell r="C41" t="str">
            <v>824-01</v>
          </cell>
          <cell r="D41">
            <v>2150000</v>
          </cell>
          <cell r="E41" t="str">
            <v>SWANSON</v>
          </cell>
        </row>
        <row r="42">
          <cell r="C42" t="str">
            <v>309-31</v>
          </cell>
          <cell r="D42">
            <v>1180000</v>
          </cell>
          <cell r="E42" t="str">
            <v>LEVERE</v>
          </cell>
        </row>
        <row r="43">
          <cell r="C43" t="str">
            <v>801-01</v>
          </cell>
          <cell r="D43">
            <v>1360000</v>
          </cell>
          <cell r="E43" t="str">
            <v>SANTIZO</v>
          </cell>
        </row>
        <row r="44">
          <cell r="C44" t="str">
            <v>106-01</v>
          </cell>
          <cell r="D44">
            <v>1990000</v>
          </cell>
          <cell r="E44" t="str">
            <v>DAVIS</v>
          </cell>
        </row>
        <row r="45">
          <cell r="C45" t="str">
            <v>115-01</v>
          </cell>
          <cell r="D45">
            <v>1310000</v>
          </cell>
          <cell r="E45" t="str">
            <v>MALAVE</v>
          </cell>
        </row>
        <row r="46">
          <cell r="C46" t="str">
            <v>1829-31</v>
          </cell>
          <cell r="D46">
            <v>1780000</v>
          </cell>
          <cell r="E46" t="str">
            <v>DE LA ROSA</v>
          </cell>
        </row>
        <row r="47">
          <cell r="C47" t="str">
            <v>102-01</v>
          </cell>
          <cell r="D47">
            <v>1480000</v>
          </cell>
          <cell r="E47" t="str">
            <v>STURGEON</v>
          </cell>
        </row>
        <row r="48">
          <cell r="C48" t="str">
            <v>224-31</v>
          </cell>
          <cell r="D48">
            <v>2000000</v>
          </cell>
          <cell r="E48" t="str">
            <v>STAMBAUGH</v>
          </cell>
        </row>
        <row r="49">
          <cell r="C49" t="str">
            <v>243-31</v>
          </cell>
          <cell r="D49">
            <v>1800000</v>
          </cell>
          <cell r="E49" t="str">
            <v>CHANDLER</v>
          </cell>
        </row>
        <row r="50">
          <cell r="C50" t="str">
            <v>1832-31</v>
          </cell>
          <cell r="D50">
            <v>1780000</v>
          </cell>
          <cell r="E50" t="str">
            <v>DE LA ROSA</v>
          </cell>
        </row>
        <row r="51">
          <cell r="C51" t="str">
            <v>178-01</v>
          </cell>
          <cell r="D51">
            <v>2110000</v>
          </cell>
          <cell r="E51" t="str">
            <v>OUN</v>
          </cell>
        </row>
        <row r="52">
          <cell r="C52" t="str">
            <v>239-31</v>
          </cell>
          <cell r="D52">
            <v>2000000</v>
          </cell>
          <cell r="E52" t="str">
            <v>STAMBAUGH</v>
          </cell>
        </row>
        <row r="53">
          <cell r="C53" t="str">
            <v>158-01</v>
          </cell>
          <cell r="D53">
            <v>1310000</v>
          </cell>
          <cell r="E53" t="str">
            <v>MALAVE</v>
          </cell>
        </row>
        <row r="54">
          <cell r="C54" t="str">
            <v>238-31</v>
          </cell>
          <cell r="D54">
            <v>1180000</v>
          </cell>
          <cell r="E54" t="str">
            <v>LEVERE</v>
          </cell>
        </row>
        <row r="55">
          <cell r="C55" t="str">
            <v>101-01</v>
          </cell>
          <cell r="D55">
            <v>1480000</v>
          </cell>
          <cell r="E55" t="str">
            <v>STURGEON</v>
          </cell>
        </row>
        <row r="56">
          <cell r="C56" t="str">
            <v>311-31</v>
          </cell>
          <cell r="D56">
            <v>2000000</v>
          </cell>
          <cell r="E56" t="str">
            <v>STAMBAUGH</v>
          </cell>
        </row>
        <row r="57">
          <cell r="C57" t="str">
            <v>240-31</v>
          </cell>
          <cell r="D57">
            <v>2000000</v>
          </cell>
          <cell r="E57" t="str">
            <v>STAMBAUGH</v>
          </cell>
        </row>
        <row r="58">
          <cell r="C58" t="str">
            <v>800-01</v>
          </cell>
          <cell r="D58">
            <v>1360000</v>
          </cell>
          <cell r="E58" t="str">
            <v>SANTIZO</v>
          </cell>
        </row>
        <row r="59">
          <cell r="C59" t="str">
            <v>241-31</v>
          </cell>
          <cell r="D59">
            <v>2030000</v>
          </cell>
          <cell r="E59" t="str">
            <v>KILLION</v>
          </cell>
        </row>
        <row r="60">
          <cell r="C60" t="str">
            <v>137-01</v>
          </cell>
          <cell r="D60">
            <v>1830000</v>
          </cell>
          <cell r="E60" t="str">
            <v>YORK</v>
          </cell>
        </row>
        <row r="61">
          <cell r="C61" t="str">
            <v>1828-31</v>
          </cell>
          <cell r="D61">
            <v>1780000</v>
          </cell>
          <cell r="E61" t="str">
            <v>DE LA ROSA</v>
          </cell>
        </row>
        <row r="62">
          <cell r="C62" t="str">
            <v>132-01</v>
          </cell>
          <cell r="D62">
            <v>1260000</v>
          </cell>
          <cell r="E62" t="str">
            <v>ACKERMAN</v>
          </cell>
        </row>
        <row r="63">
          <cell r="C63" t="str">
            <v>1827-31</v>
          </cell>
          <cell r="D63">
            <v>1780000</v>
          </cell>
          <cell r="E63" t="str">
            <v>DE LA ROSA</v>
          </cell>
        </row>
        <row r="64">
          <cell r="C64" t="str">
            <v>138-01</v>
          </cell>
          <cell r="D64">
            <v>1830000</v>
          </cell>
          <cell r="E64" t="str">
            <v>YORK</v>
          </cell>
        </row>
        <row r="65">
          <cell r="C65" t="str">
            <v>191-01</v>
          </cell>
          <cell r="D65">
            <v>2110000</v>
          </cell>
          <cell r="E65" t="str">
            <v>OUN</v>
          </cell>
        </row>
        <row r="66">
          <cell r="C66" t="str">
            <v>140-01</v>
          </cell>
          <cell r="D66">
            <v>1110000</v>
          </cell>
          <cell r="E66" t="str">
            <v>STARKS</v>
          </cell>
        </row>
        <row r="67">
          <cell r="C67" t="str">
            <v>171-01</v>
          </cell>
          <cell r="D67">
            <v>1780000</v>
          </cell>
          <cell r="E67" t="str">
            <v>DE LA ROSA</v>
          </cell>
        </row>
        <row r="68">
          <cell r="C68" t="str">
            <v>147-01</v>
          </cell>
          <cell r="D68">
            <v>1990000</v>
          </cell>
          <cell r="E68" t="str">
            <v>DAVIS</v>
          </cell>
        </row>
        <row r="69">
          <cell r="C69" t="str">
            <v>164-01</v>
          </cell>
          <cell r="D69">
            <v>2110000</v>
          </cell>
          <cell r="E69" t="str">
            <v>OUN</v>
          </cell>
        </row>
        <row r="70">
          <cell r="C70" t="str">
            <v>814-01</v>
          </cell>
          <cell r="D70">
            <v>900000</v>
          </cell>
          <cell r="E70" t="str">
            <v>ROCHA</v>
          </cell>
        </row>
        <row r="71">
          <cell r="C71" t="str">
            <v>165-01</v>
          </cell>
          <cell r="D71">
            <v>1520000</v>
          </cell>
          <cell r="E71" t="str">
            <v>MAYBERRY</v>
          </cell>
        </row>
        <row r="72">
          <cell r="C72" t="str">
            <v>153-01</v>
          </cell>
          <cell r="D72">
            <v>1110000</v>
          </cell>
          <cell r="E72" t="str">
            <v>STARKS</v>
          </cell>
        </row>
        <row r="73">
          <cell r="C73" t="str">
            <v>112-01</v>
          </cell>
          <cell r="D73">
            <v>1110000</v>
          </cell>
          <cell r="E73" t="str">
            <v>STARKS</v>
          </cell>
        </row>
        <row r="74">
          <cell r="C74" t="str">
            <v>148-01</v>
          </cell>
          <cell r="D74">
            <v>1990000</v>
          </cell>
          <cell r="E74" t="str">
            <v>DAVIS</v>
          </cell>
        </row>
        <row r="75">
          <cell r="C75" t="str">
            <v>113-01</v>
          </cell>
          <cell r="D75">
            <v>2100000</v>
          </cell>
          <cell r="E75" t="str">
            <v>ISHMAEL</v>
          </cell>
        </row>
        <row r="76">
          <cell r="C76" t="str">
            <v>154-01</v>
          </cell>
          <cell r="D76">
            <v>1110000</v>
          </cell>
          <cell r="E76" t="str">
            <v>STARKS</v>
          </cell>
        </row>
        <row r="77">
          <cell r="C77" t="str">
            <v>104-01</v>
          </cell>
          <cell r="D77">
            <v>1260000</v>
          </cell>
          <cell r="E77" t="str">
            <v>ACKERMAN</v>
          </cell>
        </row>
        <row r="78">
          <cell r="C78" t="str">
            <v>817-01</v>
          </cell>
          <cell r="D78">
            <v>900000</v>
          </cell>
          <cell r="E78" t="str">
            <v>ROCHA</v>
          </cell>
        </row>
        <row r="79">
          <cell r="C79" t="str">
            <v>228-31</v>
          </cell>
          <cell r="D79">
            <v>1800000</v>
          </cell>
          <cell r="E79" t="str">
            <v>CHANDLER</v>
          </cell>
        </row>
        <row r="80">
          <cell r="C80" t="str">
            <v>181-01</v>
          </cell>
          <cell r="D80">
            <v>1140000</v>
          </cell>
          <cell r="E80" t="str">
            <v>YOUNG</v>
          </cell>
        </row>
        <row r="81">
          <cell r="C81" t="str">
            <v>229-31</v>
          </cell>
          <cell r="D81">
            <v>1180000</v>
          </cell>
          <cell r="E81" t="str">
            <v>LEVERE</v>
          </cell>
        </row>
        <row r="82">
          <cell r="C82" t="str">
            <v>185-01</v>
          </cell>
          <cell r="D82">
            <v>1780000</v>
          </cell>
          <cell r="E82" t="str">
            <v>DE LA ROSA</v>
          </cell>
        </row>
        <row r="83">
          <cell r="C83" t="str">
            <v>184-01</v>
          </cell>
          <cell r="D83">
            <v>1740000</v>
          </cell>
          <cell r="E83" t="str">
            <v>STORY</v>
          </cell>
        </row>
        <row r="84">
          <cell r="C84" t="str">
            <v>827-01</v>
          </cell>
          <cell r="D84">
            <v>1290000</v>
          </cell>
          <cell r="E84" t="str">
            <v>COOLAHAN</v>
          </cell>
        </row>
        <row r="85">
          <cell r="C85" t="str">
            <v>821-01</v>
          </cell>
          <cell r="D85">
            <v>2150000</v>
          </cell>
          <cell r="E85" t="str">
            <v>SWANSON</v>
          </cell>
        </row>
        <row r="86">
          <cell r="C86" t="str">
            <v>199-01</v>
          </cell>
          <cell r="D86">
            <v>1780000</v>
          </cell>
          <cell r="E86" t="str">
            <v>DE LA ROSA</v>
          </cell>
        </row>
        <row r="87">
          <cell r="C87" t="str">
            <v>156-01</v>
          </cell>
          <cell r="D87">
            <v>1360000</v>
          </cell>
          <cell r="E87" t="str">
            <v>SANTIZO</v>
          </cell>
        </row>
        <row r="88">
          <cell r="C88" t="str">
            <v>803-01</v>
          </cell>
          <cell r="D88">
            <v>900000</v>
          </cell>
          <cell r="E88" t="str">
            <v>ROCHA</v>
          </cell>
        </row>
        <row r="89">
          <cell r="C89" t="str">
            <v>152-01</v>
          </cell>
          <cell r="D89">
            <v>1830000</v>
          </cell>
          <cell r="E89" t="str">
            <v>YORK</v>
          </cell>
        </row>
        <row r="90">
          <cell r="C90" t="str">
            <v>120-01</v>
          </cell>
          <cell r="D90">
            <v>1990000</v>
          </cell>
          <cell r="E90" t="str">
            <v>DAVIS</v>
          </cell>
        </row>
        <row r="91">
          <cell r="C91" t="str">
            <v>802-01</v>
          </cell>
          <cell r="D91">
            <v>1360000</v>
          </cell>
          <cell r="E91" t="str">
            <v>SANTIZO</v>
          </cell>
        </row>
        <row r="92">
          <cell r="C92" t="str">
            <v>125-01</v>
          </cell>
          <cell r="D92">
            <v>1240000</v>
          </cell>
          <cell r="E92" t="str">
            <v>GRASTON</v>
          </cell>
        </row>
        <row r="93">
          <cell r="C93" t="str">
            <v>151-01</v>
          </cell>
          <cell r="D93">
            <v>1830000</v>
          </cell>
          <cell r="E93" t="str">
            <v>YORK</v>
          </cell>
        </row>
        <row r="94">
          <cell r="C94" t="str">
            <v>127-01</v>
          </cell>
          <cell r="D94">
            <v>2100000</v>
          </cell>
          <cell r="E94" t="str">
            <v>ISHMAEL</v>
          </cell>
        </row>
        <row r="95">
          <cell r="C95" t="str">
            <v>142-01</v>
          </cell>
          <cell r="D95">
            <v>2100000</v>
          </cell>
          <cell r="E95" t="str">
            <v>ISHMAEL</v>
          </cell>
        </row>
        <row r="96">
          <cell r="C96" t="str">
            <v>122-01</v>
          </cell>
          <cell r="D96">
            <v>1090000</v>
          </cell>
          <cell r="E96" t="str">
            <v>SPECTOR</v>
          </cell>
        </row>
        <row r="97">
          <cell r="C97" t="str">
            <v>143-01</v>
          </cell>
          <cell r="D97">
            <v>1310000</v>
          </cell>
          <cell r="E97" t="str">
            <v>MALAVE</v>
          </cell>
        </row>
        <row r="98">
          <cell r="C98" t="str">
            <v>807-01</v>
          </cell>
          <cell r="D98">
            <v>900000</v>
          </cell>
          <cell r="E98" t="str">
            <v>ROCHA</v>
          </cell>
        </row>
        <row r="99">
          <cell r="C99" t="str">
            <v>141-01</v>
          </cell>
          <cell r="D99">
            <v>2100000</v>
          </cell>
          <cell r="E99" t="str">
            <v>ISHMAEL</v>
          </cell>
        </row>
        <row r="100">
          <cell r="C100" t="str">
            <v>809-01</v>
          </cell>
          <cell r="D100">
            <v>1360000</v>
          </cell>
          <cell r="E100" t="str">
            <v>SANTIZO</v>
          </cell>
        </row>
        <row r="101">
          <cell r="C101" t="str">
            <v>812-01</v>
          </cell>
          <cell r="D101">
            <v>900000</v>
          </cell>
          <cell r="E101" t="str">
            <v>ROCHA</v>
          </cell>
        </row>
        <row r="102">
          <cell r="C102" t="str">
            <v>808-01</v>
          </cell>
          <cell r="D102">
            <v>900000</v>
          </cell>
          <cell r="E102" t="str">
            <v>ROCHA</v>
          </cell>
        </row>
        <row r="103">
          <cell r="C103" t="str">
            <v>139-01</v>
          </cell>
          <cell r="D103">
            <v>1110000</v>
          </cell>
          <cell r="E103" t="str">
            <v>STARKS</v>
          </cell>
        </row>
        <row r="104">
          <cell r="C104" t="str">
            <v>128-01</v>
          </cell>
          <cell r="D104">
            <v>2100000</v>
          </cell>
          <cell r="E104" t="str">
            <v>ISHMAEL</v>
          </cell>
        </row>
        <row r="105">
          <cell r="C105" t="str">
            <v>124-01</v>
          </cell>
          <cell r="D105">
            <v>1830000</v>
          </cell>
          <cell r="E105" t="str">
            <v>YORK</v>
          </cell>
        </row>
        <row r="106">
          <cell r="C106" t="str">
            <v>167-01</v>
          </cell>
          <cell r="D106">
            <v>1140000</v>
          </cell>
          <cell r="E106" t="str">
            <v>YOUNG</v>
          </cell>
        </row>
        <row r="107">
          <cell r="C107" t="str">
            <v>118-02</v>
          </cell>
          <cell r="D107">
            <v>1260000</v>
          </cell>
          <cell r="E107" t="str">
            <v>ACKERMAN</v>
          </cell>
        </row>
        <row r="108">
          <cell r="C108" t="str">
            <v>169-01</v>
          </cell>
          <cell r="D108">
            <v>1740000</v>
          </cell>
          <cell r="E108" t="str">
            <v>STORY</v>
          </cell>
        </row>
        <row r="109">
          <cell r="C109" t="str">
            <v>123-02</v>
          </cell>
          <cell r="D109">
            <v>1750000</v>
          </cell>
          <cell r="E109" t="str">
            <v>REBOLETTI</v>
          </cell>
        </row>
        <row r="110">
          <cell r="C110" t="str">
            <v>820-01</v>
          </cell>
          <cell r="D110">
            <v>900000</v>
          </cell>
          <cell r="E110" t="str">
            <v>ROCHA</v>
          </cell>
        </row>
        <row r="111">
          <cell r="C111" t="str">
            <v>803-02</v>
          </cell>
          <cell r="D111">
            <v>1300000</v>
          </cell>
          <cell r="E111" t="str">
            <v>LEVIN</v>
          </cell>
        </row>
        <row r="112">
          <cell r="C112" t="str">
            <v>177-01</v>
          </cell>
          <cell r="D112">
            <v>2110000</v>
          </cell>
          <cell r="E112" t="str">
            <v>OUN</v>
          </cell>
        </row>
        <row r="113">
          <cell r="C113" t="str">
            <v>802-02</v>
          </cell>
          <cell r="D113">
            <v>1110000</v>
          </cell>
          <cell r="E113" t="str">
            <v>STARKS</v>
          </cell>
        </row>
        <row r="114">
          <cell r="C114" t="str">
            <v>189-01</v>
          </cell>
          <cell r="D114">
            <v>2030000</v>
          </cell>
          <cell r="E114" t="str">
            <v>KILLION</v>
          </cell>
        </row>
        <row r="115">
          <cell r="C115" t="str">
            <v>104-02</v>
          </cell>
          <cell r="D115">
            <v>1260000</v>
          </cell>
          <cell r="E115" t="str">
            <v>ACKERMAN</v>
          </cell>
        </row>
        <row r="116">
          <cell r="C116" t="str">
            <v>825-01</v>
          </cell>
          <cell r="D116">
            <v>2150000</v>
          </cell>
          <cell r="E116" t="str">
            <v>SWANSON</v>
          </cell>
        </row>
        <row r="117">
          <cell r="C117" t="str">
            <v>805-02</v>
          </cell>
          <cell r="D117">
            <v>1110000</v>
          </cell>
          <cell r="E117" t="str">
            <v>STARKS</v>
          </cell>
        </row>
        <row r="118">
          <cell r="C118" t="str">
            <v>825-01</v>
          </cell>
          <cell r="D118">
            <v>2150000</v>
          </cell>
          <cell r="E118" t="str">
            <v>SWANSON</v>
          </cell>
        </row>
        <row r="119">
          <cell r="C119" t="str">
            <v>121-02</v>
          </cell>
          <cell r="D119">
            <v>1090000</v>
          </cell>
          <cell r="E119" t="str">
            <v>SPECTOR</v>
          </cell>
        </row>
        <row r="120">
          <cell r="C120" t="str">
            <v>825-01</v>
          </cell>
          <cell r="D120">
            <v>2150000</v>
          </cell>
          <cell r="E120" t="str">
            <v>SWANSON</v>
          </cell>
        </row>
        <row r="121">
          <cell r="C121" t="str">
            <v>119-02</v>
          </cell>
          <cell r="D121">
            <v>1990000</v>
          </cell>
          <cell r="E121" t="str">
            <v>DAVIS</v>
          </cell>
        </row>
        <row r="122">
          <cell r="C122" t="str">
            <v>194-01</v>
          </cell>
          <cell r="D122">
            <v>1520000</v>
          </cell>
          <cell r="E122" t="str">
            <v>MAYBERRY</v>
          </cell>
        </row>
        <row r="123">
          <cell r="C123" t="str">
            <v>103-02</v>
          </cell>
          <cell r="D123">
            <v>1260000</v>
          </cell>
          <cell r="E123" t="str">
            <v>ACKERMAN</v>
          </cell>
        </row>
        <row r="124">
          <cell r="C124" t="str">
            <v>201-01</v>
          </cell>
          <cell r="D124">
            <v>880000</v>
          </cell>
          <cell r="E124" t="str">
            <v>STEWART</v>
          </cell>
        </row>
        <row r="125">
          <cell r="C125" t="str">
            <v>309-01</v>
          </cell>
          <cell r="D125">
            <v>2140000</v>
          </cell>
          <cell r="E125" t="str">
            <v>ROBINSON</v>
          </cell>
        </row>
        <row r="126">
          <cell r="C126" t="str">
            <v>828-01</v>
          </cell>
          <cell r="D126">
            <v>1290000</v>
          </cell>
          <cell r="E126" t="str">
            <v>COOLAHAN</v>
          </cell>
        </row>
        <row r="127">
          <cell r="C127" t="str">
            <v>228-01</v>
          </cell>
          <cell r="D127">
            <v>2090000</v>
          </cell>
          <cell r="E127" t="str">
            <v>HAITHCOX</v>
          </cell>
        </row>
        <row r="128">
          <cell r="C128" t="str">
            <v>203-01</v>
          </cell>
          <cell r="D128">
            <v>2030000</v>
          </cell>
          <cell r="E128" t="str">
            <v>KILLION</v>
          </cell>
        </row>
        <row r="129">
          <cell r="C129" t="str">
            <v>842-01</v>
          </cell>
          <cell r="D129">
            <v>2150000</v>
          </cell>
          <cell r="E129" t="str">
            <v>SWANSON</v>
          </cell>
        </row>
        <row r="130">
          <cell r="C130" t="str">
            <v>209-01</v>
          </cell>
          <cell r="D130">
            <v>2140000</v>
          </cell>
          <cell r="E130" t="str">
            <v>ROBINSON</v>
          </cell>
        </row>
        <row r="131">
          <cell r="C131" t="str">
            <v>224-01</v>
          </cell>
          <cell r="D131">
            <v>1810000</v>
          </cell>
          <cell r="E131" t="str">
            <v>NEWELL</v>
          </cell>
        </row>
        <row r="132">
          <cell r="C132" t="str">
            <v>213-01</v>
          </cell>
          <cell r="D132">
            <v>1810000</v>
          </cell>
          <cell r="E132" t="str">
            <v>NEWELL</v>
          </cell>
        </row>
        <row r="133">
          <cell r="C133" t="str">
            <v>222-01</v>
          </cell>
          <cell r="D133">
            <v>2140000</v>
          </cell>
          <cell r="E133" t="str">
            <v>ROBINSON</v>
          </cell>
        </row>
        <row r="134">
          <cell r="C134" t="str">
            <v>217-01</v>
          </cell>
          <cell r="D134">
            <v>1800000</v>
          </cell>
          <cell r="E134" t="str">
            <v>CHANDLER</v>
          </cell>
        </row>
        <row r="135">
          <cell r="C135" t="str">
            <v>221-01</v>
          </cell>
          <cell r="D135">
            <v>2140000</v>
          </cell>
          <cell r="E135" t="str">
            <v>ROBINSON</v>
          </cell>
        </row>
        <row r="136">
          <cell r="C136" t="str">
            <v>210-01</v>
          </cell>
          <cell r="D136">
            <v>2140000</v>
          </cell>
          <cell r="E136" t="str">
            <v>ROBINSON</v>
          </cell>
        </row>
        <row r="137">
          <cell r="C137" t="str">
            <v>216-01</v>
          </cell>
          <cell r="D137">
            <v>1780000</v>
          </cell>
          <cell r="E137" t="str">
            <v>DE LA ROSA</v>
          </cell>
        </row>
        <row r="138">
          <cell r="C138" t="str">
            <v>837-01</v>
          </cell>
          <cell r="D138">
            <v>2150000</v>
          </cell>
          <cell r="E138" t="str">
            <v>SWANSON</v>
          </cell>
        </row>
        <row r="139">
          <cell r="C139" t="str">
            <v>219-01</v>
          </cell>
          <cell r="D139">
            <v>2090000</v>
          </cell>
          <cell r="E139" t="str">
            <v>HAITHCOX</v>
          </cell>
        </row>
        <row r="140">
          <cell r="C140" t="str">
            <v>217-01</v>
          </cell>
          <cell r="D140">
            <v>1800000</v>
          </cell>
          <cell r="E140" t="str">
            <v>CHANDLER</v>
          </cell>
        </row>
        <row r="141">
          <cell r="C141" t="str">
            <v>835-01</v>
          </cell>
          <cell r="D141">
            <v>1290000</v>
          </cell>
          <cell r="E141" t="str">
            <v>COOLAHAN</v>
          </cell>
        </row>
        <row r="142">
          <cell r="C142" t="str">
            <v>906-01</v>
          </cell>
          <cell r="D142">
            <v>1290000</v>
          </cell>
          <cell r="E142" t="str">
            <v>COOLAHAN</v>
          </cell>
        </row>
        <row r="143">
          <cell r="C143" t="str">
            <v>200-01</v>
          </cell>
          <cell r="D143">
            <v>1780000</v>
          </cell>
          <cell r="E143" t="str">
            <v>DE LA ROSA</v>
          </cell>
        </row>
        <row r="144">
          <cell r="C144" t="str">
            <v>229-01</v>
          </cell>
          <cell r="D144">
            <v>2140000</v>
          </cell>
          <cell r="E144" t="str">
            <v>ROBINSON</v>
          </cell>
        </row>
        <row r="145">
          <cell r="C145" t="str">
            <v>190-01</v>
          </cell>
          <cell r="D145">
            <v>2030000</v>
          </cell>
          <cell r="E145" t="str">
            <v>KILLION</v>
          </cell>
        </row>
        <row r="146">
          <cell r="C146" t="str">
            <v>232-01</v>
          </cell>
          <cell r="D146">
            <v>1810000</v>
          </cell>
          <cell r="E146" t="str">
            <v>NEWELL</v>
          </cell>
        </row>
        <row r="147">
          <cell r="C147" t="str">
            <v>904-01</v>
          </cell>
          <cell r="D147">
            <v>1290000</v>
          </cell>
          <cell r="E147" t="str">
            <v>COOLAHAN</v>
          </cell>
        </row>
        <row r="148">
          <cell r="C148" t="str">
            <v>908-01</v>
          </cell>
          <cell r="D148">
            <v>1290000</v>
          </cell>
          <cell r="E148" t="str">
            <v>COOLAHAN</v>
          </cell>
        </row>
        <row r="149">
          <cell r="C149" t="str">
            <v>187-01</v>
          </cell>
          <cell r="D149">
            <v>880000</v>
          </cell>
          <cell r="E149" t="str">
            <v>STEWART</v>
          </cell>
        </row>
        <row r="150">
          <cell r="C150" t="str">
            <v>239-01</v>
          </cell>
          <cell r="D150">
            <v>1810000</v>
          </cell>
          <cell r="E150" t="str">
            <v>NEWELL</v>
          </cell>
        </row>
        <row r="151">
          <cell r="C151" t="str">
            <v>822-01</v>
          </cell>
          <cell r="D151">
            <v>2150000</v>
          </cell>
          <cell r="E151" t="str">
            <v>SWANSON</v>
          </cell>
        </row>
        <row r="152">
          <cell r="C152" t="str">
            <v>244-01</v>
          </cell>
          <cell r="D152">
            <v>2090000</v>
          </cell>
          <cell r="E152" t="str">
            <v>HAITHCOX</v>
          </cell>
        </row>
        <row r="153">
          <cell r="C153" t="str">
            <v>168-01</v>
          </cell>
          <cell r="D153">
            <v>1140000</v>
          </cell>
          <cell r="E153" t="str">
            <v>YOUNG</v>
          </cell>
        </row>
        <row r="154">
          <cell r="C154" t="str">
            <v>101-02</v>
          </cell>
          <cell r="D154">
            <v>1360000</v>
          </cell>
          <cell r="E154" t="str">
            <v>SANTIZO</v>
          </cell>
        </row>
        <row r="155">
          <cell r="C155" t="str">
            <v>225-31</v>
          </cell>
          <cell r="D155">
            <v>2030000</v>
          </cell>
          <cell r="E155" t="str">
            <v>KILLION</v>
          </cell>
        </row>
        <row r="156">
          <cell r="C156" t="str">
            <v>306-02</v>
          </cell>
          <cell r="D156">
            <v>1990000</v>
          </cell>
          <cell r="E156" t="str">
            <v>DAVIS</v>
          </cell>
        </row>
        <row r="157">
          <cell r="C157" t="str">
            <v>223-31</v>
          </cell>
          <cell r="D157">
            <v>2000000</v>
          </cell>
          <cell r="E157" t="str">
            <v>STAMBAUGH</v>
          </cell>
        </row>
        <row r="158">
          <cell r="C158" t="str">
            <v>105-02</v>
          </cell>
          <cell r="D158">
            <v>1990000</v>
          </cell>
          <cell r="E158" t="str">
            <v>DAVIS</v>
          </cell>
        </row>
        <row r="159">
          <cell r="C159" t="str">
            <v>160-01</v>
          </cell>
          <cell r="D159">
            <v>880000</v>
          </cell>
          <cell r="E159" t="str">
            <v>STEWART</v>
          </cell>
        </row>
        <row r="160">
          <cell r="C160" t="str">
            <v>109-02</v>
          </cell>
          <cell r="D160">
            <v>1750000</v>
          </cell>
          <cell r="E160" t="str">
            <v>REBOLETTI</v>
          </cell>
        </row>
        <row r="161">
          <cell r="C161" t="str">
            <v>157-01</v>
          </cell>
          <cell r="D161">
            <v>1310000</v>
          </cell>
          <cell r="E161" t="str">
            <v>MALAVE</v>
          </cell>
        </row>
        <row r="162">
          <cell r="C162" t="str">
            <v>800-02</v>
          </cell>
          <cell r="D162">
            <v>1110000</v>
          </cell>
          <cell r="E162" t="str">
            <v>STARKS</v>
          </cell>
        </row>
        <row r="163">
          <cell r="C163" t="str">
            <v>813-01</v>
          </cell>
          <cell r="D163">
            <v>900000</v>
          </cell>
          <cell r="E163" t="str">
            <v>ROCHA</v>
          </cell>
        </row>
        <row r="164">
          <cell r="C164" t="str">
            <v>801-02</v>
          </cell>
          <cell r="D164">
            <v>1110000</v>
          </cell>
          <cell r="E164" t="str">
            <v>STARKS</v>
          </cell>
        </row>
        <row r="165">
          <cell r="C165" t="str">
            <v>811-01</v>
          </cell>
          <cell r="D165">
            <v>900000</v>
          </cell>
          <cell r="E165" t="str">
            <v>ROCHA</v>
          </cell>
        </row>
        <row r="166">
          <cell r="C166" t="str">
            <v>803-02</v>
          </cell>
          <cell r="D166">
            <v>1300000</v>
          </cell>
          <cell r="E166" t="str">
            <v>LEVIN</v>
          </cell>
        </row>
        <row r="167">
          <cell r="C167" t="str">
            <v>137-01</v>
          </cell>
          <cell r="D167">
            <v>1830000</v>
          </cell>
          <cell r="E167" t="str">
            <v>YORK</v>
          </cell>
        </row>
        <row r="168">
          <cell r="C168" t="str">
            <v>803-02</v>
          </cell>
          <cell r="D168">
            <v>1300000</v>
          </cell>
          <cell r="E168" t="str">
            <v>LEVIN</v>
          </cell>
        </row>
        <row r="169">
          <cell r="C169" t="str">
            <v>133-01</v>
          </cell>
          <cell r="D169">
            <v>1990000</v>
          </cell>
          <cell r="E169" t="str">
            <v>DAVIS</v>
          </cell>
        </row>
        <row r="170">
          <cell r="C170" t="str">
            <v>125-02</v>
          </cell>
          <cell r="D170">
            <v>2100000</v>
          </cell>
          <cell r="E170" t="str">
            <v>ISHMAEL</v>
          </cell>
        </row>
        <row r="171">
          <cell r="C171" t="str">
            <v>126-01</v>
          </cell>
          <cell r="D171">
            <v>1240000</v>
          </cell>
          <cell r="E171" t="str">
            <v>GRASTON</v>
          </cell>
        </row>
        <row r="172">
          <cell r="C172" t="str">
            <v>804-02</v>
          </cell>
          <cell r="D172">
            <v>1300000</v>
          </cell>
          <cell r="E172" t="str">
            <v>LEVIN</v>
          </cell>
        </row>
        <row r="173">
          <cell r="C173" t="str">
            <v>119-01</v>
          </cell>
          <cell r="D173">
            <v>1990000</v>
          </cell>
          <cell r="E173" t="str">
            <v>DAVIS</v>
          </cell>
        </row>
        <row r="174">
          <cell r="C174" t="str">
            <v>129-02</v>
          </cell>
          <cell r="D174">
            <v>900000</v>
          </cell>
          <cell r="E174" t="str">
            <v>ROCHA</v>
          </cell>
        </row>
        <row r="175">
          <cell r="C175" t="str">
            <v>115-01</v>
          </cell>
          <cell r="D175">
            <v>1310000</v>
          </cell>
          <cell r="E175" t="str">
            <v>MALAVE</v>
          </cell>
        </row>
        <row r="176">
          <cell r="C176" t="str">
            <v>103-01</v>
          </cell>
          <cell r="D176">
            <v>1260000</v>
          </cell>
          <cell r="E176" t="str">
            <v>ACKERMAN</v>
          </cell>
        </row>
        <row r="177">
          <cell r="C177" t="str">
            <v>110-01</v>
          </cell>
          <cell r="D177">
            <v>1830000</v>
          </cell>
          <cell r="E177" t="str">
            <v>YORK</v>
          </cell>
        </row>
        <row r="178">
          <cell r="C178" t="str">
            <v>105-01</v>
          </cell>
          <cell r="D178">
            <v>1990000</v>
          </cell>
          <cell r="E178" t="str">
            <v>DAVIS</v>
          </cell>
        </row>
        <row r="179">
          <cell r="C179" t="str">
            <v>111-01</v>
          </cell>
          <cell r="D179">
            <v>1110000</v>
          </cell>
          <cell r="E179" t="str">
            <v>STARKS</v>
          </cell>
        </row>
        <row r="180">
          <cell r="C180" t="str">
            <v>108-01</v>
          </cell>
          <cell r="D180">
            <v>1090000</v>
          </cell>
          <cell r="E180" t="str">
            <v>SPECTOR</v>
          </cell>
        </row>
        <row r="181">
          <cell r="C181" t="str">
            <v>109-01</v>
          </cell>
          <cell r="D181">
            <v>1830000</v>
          </cell>
          <cell r="E181" t="str">
            <v>YORK</v>
          </cell>
        </row>
        <row r="182">
          <cell r="C182" t="str">
            <v>117-01</v>
          </cell>
          <cell r="D182">
            <v>1260000</v>
          </cell>
          <cell r="E182" t="str">
            <v>ACKERMAN</v>
          </cell>
        </row>
        <row r="183">
          <cell r="C183" t="str">
            <v>232-31</v>
          </cell>
          <cell r="D183">
            <v>2000000</v>
          </cell>
          <cell r="E183" t="str">
            <v>STAMBAUGH</v>
          </cell>
        </row>
        <row r="184">
          <cell r="C184" t="str">
            <v>802-01</v>
          </cell>
          <cell r="D184">
            <v>1360000</v>
          </cell>
          <cell r="E184" t="str">
            <v>SANTIZO</v>
          </cell>
        </row>
        <row r="185">
          <cell r="C185" t="str">
            <v>1831-31</v>
          </cell>
          <cell r="D185">
            <v>1780000</v>
          </cell>
          <cell r="E185" t="str">
            <v>DE LA ROSA</v>
          </cell>
        </row>
        <row r="186">
          <cell r="C186" t="str">
            <v>121-01</v>
          </cell>
          <cell r="D186">
            <v>1090000</v>
          </cell>
          <cell r="E186" t="str">
            <v>SPECTOR</v>
          </cell>
        </row>
        <row r="187">
          <cell r="C187" t="str">
            <v>226-31</v>
          </cell>
          <cell r="D187">
            <v>2030000</v>
          </cell>
          <cell r="E187" t="str">
            <v>KILLION</v>
          </cell>
        </row>
        <row r="188">
          <cell r="C188" t="str">
            <v>805-01</v>
          </cell>
          <cell r="D188">
            <v>1360000</v>
          </cell>
          <cell r="E188" t="str">
            <v>SANTIZO</v>
          </cell>
        </row>
        <row r="189">
          <cell r="C189" t="str">
            <v>129-01</v>
          </cell>
          <cell r="D189">
            <v>1310000</v>
          </cell>
          <cell r="E189" t="str">
            <v>MALAVE</v>
          </cell>
        </row>
        <row r="190">
          <cell r="C190" t="str">
            <v>145-01</v>
          </cell>
          <cell r="D190">
            <v>1260000</v>
          </cell>
          <cell r="E190" t="str">
            <v>ACKERMAN</v>
          </cell>
        </row>
        <row r="191">
          <cell r="C191" t="str">
            <v>114-01</v>
          </cell>
          <cell r="D191">
            <v>2100000</v>
          </cell>
          <cell r="E191" t="str">
            <v>ISHMAEL</v>
          </cell>
        </row>
        <row r="192">
          <cell r="C192" t="str">
            <v>149-01</v>
          </cell>
          <cell r="D192">
            <v>1090000</v>
          </cell>
          <cell r="E192" t="str">
            <v>SPECTOR</v>
          </cell>
        </row>
        <row r="193">
          <cell r="C193" t="str">
            <v>107-01</v>
          </cell>
          <cell r="D193">
            <v>1090000</v>
          </cell>
          <cell r="E193" t="str">
            <v>SPECTOR</v>
          </cell>
        </row>
        <row r="194">
          <cell r="C194" t="str">
            <v>173-01</v>
          </cell>
          <cell r="D194">
            <v>880000</v>
          </cell>
          <cell r="E194" t="str">
            <v>STEWART</v>
          </cell>
        </row>
        <row r="195">
          <cell r="C195" t="str">
            <v>308-01</v>
          </cell>
          <cell r="D195">
            <v>1090000</v>
          </cell>
          <cell r="E195" t="str">
            <v>SPECTOR</v>
          </cell>
        </row>
        <row r="196">
          <cell r="C196" t="str">
            <v>175-01</v>
          </cell>
          <cell r="D196">
            <v>2030000</v>
          </cell>
          <cell r="E196" t="str">
            <v>KILLION</v>
          </cell>
        </row>
        <row r="197">
          <cell r="C197" t="str">
            <v>234-31</v>
          </cell>
          <cell r="D197">
            <v>2030000</v>
          </cell>
          <cell r="E197" t="str">
            <v>KILLION</v>
          </cell>
        </row>
        <row r="198">
          <cell r="C198" t="str">
            <v>170-01</v>
          </cell>
          <cell r="D198">
            <v>1740000</v>
          </cell>
          <cell r="E198" t="str">
            <v>STORY</v>
          </cell>
        </row>
        <row r="199">
          <cell r="C199" t="str">
            <v>114-02</v>
          </cell>
          <cell r="D199">
            <v>1360000</v>
          </cell>
          <cell r="E199" t="str">
            <v>SANTIZO</v>
          </cell>
        </row>
        <row r="200">
          <cell r="C200" t="str">
            <v>176-01</v>
          </cell>
          <cell r="D200">
            <v>2030000</v>
          </cell>
          <cell r="E200" t="str">
            <v>KILLION</v>
          </cell>
        </row>
        <row r="201">
          <cell r="C201" t="str">
            <v>110-02</v>
          </cell>
          <cell r="D201">
            <v>1750000</v>
          </cell>
          <cell r="E201" t="str">
            <v>REBOLETTI</v>
          </cell>
        </row>
        <row r="202">
          <cell r="C202" t="str">
            <v>825-01</v>
          </cell>
          <cell r="D202">
            <v>2150000</v>
          </cell>
          <cell r="E202" t="str">
            <v>SWANSON</v>
          </cell>
        </row>
        <row r="203">
          <cell r="C203" t="str">
            <v>113-02</v>
          </cell>
          <cell r="D203">
            <v>1360000</v>
          </cell>
          <cell r="E203" t="str">
            <v>SANTIZO</v>
          </cell>
        </row>
        <row r="204">
          <cell r="C204" t="str">
            <v>806-01</v>
          </cell>
          <cell r="D204">
            <v>1360000</v>
          </cell>
          <cell r="E204" t="str">
            <v>SANTIZO</v>
          </cell>
        </row>
        <row r="205">
          <cell r="C205" t="str">
            <v>107-02</v>
          </cell>
          <cell r="D205">
            <v>1090000</v>
          </cell>
          <cell r="E205" t="str">
            <v>SPECTOR</v>
          </cell>
        </row>
        <row r="206">
          <cell r="C206" t="str">
            <v>127-01</v>
          </cell>
          <cell r="D206">
            <v>2100000</v>
          </cell>
          <cell r="E206" t="str">
            <v>ISHMAEL</v>
          </cell>
        </row>
        <row r="207">
          <cell r="C207" t="str">
            <v>901-02</v>
          </cell>
          <cell r="D207">
            <v>1110000</v>
          </cell>
          <cell r="E207" t="str">
            <v>STARKS</v>
          </cell>
        </row>
        <row r="208">
          <cell r="C208" t="str">
            <v>129-01</v>
          </cell>
          <cell r="D208">
            <v>1310000</v>
          </cell>
          <cell r="E208" t="str">
            <v>MALAVE</v>
          </cell>
        </row>
        <row r="209">
          <cell r="C209" t="str">
            <v>901-02</v>
          </cell>
          <cell r="D209">
            <v>1110000</v>
          </cell>
          <cell r="E209" t="str">
            <v>STARKS</v>
          </cell>
        </row>
        <row r="210">
          <cell r="C210" t="str">
            <v>808-01</v>
          </cell>
          <cell r="D210">
            <v>900000</v>
          </cell>
          <cell r="E210" t="str">
            <v>ROCHA</v>
          </cell>
        </row>
        <row r="211">
          <cell r="C211" t="str">
            <v>242-01</v>
          </cell>
          <cell r="D211">
            <v>1800000</v>
          </cell>
          <cell r="E211" t="str">
            <v>CHANDLER</v>
          </cell>
        </row>
        <row r="212">
          <cell r="C212" t="str">
            <v>133-01</v>
          </cell>
          <cell r="D212">
            <v>1990000</v>
          </cell>
          <cell r="E212" t="str">
            <v>DAVIS</v>
          </cell>
        </row>
        <row r="213">
          <cell r="C213" t="str">
            <v>241-01</v>
          </cell>
          <cell r="D213">
            <v>1800000</v>
          </cell>
          <cell r="E213" t="str">
            <v>CHANDLER</v>
          </cell>
        </row>
        <row r="214">
          <cell r="C214" t="str">
            <v>144-01</v>
          </cell>
          <cell r="D214">
            <v>1310000</v>
          </cell>
          <cell r="E214" t="str">
            <v>MALAVE</v>
          </cell>
        </row>
        <row r="215">
          <cell r="C215" t="str">
            <v>239-01</v>
          </cell>
          <cell r="D215">
            <v>1810000</v>
          </cell>
          <cell r="E215" t="str">
            <v>NEWELL</v>
          </cell>
        </row>
        <row r="216">
          <cell r="C216" t="str">
            <v>150-01</v>
          </cell>
          <cell r="D216">
            <v>1090000</v>
          </cell>
          <cell r="E216" t="str">
            <v>SPECTOR</v>
          </cell>
        </row>
        <row r="217">
          <cell r="C217" t="str">
            <v>237-01</v>
          </cell>
          <cell r="D217">
            <v>2140000</v>
          </cell>
          <cell r="E217" t="str">
            <v>ROBINSON</v>
          </cell>
        </row>
        <row r="218">
          <cell r="C218" t="str">
            <v>162-01</v>
          </cell>
          <cell r="D218">
            <v>1240000</v>
          </cell>
          <cell r="E218" t="str">
            <v>GRASTON</v>
          </cell>
        </row>
        <row r="219">
          <cell r="C219" t="str">
            <v>235-01</v>
          </cell>
          <cell r="D219">
            <v>2090000</v>
          </cell>
          <cell r="E219" t="str">
            <v>HAITHCOX</v>
          </cell>
        </row>
        <row r="220">
          <cell r="C220" t="str">
            <v>166-01</v>
          </cell>
          <cell r="D220">
            <v>1520000</v>
          </cell>
          <cell r="E220" t="str">
            <v>MAYBERRY</v>
          </cell>
        </row>
        <row r="221">
          <cell r="C221" t="str">
            <v>235-01</v>
          </cell>
          <cell r="D221">
            <v>2090000</v>
          </cell>
          <cell r="E221" t="str">
            <v>HAITHCOX</v>
          </cell>
        </row>
        <row r="222">
          <cell r="C222" t="str">
            <v>820-01</v>
          </cell>
          <cell r="D222">
            <v>900000</v>
          </cell>
          <cell r="E222" t="str">
            <v>ROCHA</v>
          </cell>
        </row>
        <row r="223">
          <cell r="C223" t="str">
            <v>225-01</v>
          </cell>
          <cell r="D223">
            <v>1800000</v>
          </cell>
          <cell r="E223" t="str">
            <v>CHANDLER</v>
          </cell>
        </row>
        <row r="224">
          <cell r="C224" t="str">
            <v>183-01</v>
          </cell>
          <cell r="D224">
            <v>1740000</v>
          </cell>
          <cell r="E224" t="str">
            <v>STORY</v>
          </cell>
        </row>
        <row r="225">
          <cell r="C225" t="str">
            <v>220-01</v>
          </cell>
          <cell r="D225">
            <v>2090000</v>
          </cell>
          <cell r="E225" t="str">
            <v>HAITHCOX</v>
          </cell>
        </row>
        <row r="226">
          <cell r="C226" t="str">
            <v>180-01</v>
          </cell>
          <cell r="D226">
            <v>1520000</v>
          </cell>
          <cell r="E226" t="str">
            <v>MAYBERRY</v>
          </cell>
        </row>
        <row r="227">
          <cell r="C227" t="str">
            <v>834-01</v>
          </cell>
          <cell r="D227">
            <v>2150000</v>
          </cell>
          <cell r="E227" t="str">
            <v>SWANSON</v>
          </cell>
        </row>
        <row r="228">
          <cell r="C228" t="str">
            <v>193-01</v>
          </cell>
          <cell r="D228">
            <v>1520000</v>
          </cell>
          <cell r="E228" t="str">
            <v>MAYBERRY</v>
          </cell>
        </row>
        <row r="229">
          <cell r="C229" t="str">
            <v>832-01</v>
          </cell>
          <cell r="D229">
            <v>1290000</v>
          </cell>
          <cell r="E229" t="str">
            <v>COOLAHAN</v>
          </cell>
        </row>
        <row r="230">
          <cell r="C230" t="str">
            <v>195-01</v>
          </cell>
          <cell r="D230">
            <v>1140000</v>
          </cell>
          <cell r="E230" t="str">
            <v>YOUNG</v>
          </cell>
        </row>
        <row r="231">
          <cell r="C231" t="str">
            <v>207-01</v>
          </cell>
          <cell r="D231">
            <v>1520000</v>
          </cell>
          <cell r="E231" t="str">
            <v>MAYBERRY</v>
          </cell>
        </row>
        <row r="232">
          <cell r="C232" t="str">
            <v>242-31</v>
          </cell>
          <cell r="D232">
            <v>2030000</v>
          </cell>
          <cell r="E232" t="str">
            <v>KILLION</v>
          </cell>
        </row>
        <row r="233">
          <cell r="C233" t="str">
            <v>197-01</v>
          </cell>
          <cell r="D233">
            <v>1740000</v>
          </cell>
          <cell r="E233" t="str">
            <v>STORY</v>
          </cell>
        </row>
        <row r="234">
          <cell r="C234" t="str">
            <v>244-31</v>
          </cell>
          <cell r="D234">
            <v>1800000</v>
          </cell>
          <cell r="E234" t="str">
            <v>CHANDLER</v>
          </cell>
        </row>
        <row r="235">
          <cell r="C235" t="str">
            <v>904-01</v>
          </cell>
          <cell r="D235">
            <v>1290000</v>
          </cell>
          <cell r="E235" t="str">
            <v>COOLAHAN</v>
          </cell>
        </row>
        <row r="236">
          <cell r="C236" t="str">
            <v>315-31</v>
          </cell>
          <cell r="D236">
            <v>1800000</v>
          </cell>
          <cell r="E236" t="str">
            <v>CHANDLER</v>
          </cell>
        </row>
        <row r="237">
          <cell r="C237" t="str">
            <v>825-01</v>
          </cell>
          <cell r="D237">
            <v>2150000</v>
          </cell>
          <cell r="E237" t="str">
            <v>SWANSON</v>
          </cell>
        </row>
        <row r="238">
          <cell r="C238" t="str">
            <v>220-31</v>
          </cell>
          <cell r="D238">
            <v>1800000</v>
          </cell>
          <cell r="E238" t="str">
            <v>CHANDLER</v>
          </cell>
        </row>
        <row r="239">
          <cell r="C239" t="str">
            <v>186-01</v>
          </cell>
          <cell r="D239">
            <v>1780000</v>
          </cell>
          <cell r="E239" t="str">
            <v>DE LA ROSA</v>
          </cell>
        </row>
        <row r="240">
          <cell r="C240" t="str">
            <v>230-31</v>
          </cell>
          <cell r="D240">
            <v>1180000</v>
          </cell>
          <cell r="E240" t="str">
            <v>LEVERE</v>
          </cell>
        </row>
        <row r="241">
          <cell r="C241" t="str">
            <v>824-01</v>
          </cell>
          <cell r="D241">
            <v>2150000</v>
          </cell>
          <cell r="E241" t="str">
            <v>SWANSON</v>
          </cell>
        </row>
        <row r="242">
          <cell r="C242" t="str">
            <v>1902-31</v>
          </cell>
          <cell r="D242">
            <v>1780000</v>
          </cell>
          <cell r="E242" t="str">
            <v>DE LA ROSA</v>
          </cell>
        </row>
        <row r="243">
          <cell r="C243" t="str">
            <v>182-01</v>
          </cell>
          <cell r="D243">
            <v>1140000</v>
          </cell>
          <cell r="E243" t="str">
            <v>YOUNG</v>
          </cell>
        </row>
        <row r="244">
          <cell r="C244" t="str">
            <v>313-31</v>
          </cell>
          <cell r="D244">
            <v>2030000</v>
          </cell>
          <cell r="E244" t="str">
            <v>KILLION</v>
          </cell>
        </row>
        <row r="245">
          <cell r="C245" t="str">
            <v>823-01</v>
          </cell>
          <cell r="D245">
            <v>2150000</v>
          </cell>
          <cell r="E245" t="str">
            <v>SWANSON</v>
          </cell>
        </row>
        <row r="246">
          <cell r="C246" t="str">
            <v>192-01</v>
          </cell>
          <cell r="D246">
            <v>2110000</v>
          </cell>
          <cell r="E246" t="str">
            <v>OUN</v>
          </cell>
        </row>
        <row r="247">
          <cell r="C247" t="str">
            <v>179-01</v>
          </cell>
          <cell r="D247">
            <v>1520000</v>
          </cell>
          <cell r="E247" t="str">
            <v>MAYBERRY</v>
          </cell>
        </row>
        <row r="248">
          <cell r="C248" t="str">
            <v>828-01</v>
          </cell>
          <cell r="D248">
            <v>1290000</v>
          </cell>
          <cell r="E248" t="str">
            <v>COOLAHAN</v>
          </cell>
        </row>
        <row r="249">
          <cell r="C249" t="str">
            <v>172-01</v>
          </cell>
          <cell r="D249">
            <v>1780000</v>
          </cell>
          <cell r="E249" t="str">
            <v>DE LA ROSA</v>
          </cell>
        </row>
        <row r="250">
          <cell r="C250" t="str">
            <v>830-01</v>
          </cell>
          <cell r="D250">
            <v>2150000</v>
          </cell>
          <cell r="E250" t="str">
            <v>SWANSON</v>
          </cell>
        </row>
        <row r="251">
          <cell r="C251" t="str">
            <v>155-01</v>
          </cell>
          <cell r="D251">
            <v>1360000</v>
          </cell>
          <cell r="E251" t="str">
            <v>SANTIZO</v>
          </cell>
        </row>
        <row r="252">
          <cell r="C252" t="str">
            <v>205-01</v>
          </cell>
          <cell r="D252">
            <v>2110000</v>
          </cell>
          <cell r="E252" t="str">
            <v>OUN</v>
          </cell>
        </row>
        <row r="253">
          <cell r="C253" t="str">
            <v>146-01</v>
          </cell>
          <cell r="D253">
            <v>1260000</v>
          </cell>
          <cell r="E253" t="str">
            <v>ACKERMAN</v>
          </cell>
        </row>
        <row r="254">
          <cell r="C254" t="str">
            <v>208-01</v>
          </cell>
          <cell r="D254">
            <v>1520000</v>
          </cell>
          <cell r="E254" t="str">
            <v>MAYBERRY</v>
          </cell>
        </row>
        <row r="255">
          <cell r="C255" t="str">
            <v>136-01</v>
          </cell>
          <cell r="D255">
            <v>1090000</v>
          </cell>
          <cell r="E255" t="str">
            <v>SPECTOR</v>
          </cell>
        </row>
        <row r="256">
          <cell r="C256" t="str">
            <v>836-01</v>
          </cell>
          <cell r="D256">
            <v>1290000</v>
          </cell>
          <cell r="E256" t="str">
            <v>COOLAHAN</v>
          </cell>
        </row>
        <row r="257">
          <cell r="C257" t="str">
            <v>134-01</v>
          </cell>
          <cell r="D257">
            <v>1990000</v>
          </cell>
          <cell r="E257" t="str">
            <v>DAVIS</v>
          </cell>
        </row>
        <row r="258">
          <cell r="C258" t="str">
            <v>839-01</v>
          </cell>
          <cell r="D258">
            <v>1290000</v>
          </cell>
          <cell r="E258" t="str">
            <v>COOLAHAN</v>
          </cell>
        </row>
        <row r="259">
          <cell r="C259" t="str">
            <v>130-01</v>
          </cell>
          <cell r="D259">
            <v>1310000</v>
          </cell>
          <cell r="E259" t="str">
            <v>MALAVE</v>
          </cell>
        </row>
        <row r="260">
          <cell r="C260" t="str">
            <v>303-01</v>
          </cell>
          <cell r="D260">
            <v>1520000</v>
          </cell>
          <cell r="E260" t="str">
            <v>MAYBERRY</v>
          </cell>
        </row>
        <row r="261">
          <cell r="C261" t="str">
            <v>810-01</v>
          </cell>
          <cell r="D261">
            <v>1360000</v>
          </cell>
          <cell r="E261" t="str">
            <v>SANTIZO</v>
          </cell>
        </row>
        <row r="262">
          <cell r="C262" t="str">
            <v>218-01</v>
          </cell>
          <cell r="D262">
            <v>1800000</v>
          </cell>
          <cell r="E262" t="str">
            <v>CHANDLER</v>
          </cell>
        </row>
        <row r="263">
          <cell r="C263" t="str">
            <v>135-01</v>
          </cell>
          <cell r="D263">
            <v>1090000</v>
          </cell>
          <cell r="E263" t="str">
            <v>SPECTOR</v>
          </cell>
        </row>
        <row r="264">
          <cell r="C264" t="str">
            <v>841-01</v>
          </cell>
          <cell r="D264">
            <v>2150000</v>
          </cell>
          <cell r="E264" t="str">
            <v>SWANSON</v>
          </cell>
        </row>
        <row r="265">
          <cell r="C265" t="str">
            <v>804-01</v>
          </cell>
          <cell r="D265">
            <v>900000</v>
          </cell>
          <cell r="E265" t="str">
            <v>ROCHA</v>
          </cell>
        </row>
        <row r="266">
          <cell r="C266" t="str">
            <v>223-01</v>
          </cell>
          <cell r="D266">
            <v>1810000</v>
          </cell>
          <cell r="E266" t="str">
            <v>NEWELL</v>
          </cell>
        </row>
        <row r="267">
          <cell r="C267" t="str">
            <v>118-01</v>
          </cell>
          <cell r="D267">
            <v>1260000</v>
          </cell>
          <cell r="E267" t="str">
            <v>ACKERMAN</v>
          </cell>
        </row>
        <row r="268">
          <cell r="C268" t="str">
            <v>840-01</v>
          </cell>
          <cell r="D268">
            <v>2150000</v>
          </cell>
          <cell r="E268" t="str">
            <v>SWANSON</v>
          </cell>
        </row>
        <row r="269">
          <cell r="C269" t="str">
            <v>123-01</v>
          </cell>
          <cell r="D269">
            <v>1830000</v>
          </cell>
          <cell r="E269" t="str">
            <v>YORK</v>
          </cell>
        </row>
        <row r="270">
          <cell r="C270" t="str">
            <v>222-01</v>
          </cell>
          <cell r="D270">
            <v>2140000</v>
          </cell>
          <cell r="E270" t="str">
            <v>ROBINSON</v>
          </cell>
        </row>
        <row r="271">
          <cell r="C271" t="str">
            <v>116-01</v>
          </cell>
          <cell r="D271">
            <v>1310000</v>
          </cell>
          <cell r="E271" t="str">
            <v>MALAVE</v>
          </cell>
        </row>
        <row r="272">
          <cell r="C272" t="str">
            <v>843-01</v>
          </cell>
          <cell r="D272">
            <v>2150000</v>
          </cell>
          <cell r="E272" t="str">
            <v>SWANSON</v>
          </cell>
        </row>
        <row r="273">
          <cell r="C273" t="str">
            <v>174-01</v>
          </cell>
          <cell r="D273">
            <v>880000</v>
          </cell>
          <cell r="E273" t="str">
            <v>STEWART</v>
          </cell>
        </row>
        <row r="274">
          <cell r="C274" t="str">
            <v>227-01</v>
          </cell>
          <cell r="D274">
            <v>2090000</v>
          </cell>
          <cell r="E274" t="str">
            <v>HAITHCOX</v>
          </cell>
        </row>
        <row r="275">
          <cell r="C275" t="str">
            <v>819-01</v>
          </cell>
          <cell r="D275">
            <v>900000</v>
          </cell>
          <cell r="E275" t="str">
            <v>ROCHA</v>
          </cell>
        </row>
        <row r="276">
          <cell r="C276" t="str">
            <v>226-01</v>
          </cell>
          <cell r="D276">
            <v>1800000</v>
          </cell>
          <cell r="E276" t="str">
            <v>CHANDLER</v>
          </cell>
        </row>
        <row r="277">
          <cell r="C277" t="str">
            <v>818-01</v>
          </cell>
          <cell r="D277">
            <v>900000</v>
          </cell>
          <cell r="E277" t="str">
            <v>ROCHA</v>
          </cell>
        </row>
        <row r="278">
          <cell r="C278" t="str">
            <v>230-01</v>
          </cell>
          <cell r="D278">
            <v>2140000</v>
          </cell>
          <cell r="E278" t="str">
            <v>ROBINSON</v>
          </cell>
        </row>
        <row r="279">
          <cell r="C279" t="str">
            <v>163-01</v>
          </cell>
          <cell r="D279">
            <v>2110000</v>
          </cell>
          <cell r="E279" t="str">
            <v>OUN</v>
          </cell>
        </row>
        <row r="280">
          <cell r="C280" t="str">
            <v>847-01</v>
          </cell>
          <cell r="D280">
            <v>1290000</v>
          </cell>
          <cell r="E280" t="str">
            <v>COOLAHAN</v>
          </cell>
        </row>
        <row r="281">
          <cell r="C281" t="str">
            <v>161-01</v>
          </cell>
          <cell r="D281">
            <v>1240000</v>
          </cell>
          <cell r="E281" t="str">
            <v>GRASTON</v>
          </cell>
        </row>
        <row r="282">
          <cell r="C282" t="str">
            <v>233-01</v>
          </cell>
          <cell r="D282">
            <v>1800000</v>
          </cell>
          <cell r="E282" t="str">
            <v>CHANDLER</v>
          </cell>
        </row>
        <row r="283">
          <cell r="C283" t="str">
            <v>159-01</v>
          </cell>
          <cell r="D283">
            <v>880000</v>
          </cell>
          <cell r="E283" t="str">
            <v>STEWART</v>
          </cell>
        </row>
        <row r="284">
          <cell r="C284" t="str">
            <v>237-01</v>
          </cell>
          <cell r="D284">
            <v>2140000</v>
          </cell>
          <cell r="E284" t="str">
            <v>ROBINSON</v>
          </cell>
        </row>
        <row r="285">
          <cell r="C285" t="str">
            <v>816-01</v>
          </cell>
          <cell r="D285">
            <v>900000</v>
          </cell>
          <cell r="E285" t="str">
            <v>ROCHA</v>
          </cell>
        </row>
        <row r="286">
          <cell r="C286" t="str">
            <v>234-01</v>
          </cell>
          <cell r="D286">
            <v>1800000</v>
          </cell>
          <cell r="E286" t="str">
            <v>CHANDLER</v>
          </cell>
        </row>
        <row r="287">
          <cell r="C287" t="str">
            <v>815-01</v>
          </cell>
          <cell r="D287">
            <v>900000</v>
          </cell>
          <cell r="E287" t="str">
            <v>ROCHA</v>
          </cell>
        </row>
        <row r="288">
          <cell r="C288" t="str">
            <v>238-01</v>
          </cell>
          <cell r="D288">
            <v>2140000</v>
          </cell>
          <cell r="E288" t="str">
            <v>ROBINSON</v>
          </cell>
        </row>
        <row r="289">
          <cell r="C289" t="str">
            <v>131-01</v>
          </cell>
          <cell r="D289">
            <v>1260000</v>
          </cell>
          <cell r="E289" t="str">
            <v>ACKERMAN</v>
          </cell>
        </row>
        <row r="290">
          <cell r="C290" t="str">
            <v>243-01</v>
          </cell>
          <cell r="D290">
            <v>2090000</v>
          </cell>
          <cell r="E290" t="str">
            <v>HAITHCOX</v>
          </cell>
        </row>
        <row r="291">
          <cell r="C291" t="str">
            <v>129-01</v>
          </cell>
          <cell r="D291">
            <v>1310000</v>
          </cell>
          <cell r="E291" t="str">
            <v>MALAVE</v>
          </cell>
        </row>
        <row r="292">
          <cell r="C292" t="str">
            <v>313-01</v>
          </cell>
          <cell r="D292">
            <v>1800000</v>
          </cell>
          <cell r="E292" t="str">
            <v>CHANDLER</v>
          </cell>
        </row>
        <row r="293">
          <cell r="C293" t="str">
            <v>237-31</v>
          </cell>
          <cell r="D293">
            <v>1180000</v>
          </cell>
          <cell r="E293" t="str">
            <v>LEVERE</v>
          </cell>
        </row>
        <row r="294">
          <cell r="C294" t="str">
            <v>115-02</v>
          </cell>
          <cell r="D294">
            <v>900000</v>
          </cell>
          <cell r="E294" t="str">
            <v>ROCHA</v>
          </cell>
        </row>
        <row r="295">
          <cell r="C295" t="str">
            <v>235-31</v>
          </cell>
          <cell r="D295">
            <v>1800000</v>
          </cell>
          <cell r="E295" t="str">
            <v>CHANDLER</v>
          </cell>
        </row>
        <row r="296">
          <cell r="C296" t="str">
            <v>112-02</v>
          </cell>
          <cell r="D296">
            <v>2100000</v>
          </cell>
          <cell r="E296" t="str">
            <v>ISHMAEL</v>
          </cell>
        </row>
        <row r="297">
          <cell r="C297" t="str">
            <v>1833-31</v>
          </cell>
          <cell r="D297">
            <v>1780000</v>
          </cell>
          <cell r="E297" t="str">
            <v>DE LA ROSA</v>
          </cell>
        </row>
        <row r="298">
          <cell r="C298" t="str">
            <v>120-02</v>
          </cell>
          <cell r="D298">
            <v>1990000</v>
          </cell>
          <cell r="E298" t="str">
            <v>DAVIS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101-02</v>
          </cell>
          <cell r="B13">
            <v>4042</v>
          </cell>
          <cell r="C13" t="str">
            <v>DE.1.0.7.0</v>
          </cell>
          <cell r="D13" t="str">
            <v>204:701</v>
          </cell>
          <cell r="E13" t="str">
            <v>2016-08-02T03:03:06</v>
          </cell>
          <cell r="F13">
            <v>42584.135752314818</v>
          </cell>
          <cell r="G13">
            <v>4</v>
          </cell>
          <cell r="H13" t="str">
            <v>204:233301</v>
          </cell>
          <cell r="I13">
            <v>42584.160891203705</v>
          </cell>
          <cell r="J13">
            <v>0</v>
          </cell>
          <cell r="K13" t="str">
            <v>4041/4042</v>
          </cell>
          <cell r="L13" t="str">
            <v>SANTIZO</v>
          </cell>
          <cell r="M13">
            <v>2.5138888886431232E-2</v>
          </cell>
          <cell r="N13">
            <v>36.199999996460974</v>
          </cell>
          <cell r="S13">
            <v>1</v>
          </cell>
          <cell r="T13" t="str">
            <v>NorthBound</v>
          </cell>
          <cell r="U13">
            <v>12</v>
          </cell>
          <cell r="V13" t="e">
            <v>#VALUE!</v>
          </cell>
          <cell r="W13" t="str">
            <v>N</v>
          </cell>
          <cell r="X13" t="e">
            <v>#VALUE!</v>
          </cell>
          <cell r="Y13">
            <v>7.0099999999999996E-2</v>
          </cell>
          <cell r="Z13">
            <v>23.330100000000002</v>
          </cell>
          <cell r="AA13">
            <v>23.26</v>
          </cell>
          <cell r="AB13" t="e">
            <v>#N/A</v>
          </cell>
          <cell r="AC13" t="e">
            <v>#N/A</v>
          </cell>
          <cell r="AD13" t="str">
            <v>0101-02</v>
          </cell>
          <cell r="AE1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">
          <cell r="A14" t="str">
            <v>102-02</v>
          </cell>
          <cell r="B14">
            <v>4013</v>
          </cell>
          <cell r="C14" t="str">
            <v>DE.1.0.7.0</v>
          </cell>
          <cell r="D14" t="str">
            <v>204:232673</v>
          </cell>
          <cell r="E14" t="str">
            <v>2016-08-02T03:55:09</v>
          </cell>
          <cell r="F14">
            <v>42584.17459490741</v>
          </cell>
          <cell r="G14">
            <v>1</v>
          </cell>
          <cell r="H14" t="str">
            <v>204:147</v>
          </cell>
          <cell r="I14">
            <v>42584.201296296298</v>
          </cell>
          <cell r="J14">
            <v>0</v>
          </cell>
          <cell r="K14" t="str">
            <v>4013/4014</v>
          </cell>
          <cell r="L14" t="str">
            <v>SANTIZO</v>
          </cell>
          <cell r="M14">
            <v>2.6701388887886424E-2</v>
          </cell>
          <cell r="N14">
            <v>38.44999999855645</v>
          </cell>
          <cell r="S14">
            <v>1</v>
          </cell>
          <cell r="T14" t="str">
            <v>Southbound</v>
          </cell>
          <cell r="U14">
            <v>12</v>
          </cell>
          <cell r="V14" t="e">
            <v>#VALUE!</v>
          </cell>
          <cell r="W14" t="str">
            <v>N</v>
          </cell>
          <cell r="X14">
            <v>1</v>
          </cell>
          <cell r="Y14">
            <v>23.267299999999999</v>
          </cell>
          <cell r="Z14">
            <v>1.47E-2</v>
          </cell>
          <cell r="AA14">
            <v>23.252599999999997</v>
          </cell>
          <cell r="AB14" t="e">
            <v>#N/A</v>
          </cell>
          <cell r="AC14" t="e">
            <v>#N/A</v>
          </cell>
          <cell r="AD14" t="str">
            <v>0102-02</v>
          </cell>
          <cell r="AE1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5">
          <cell r="A15" t="str">
            <v>103-02</v>
          </cell>
          <cell r="B15">
            <v>4018</v>
          </cell>
          <cell r="C15" t="str">
            <v>DE.1.0.7.0</v>
          </cell>
          <cell r="D15" t="str">
            <v>204:652</v>
          </cell>
          <cell r="E15" t="str">
            <v>2016-08-02T03:37:15</v>
          </cell>
          <cell r="F15">
            <v>42584.156539351854</v>
          </cell>
          <cell r="G15">
            <v>1</v>
          </cell>
          <cell r="H15" t="str">
            <v>204:233368</v>
          </cell>
          <cell r="I15">
            <v>42584.182083333333</v>
          </cell>
          <cell r="J15">
            <v>1</v>
          </cell>
          <cell r="K15" t="str">
            <v>4017/4018</v>
          </cell>
          <cell r="L15" t="str">
            <v>ACKERMAN</v>
          </cell>
          <cell r="M15">
            <v>2.5543981479131617E-2</v>
          </cell>
          <cell r="N15">
            <v>36.783333329949528</v>
          </cell>
          <cell r="S15">
            <v>1</v>
          </cell>
          <cell r="T15" t="str">
            <v>NorthBound</v>
          </cell>
          <cell r="U15">
            <v>12</v>
          </cell>
          <cell r="V15" t="e">
            <v>#VALUE!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23.3368</v>
          </cell>
          <cell r="AA15">
            <v>23.271599999999999</v>
          </cell>
          <cell r="AB15" t="e">
            <v>#N/A</v>
          </cell>
          <cell r="AC15" t="e">
            <v>#N/A</v>
          </cell>
          <cell r="AD15" t="str">
            <v>0103-02</v>
          </cell>
          <cell r="AE1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16">
          <cell r="A16" t="str">
            <v>104-02</v>
          </cell>
          <cell r="B16">
            <v>4015</v>
          </cell>
          <cell r="C16" t="str">
            <v>DE.1.0.7.0</v>
          </cell>
          <cell r="D16" t="str">
            <v>204:232756</v>
          </cell>
          <cell r="E16">
            <v>42584.189814814818</v>
          </cell>
          <cell r="F16">
            <v>42584.190937500003</v>
          </cell>
          <cell r="G16">
            <v>1</v>
          </cell>
          <cell r="H16" t="str">
            <v>204:110</v>
          </cell>
          <cell r="I16">
            <v>42584.223032407404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3.2094907401187811E-2</v>
          </cell>
          <cell r="N16">
            <v>46.216666657710448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https://search-rtdc-monitor-bjffxe2xuh6vdkpspy63sjmuny.us-east-1.es.amazonaws.com/_plugin/kibana/#/discover/Steve-Slow-Train-Analysis-(2080s-and-2083s)?_g=(refreshInterval:(display:Off,section:0,value:0),time:(from:'2016-08-02 03:33:20-0600',mode:absolute,to:'2016-08-02 06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23.275600000000001</v>
          </cell>
          <cell r="Z16">
            <v>1.0999999999999999E-2</v>
          </cell>
          <cell r="AA16">
            <v>23.264600000000002</v>
          </cell>
          <cell r="AB16" t="e">
            <v>#N/A</v>
          </cell>
          <cell r="AC16" t="e">
            <v>#N/A</v>
          </cell>
          <cell r="AD16" t="str">
            <v>0104-02</v>
          </cell>
          <cell r="AE1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7">
          <cell r="A17" t="str">
            <v>105-02</v>
          </cell>
          <cell r="B17">
            <v>4020</v>
          </cell>
          <cell r="C17" t="str">
            <v>DE.1.0.7.0</v>
          </cell>
          <cell r="D17" t="str">
            <v>204:741</v>
          </cell>
          <cell r="E17">
            <v>42584.167812500003</v>
          </cell>
          <cell r="F17">
            <v>42584.169085648151</v>
          </cell>
          <cell r="G17">
            <v>1</v>
          </cell>
          <cell r="H17" t="str">
            <v>204:233289</v>
          </cell>
          <cell r="I17">
            <v>42584.202280092592</v>
          </cell>
          <cell r="J17">
            <v>0</v>
          </cell>
          <cell r="K17" t="str">
            <v>4019/4020</v>
          </cell>
          <cell r="L17" t="str">
            <v>DAVIS</v>
          </cell>
          <cell r="M17">
            <v>3.3194444440596271E-2</v>
          </cell>
          <cell r="N17">
            <v>47.799999994458631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https://search-rtdc-monitor-bjffxe2xuh6vdkpspy63sjmuny.us-east-1.es.amazonaws.com/_plugin/kibana/#/discover/Steve-Slow-Train-Analysis-(2080s-and-2083s)?_g=(refreshInterval:(display:Off,section:0,value:0),time:(from:'2016-08-02 03:01:39-0600',mode:absolute,to:'2016-08-02 05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7.4099999999999999E-2</v>
          </cell>
          <cell r="Z17">
            <v>23.328900000000001</v>
          </cell>
          <cell r="AA17">
            <v>23.254799999999999</v>
          </cell>
          <cell r="AB17" t="e">
            <v>#N/A</v>
          </cell>
          <cell r="AC17" t="e">
            <v>#N/A</v>
          </cell>
          <cell r="AD17" t="str">
            <v>0105-02</v>
          </cell>
          <cell r="AE1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8">
          <cell r="A18" t="str">
            <v>106-02</v>
          </cell>
          <cell r="B18">
            <v>4010</v>
          </cell>
          <cell r="C18" t="str">
            <v>DE.1.0.7.0</v>
          </cell>
          <cell r="D18" t="str">
            <v>204:232637</v>
          </cell>
          <cell r="E18">
            <v>42584.209456018521</v>
          </cell>
          <cell r="F18">
            <v>42584.210219907407</v>
          </cell>
          <cell r="G18">
            <v>1</v>
          </cell>
          <cell r="H18" t="str">
            <v>204:134</v>
          </cell>
          <cell r="I18">
            <v>42584.244479166664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3.4259259256941732E-2</v>
          </cell>
          <cell r="N18">
            <v>49.333333329996094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https://search-rtdc-monitor-bjffxe2xuh6vdkpspy63sjmuny.us-east-1.es.amazonaws.com/_plugin/kibana/#/discover/Steve-Slow-Train-Analysis-(2080s-and-2083s)?_g=(refreshInterval:(display:Off,section:0,value:0),time:(from:'2016-08-02 04:01:37-0600',mode:absolute,to:'2016-08-02 06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8" t="str">
            <v>N</v>
          </cell>
          <cell r="X18">
            <v>1</v>
          </cell>
          <cell r="Y18">
            <v>23.2637</v>
          </cell>
          <cell r="Z18">
            <v>1.34E-2</v>
          </cell>
          <cell r="AA18">
            <v>23.250299999999999</v>
          </cell>
          <cell r="AB18" t="e">
            <v>#N/A</v>
          </cell>
          <cell r="AC18" t="e">
            <v>#N/A</v>
          </cell>
          <cell r="AD18" t="str">
            <v>0106-02</v>
          </cell>
          <cell r="AE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9">
          <cell r="A19" t="str">
            <v>107-02</v>
          </cell>
          <cell r="B19">
            <v>4025</v>
          </cell>
          <cell r="C19" t="str">
            <v>DE.1.0.7.0</v>
          </cell>
          <cell r="D19" t="str">
            <v>204:467</v>
          </cell>
          <cell r="E19">
            <v>42584.181562500002</v>
          </cell>
          <cell r="F19">
            <v>42584.183182870373</v>
          </cell>
          <cell r="G19">
            <v>2</v>
          </cell>
          <cell r="H19" t="str">
            <v>204:469</v>
          </cell>
          <cell r="I19">
            <v>42584.185590277775</v>
          </cell>
          <cell r="J19">
            <v>0</v>
          </cell>
          <cell r="K19" t="str">
            <v>4025/4026</v>
          </cell>
          <cell r="L19" t="str">
            <v>SPECTOR</v>
          </cell>
          <cell r="M19">
            <v>2.4074074026430026E-3</v>
          </cell>
          <cell r="P19">
            <v>3.4666666598059237</v>
          </cell>
          <cell r="R19" t="str">
            <v>Repeated consist updates from TMDS</v>
          </cell>
          <cell r="S19">
            <v>0</v>
          </cell>
          <cell r="T19" t="str">
            <v>NorthBound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https://search-rtdc-monitor-bjffxe2xuh6vdkpspy63sjmuny.us-east-1.es.amazonaws.com/_plugin/kibana/#/discover/Steve-Slow-Train-Analysis-(2080s-and-2083s)?_g=(refreshInterval:(display:Off,section:0,value:0),time:(from:'2016-08-02 03:21:27-0600',mode:absolute,to:'2016-08-02 05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" t="str">
            <v>Y</v>
          </cell>
          <cell r="X19">
            <v>1</v>
          </cell>
          <cell r="Y19">
            <v>4.6699999999999998E-2</v>
          </cell>
          <cell r="Z19">
            <v>4.6899999999999997E-2</v>
          </cell>
          <cell r="AA19">
            <v>1.9999999999999879E-4</v>
          </cell>
          <cell r="AB19" t="e">
            <v>#N/A</v>
          </cell>
          <cell r="AC19" t="e">
            <v>#N/A</v>
          </cell>
          <cell r="AD19" t="str">
            <v>0107-02</v>
          </cell>
          <cell r="AE19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">
          <cell r="A20" t="str">
            <v>108-02</v>
          </cell>
          <cell r="B20">
            <v>4026</v>
          </cell>
          <cell r="C20" t="str">
            <v>DE.1.0.7.0</v>
          </cell>
          <cell r="D20" t="str">
            <v>204:232996</v>
          </cell>
          <cell r="E20">
            <v>42584.220949074072</v>
          </cell>
          <cell r="F20">
            <v>42584.222025462965</v>
          </cell>
          <cell r="G20">
            <v>1</v>
          </cell>
          <cell r="H20" t="str">
            <v>204:296</v>
          </cell>
          <cell r="I20">
            <v>42584.253391203703</v>
          </cell>
          <cell r="J20">
            <v>1</v>
          </cell>
          <cell r="K20" t="str">
            <v>4025/4026</v>
          </cell>
          <cell r="L20" t="str">
            <v>SPECTOR</v>
          </cell>
          <cell r="M20">
            <v>3.1365740738692693E-2</v>
          </cell>
          <cell r="N20">
            <v>45.166666663717479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https://search-rtdc-monitor-bjffxe2xuh6vdkpspy63sjmuny.us-east-1.es.amazonaws.com/_plugin/kibana/#/discover/Steve-Slow-Train-Analysis-(2080s-and-2083s)?_g=(refreshInterval:(display:Off,section:0,value:0),time:(from:'2016-08-02 04:18:10-0600',mode:absolute,to:'2016-08-02 07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" t="str">
            <v>N</v>
          </cell>
          <cell r="X20">
            <v>1</v>
          </cell>
          <cell r="Y20">
            <v>23.299600000000002</v>
          </cell>
          <cell r="Z20">
            <v>2.9600000000000001E-2</v>
          </cell>
          <cell r="AA20">
            <v>23.270000000000003</v>
          </cell>
          <cell r="AB20">
            <v>1</v>
          </cell>
          <cell r="AC20" t="str">
            <v>TRACK WARRANT AUTHORITY</v>
          </cell>
          <cell r="AD20" t="str">
            <v>0108-02</v>
          </cell>
          <cell r="AE20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21">
          <cell r="A21" t="str">
            <v>109-02</v>
          </cell>
          <cell r="B21">
            <v>4011</v>
          </cell>
          <cell r="C21" t="str">
            <v>DE.1.0.7.0</v>
          </cell>
          <cell r="D21" t="str">
            <v>204:424</v>
          </cell>
          <cell r="E21">
            <v>42584.191076388888</v>
          </cell>
          <cell r="F21">
            <v>42584.192025462966</v>
          </cell>
          <cell r="G21">
            <v>1</v>
          </cell>
          <cell r="H21" t="str">
            <v>204:233293</v>
          </cell>
          <cell r="I21">
            <v>42584.223657407405</v>
          </cell>
          <cell r="J21">
            <v>0</v>
          </cell>
          <cell r="K21" t="str">
            <v>4011/4012</v>
          </cell>
          <cell r="L21" t="str">
            <v>REBOLETTI</v>
          </cell>
          <cell r="M21">
            <v>3.163194443914108E-2</v>
          </cell>
          <cell r="N21">
            <v>45.549999992363155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https://search-rtdc-monitor-bjffxe2xuh6vdkpspy63sjmuny.us-east-1.es.amazonaws.com/_plugin/kibana/#/discover/Steve-Slow-Train-Analysis-(2080s-and-2083s)?_g=(refreshInterval:(display:Off,section:0,value:0),time:(from:'2016-08-02 03:35:09-0600',mode:absolute,to:'2016-08-02 06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" t="str">
            <v>N</v>
          </cell>
          <cell r="X21">
            <v>1</v>
          </cell>
          <cell r="Y21">
            <v>4.24E-2</v>
          </cell>
          <cell r="Z21">
            <v>23.3293</v>
          </cell>
          <cell r="AA21">
            <v>23.286899999999999</v>
          </cell>
          <cell r="AB21" t="e">
            <v>#N/A</v>
          </cell>
          <cell r="AC21" t="e">
            <v>#N/A</v>
          </cell>
          <cell r="AD21" t="str">
            <v>0109-02</v>
          </cell>
          <cell r="AE2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22">
          <cell r="A22" t="str">
            <v>110-02</v>
          </cell>
          <cell r="B22">
            <v>4012</v>
          </cell>
          <cell r="C22" t="str">
            <v>DE.1.0.7.0</v>
          </cell>
          <cell r="D22" t="str">
            <v>204:232982</v>
          </cell>
          <cell r="E22">
            <v>42584.230543981481</v>
          </cell>
          <cell r="F22">
            <v>42584.231550925928</v>
          </cell>
          <cell r="G22">
            <v>1</v>
          </cell>
          <cell r="H22" t="str">
            <v>204:145</v>
          </cell>
          <cell r="I22">
            <v>42584.265601851854</v>
          </cell>
          <cell r="J22">
            <v>0</v>
          </cell>
          <cell r="K22" t="str">
            <v>4011/4012</v>
          </cell>
          <cell r="L22" t="str">
            <v>REBOLETTI</v>
          </cell>
          <cell r="M22">
            <v>3.4050925925839692E-2</v>
          </cell>
          <cell r="N22">
            <v>49.033333333209157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https://search-rtdc-monitor-bjffxe2xuh6vdkpspy63sjmuny.us-east-1.es.amazonaws.com/_plugin/kibana/#/discover/Steve-Slow-Train-Analysis-(2080s-and-2083s)?_g=(refreshInterval:(display:Off,section:0,value:0),time:(from:'2016-08-02 04:31:59-0600',mode:absolute,to:'2016-08-02 07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2" t="str">
            <v>N</v>
          </cell>
          <cell r="X22">
            <v>1</v>
          </cell>
          <cell r="Y22">
            <v>23.298200000000001</v>
          </cell>
          <cell r="Z22">
            <v>1.4500000000000001E-2</v>
          </cell>
          <cell r="AA22">
            <v>23.2837</v>
          </cell>
          <cell r="AB22" t="e">
            <v>#N/A</v>
          </cell>
          <cell r="AC22" t="e">
            <v>#N/A</v>
          </cell>
          <cell r="AD22" t="str">
            <v>0110-02</v>
          </cell>
          <cell r="AE2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23">
          <cell r="A23" t="str">
            <v>111-02</v>
          </cell>
          <cell r="B23">
            <v>4042</v>
          </cell>
          <cell r="C23" t="str">
            <v>DE.1.0.7.0</v>
          </cell>
          <cell r="D23" t="str">
            <v>204:728</v>
          </cell>
          <cell r="E23" t="str">
            <v>2016-08-02T04:53:34</v>
          </cell>
          <cell r="F23">
            <v>42584.208657407406</v>
          </cell>
          <cell r="G23">
            <v>1</v>
          </cell>
          <cell r="H23" t="str">
            <v>204:233302</v>
          </cell>
          <cell r="I23">
            <v>42584.241076388891</v>
          </cell>
          <cell r="J23">
            <v>0</v>
          </cell>
          <cell r="K23" t="str">
            <v>4041/4042</v>
          </cell>
          <cell r="L23" t="str">
            <v>ISHMAEL</v>
          </cell>
          <cell r="M23">
            <v>3.2418981485534459E-2</v>
          </cell>
          <cell r="N23">
            <v>46.683333339169621</v>
          </cell>
          <cell r="S23">
            <v>1</v>
          </cell>
          <cell r="T23" t="str">
            <v>NorthBound</v>
          </cell>
          <cell r="U23">
            <v>12</v>
          </cell>
          <cell r="V23" t="e">
            <v>#VALUE!</v>
          </cell>
          <cell r="W23" t="str">
            <v>N</v>
          </cell>
          <cell r="X23">
            <v>1</v>
          </cell>
          <cell r="Y23">
            <v>7.2800000000000004E-2</v>
          </cell>
          <cell r="Z23">
            <v>23.330200000000001</v>
          </cell>
          <cell r="AA23">
            <v>23.257400000000001</v>
          </cell>
          <cell r="AB23" t="e">
            <v>#N/A</v>
          </cell>
          <cell r="AC23" t="e">
            <v>#N/A</v>
          </cell>
          <cell r="AD23" t="str">
            <v>0111-02</v>
          </cell>
          <cell r="AE2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24">
          <cell r="A24" t="str">
            <v>112-02</v>
          </cell>
          <cell r="B24">
            <v>4041</v>
          </cell>
          <cell r="C24" t="str">
            <v>DE.1.0.7.0</v>
          </cell>
          <cell r="D24" t="str">
            <v>204:232977</v>
          </cell>
          <cell r="E24">
            <v>42584.244143518517</v>
          </cell>
          <cell r="F24">
            <v>42584.245555555557</v>
          </cell>
          <cell r="G24">
            <v>2</v>
          </cell>
          <cell r="H24" t="str">
            <v>204:139</v>
          </cell>
          <cell r="I24">
            <v>42584.2733912037</v>
          </cell>
          <cell r="J24">
            <v>0</v>
          </cell>
          <cell r="K24" t="str">
            <v>4041/4042</v>
          </cell>
          <cell r="L24" t="str">
            <v>ISHMAEL</v>
          </cell>
          <cell r="M24">
            <v>2.7835648143081926E-2</v>
          </cell>
          <cell r="N24">
            <v>40.083333326037973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https://search-rtdc-monitor-bjffxe2xuh6vdkpspy63sjmuny.us-east-1.es.amazonaws.com/_plugin/kibana/#/discover/Steve-Slow-Train-Analysis-(2080s-and-2083s)?_g=(refreshInterval:(display:Off,section:0,value:0),time:(from:'2016-08-02 04:51:34-0600',mode:absolute,to:'2016-08-02 07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1.3899999999999999E-2</v>
          </cell>
          <cell r="AA24">
            <v>23.283799999999999</v>
          </cell>
          <cell r="AB24" t="e">
            <v>#N/A</v>
          </cell>
          <cell r="AC24" t="e">
            <v>#N/A</v>
          </cell>
          <cell r="AD24" t="str">
            <v>0112-02</v>
          </cell>
          <cell r="AE2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25">
          <cell r="A25" t="str">
            <v>113-02</v>
          </cell>
          <cell r="B25">
            <v>4014</v>
          </cell>
          <cell r="C25" t="str">
            <v>DE.1.0.7.0</v>
          </cell>
          <cell r="D25" t="str">
            <v>204:462</v>
          </cell>
          <cell r="E25">
            <v>42584.215439814812</v>
          </cell>
          <cell r="F25">
            <v>42584.216539351852</v>
          </cell>
          <cell r="G25">
            <v>1</v>
          </cell>
          <cell r="H25" t="str">
            <v>204:233299</v>
          </cell>
          <cell r="I25">
            <v>42584.244988425926</v>
          </cell>
          <cell r="J25">
            <v>0</v>
          </cell>
          <cell r="K25" t="str">
            <v>4013/4014</v>
          </cell>
          <cell r="L25" t="str">
            <v>SANTIZO</v>
          </cell>
          <cell r="M25">
            <v>2.8449074074160308E-2</v>
          </cell>
          <cell r="N25">
            <v>40.966666666790843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https://search-rtdc-monitor-bjffxe2xuh6vdkpspy63sjmuny.us-east-1.es.amazonaws.com/_plugin/kibana/#/discover/Steve-Slow-Train-Analysis-(2080s-and-2083s)?_g=(refreshInterval:(display:Off,section:0,value:0),time:(from:'2016-08-02 04:10:14-0600',mode:absolute,to:'2016-08-02 06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4.6199999999999998E-2</v>
          </cell>
          <cell r="Z25">
            <v>23.329899999999999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0113-02</v>
          </cell>
          <cell r="AE2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26">
          <cell r="A26" t="str">
            <v>114-02</v>
          </cell>
          <cell r="B26">
            <v>4013</v>
          </cell>
          <cell r="C26" t="str">
            <v>DE.1.0.7.0</v>
          </cell>
          <cell r="D26" t="str">
            <v>204:232973</v>
          </cell>
          <cell r="E26" t="str">
            <v>2016-08-02T05:54:54</v>
          </cell>
          <cell r="F26">
            <v>42584.2578587963</v>
          </cell>
          <cell r="G26">
            <v>1</v>
          </cell>
          <cell r="H26" t="str">
            <v>204:152</v>
          </cell>
          <cell r="I26">
            <v>42584.284236111111</v>
          </cell>
          <cell r="J26">
            <v>1</v>
          </cell>
          <cell r="K26" t="str">
            <v>4013/4014</v>
          </cell>
          <cell r="L26" t="str">
            <v>SANTIZO</v>
          </cell>
          <cell r="M26">
            <v>2.6377314810815733E-2</v>
          </cell>
          <cell r="N26">
            <v>37.983333327574655</v>
          </cell>
          <cell r="S26">
            <v>1</v>
          </cell>
          <cell r="T26" t="str">
            <v>Southbound</v>
          </cell>
          <cell r="U26">
            <v>12</v>
          </cell>
          <cell r="V26" t="e">
            <v>#VALUE!</v>
          </cell>
          <cell r="W26" t="str">
            <v>N</v>
          </cell>
          <cell r="X26">
            <v>1</v>
          </cell>
          <cell r="Y26">
            <v>23.2973</v>
          </cell>
          <cell r="Z26">
            <v>1.52E-2</v>
          </cell>
          <cell r="AA26">
            <v>23.2821</v>
          </cell>
          <cell r="AB26">
            <v>1</v>
          </cell>
          <cell r="AC26" t="str">
            <v>TRACK WARRANT AUTHORITY</v>
          </cell>
          <cell r="AD26" t="str">
            <v>0114-02</v>
          </cell>
          <cell r="AE2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27">
          <cell r="A27" t="str">
            <v>115-02</v>
          </cell>
          <cell r="B27">
            <v>4018</v>
          </cell>
          <cell r="C27" t="str">
            <v>DE.1.0.7.0</v>
          </cell>
          <cell r="D27" t="str">
            <v>204:723</v>
          </cell>
          <cell r="E27">
            <v>42584.225694444445</v>
          </cell>
          <cell r="F27">
            <v>42584.226678240739</v>
          </cell>
          <cell r="G27">
            <v>1</v>
          </cell>
          <cell r="H27" t="str">
            <v>204:233306</v>
          </cell>
          <cell r="I27">
            <v>42584.253888888888</v>
          </cell>
          <cell r="J27">
            <v>0</v>
          </cell>
          <cell r="K27" t="str">
            <v>4017/4018</v>
          </cell>
          <cell r="L27" t="str">
            <v>ROCHA</v>
          </cell>
          <cell r="M27">
            <v>2.7210648149775807E-2</v>
          </cell>
          <cell r="N27">
            <v>39.183333335677162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https://search-rtdc-monitor-bjffxe2xuh6vdkpspy63sjmuny.us-east-1.es.amazonaws.com/_plugin/kibana/#/discover/Steve-Slow-Train-Analysis-(2080s-and-2083s)?_g=(refreshInterval:(display:Off,section:0,value:0),time:(from:'2016-08-02 04:25:00-0600',mode:absolute,to:'2016-08-02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23.3306</v>
          </cell>
          <cell r="AA27">
            <v>23.258300000000002</v>
          </cell>
          <cell r="AB27" t="e">
            <v>#N/A</v>
          </cell>
          <cell r="AC27" t="e">
            <v>#N/A</v>
          </cell>
          <cell r="AD27" t="str">
            <v>0115-02</v>
          </cell>
          <cell r="AE2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28">
          <cell r="A28" t="str">
            <v>116-02</v>
          </cell>
          <cell r="B28">
            <v>4017</v>
          </cell>
          <cell r="C28" t="str">
            <v>DE.1.0.7.0</v>
          </cell>
          <cell r="D28" t="str">
            <v>204:232987</v>
          </cell>
          <cell r="E28">
            <v>42584.266979166663</v>
          </cell>
          <cell r="F28">
            <v>42584.268263888887</v>
          </cell>
          <cell r="G28">
            <v>1</v>
          </cell>
          <cell r="H28" t="str">
            <v>204:152</v>
          </cell>
          <cell r="I28">
            <v>42584.294699074075</v>
          </cell>
          <cell r="J28">
            <v>0</v>
          </cell>
          <cell r="K28" t="str">
            <v>4017/4018</v>
          </cell>
          <cell r="L28" t="str">
            <v>ROCHA</v>
          </cell>
          <cell r="M28">
            <v>2.6435185187438037E-2</v>
          </cell>
          <cell r="N28">
            <v>38.066666669910774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https://search-rtdc-monitor-bjffxe2xuh6vdkpspy63sjmuny.us-east-1.es.amazonaws.com/_plugin/kibana/#/discover/Steve-Slow-Train-Analysis-(2080s-and-2083s)?_g=(refreshInterval:(display:Off,section:0,value:0),time:(from:'2016-08-02 05:24:27-0600',mode:absolute,to:'2016-08-02 08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8" t="str">
            <v>N</v>
          </cell>
          <cell r="X28">
            <v>1</v>
          </cell>
          <cell r="Y28">
            <v>23.2987</v>
          </cell>
          <cell r="Z28">
            <v>1.52E-2</v>
          </cell>
          <cell r="AA28">
            <v>23.2835</v>
          </cell>
          <cell r="AB28" t="e">
            <v>#N/A</v>
          </cell>
          <cell r="AC28" t="e">
            <v>#N/A</v>
          </cell>
          <cell r="AD28" t="str">
            <v>0116-02</v>
          </cell>
          <cell r="AE2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29">
          <cell r="A29" t="str">
            <v>117-02</v>
          </cell>
          <cell r="B29">
            <v>4016</v>
          </cell>
          <cell r="C29" t="str">
            <v>DE.1.0.7.0</v>
          </cell>
          <cell r="D29" t="str">
            <v>204:418</v>
          </cell>
          <cell r="E29">
            <v>42584.23505787037</v>
          </cell>
          <cell r="F29">
            <v>42584.236111111109</v>
          </cell>
          <cell r="G29">
            <v>1</v>
          </cell>
          <cell r="H29" t="str">
            <v>204:233280</v>
          </cell>
          <cell r="I29">
            <v>42584.264664351853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2.8553240743349306E-2</v>
          </cell>
          <cell r="N29">
            <v>41.116666670423001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https://search-rtdc-monitor-bjffxe2xuh6vdkpspy63sjmuny.us-east-1.es.amazonaws.com/_plugin/kibana/#/discover/Steve-Slow-Train-Analysis-(2080s-and-2083s)?_g=(refreshInterval:(display:Off,section:0,value:0),time:(from:'2016-08-02 04:38:29-0600',mode:absolute,to:'2016-08-02 07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4.1799999999999997E-2</v>
          </cell>
          <cell r="Z29">
            <v>23.327999999999999</v>
          </cell>
          <cell r="AA29">
            <v>23.286200000000001</v>
          </cell>
          <cell r="AB29" t="e">
            <v>#N/A</v>
          </cell>
          <cell r="AC29" t="e">
            <v>#N/A</v>
          </cell>
          <cell r="AD29" t="str">
            <v>0117-02</v>
          </cell>
          <cell r="AE2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30">
          <cell r="A30" t="str">
            <v>118-02</v>
          </cell>
          <cell r="B30">
            <v>4015</v>
          </cell>
          <cell r="C30" t="str">
            <v>DE.1.0.7.0</v>
          </cell>
          <cell r="D30" t="str">
            <v>204:232980</v>
          </cell>
          <cell r="E30">
            <v>42584.272824074076</v>
          </cell>
          <cell r="F30">
            <v>42584.274293981478</v>
          </cell>
          <cell r="G30">
            <v>2</v>
          </cell>
          <cell r="H30" t="str">
            <v>204:149</v>
          </cell>
          <cell r="I30">
            <v>42584.305150462962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3.0856481484079268E-2</v>
          </cell>
          <cell r="N30">
            <v>44.433333337074146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https://search-rtdc-monitor-bjffxe2xuh6vdkpspy63sjmuny.us-east-1.es.amazonaws.com/_plugin/kibana/#/discover/Steve-Slow-Train-Analysis-(2080s-and-2083s)?_g=(refreshInterval:(display:Off,section:0,value:0),time:(from:'2016-08-02 05:32:52-0600',mode:absolute,to:'2016-08-02 08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23.297999999999998</v>
          </cell>
          <cell r="Z30">
            <v>1.49E-2</v>
          </cell>
          <cell r="AA30">
            <v>23.283099999999997</v>
          </cell>
          <cell r="AB30">
            <v>1</v>
          </cell>
          <cell r="AC30" t="str">
            <v>TRACK WARRANT AUTHORITY</v>
          </cell>
          <cell r="AD30" t="str">
            <v>0118-02</v>
          </cell>
          <cell r="AE3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31">
          <cell r="A31" t="str">
            <v>119-02</v>
          </cell>
          <cell r="B31">
            <v>4020</v>
          </cell>
          <cell r="C31" t="str">
            <v>DE.1.0.7.0</v>
          </cell>
          <cell r="D31" t="str">
            <v>204:770</v>
          </cell>
          <cell r="E31">
            <v>42584.248645833337</v>
          </cell>
          <cell r="F31">
            <v>42584.249594907407</v>
          </cell>
          <cell r="G31">
            <v>1</v>
          </cell>
          <cell r="H31" t="str">
            <v>204:233308</v>
          </cell>
          <cell r="I31">
            <v>42584.276620370372</v>
          </cell>
          <cell r="J31">
            <v>1</v>
          </cell>
          <cell r="K31" t="str">
            <v>4019/4020</v>
          </cell>
          <cell r="L31" t="str">
            <v>DAVIS</v>
          </cell>
          <cell r="M31">
            <v>2.7025462964957114E-2</v>
          </cell>
          <cell r="N31">
            <v>38.916666669538245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https://search-rtdc-monitor-bjffxe2xuh6vdkpspy63sjmuny.us-east-1.es.amazonaws.com/_plugin/kibana/#/discover/Steve-Slow-Train-Analysis-(2080s-and-2083s)?_g=(refreshInterval:(display:Off,section:0,value:0),time:(from:'2016-08-02 04:58:03-0600',mode:absolute,to:'2016-08-02 07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1" t="str">
            <v>N</v>
          </cell>
          <cell r="X31">
            <v>1</v>
          </cell>
          <cell r="Y31">
            <v>7.6999999999999999E-2</v>
          </cell>
          <cell r="Z31">
            <v>23.3308</v>
          </cell>
          <cell r="AA31">
            <v>23.253799999999998</v>
          </cell>
          <cell r="AB31">
            <v>230436</v>
          </cell>
          <cell r="AC31" t="str">
            <v>PERMANENT SPEED RESTRICTION</v>
          </cell>
          <cell r="AD31" t="str">
            <v>0119-02</v>
          </cell>
          <cell r="AE3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32">
          <cell r="A32" t="str">
            <v>120-02</v>
          </cell>
          <cell r="B32">
            <v>4019</v>
          </cell>
          <cell r="C32" t="str">
            <v>DE.1.0.7.0</v>
          </cell>
          <cell r="D32" t="str">
            <v>204:232983</v>
          </cell>
          <cell r="E32">
            <v>42584.282835648148</v>
          </cell>
          <cell r="F32">
            <v>42584.283773148149</v>
          </cell>
          <cell r="G32">
            <v>1</v>
          </cell>
          <cell r="H32" t="str">
            <v>204:147</v>
          </cell>
          <cell r="I32">
            <v>42584.316388888888</v>
          </cell>
          <cell r="J32">
            <v>0</v>
          </cell>
          <cell r="K32" t="str">
            <v>4019/4020</v>
          </cell>
          <cell r="L32" t="str">
            <v>DAVIS</v>
          </cell>
          <cell r="M32">
            <v>3.2615740739856847E-2</v>
          </cell>
          <cell r="N32">
            <v>46.966666665393859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https://search-rtdc-monitor-bjffxe2xuh6vdkpspy63sjmuny.us-east-1.es.amazonaws.com/_plugin/kibana/#/discover/Steve-Slow-Train-Analysis-(2080s-and-2083s)?_g=(refreshInterval:(display:Off,section:0,value:0),time:(from:'2016-08-02 05:47:17-0600',mode:absolute,to:'2016-08-02 08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1.47E-2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0120-02</v>
          </cell>
          <cell r="AE3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33">
          <cell r="A33" t="str">
            <v>121-02</v>
          </cell>
          <cell r="B33">
            <v>4009</v>
          </cell>
          <cell r="C33" t="str">
            <v>DE.1.0.7.0</v>
          </cell>
          <cell r="D33" t="str">
            <v>204:438</v>
          </cell>
          <cell r="E33">
            <v>42584.258483796293</v>
          </cell>
          <cell r="F33">
            <v>42584.259814814817</v>
          </cell>
          <cell r="G33">
            <v>1</v>
          </cell>
          <cell r="H33" t="str">
            <v>204:233324</v>
          </cell>
          <cell r="I33">
            <v>42584.285601851851</v>
          </cell>
          <cell r="J33">
            <v>0</v>
          </cell>
          <cell r="K33" t="str">
            <v>4009/4010</v>
          </cell>
          <cell r="L33" t="str">
            <v>SPECTOR</v>
          </cell>
          <cell r="M33">
            <v>2.5787037033296656E-2</v>
          </cell>
          <cell r="N33">
            <v>37.133333327947184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https://search-rtdc-monitor-bjffxe2xuh6vdkpspy63sjmuny.us-east-1.es.amazonaws.com/_plugin/kibana/#/discover/Steve-Slow-Train-Analysis-(2080s-and-2083s)?_g=(refreshInterval:(display:Off,section:0,value:0),time:(from:'2016-08-02 05:12:13-0600',mode:absolute,to:'2016-08-02 07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3" t="str">
            <v>N</v>
          </cell>
          <cell r="X33">
            <v>1</v>
          </cell>
          <cell r="Y33">
            <v>4.3799999999999999E-2</v>
          </cell>
          <cell r="Z33">
            <v>23.3324</v>
          </cell>
          <cell r="AA33">
            <v>23.288599999999999</v>
          </cell>
          <cell r="AB33" t="e">
            <v>#N/A</v>
          </cell>
          <cell r="AC33" t="e">
            <v>#N/A</v>
          </cell>
          <cell r="AD33" t="str">
            <v>0121-02</v>
          </cell>
          <cell r="AE3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34">
          <cell r="A34" t="str">
            <v>122-02</v>
          </cell>
          <cell r="B34">
            <v>4010</v>
          </cell>
          <cell r="C34" t="str">
            <v>DE.1.0.7.0</v>
          </cell>
          <cell r="D34" t="str">
            <v>204:232992</v>
          </cell>
          <cell r="E34">
            <v>42584.293738425928</v>
          </cell>
          <cell r="F34">
            <v>42584.294930555552</v>
          </cell>
          <cell r="G34">
            <v>1</v>
          </cell>
          <cell r="H34" t="str">
            <v>204:141</v>
          </cell>
          <cell r="I34">
            <v>42584.326967592591</v>
          </cell>
          <cell r="J34">
            <v>0</v>
          </cell>
          <cell r="K34" t="str">
            <v>4009/4010</v>
          </cell>
          <cell r="L34" t="str">
            <v>SPECTOR</v>
          </cell>
          <cell r="M34">
            <v>3.2037037039117422E-2</v>
          </cell>
          <cell r="N34">
            <v>46.133333336329088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https://search-rtdc-monitor-bjffxe2xuh6vdkpspy63sjmuny.us-east-1.es.amazonaws.com/_plugin/kibana/#/discover/Steve-Slow-Train-Analysis-(2080s-and-2083s)?_g=(refreshInterval:(display:Off,section:0,value:0),time:(from:'2016-08-02 06:02:59-0600',mode:absolute,to:'2016-08-02 08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4" t="str">
            <v>N</v>
          </cell>
          <cell r="X34">
            <v>1</v>
          </cell>
          <cell r="Y34">
            <v>23.299199999999999</v>
          </cell>
          <cell r="Z34">
            <v>1.41E-2</v>
          </cell>
          <cell r="AA34">
            <v>23.2851</v>
          </cell>
          <cell r="AB34" t="e">
            <v>#N/A</v>
          </cell>
          <cell r="AC34" t="e">
            <v>#N/A</v>
          </cell>
          <cell r="AD34" t="str">
            <v>0122-02</v>
          </cell>
          <cell r="AE3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35">
          <cell r="A35" t="str">
            <v>123-02</v>
          </cell>
          <cell r="B35">
            <v>4011</v>
          </cell>
          <cell r="C35" t="str">
            <v>DE.1.0.7.0</v>
          </cell>
          <cell r="D35" t="str">
            <v>204:422</v>
          </cell>
          <cell r="E35">
            <v>42584.26703703704</v>
          </cell>
          <cell r="F35">
            <v>42584.26798611111</v>
          </cell>
          <cell r="G35">
            <v>1</v>
          </cell>
          <cell r="H35" t="str">
            <v>204:233308</v>
          </cell>
          <cell r="I35">
            <v>42584.29650462963</v>
          </cell>
          <cell r="J35">
            <v>0</v>
          </cell>
          <cell r="K35" t="str">
            <v>4011/4012</v>
          </cell>
          <cell r="L35" t="str">
            <v>REBOLETTI</v>
          </cell>
          <cell r="M35">
            <v>2.8518518520286307E-2</v>
          </cell>
          <cell r="N35">
            <v>41.066666669212282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https://search-rtdc-monitor-bjffxe2xuh6vdkpspy63sjmuny.us-east-1.es.amazonaws.com/_plugin/kibana/#/discover/Steve-Slow-Train-Analysis-(2080s-and-2083s)?_g=(refreshInterval:(display:Off,section:0,value:0),time:(from:'2016-08-02 05:24:32-0600',mode:absolute,to:'2016-08-02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5" t="str">
            <v>N</v>
          </cell>
          <cell r="X35">
            <v>1</v>
          </cell>
          <cell r="Y35">
            <v>4.2200000000000001E-2</v>
          </cell>
          <cell r="Z35">
            <v>23.3308</v>
          </cell>
          <cell r="AA35">
            <v>23.288599999999999</v>
          </cell>
          <cell r="AB35" t="e">
            <v>#N/A</v>
          </cell>
          <cell r="AC35" t="e">
            <v>#N/A</v>
          </cell>
          <cell r="AD35" t="str">
            <v>0123-02</v>
          </cell>
          <cell r="AE3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36">
          <cell r="A36" t="str">
            <v>124-02</v>
          </cell>
          <cell r="B36">
            <v>4012</v>
          </cell>
          <cell r="C36" t="str">
            <v>DE.1.0.7.0</v>
          </cell>
          <cell r="D36" t="str">
            <v>204:232985</v>
          </cell>
          <cell r="E36">
            <v>42584.30400462963</v>
          </cell>
          <cell r="F36">
            <v>42584.304942129631</v>
          </cell>
          <cell r="G36">
            <v>1</v>
          </cell>
          <cell r="H36" t="str">
            <v>204:145</v>
          </cell>
          <cell r="I36">
            <v>42584.33662037037</v>
          </cell>
          <cell r="J36">
            <v>0</v>
          </cell>
          <cell r="K36" t="str">
            <v>4011/4012</v>
          </cell>
          <cell r="L36" t="str">
            <v>REBOLETTI</v>
          </cell>
          <cell r="M36">
            <v>3.1678240738983732E-2</v>
          </cell>
          <cell r="N36">
            <v>45.616666664136574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https://search-rtdc-monitor-bjffxe2xuh6vdkpspy63sjmuny.us-east-1.es.amazonaws.com/_plugin/kibana/#/discover/Steve-Slow-Train-Analysis-(2080s-and-2083s)?_g=(refreshInterval:(display:Off,section:0,value:0),time:(from:'2016-08-02 06:17:46-0600',mode:absolute,to:'2016-08-02 09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1.4500000000000001E-2</v>
          </cell>
          <cell r="AA36">
            <v>23.283999999999999</v>
          </cell>
          <cell r="AB36" t="e">
            <v>#N/A</v>
          </cell>
          <cell r="AC36" t="e">
            <v>#N/A</v>
          </cell>
          <cell r="AD36" t="str">
            <v>0124-02</v>
          </cell>
          <cell r="AE3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37">
          <cell r="A37" t="str">
            <v>125-02</v>
          </cell>
          <cell r="B37">
            <v>4042</v>
          </cell>
          <cell r="C37" t="str">
            <v>DE.1.0.7.0</v>
          </cell>
          <cell r="D37" t="str">
            <v>204:435</v>
          </cell>
          <cell r="E37">
            <v>42584.275138888886</v>
          </cell>
          <cell r="F37">
            <v>42584.276203703703</v>
          </cell>
          <cell r="G37">
            <v>1</v>
          </cell>
          <cell r="H37" t="str">
            <v>204:233284</v>
          </cell>
          <cell r="I37">
            <v>42584.306423611109</v>
          </cell>
          <cell r="J37">
            <v>0</v>
          </cell>
          <cell r="K37" t="str">
            <v>4041/4042</v>
          </cell>
          <cell r="L37" t="str">
            <v>ISHMAEL</v>
          </cell>
          <cell r="M37">
            <v>3.0219907406717539E-2</v>
          </cell>
          <cell r="N37">
            <v>43.516666665673256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https://search-rtdc-monitor-bjffxe2xuh6vdkpspy63sjmuny.us-east-1.es.amazonaws.com/_plugin/kibana/#/discover/Steve-Slow-Train-Analysis-(2080s-and-2083s)?_g=(refreshInterval:(display:Off,section:0,value:0),time:(from:'2016-08-02 05:36:12-0600',mode:absolute,to:'2016-08-02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7" t="str">
            <v>N</v>
          </cell>
          <cell r="X37">
            <v>1</v>
          </cell>
          <cell r="Y37">
            <v>4.3499999999999997E-2</v>
          </cell>
          <cell r="Z37">
            <v>23.328399999999998</v>
          </cell>
          <cell r="AA37">
            <v>23.284899999999997</v>
          </cell>
          <cell r="AB37" t="e">
            <v>#N/A</v>
          </cell>
          <cell r="AC37" t="e">
            <v>#N/A</v>
          </cell>
          <cell r="AD37" t="str">
            <v>0125-02</v>
          </cell>
          <cell r="AE3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38">
          <cell r="A38" t="str">
            <v>126-02</v>
          </cell>
          <cell r="B38">
            <v>4041</v>
          </cell>
          <cell r="C38" t="str">
            <v>DE.1.0.7.0</v>
          </cell>
          <cell r="D38" t="str">
            <v>204:232963</v>
          </cell>
          <cell r="E38">
            <v>42584.314027777778</v>
          </cell>
          <cell r="F38">
            <v>42584.314733796295</v>
          </cell>
          <cell r="G38">
            <v>1</v>
          </cell>
          <cell r="H38" t="str">
            <v>204:156</v>
          </cell>
          <cell r="I38">
            <v>42584.347395833334</v>
          </cell>
          <cell r="J38">
            <v>1</v>
          </cell>
          <cell r="K38" t="str">
            <v>4041/4042</v>
          </cell>
          <cell r="L38" t="str">
            <v>ISHMAEL</v>
          </cell>
          <cell r="M38">
            <v>3.2662037039699499E-2</v>
          </cell>
          <cell r="N38">
            <v>47.033333337167278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https://search-rtdc-monitor-bjffxe2xuh6vdkpspy63sjmuny.us-east-1.es.amazonaws.com/_plugin/kibana/#/discover/Steve-Slow-Train-Analysis-(2080s-and-2083s)?_g=(refreshInterval:(display:Off,section:0,value:0),time:(from:'2016-08-02 06:32:12-0600',mode:absolute,to:'2016-08-02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8" t="str">
            <v>N</v>
          </cell>
          <cell r="X38">
            <v>1</v>
          </cell>
          <cell r="Y38">
            <v>23.296299999999999</v>
          </cell>
          <cell r="Z38">
            <v>1.5599999999999999E-2</v>
          </cell>
          <cell r="AA38">
            <v>23.2807</v>
          </cell>
          <cell r="AB38">
            <v>229055</v>
          </cell>
          <cell r="AC38" t="str">
            <v>PERMANENT SPEED RESTRICTION</v>
          </cell>
          <cell r="AD38" t="str">
            <v>0126-02</v>
          </cell>
          <cell r="AE3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39">
          <cell r="A39" t="str">
            <v>127-02</v>
          </cell>
          <cell r="B39">
            <v>4014</v>
          </cell>
          <cell r="C39" t="str">
            <v>DE.1.0.7.0</v>
          </cell>
          <cell r="D39" t="str">
            <v>204:442</v>
          </cell>
          <cell r="E39">
            <v>42584.288495370369</v>
          </cell>
          <cell r="F39">
            <v>42584.289490740739</v>
          </cell>
          <cell r="G39">
            <v>1</v>
          </cell>
          <cell r="H39" t="str">
            <v>204:233317</v>
          </cell>
          <cell r="I39">
            <v>42584.317291666666</v>
          </cell>
          <cell r="J39">
            <v>0</v>
          </cell>
          <cell r="K39" t="str">
            <v>4013/4014</v>
          </cell>
          <cell r="L39" t="str">
            <v>SANTIZO</v>
          </cell>
          <cell r="M39">
            <v>2.7800925927294884E-2</v>
          </cell>
          <cell r="N39">
            <v>40.033333335304633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https://search-rtdc-monitor-bjffxe2xuh6vdkpspy63sjmuny.us-east-1.es.amazonaws.com/_plugin/kibana/#/discover/Steve-Slow-Train-Analysis-(2080s-and-2083s)?_g=(refreshInterval:(display:Off,section:0,value:0),time:(from:'2016-08-02 05:55:26-0600',mode:absolute,to:'2016-08-02 08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4.4200000000000003E-2</v>
          </cell>
          <cell r="Z39">
            <v>23.331700000000001</v>
          </cell>
          <cell r="AA39">
            <v>23.287500000000001</v>
          </cell>
          <cell r="AB39" t="e">
            <v>#N/A</v>
          </cell>
          <cell r="AC39" t="e">
            <v>#N/A</v>
          </cell>
          <cell r="AD39" t="str">
            <v>0127-02</v>
          </cell>
          <cell r="AE3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40">
          <cell r="A40" t="str">
            <v>128-02</v>
          </cell>
          <cell r="B40">
            <v>4013</v>
          </cell>
          <cell r="C40" t="str">
            <v>DE.1.0.7.0</v>
          </cell>
          <cell r="D40" t="str">
            <v>204:233002</v>
          </cell>
          <cell r="E40" t="str">
            <v>2016-08-02T07:39:11</v>
          </cell>
          <cell r="F40">
            <v>42584.330972222226</v>
          </cell>
          <cell r="G40">
            <v>1</v>
          </cell>
          <cell r="H40" t="str">
            <v>204:327</v>
          </cell>
          <cell r="I40">
            <v>42584.356435185182</v>
          </cell>
          <cell r="J40">
            <v>1</v>
          </cell>
          <cell r="K40" t="str">
            <v>4013/4014</v>
          </cell>
          <cell r="L40" t="str">
            <v>SANTIZO</v>
          </cell>
          <cell r="M40">
            <v>2.5462962956225965E-2</v>
          </cell>
          <cell r="N40">
            <v>36.66666665696539</v>
          </cell>
          <cell r="S40">
            <v>1</v>
          </cell>
          <cell r="T40" t="str">
            <v>Southbound</v>
          </cell>
          <cell r="U40">
            <v>12</v>
          </cell>
          <cell r="V40" t="e">
            <v>#VALUE!</v>
          </cell>
          <cell r="W40" t="str">
            <v>N</v>
          </cell>
          <cell r="X40">
            <v>1</v>
          </cell>
          <cell r="Y40">
            <v>23.3002</v>
          </cell>
          <cell r="Z40">
            <v>3.27E-2</v>
          </cell>
          <cell r="AA40">
            <v>23.267500000000002</v>
          </cell>
          <cell r="AB40">
            <v>1</v>
          </cell>
          <cell r="AC40" t="str">
            <v>TRACK WARRANT AUTHORITY</v>
          </cell>
          <cell r="AD40" t="str">
            <v>0128-02</v>
          </cell>
          <cell r="AE4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41">
          <cell r="A41" t="str">
            <v>129-02</v>
          </cell>
          <cell r="B41">
            <v>4018</v>
          </cell>
          <cell r="C41" t="str">
            <v>DE.1.0.7.0</v>
          </cell>
          <cell r="D41" t="str">
            <v>204:453</v>
          </cell>
          <cell r="E41">
            <v>42584.296898148146</v>
          </cell>
          <cell r="F41">
            <v>42584.297615740739</v>
          </cell>
          <cell r="G41">
            <v>1</v>
          </cell>
          <cell r="H41" t="str">
            <v>204:233314</v>
          </cell>
          <cell r="I41">
            <v>42584.326724537037</v>
          </cell>
          <cell r="J41">
            <v>0</v>
          </cell>
          <cell r="K41" t="str">
            <v>4017/4018</v>
          </cell>
          <cell r="L41" t="str">
            <v>ROCHA</v>
          </cell>
          <cell r="M41">
            <v>2.9108796297805384E-2</v>
          </cell>
          <cell r="N41">
            <v>41.916666668839753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https://search-rtdc-monitor-bjffxe2xuh6vdkpspy63sjmuny.us-east-1.es.amazonaws.com/_plugin/kibana/#/discover/Steve-Slow-Train-Analysis-(2080s-and-2083s)?_g=(refreshInterval:(display:Off,section:0,value:0),time:(from:'2016-08-02 06:07:32-0600',mode:absolute,to:'2016-08-02 08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1" t="str">
            <v>N</v>
          </cell>
          <cell r="X41">
            <v>1</v>
          </cell>
          <cell r="Y41">
            <v>4.53E-2</v>
          </cell>
          <cell r="Z41">
            <v>23.331399999999999</v>
          </cell>
          <cell r="AA41">
            <v>23.286099999999998</v>
          </cell>
          <cell r="AB41" t="e">
            <v>#N/A</v>
          </cell>
          <cell r="AC41" t="e">
            <v>#N/A</v>
          </cell>
          <cell r="AD41" t="str">
            <v>0129-02</v>
          </cell>
          <cell r="AE41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42">
          <cell r="A42" t="str">
            <v>130-02</v>
          </cell>
          <cell r="B42">
            <v>4017</v>
          </cell>
          <cell r="C42" t="str">
            <v>DE.1.0.7.0</v>
          </cell>
          <cell r="D42" t="str">
            <v>204:232992</v>
          </cell>
          <cell r="E42">
            <v>42584.339733796296</v>
          </cell>
          <cell r="F42">
            <v>42584.340590277781</v>
          </cell>
          <cell r="G42">
            <v>1</v>
          </cell>
          <cell r="H42" t="str">
            <v>204:150</v>
          </cell>
          <cell r="I42">
            <v>42584.36791666667</v>
          </cell>
          <cell r="J42">
            <v>0</v>
          </cell>
          <cell r="K42" t="str">
            <v>4017/4018</v>
          </cell>
          <cell r="L42" t="str">
            <v>ROCHA</v>
          </cell>
          <cell r="M42">
            <v>2.73263888884685E-2</v>
          </cell>
          <cell r="N42">
            <v>39.34999999939464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https://search-rtdc-monitor-bjffxe2xuh6vdkpspy63sjmuny.us-east-1.es.amazonaws.com/_plugin/kibana/#/discover/Steve-Slow-Train-Analysis-(2080s-and-2083s)?_g=(refreshInterval:(display:Off,section:0,value:0),time:(from:'2016-08-02 07:09:13-0600',mode:absolute,to:'2016-08-02 09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2" t="str">
            <v>N</v>
          </cell>
          <cell r="X42">
            <v>1</v>
          </cell>
          <cell r="Y42">
            <v>23.299199999999999</v>
          </cell>
          <cell r="Z42">
            <v>1.4999999999999999E-2</v>
          </cell>
          <cell r="AA42">
            <v>23.284199999999998</v>
          </cell>
          <cell r="AB42" t="e">
            <v>#N/A</v>
          </cell>
          <cell r="AC42" t="e">
            <v>#N/A</v>
          </cell>
          <cell r="AD42" t="str">
            <v>0130-02</v>
          </cell>
          <cell r="AE42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43">
          <cell r="A43" t="str">
            <v>131-02</v>
          </cell>
          <cell r="B43">
            <v>4016</v>
          </cell>
          <cell r="C43" t="str">
            <v>DE.1.0.7.0</v>
          </cell>
          <cell r="D43" t="str">
            <v>204:446</v>
          </cell>
          <cell r="E43">
            <v>42584.307812500003</v>
          </cell>
          <cell r="F43">
            <v>42584.308761574073</v>
          </cell>
          <cell r="G43">
            <v>1</v>
          </cell>
          <cell r="H43" t="str">
            <v>204:233310</v>
          </cell>
          <cell r="I43">
            <v>42584.337291666663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2.8530092589790002E-2</v>
          </cell>
          <cell r="N43">
            <v>41.083333329297602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https://search-rtdc-monitor-bjffxe2xuh6vdkpspy63sjmuny.us-east-1.es.amazonaws.com/_plugin/kibana/#/discover/Steve-Slow-Train-Analysis-(2080s-and-2083s)?_g=(refreshInterval:(display:Off,section:0,value:0),time:(from:'2016-08-02 06:23:15-0600',mode:absolute,to:'2016-08-02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4.4600000000000001E-2</v>
          </cell>
          <cell r="Z43">
            <v>23.331</v>
          </cell>
          <cell r="AA43">
            <v>23.2864</v>
          </cell>
          <cell r="AB43" t="e">
            <v>#N/A</v>
          </cell>
          <cell r="AC43" t="e">
            <v>#N/A</v>
          </cell>
          <cell r="AD43" t="str">
            <v>0131-02</v>
          </cell>
          <cell r="AE4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44">
          <cell r="A44" t="str">
            <v>132-02</v>
          </cell>
          <cell r="B44">
            <v>4015</v>
          </cell>
          <cell r="C44" t="str">
            <v>DE.1.0.7.0</v>
          </cell>
          <cell r="D44" t="str">
            <v>204:233006</v>
          </cell>
          <cell r="E44">
            <v>42584.34820601852</v>
          </cell>
          <cell r="F44">
            <v>42584.349328703705</v>
          </cell>
          <cell r="G44">
            <v>1</v>
          </cell>
          <cell r="H44" t="str">
            <v>204:138</v>
          </cell>
          <cell r="I44">
            <v>42584.378275462965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2.8946759259270038E-2</v>
          </cell>
          <cell r="N44">
            <v>41.683333333348855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https://search-rtdc-monitor-bjffxe2xuh6vdkpspy63sjmuny.us-east-1.es.amazonaws.com/_plugin/kibana/#/discover/Steve-Slow-Train-Analysis-(2080s-and-2083s)?_g=(refreshInterval:(display:Off,section:0,value:0),time:(from:'2016-08-02 07:21:25-0600',mode:absolute,to:'2016-08-02 10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23.300599999999999</v>
          </cell>
          <cell r="Z44">
            <v>1.38E-2</v>
          </cell>
          <cell r="AA44">
            <v>23.286799999999999</v>
          </cell>
          <cell r="AB44" t="e">
            <v>#N/A</v>
          </cell>
          <cell r="AC44" t="e">
            <v>#N/A</v>
          </cell>
          <cell r="AD44" t="str">
            <v>0132-02</v>
          </cell>
          <cell r="AE4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45">
          <cell r="A45" t="str">
            <v>133-02</v>
          </cell>
          <cell r="B45">
            <v>4020</v>
          </cell>
          <cell r="C45" t="str">
            <v>DE.1.0.7.0</v>
          </cell>
          <cell r="D45" t="str">
            <v>204:466</v>
          </cell>
          <cell r="E45">
            <v>42584.317881944444</v>
          </cell>
          <cell r="F45">
            <v>42584.318842592591</v>
          </cell>
          <cell r="G45">
            <v>1</v>
          </cell>
          <cell r="H45" t="str">
            <v>204:233295</v>
          </cell>
          <cell r="I45">
            <v>42584.349085648151</v>
          </cell>
          <cell r="J45">
            <v>0</v>
          </cell>
          <cell r="K45" t="str">
            <v>4019/4020</v>
          </cell>
          <cell r="L45" t="str">
            <v>DAVIS</v>
          </cell>
          <cell r="M45">
            <v>3.0243055560276844E-2</v>
          </cell>
          <cell r="N45">
            <v>43.550000006798655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https://search-rtdc-monitor-bjffxe2xuh6vdkpspy63sjmuny.us-east-1.es.amazonaws.com/_plugin/kibana/#/discover/Steve-Slow-Train-Analysis-(2080s-and-2083s)?_g=(refreshInterval:(display:Off,section:0,value:0),time:(from:'2016-08-02 06:37:45-0600',mode:absolute,to:'2016-08-02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5" t="str">
            <v>N</v>
          </cell>
          <cell r="X45">
            <v>1</v>
          </cell>
          <cell r="Y45">
            <v>4.6600000000000003E-2</v>
          </cell>
          <cell r="Z45">
            <v>23.329499999999999</v>
          </cell>
          <cell r="AA45">
            <v>23.282899999999998</v>
          </cell>
          <cell r="AB45" t="e">
            <v>#N/A</v>
          </cell>
          <cell r="AC45" t="e">
            <v>#N/A</v>
          </cell>
          <cell r="AD45" t="str">
            <v>0133-02</v>
          </cell>
          <cell r="AE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46">
          <cell r="A46" t="str">
            <v>134-02</v>
          </cell>
          <cell r="B46">
            <v>4019</v>
          </cell>
          <cell r="C46" t="str">
            <v>DE.1.0.7.0</v>
          </cell>
          <cell r="D46" t="str">
            <v>204:232980</v>
          </cell>
          <cell r="E46">
            <v>42584.357986111114</v>
          </cell>
          <cell r="F46">
            <v>42584.358854166669</v>
          </cell>
          <cell r="G46">
            <v>1</v>
          </cell>
          <cell r="H46" t="str">
            <v>204:160</v>
          </cell>
          <cell r="I46">
            <v>42584.390439814815</v>
          </cell>
          <cell r="J46">
            <v>0</v>
          </cell>
          <cell r="K46" t="str">
            <v>4019/4020</v>
          </cell>
          <cell r="L46" t="str">
            <v>DAVIS</v>
          </cell>
          <cell r="M46">
            <v>3.1585648146574385E-2</v>
          </cell>
          <cell r="N46">
            <v>45.483333331067115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https://search-rtdc-monitor-bjffxe2xuh6vdkpspy63sjmuny.us-east-1.es.amazonaws.com/_plugin/kibana/#/discover/Steve-Slow-Train-Analysis-(2080s-and-2083s)?_g=(refreshInterval:(display:Off,section:0,value:0),time:(from:'2016-08-02 07:35:30-0600',mode:absolute,to:'2016-08-02 10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6" t="str">
            <v>N</v>
          </cell>
          <cell r="X46">
            <v>1</v>
          </cell>
          <cell r="Y46">
            <v>23.297999999999998</v>
          </cell>
          <cell r="Z46">
            <v>1.6E-2</v>
          </cell>
          <cell r="AA46">
            <v>23.282</v>
          </cell>
          <cell r="AB46" t="e">
            <v>#N/A</v>
          </cell>
          <cell r="AC46" t="e">
            <v>#N/A</v>
          </cell>
          <cell r="AD46" t="str">
            <v>0134-02</v>
          </cell>
          <cell r="AE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47">
          <cell r="A47" t="str">
            <v>135-02</v>
          </cell>
          <cell r="B47">
            <v>4009</v>
          </cell>
          <cell r="C47" t="str">
            <v>DE.1.0.7.0</v>
          </cell>
          <cell r="D47" t="str">
            <v>204:455</v>
          </cell>
          <cell r="E47">
            <v>42584.329583333332</v>
          </cell>
          <cell r="F47">
            <v>42584.330613425926</v>
          </cell>
          <cell r="G47">
            <v>1</v>
          </cell>
          <cell r="H47" t="str">
            <v>204:233317</v>
          </cell>
          <cell r="I47">
            <v>42584.35833333333</v>
          </cell>
          <cell r="J47">
            <v>0</v>
          </cell>
          <cell r="K47" t="str">
            <v>4009/4010</v>
          </cell>
          <cell r="L47" t="str">
            <v>SPECTOR</v>
          </cell>
          <cell r="M47">
            <v>2.7719907404389232E-2</v>
          </cell>
          <cell r="N47">
            <v>39.916666662320495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https://search-rtdc-monitor-bjffxe2xuh6vdkpspy63sjmuny.us-east-1.es.amazonaws.com/_plugin/kibana/#/discover/Steve-Slow-Train-Analysis-(2080s-and-2083s)?_g=(refreshInterval:(display:Off,section:0,value:0),time:(from:'2016-08-02 06:54:36-0600',mode:absolute,to:'2016-08-02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7" t="str">
            <v>N</v>
          </cell>
          <cell r="X47">
            <v>1</v>
          </cell>
          <cell r="Y47">
            <v>4.5499999999999999E-2</v>
          </cell>
          <cell r="Z47">
            <v>23.331700000000001</v>
          </cell>
          <cell r="AA47">
            <v>23.286200000000001</v>
          </cell>
          <cell r="AB47" t="e">
            <v>#N/A</v>
          </cell>
          <cell r="AC47" t="e">
            <v>#N/A</v>
          </cell>
          <cell r="AD47" t="str">
            <v>0135-02</v>
          </cell>
          <cell r="AE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48">
          <cell r="A48" t="str">
            <v>136-02</v>
          </cell>
          <cell r="B48">
            <v>4010</v>
          </cell>
          <cell r="C48" t="str">
            <v>DE.1.0.7.0</v>
          </cell>
          <cell r="D48" t="str">
            <v>204:232996</v>
          </cell>
          <cell r="E48">
            <v>42584.369814814818</v>
          </cell>
          <cell r="F48">
            <v>42584.371145833335</v>
          </cell>
          <cell r="G48">
            <v>1</v>
          </cell>
          <cell r="H48" t="str">
            <v>204:150</v>
          </cell>
          <cell r="I48">
            <v>42584.398784722223</v>
          </cell>
          <cell r="J48">
            <v>0</v>
          </cell>
          <cell r="K48" t="str">
            <v>4009/4010</v>
          </cell>
          <cell r="L48" t="str">
            <v>SPECTOR</v>
          </cell>
          <cell r="M48">
            <v>2.7638888888759539E-2</v>
          </cell>
          <cell r="N48">
            <v>39.799999999813735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https://search-rtdc-monitor-bjffxe2xuh6vdkpspy63sjmuny.us-east-1.es.amazonaws.com/_plugin/kibana/#/discover/Steve-Slow-Train-Analysis-(2080s-and-2083s)?_g=(refreshInterval:(display:Off,section:0,value:0),time:(from:'2016-08-02 07:52:32-0600',mode:absolute,to:'2016-08-02 10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8" t="str">
            <v>N</v>
          </cell>
          <cell r="X48">
            <v>1</v>
          </cell>
          <cell r="Y48">
            <v>23.299600000000002</v>
          </cell>
          <cell r="Z48">
            <v>1.4999999999999999E-2</v>
          </cell>
          <cell r="AA48">
            <v>23.284600000000001</v>
          </cell>
          <cell r="AB48" t="e">
            <v>#N/A</v>
          </cell>
          <cell r="AC48" t="e">
            <v>#N/A</v>
          </cell>
          <cell r="AD48" t="str">
            <v>0136-02</v>
          </cell>
          <cell r="AE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49">
          <cell r="A49" t="str">
            <v>137-02</v>
          </cell>
          <cell r="B49">
            <v>4011</v>
          </cell>
          <cell r="C49" t="str">
            <v>DE.1.0.7.0</v>
          </cell>
          <cell r="D49" t="str">
            <v>204:455</v>
          </cell>
          <cell r="E49">
            <v>42584.338310185187</v>
          </cell>
          <cell r="F49">
            <v>42584.339305555557</v>
          </cell>
          <cell r="G49">
            <v>1</v>
          </cell>
          <cell r="H49" t="str">
            <v>204:233330</v>
          </cell>
          <cell r="I49">
            <v>42584.370648148149</v>
          </cell>
          <cell r="J49">
            <v>0</v>
          </cell>
          <cell r="K49" t="str">
            <v>4011/4012</v>
          </cell>
          <cell r="L49" t="str">
            <v>REBOLETTI</v>
          </cell>
          <cell r="M49">
            <v>3.1342592592409346E-2</v>
          </cell>
          <cell r="N49">
            <v>45.133333333069459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https://search-rtdc-monitor-bjffxe2xuh6vdkpspy63sjmuny.us-east-1.es.amazonaws.com/_plugin/kibana/#/discover/Steve-Slow-Train-Analysis-(2080s-and-2083s)?_g=(refreshInterval:(display:Off,section:0,value:0),time:(from:'2016-08-02 07:07:10-0600',mode:absolute,to:'2016-08-02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9" t="str">
            <v>N</v>
          </cell>
          <cell r="X49">
            <v>1</v>
          </cell>
          <cell r="Y49">
            <v>4.5499999999999999E-2</v>
          </cell>
          <cell r="Z49">
            <v>23.332999999999998</v>
          </cell>
          <cell r="AA49">
            <v>23.287499999999998</v>
          </cell>
          <cell r="AB49" t="e">
            <v>#N/A</v>
          </cell>
          <cell r="AC49" t="e">
            <v>#N/A</v>
          </cell>
          <cell r="AD49" t="str">
            <v>0137-02</v>
          </cell>
          <cell r="AE4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50">
          <cell r="A50" t="str">
            <v>138-02</v>
          </cell>
          <cell r="B50">
            <v>4012</v>
          </cell>
          <cell r="C50" t="str">
            <v>DE.1.0.7.0</v>
          </cell>
          <cell r="D50" t="str">
            <v>204:232996</v>
          </cell>
          <cell r="E50">
            <v>42584.377939814818</v>
          </cell>
          <cell r="F50">
            <v>42584.379421296297</v>
          </cell>
          <cell r="G50">
            <v>2</v>
          </cell>
          <cell r="H50" t="str">
            <v>204:134</v>
          </cell>
          <cell r="I50">
            <v>42584.41138888889</v>
          </cell>
          <cell r="J50">
            <v>1</v>
          </cell>
          <cell r="K50" t="str">
            <v>4011/4012</v>
          </cell>
          <cell r="L50" t="str">
            <v>REBOLETTI</v>
          </cell>
          <cell r="M50">
            <v>3.1967592592991423E-2</v>
          </cell>
          <cell r="N50">
            <v>46.033333333907649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https://search-rtdc-monitor-bjffxe2xuh6vdkpspy63sjmuny.us-east-1.es.amazonaws.com/_plugin/kibana/#/discover/Steve-Slow-Train-Analysis-(2080s-and-2083s)?_g=(refreshInterval:(display:Off,section:0,value:0),time:(from:'2016-08-02 08:04:14-0600',mode:absolute,to:'2016-08-02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1.34E-2</v>
          </cell>
          <cell r="AA50">
            <v>23.286200000000001</v>
          </cell>
          <cell r="AB50">
            <v>37462</v>
          </cell>
          <cell r="AC50" t="str">
            <v>GRADE CROSSING</v>
          </cell>
          <cell r="AD50" t="str">
            <v>0138-02</v>
          </cell>
          <cell r="AE5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51">
          <cell r="A51" t="str">
            <v>139-02</v>
          </cell>
          <cell r="B51">
            <v>4042</v>
          </cell>
          <cell r="C51" t="str">
            <v>DE.1.0.7.0</v>
          </cell>
          <cell r="D51" t="str">
            <v>204:451</v>
          </cell>
          <cell r="E51">
            <v>42584.349629629629</v>
          </cell>
          <cell r="F51">
            <v>42584.350601851853</v>
          </cell>
          <cell r="G51">
            <v>1</v>
          </cell>
          <cell r="H51" t="str">
            <v>204:233289</v>
          </cell>
          <cell r="I51">
            <v>42584.379560185182</v>
          </cell>
          <cell r="J51">
            <v>0</v>
          </cell>
          <cell r="K51" t="str">
            <v>4041/4042</v>
          </cell>
          <cell r="L51" t="str">
            <v>ISHMAEL</v>
          </cell>
          <cell r="M51">
            <v>2.8958333328773733E-2</v>
          </cell>
          <cell r="N51">
            <v>41.699999993434176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https://search-rtdc-monitor-bjffxe2xuh6vdkpspy63sjmuny.us-east-1.es.amazonaws.com/_plugin/kibana/#/discover/Steve-Slow-Train-Analysis-(2080s-and-2083s)?_g=(refreshInterval:(display:Off,section:0,value:0),time:(from:'2016-08-02 07:23:28-0600',mode:absolute,to:'2016-08-02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23.328900000000001</v>
          </cell>
          <cell r="AA51">
            <v>23.283799999999999</v>
          </cell>
          <cell r="AB51" t="e">
            <v>#N/A</v>
          </cell>
          <cell r="AC51" t="e">
            <v>#N/A</v>
          </cell>
          <cell r="AD51" t="str">
            <v>0139-02</v>
          </cell>
          <cell r="AE5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52">
          <cell r="A52" t="str">
            <v>140-02</v>
          </cell>
          <cell r="B52">
            <v>4041</v>
          </cell>
          <cell r="C52" t="str">
            <v>DE.1.0.7.0</v>
          </cell>
          <cell r="D52" t="str">
            <v>204:232981</v>
          </cell>
          <cell r="E52">
            <v>42584.382152777776</v>
          </cell>
          <cell r="F52">
            <v>42584.383020833331</v>
          </cell>
          <cell r="G52">
            <v>1</v>
          </cell>
          <cell r="H52" t="str">
            <v>204:156</v>
          </cell>
          <cell r="I52">
            <v>42584.419675925928</v>
          </cell>
          <cell r="J52">
            <v>0</v>
          </cell>
          <cell r="K52" t="str">
            <v>4041/4042</v>
          </cell>
          <cell r="L52" t="str">
            <v>ISHMAEL</v>
          </cell>
          <cell r="M52">
            <v>3.6655092597356997E-2</v>
          </cell>
          <cell r="N52">
            <v>52.783333340194076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https://search-rtdc-monitor-bjffxe2xuh6vdkpspy63sjmuny.us-east-1.es.amazonaws.com/_plugin/kibana/#/discover/Steve-Slow-Train-Analysis-(2080s-and-2083s)?_g=(refreshInterval:(display:Off,section:0,value:0),time:(from:'2016-08-02 08:10:18-0600',mode:absolute,to:'2016-08-02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2" t="str">
            <v>N</v>
          </cell>
          <cell r="X52">
            <v>1</v>
          </cell>
          <cell r="Y52">
            <v>23.298100000000002</v>
          </cell>
          <cell r="Z52">
            <v>1.5599999999999999E-2</v>
          </cell>
          <cell r="AA52">
            <v>23.282500000000002</v>
          </cell>
          <cell r="AB52" t="e">
            <v>#N/A</v>
          </cell>
          <cell r="AC52" t="e">
            <v>#N/A</v>
          </cell>
          <cell r="AD52" t="str">
            <v>0140-02</v>
          </cell>
          <cell r="AE5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53">
          <cell r="A53" t="str">
            <v>141-02</v>
          </cell>
          <cell r="B53">
            <v>4014</v>
          </cell>
          <cell r="C53" t="str">
            <v>DE.1.0.7.0</v>
          </cell>
          <cell r="D53" t="str">
            <v>204:650</v>
          </cell>
          <cell r="E53">
            <v>42584.362453703703</v>
          </cell>
          <cell r="F53">
            <v>42584.363379629627</v>
          </cell>
          <cell r="G53">
            <v>1</v>
          </cell>
          <cell r="H53" t="str">
            <v>204:233311</v>
          </cell>
          <cell r="I53">
            <v>42584.389907407407</v>
          </cell>
          <cell r="J53">
            <v>0</v>
          </cell>
          <cell r="K53" t="str">
            <v>4013/4014</v>
          </cell>
          <cell r="L53" t="str">
            <v>SANTIZO</v>
          </cell>
          <cell r="M53">
            <v>2.6527777779847383E-2</v>
          </cell>
          <cell r="N53">
            <v>38.200000002980232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https://search-rtdc-monitor-bjffxe2xuh6vdkpspy63sjmuny.us-east-1.es.amazonaws.com/_plugin/kibana/#/discover/Steve-Slow-Train-Analysis-(2080s-and-2083s)?_g=(refreshInterval:(display:Off,section:0,value:0),time:(from:'2016-08-02 07:41:56-0600',mode:absolute,to:'2016-08-02 10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6.5000000000000002E-2</v>
          </cell>
          <cell r="Z53">
            <v>23.331099999999999</v>
          </cell>
          <cell r="AA53">
            <v>23.266099999999998</v>
          </cell>
          <cell r="AB53" t="e">
            <v>#N/A</v>
          </cell>
          <cell r="AC53" t="e">
            <v>#N/A</v>
          </cell>
          <cell r="AD53" t="str">
            <v>0141-02</v>
          </cell>
          <cell r="AE5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54">
          <cell r="A54" t="str">
            <v>142-02</v>
          </cell>
          <cell r="B54">
            <v>4013</v>
          </cell>
          <cell r="C54" t="str">
            <v>DE.1.0.7.0</v>
          </cell>
          <cell r="D54" t="str">
            <v>204:232978</v>
          </cell>
          <cell r="E54">
            <v>42584.391597222224</v>
          </cell>
          <cell r="F54">
            <v>42584.392372685186</v>
          </cell>
          <cell r="G54">
            <v>1</v>
          </cell>
          <cell r="H54" t="str">
            <v>204:136</v>
          </cell>
          <cell r="I54">
            <v>42584.430868055555</v>
          </cell>
          <cell r="J54">
            <v>0</v>
          </cell>
          <cell r="K54" t="str">
            <v>4013/4014</v>
          </cell>
          <cell r="L54" t="str">
            <v>SANTIZO</v>
          </cell>
          <cell r="M54">
            <v>3.849537036876427E-2</v>
          </cell>
          <cell r="N54">
            <v>55.433333331020549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https://search-rtdc-monitor-bjffxe2xuh6vdkpspy63sjmuny.us-east-1.es.amazonaws.com/_plugin/kibana/#/discover/Steve-Slow-Train-Analysis-(2080s-and-2083s)?_g=(refreshInterval:(display:Off,section:0,value:0),time:(from:'2016-08-02 08:23:54-0600',mode:absolute,to:'2016-08-02 11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4" t="str">
            <v>N</v>
          </cell>
          <cell r="X54">
            <v>1</v>
          </cell>
          <cell r="Y54">
            <v>23.297799999999999</v>
          </cell>
          <cell r="Z54">
            <v>1.3599999999999999E-2</v>
          </cell>
          <cell r="AA54">
            <v>23.284199999999998</v>
          </cell>
          <cell r="AB54" t="e">
            <v>#N/A</v>
          </cell>
          <cell r="AC54" t="e">
            <v>#N/A</v>
          </cell>
          <cell r="AD54" t="str">
            <v>0142-02</v>
          </cell>
          <cell r="AE5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55">
          <cell r="A55" t="str">
            <v>143-02</v>
          </cell>
          <cell r="B55">
            <v>4018</v>
          </cell>
          <cell r="C55" t="str">
            <v>DE.1.0.7.0</v>
          </cell>
          <cell r="D55" t="str">
            <v>204:462</v>
          </cell>
          <cell r="E55">
            <v>42584.374328703707</v>
          </cell>
          <cell r="F55">
            <v>42584.374988425923</v>
          </cell>
          <cell r="G55">
            <v>0</v>
          </cell>
          <cell r="H55" t="str">
            <v>204:233317</v>
          </cell>
          <cell r="I55">
            <v>42584.399780092594</v>
          </cell>
          <cell r="J55">
            <v>0</v>
          </cell>
          <cell r="K55" t="str">
            <v>4017/4018</v>
          </cell>
          <cell r="L55" t="str">
            <v>ROCHA</v>
          </cell>
          <cell r="M55">
            <v>2.4791666670353152E-2</v>
          </cell>
          <cell r="N55">
            <v>35.700000005308539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https://search-rtdc-monitor-bjffxe2xuh6vdkpspy63sjmuny.us-east-1.es.amazonaws.com/_plugin/kibana/#/discover/Steve-Slow-Train-Analysis-(2080s-and-2083s)?_g=(refreshInterval:(display:Off,section:0,value:0),time:(from:'2016-08-02 07:59:02-0600',mode:absolute,to:'2016-08-02 10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23.331700000000001</v>
          </cell>
          <cell r="AA55">
            <v>23.285500000000003</v>
          </cell>
          <cell r="AB55" t="e">
            <v>#N/A</v>
          </cell>
          <cell r="AC55" t="e">
            <v>#N/A</v>
          </cell>
          <cell r="AD55" t="str">
            <v>0143-02</v>
          </cell>
          <cell r="AE5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56">
          <cell r="A56" t="str">
            <v>144-02</v>
          </cell>
          <cell r="B56">
            <v>4017</v>
          </cell>
          <cell r="C56" t="str">
            <v>DE.1.0.7.0</v>
          </cell>
          <cell r="D56" t="str">
            <v>204:232991</v>
          </cell>
          <cell r="E56">
            <v>42584.406423611108</v>
          </cell>
          <cell r="F56">
            <v>42584.407337962963</v>
          </cell>
          <cell r="G56">
            <v>1</v>
          </cell>
          <cell r="H56" t="str">
            <v>204:149</v>
          </cell>
          <cell r="I56">
            <v>42584.440694444442</v>
          </cell>
          <cell r="J56">
            <v>0</v>
          </cell>
          <cell r="K56" t="str">
            <v>4017/4018</v>
          </cell>
          <cell r="L56" t="str">
            <v>ROCHA</v>
          </cell>
          <cell r="M56">
            <v>3.3356481479131617E-2</v>
          </cell>
          <cell r="N56">
            <v>48.033333329949528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https://search-rtdc-monitor-bjffxe2xuh6vdkpspy63sjmuny.us-east-1.es.amazonaws.com/_plugin/kibana/#/discover/Steve-Slow-Train-Analysis-(2080s-and-2083s)?_g=(refreshInterval:(display:Off,section:0,value:0),time:(from:'2016-08-02 08:45:15-0600',mode:absolute,to:'2016-08-02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6" t="str">
            <v>N</v>
          </cell>
          <cell r="X56">
            <v>1</v>
          </cell>
          <cell r="Y56">
            <v>23.299099999999999</v>
          </cell>
          <cell r="Z56">
            <v>1.49E-2</v>
          </cell>
          <cell r="AA56">
            <v>23.284199999999998</v>
          </cell>
          <cell r="AB56" t="e">
            <v>#N/A</v>
          </cell>
          <cell r="AC56" t="e">
            <v>#N/A</v>
          </cell>
          <cell r="AD56" t="str">
            <v>0144-02</v>
          </cell>
          <cell r="AE56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57">
          <cell r="A57" t="str">
            <v>145-02</v>
          </cell>
          <cell r="B57">
            <v>4016</v>
          </cell>
          <cell r="C57" t="str">
            <v>DE.1.0.7.0</v>
          </cell>
          <cell r="D57" t="str">
            <v>204:466</v>
          </cell>
          <cell r="E57">
            <v>42584.380104166667</v>
          </cell>
          <cell r="F57">
            <v>42584.381365740737</v>
          </cell>
          <cell r="G57">
            <v>1</v>
          </cell>
          <cell r="H57" t="str">
            <v>204:233299</v>
          </cell>
          <cell r="I57">
            <v>42584.410856481481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2.9490740744222421E-2</v>
          </cell>
          <cell r="N57">
            <v>42.466666671680287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https://search-rtdc-monitor-bjffxe2xuh6vdkpspy63sjmuny.us-east-1.es.amazonaws.com/_plugin/kibana/#/discover/Steve-Slow-Train-Analysis-(2080s-and-2083s)?_g=(refreshInterval:(display:Off,section:0,value:0),time:(from:'2016-08-02 08:07:21-0600',mode:absolute,to:'2016-08-02 10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4.6600000000000003E-2</v>
          </cell>
          <cell r="Z57">
            <v>23.329899999999999</v>
          </cell>
          <cell r="AA57">
            <v>23.283299999999997</v>
          </cell>
          <cell r="AB57" t="e">
            <v>#N/A</v>
          </cell>
          <cell r="AC57" t="e">
            <v>#N/A</v>
          </cell>
          <cell r="AD57" t="str">
            <v>0145-02</v>
          </cell>
          <cell r="AE5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58">
          <cell r="A58" t="str">
            <v>146-02</v>
          </cell>
          <cell r="B58">
            <v>4015</v>
          </cell>
          <cell r="C58" t="str">
            <v>DE.1.0.7.0</v>
          </cell>
          <cell r="D58" t="str">
            <v>204:232982</v>
          </cell>
          <cell r="E58">
            <v>42584.418969907405</v>
          </cell>
          <cell r="F58">
            <v>42584.42083333333</v>
          </cell>
          <cell r="G58">
            <v>2</v>
          </cell>
          <cell r="H58" t="str">
            <v>204:141</v>
          </cell>
          <cell r="I58">
            <v>42584.452638888892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3.1805555561732035E-2</v>
          </cell>
          <cell r="N58">
            <v>45.800000008894131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https://search-rtdc-monitor-bjffxe2xuh6vdkpspy63sjmuny.us-east-1.es.amazonaws.com/_plugin/kibana/#/discover/Steve-Slow-Train-Analysis-(2080s-and-2083s)?_g=(refreshInterval:(display:Off,section:0,value:0),time:(from:'2016-08-02 09:03:19-0600',mode:absolute,to:'2016-08-02 11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1.41E-2</v>
          </cell>
          <cell r="AA58">
            <v>23.284100000000002</v>
          </cell>
          <cell r="AB58" t="e">
            <v>#N/A</v>
          </cell>
          <cell r="AC58" t="e">
            <v>#N/A</v>
          </cell>
          <cell r="AD58" t="str">
            <v>0146-02</v>
          </cell>
          <cell r="AE5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59">
          <cell r="A59" t="str">
            <v>147-02</v>
          </cell>
          <cell r="B59">
            <v>4020</v>
          </cell>
          <cell r="C59" t="str">
            <v>DE.1.0.7.0</v>
          </cell>
          <cell r="D59" t="str">
            <v>204:462</v>
          </cell>
          <cell r="E59">
            <v>42584.393831018519</v>
          </cell>
          <cell r="F59">
            <v>42584.394907407404</v>
          </cell>
          <cell r="G59">
            <v>1</v>
          </cell>
          <cell r="H59" t="str">
            <v>204:233314</v>
          </cell>
          <cell r="I59">
            <v>42584.420810185184</v>
          </cell>
          <cell r="J59">
            <v>0</v>
          </cell>
          <cell r="K59" t="str">
            <v>4019/4020</v>
          </cell>
          <cell r="L59" t="str">
            <v>BRANNON</v>
          </cell>
          <cell r="M59">
            <v>2.5902777779265307E-2</v>
          </cell>
          <cell r="N59">
            <v>37.300000002142042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https://search-rtdc-monitor-bjffxe2xuh6vdkpspy63sjmuny.us-east-1.es.amazonaws.com/_plugin/kibana/#/discover/Steve-Slow-Train-Analysis-(2080s-and-2083s)?_g=(refreshInterval:(display:Off,section:0,value:0),time:(from:'2016-08-02 08:27:07-0600',mode:absolute,to:'2016-08-02 11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9" t="str">
            <v>N</v>
          </cell>
          <cell r="X59">
            <v>1</v>
          </cell>
          <cell r="Y59">
            <v>4.6199999999999998E-2</v>
          </cell>
          <cell r="Z59">
            <v>23.331399999999999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0147-02</v>
          </cell>
          <cell r="AE5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60">
          <cell r="A60" t="str">
            <v>148-02</v>
          </cell>
          <cell r="B60">
            <v>4019</v>
          </cell>
          <cell r="C60" t="str">
            <v>DE.1.0.7.0</v>
          </cell>
          <cell r="D60" t="str">
            <v>204:232994</v>
          </cell>
          <cell r="E60">
            <v>42584.430451388886</v>
          </cell>
          <cell r="F60">
            <v>42584.43141203704</v>
          </cell>
          <cell r="G60">
            <v>1</v>
          </cell>
          <cell r="H60" t="str">
            <v>204:265</v>
          </cell>
          <cell r="I60">
            <v>42584.461458333331</v>
          </cell>
          <cell r="J60">
            <v>2</v>
          </cell>
          <cell r="K60" t="str">
            <v>4019/4020</v>
          </cell>
          <cell r="L60" t="str">
            <v>BRANNON</v>
          </cell>
          <cell r="M60">
            <v>3.0046296291402541E-2</v>
          </cell>
          <cell r="N60">
            <v>43.266666659619659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0" t="str">
            <v>N</v>
          </cell>
          <cell r="X60">
            <v>1</v>
          </cell>
          <cell r="Y60">
            <v>23.299399999999999</v>
          </cell>
          <cell r="Z60">
            <v>2.6499999999999999E-2</v>
          </cell>
          <cell r="AA60">
            <v>23.2729</v>
          </cell>
          <cell r="AB60">
            <v>30562</v>
          </cell>
          <cell r="AC60" t="str">
            <v>PERMANENT SPEED RESTRICTION</v>
          </cell>
          <cell r="AD60" t="str">
            <v>0148-02</v>
          </cell>
          <cell r="AE6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61">
          <cell r="A61" t="str">
            <v>149-02</v>
          </cell>
          <cell r="B61">
            <v>4009</v>
          </cell>
          <cell r="C61" t="str">
            <v>DE.1.0.7.0</v>
          </cell>
          <cell r="D61" t="str">
            <v>204:458</v>
          </cell>
          <cell r="E61">
            <v>42584.40148148148</v>
          </cell>
          <cell r="F61">
            <v>42584.402604166666</v>
          </cell>
          <cell r="G61">
            <v>1</v>
          </cell>
          <cell r="H61" t="str">
            <v>204:233293</v>
          </cell>
          <cell r="I61">
            <v>42584.43378472222</v>
          </cell>
          <cell r="J61">
            <v>1</v>
          </cell>
          <cell r="K61" t="str">
            <v>4009/4010</v>
          </cell>
          <cell r="L61" t="str">
            <v>SPECTOR</v>
          </cell>
          <cell r="M61">
            <v>3.1180555553874001E-2</v>
          </cell>
          <cell r="N61">
            <v>44.899999997578561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https://search-rtdc-monitor-bjffxe2xuh6vdkpspy63sjmuny.us-east-1.es.amazonaws.com/_plugin/kibana/#/discover/Steve-Slow-Train-Analysis-(2080s-and-2083s)?_g=(refreshInterval:(display:Off,section:0,value:0),time:(from:'2016-08-02 08:38:08-0600',mode:absolute,to:'2016-08-02 11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1" t="str">
            <v>N</v>
          </cell>
          <cell r="X61">
            <v>1</v>
          </cell>
          <cell r="Y61">
            <v>4.58E-2</v>
          </cell>
          <cell r="Z61">
            <v>23.3293</v>
          </cell>
          <cell r="AA61">
            <v>23.2835</v>
          </cell>
          <cell r="AB61">
            <v>224578</v>
          </cell>
          <cell r="AC61" t="str">
            <v>PERMANENT SPEED RESTRICTION</v>
          </cell>
          <cell r="AD61" t="str">
            <v>0149-02</v>
          </cell>
          <cell r="AE6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62">
          <cell r="A62" t="str">
            <v>150-02</v>
          </cell>
          <cell r="B62">
            <v>4010</v>
          </cell>
          <cell r="C62" t="str">
            <v>DE.1.0.7.0</v>
          </cell>
          <cell r="D62" t="str">
            <v>204:232975</v>
          </cell>
          <cell r="E62">
            <v>42584.440868055557</v>
          </cell>
          <cell r="F62">
            <v>42584.442025462966</v>
          </cell>
          <cell r="G62">
            <v>1</v>
          </cell>
          <cell r="H62" t="str">
            <v>204:149</v>
          </cell>
          <cell r="I62">
            <v>42584.472685185188</v>
          </cell>
          <cell r="J62">
            <v>0</v>
          </cell>
          <cell r="K62" t="str">
            <v>4009/4010</v>
          </cell>
          <cell r="L62" t="str">
            <v>SPECTOR</v>
          </cell>
          <cell r="M62">
            <v>3.0659722222480923E-2</v>
          </cell>
          <cell r="N62">
            <v>44.150000000372529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https://search-rtdc-monitor-bjffxe2xuh6vdkpspy63sjmuny.us-east-1.es.amazonaws.com/_plugin/kibana/#/discover/Steve-Slow-Train-Analysis-(2080s-and-2083s)?_g=(refreshInterval:(display:Off,section:0,value:0),time:(from:'2016-08-02 09:34:51-0600',mode:absolute,to:'2016-08-02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2" t="str">
            <v>N</v>
          </cell>
          <cell r="X62">
            <v>1</v>
          </cell>
          <cell r="Y62">
            <v>23.297499999999999</v>
          </cell>
          <cell r="Z62">
            <v>1.49E-2</v>
          </cell>
          <cell r="AA62">
            <v>23.282599999999999</v>
          </cell>
          <cell r="AB62" t="e">
            <v>#N/A</v>
          </cell>
          <cell r="AC62" t="e">
            <v>#N/A</v>
          </cell>
          <cell r="AD62" t="str">
            <v>0150-02</v>
          </cell>
          <cell r="AE6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63">
          <cell r="A63" t="str">
            <v>151-02</v>
          </cell>
          <cell r="B63">
            <v>4011</v>
          </cell>
          <cell r="C63" t="str">
            <v>DE.1.0.7.0</v>
          </cell>
          <cell r="D63" t="str">
            <v>204:446</v>
          </cell>
          <cell r="E63">
            <v>42584.412534722222</v>
          </cell>
          <cell r="F63">
            <v>42584.414317129631</v>
          </cell>
          <cell r="G63">
            <v>2</v>
          </cell>
          <cell r="H63" t="str">
            <v>204:233302</v>
          </cell>
          <cell r="I63">
            <v>42584.441817129627</v>
          </cell>
          <cell r="J63">
            <v>0</v>
          </cell>
          <cell r="K63" t="str">
            <v>4011/4012</v>
          </cell>
          <cell r="L63" t="str">
            <v>REBOLETTI</v>
          </cell>
          <cell r="M63">
            <v>2.749999999650754E-2</v>
          </cell>
          <cell r="N63">
            <v>39.599999994970858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https://search-rtdc-monitor-bjffxe2xuh6vdkpspy63sjmuny.us-east-1.es.amazonaws.com/_plugin/kibana/#/discover/Steve-Slow-Train-Analysis-(2080s-and-2083s)?_g=(refreshInterval:(display:Off,section:0,value:0),time:(from:'2016-08-02 08:54:03-0600',mode:absolute,to:'2016-08-02 11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3" t="str">
            <v>N</v>
          </cell>
          <cell r="X63">
            <v>1</v>
          </cell>
          <cell r="Y63">
            <v>4.4600000000000001E-2</v>
          </cell>
          <cell r="Z63">
            <v>23.330200000000001</v>
          </cell>
          <cell r="AA63">
            <v>23.285600000000002</v>
          </cell>
          <cell r="AB63" t="e">
            <v>#N/A</v>
          </cell>
          <cell r="AC63" t="e">
            <v>#N/A</v>
          </cell>
          <cell r="AD63" t="str">
            <v>0151-02</v>
          </cell>
          <cell r="AE63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64">
          <cell r="A64" t="str">
            <v>152-02</v>
          </cell>
          <cell r="B64">
            <v>4012</v>
          </cell>
          <cell r="C64" t="str">
            <v>DE.1.0.7.0</v>
          </cell>
          <cell r="D64" t="str">
            <v>204:232991</v>
          </cell>
          <cell r="E64">
            <v>42584.450185185182</v>
          </cell>
          <cell r="F64">
            <v>42584.450914351852</v>
          </cell>
          <cell r="G64">
            <v>1</v>
          </cell>
          <cell r="H64" t="str">
            <v>204:138</v>
          </cell>
          <cell r="I64">
            <v>42584.482175925928</v>
          </cell>
          <cell r="J64">
            <v>0</v>
          </cell>
          <cell r="K64" t="str">
            <v>4011/4012</v>
          </cell>
          <cell r="L64" t="str">
            <v>REBOLETTI</v>
          </cell>
          <cell r="M64">
            <v>3.1261574076779652E-2</v>
          </cell>
          <cell r="N64">
            <v>45.016666670562699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https://search-rtdc-monitor-bjffxe2xuh6vdkpspy63sjmuny.us-east-1.es.amazonaws.com/_plugin/kibana/#/discover/Steve-Slow-Train-Analysis-(2080s-and-2083s)?_g=(refreshInterval:(display:Off,section:0,value:0),time:(from:'2016-08-02 09:48:16-0600',mode:absolute,to:'2016-08-02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4" t="str">
            <v>N</v>
          </cell>
          <cell r="X64">
            <v>1</v>
          </cell>
          <cell r="Y64">
            <v>23.299099999999999</v>
          </cell>
          <cell r="Z64">
            <v>1.38E-2</v>
          </cell>
          <cell r="AA64">
            <v>23.285299999999999</v>
          </cell>
          <cell r="AB64" t="e">
            <v>#N/A</v>
          </cell>
          <cell r="AC64" t="e">
            <v>#N/A</v>
          </cell>
          <cell r="AD64" t="str">
            <v>0152-02</v>
          </cell>
          <cell r="AE64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65">
          <cell r="A65" t="str">
            <v>153-02</v>
          </cell>
          <cell r="B65">
            <v>4042</v>
          </cell>
          <cell r="C65" t="str">
            <v>DE.1.0.7.0</v>
          </cell>
          <cell r="D65" t="str">
            <v>204:449</v>
          </cell>
          <cell r="E65">
            <v>42584.4219212963</v>
          </cell>
          <cell r="F65">
            <v>42584.422858796293</v>
          </cell>
          <cell r="G65">
            <v>1</v>
          </cell>
          <cell r="H65" t="str">
            <v>204:233289</v>
          </cell>
          <cell r="I65">
            <v>42584.4528587963</v>
          </cell>
          <cell r="J65">
            <v>0</v>
          </cell>
          <cell r="K65" t="str">
            <v>4041/4042</v>
          </cell>
          <cell r="L65" t="str">
            <v>ISHMAEL</v>
          </cell>
          <cell r="M65">
            <v>3.0000000006111804E-2</v>
          </cell>
          <cell r="N65">
            <v>43.200000008800998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https://search-rtdc-monitor-bjffxe2xuh6vdkpspy63sjmuny.us-east-1.es.amazonaws.com/_plugin/kibana/#/discover/Steve-Slow-Train-Analysis-(2080s-and-2083s)?_g=(refreshInterval:(display:Off,section:0,value:0),time:(from:'2016-08-02 09:07:34-0600',mode:absolute,to:'2016-08-02 11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5" t="str">
            <v>N</v>
          </cell>
          <cell r="X65">
            <v>1</v>
          </cell>
          <cell r="Y65">
            <v>4.4900000000000002E-2</v>
          </cell>
          <cell r="Z65">
            <v>23.328900000000001</v>
          </cell>
          <cell r="AA65">
            <v>23.284000000000002</v>
          </cell>
          <cell r="AB65" t="e">
            <v>#N/A</v>
          </cell>
          <cell r="AC65" t="e">
            <v>#N/A</v>
          </cell>
          <cell r="AD65" t="str">
            <v>0153-02</v>
          </cell>
          <cell r="AE65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66">
          <cell r="A66" t="str">
            <v>154-02</v>
          </cell>
          <cell r="B66">
            <v>4041</v>
          </cell>
          <cell r="C66" t="str">
            <v>DE.1.0.7.0</v>
          </cell>
          <cell r="D66" t="str">
            <v>204:232975</v>
          </cell>
          <cell r="E66">
            <v>42584.459687499999</v>
          </cell>
          <cell r="F66">
            <v>42584.460532407407</v>
          </cell>
          <cell r="G66">
            <v>1</v>
          </cell>
          <cell r="H66" t="str">
            <v>204:152</v>
          </cell>
          <cell r="I66">
            <v>42584.492488425924</v>
          </cell>
          <cell r="J66">
            <v>0</v>
          </cell>
          <cell r="K66" t="str">
            <v>4041/4042</v>
          </cell>
          <cell r="L66" t="str">
            <v>ISHMAEL</v>
          </cell>
          <cell r="M66">
            <v>3.195601851621177E-2</v>
          </cell>
          <cell r="N66">
            <v>46.016666663344949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https://search-rtdc-monitor-bjffxe2xuh6vdkpspy63sjmuny.us-east-1.es.amazonaws.com/_plugin/kibana/#/discover/Steve-Slow-Train-Analysis-(2080s-and-2083s)?_g=(refreshInterval:(display:Off,section:0,value:0),time:(from:'2016-08-02 10:01:57-0600',mode:absolute,to:'2016-08-02 12:49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6" t="str">
            <v>N</v>
          </cell>
          <cell r="X66">
            <v>1</v>
          </cell>
          <cell r="Y66">
            <v>23.297499999999999</v>
          </cell>
          <cell r="Z66">
            <v>1.52E-2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0154-02</v>
          </cell>
          <cell r="AE66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67">
          <cell r="A67" t="str">
            <v>155-02</v>
          </cell>
          <cell r="B67">
            <v>4014</v>
          </cell>
          <cell r="C67" t="str">
            <v>DE.1.0.7.0</v>
          </cell>
          <cell r="D67" t="str">
            <v>204:449</v>
          </cell>
          <cell r="E67">
            <v>42584.434918981482</v>
          </cell>
          <cell r="F67">
            <v>42584.435995370368</v>
          </cell>
          <cell r="G67">
            <v>1</v>
          </cell>
          <cell r="H67" t="str">
            <v>204:233276</v>
          </cell>
          <cell r="I67">
            <v>42584.46329861111</v>
          </cell>
          <cell r="J67">
            <v>0</v>
          </cell>
          <cell r="K67" t="str">
            <v>4013/4014</v>
          </cell>
          <cell r="L67" t="str">
            <v>STARKS</v>
          </cell>
          <cell r="M67">
            <v>2.7303240742185153E-2</v>
          </cell>
          <cell r="N67">
            <v>39.31666666874662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https://search-rtdc-monitor-bjffxe2xuh6vdkpspy63sjmuny.us-east-1.es.amazonaws.com/_plugin/kibana/#/discover/Steve-Slow-Train-Analysis-(2080s-and-2083s)?_g=(refreshInterval:(display:Off,section:0,value:0),time:(from:'2016-08-02 09:26:17-0600',mode:absolute,to:'2016-08-02 12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4.4900000000000002E-2</v>
          </cell>
          <cell r="Z67">
            <v>23.3276</v>
          </cell>
          <cell r="AA67">
            <v>23.282700000000002</v>
          </cell>
          <cell r="AB67" t="e">
            <v>#N/A</v>
          </cell>
          <cell r="AC67" t="e">
            <v>#N/A</v>
          </cell>
          <cell r="AD67" t="str">
            <v>0155-02</v>
          </cell>
          <cell r="AE67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68">
          <cell r="A68" t="str">
            <v>156-02</v>
          </cell>
          <cell r="B68">
            <v>4013</v>
          </cell>
          <cell r="C68" t="str">
            <v>DE.1.0.7.0</v>
          </cell>
          <cell r="D68" t="str">
            <v>204:232966</v>
          </cell>
          <cell r="E68">
            <v>42584.472905092596</v>
          </cell>
          <cell r="F68">
            <v>42584.47420138889</v>
          </cell>
          <cell r="G68">
            <v>1</v>
          </cell>
          <cell r="H68" t="str">
            <v>204:150</v>
          </cell>
          <cell r="I68">
            <v>42584.503472222219</v>
          </cell>
          <cell r="J68">
            <v>0</v>
          </cell>
          <cell r="K68" t="str">
            <v>4013/4014</v>
          </cell>
          <cell r="L68" t="str">
            <v>STARKS</v>
          </cell>
          <cell r="M68">
            <v>2.9270833329064772E-2</v>
          </cell>
          <cell r="N68">
            <v>42.149999993853271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https://search-rtdc-monitor-bjffxe2xuh6vdkpspy63sjmuny.us-east-1.es.amazonaws.com/_plugin/kibana/#/discover/Steve-Slow-Train-Analysis-(2080s-and-2083s)?_g=(refreshInterval:(display:Off,section:0,value:0),time:(from:'2016-08-02 10:20:59-0600',mode:absolute,to:'2016-08-02 13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8" t="str">
            <v>N</v>
          </cell>
          <cell r="X68">
            <v>1</v>
          </cell>
          <cell r="Y68">
            <v>23.296600000000002</v>
          </cell>
          <cell r="Z68">
            <v>1.4999999999999999E-2</v>
          </cell>
          <cell r="AA68">
            <v>23.281600000000001</v>
          </cell>
          <cell r="AB68" t="e">
            <v>#N/A</v>
          </cell>
          <cell r="AC68" t="e">
            <v>#N/A</v>
          </cell>
          <cell r="AD68" t="str">
            <v>0156-02</v>
          </cell>
          <cell r="AE68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69">
          <cell r="A69" t="str">
            <v>157-02</v>
          </cell>
          <cell r="B69">
            <v>4018</v>
          </cell>
          <cell r="C69" t="str">
            <v>DE.1.0.7.0</v>
          </cell>
          <cell r="D69" t="str">
            <v>204:467</v>
          </cell>
          <cell r="E69">
            <v>42584.444837962961</v>
          </cell>
          <cell r="F69">
            <v>42584.44568287037</v>
          </cell>
          <cell r="G69">
            <v>1</v>
          </cell>
          <cell r="H69" t="str">
            <v>204:233305</v>
          </cell>
          <cell r="I69">
            <v>42584.472685185188</v>
          </cell>
          <cell r="J69">
            <v>0</v>
          </cell>
          <cell r="K69" t="str">
            <v>4017/4018</v>
          </cell>
          <cell r="L69" t="str">
            <v>ROCHA</v>
          </cell>
          <cell r="M69">
            <v>2.7002314818673767E-2</v>
          </cell>
          <cell r="N69">
            <v>38.883333338890225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https://search-rtdc-monitor-bjffxe2xuh6vdkpspy63sjmuny.us-east-1.es.amazonaws.com/_plugin/kibana/#/discover/Steve-Slow-Train-Analysis-(2080s-and-2083s)?_g=(refreshInterval:(display:Off,section:0,value:0),time:(from:'2016-08-02 09:40:34-0600',mode:absolute,to:'2016-08-02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9" t="str">
            <v>N</v>
          </cell>
          <cell r="X69">
            <v>1</v>
          </cell>
          <cell r="Y69">
            <v>4.6699999999999998E-2</v>
          </cell>
          <cell r="Z69">
            <v>23.330500000000001</v>
          </cell>
          <cell r="AA69">
            <v>23.283799999999999</v>
          </cell>
          <cell r="AB69" t="e">
            <v>#N/A</v>
          </cell>
          <cell r="AC69" t="e">
            <v>#N/A</v>
          </cell>
          <cell r="AD69" t="str">
            <v>0157-02</v>
          </cell>
          <cell r="AE69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70">
          <cell r="A70" t="str">
            <v>158-02</v>
          </cell>
          <cell r="B70">
            <v>4017</v>
          </cell>
          <cell r="C70" t="str">
            <v>DE.1.0.7.0</v>
          </cell>
          <cell r="D70" t="str">
            <v>204:232975</v>
          </cell>
          <cell r="E70">
            <v>42584.484907407408</v>
          </cell>
          <cell r="F70">
            <v>42584.485798611109</v>
          </cell>
          <cell r="G70">
            <v>1</v>
          </cell>
          <cell r="H70" t="str">
            <v>204:167</v>
          </cell>
          <cell r="I70">
            <v>42584.513287037036</v>
          </cell>
          <cell r="J70">
            <v>0</v>
          </cell>
          <cell r="K70" t="str">
            <v>4017/4018</v>
          </cell>
          <cell r="L70" t="str">
            <v>ROCHA</v>
          </cell>
          <cell r="M70">
            <v>2.7488425927003846E-2</v>
          </cell>
          <cell r="N70">
            <v>39.583333334885538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https://search-rtdc-monitor-bjffxe2xuh6vdkpspy63sjmuny.us-east-1.es.amazonaws.com/_plugin/kibana/#/discover/Steve-Slow-Train-Analysis-(2080s-and-2083s)?_g=(refreshInterval:(display:Off,section:0,value:0),time:(from:'2016-08-02 10:38:16-0600',mode:absolute,to:'2016-08-02 13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0" t="str">
            <v>N</v>
          </cell>
          <cell r="X70">
            <v>1</v>
          </cell>
          <cell r="Y70">
            <v>23.297499999999999</v>
          </cell>
          <cell r="Z70">
            <v>1.67E-2</v>
          </cell>
          <cell r="AA70">
            <v>23.280799999999999</v>
          </cell>
          <cell r="AB70" t="e">
            <v>#N/A</v>
          </cell>
          <cell r="AC70" t="e">
            <v>#N/A</v>
          </cell>
          <cell r="AD70" t="str">
            <v>0158-02</v>
          </cell>
          <cell r="AE70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71">
          <cell r="A71" t="str">
            <v>159-02</v>
          </cell>
          <cell r="B71">
            <v>4016</v>
          </cell>
          <cell r="C71" t="str">
            <v>DE.1.0.7.0</v>
          </cell>
          <cell r="D71" t="str">
            <v>204:435</v>
          </cell>
          <cell r="E71">
            <v>42584.456018518518</v>
          </cell>
          <cell r="F71">
            <v>42584.457141203704</v>
          </cell>
          <cell r="G71">
            <v>1</v>
          </cell>
          <cell r="H71" t="str">
            <v>204:233325</v>
          </cell>
          <cell r="I71">
            <v>42584.484791666669</v>
          </cell>
          <cell r="J71">
            <v>0</v>
          </cell>
          <cell r="K71" t="str">
            <v>4015/4016</v>
          </cell>
          <cell r="L71" t="str">
            <v>BARTLETT</v>
          </cell>
          <cell r="M71">
            <v>2.7650462965539191E-2</v>
          </cell>
          <cell r="N71">
            <v>39.816666670376435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https://search-rtdc-monitor-bjffxe2xuh6vdkpspy63sjmuny.us-east-1.es.amazonaws.com/_plugin/kibana/#/discover/Steve-Slow-Train-Analysis-(2080s-and-2083s)?_g=(refreshInterval:(display:Off,section:0,value:0),time:(from:'2016-08-02 09:56:40-0600',mode:absolute,to:'2016-08-02 12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1" t="str">
            <v>N</v>
          </cell>
          <cell r="X71">
            <v>1</v>
          </cell>
          <cell r="Y71">
            <v>4.3499999999999997E-2</v>
          </cell>
          <cell r="Z71">
            <v>23.3325</v>
          </cell>
          <cell r="AA71">
            <v>23.288999999999998</v>
          </cell>
          <cell r="AB71" t="e">
            <v>#N/A</v>
          </cell>
          <cell r="AC71" t="e">
            <v>#N/A</v>
          </cell>
          <cell r="AD71" t="str">
            <v>0159-02</v>
          </cell>
          <cell r="AE71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72">
          <cell r="A72" t="str">
            <v>160-02</v>
          </cell>
          <cell r="B72">
            <v>4015</v>
          </cell>
          <cell r="C72" t="str">
            <v>DE.1.0.7.0</v>
          </cell>
          <cell r="D72" t="str">
            <v>204:233004</v>
          </cell>
          <cell r="E72">
            <v>42584.486481481479</v>
          </cell>
          <cell r="F72">
            <v>42584.487604166665</v>
          </cell>
          <cell r="G72">
            <v>1</v>
          </cell>
          <cell r="H72" t="str">
            <v>204:156</v>
          </cell>
          <cell r="I72">
            <v>42584.524328703701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3.6724537036207039E-2</v>
          </cell>
          <cell r="N72">
            <v>52.883333332138136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https://search-rtdc-monitor-bjffxe2xuh6vdkpspy63sjmuny.us-east-1.es.amazonaws.com/_plugin/kibana/#/discover/Steve-Slow-Train-Analysis-(2080s-and-2083s)?_g=(refreshInterval:(display:Off,section:0,value:0),time:(from:'2016-08-02 10:40:32-0600',mode:absolute,to:'2016-08-02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2" t="str">
            <v>N</v>
          </cell>
          <cell r="X72">
            <v>1</v>
          </cell>
          <cell r="Y72">
            <v>23.3004</v>
          </cell>
          <cell r="Z72">
            <v>1.5599999999999999E-2</v>
          </cell>
          <cell r="AA72">
            <v>23.284800000000001</v>
          </cell>
          <cell r="AB72" t="e">
            <v>#N/A</v>
          </cell>
          <cell r="AC72" t="e">
            <v>#N/A</v>
          </cell>
          <cell r="AD72" t="str">
            <v>0160-02</v>
          </cell>
          <cell r="AE72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73">
          <cell r="A73" t="str">
            <v>161-02</v>
          </cell>
          <cell r="B73">
            <v>4020</v>
          </cell>
          <cell r="C73" t="str">
            <v>DE.1.0.7.0</v>
          </cell>
          <cell r="D73" t="str">
            <v>204:451</v>
          </cell>
          <cell r="E73">
            <v>42584.465231481481</v>
          </cell>
          <cell r="F73">
            <v>42584.466365740744</v>
          </cell>
          <cell r="G73">
            <v>1</v>
          </cell>
          <cell r="H73" t="str">
            <v>204:233301</v>
          </cell>
          <cell r="I73">
            <v>42584.494421296295</v>
          </cell>
          <cell r="J73">
            <v>0</v>
          </cell>
          <cell r="K73" t="str">
            <v>4019/4020</v>
          </cell>
          <cell r="L73" t="str">
            <v>STEWART</v>
          </cell>
          <cell r="M73">
            <v>2.8055555550963618E-2</v>
          </cell>
          <cell r="N73">
            <v>40.39999999338761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https://search-rtdc-monitor-bjffxe2xuh6vdkpspy63sjmuny.us-east-1.es.amazonaws.com/_plugin/kibana/#/discover/Steve-Slow-Train-Analysis-(2080s-and-2083s)?_g=(refreshInterval:(display:Off,section:0,value:0),time:(from:'2016-08-02 10:09:56-0600',mode:absolute,to:'2016-08-02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3" t="str">
            <v>N</v>
          </cell>
          <cell r="X73">
            <v>1</v>
          </cell>
          <cell r="Y73">
            <v>4.5100000000000001E-2</v>
          </cell>
          <cell r="Z73">
            <v>23.330100000000002</v>
          </cell>
          <cell r="AA73">
            <v>23.285</v>
          </cell>
          <cell r="AB73" t="e">
            <v>#N/A</v>
          </cell>
          <cell r="AC73" t="e">
            <v>#N/A</v>
          </cell>
          <cell r="AD73" t="str">
            <v>0161-02</v>
          </cell>
          <cell r="AE73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74">
          <cell r="A74" t="str">
            <v>162-02</v>
          </cell>
          <cell r="B74">
            <v>4019</v>
          </cell>
          <cell r="C74" t="str">
            <v>DE.1.0.7.0</v>
          </cell>
          <cell r="D74" t="str">
            <v>204:232990</v>
          </cell>
          <cell r="E74">
            <v>42584.503449074073</v>
          </cell>
          <cell r="F74">
            <v>42584.504571759258</v>
          </cell>
          <cell r="G74">
            <v>1</v>
          </cell>
          <cell r="H74" t="str">
            <v>204:152</v>
          </cell>
          <cell r="I74">
            <v>42584.537256944444</v>
          </cell>
          <cell r="J74">
            <v>0</v>
          </cell>
          <cell r="K74" t="str">
            <v>4019/4020</v>
          </cell>
          <cell r="L74" t="str">
            <v>STEWART</v>
          </cell>
          <cell r="M74">
            <v>3.2685185185982846E-2</v>
          </cell>
          <cell r="N74">
            <v>47.066666667815298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https://search-rtdc-monitor-bjffxe2xuh6vdkpspy63sjmuny.us-east-1.es.amazonaws.com/_plugin/kibana/#/discover/Steve-Slow-Train-Analysis-(2080s-and-2083s)?_g=(refreshInterval:(display:Off,section:0,value:0),time:(from:'2016-08-02 11:04:58-0600',mode:absolute,to:'2016-08-02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4" t="str">
            <v>N</v>
          </cell>
          <cell r="X74">
            <v>1</v>
          </cell>
          <cell r="Y74">
            <v>23.298999999999999</v>
          </cell>
          <cell r="Z74">
            <v>1.52E-2</v>
          </cell>
          <cell r="AA74">
            <v>23.283799999999999</v>
          </cell>
          <cell r="AB74" t="e">
            <v>#N/A</v>
          </cell>
          <cell r="AC74" t="e">
            <v>#N/A</v>
          </cell>
          <cell r="AD74" t="str">
            <v>0162-02</v>
          </cell>
          <cell r="AE74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75">
          <cell r="A75" t="str">
            <v>163-02</v>
          </cell>
          <cell r="B75">
            <v>4009</v>
          </cell>
          <cell r="C75" t="str">
            <v>DE.1.0.7.0</v>
          </cell>
          <cell r="D75" t="str">
            <v>204:488</v>
          </cell>
          <cell r="E75">
            <v>42584.476388888892</v>
          </cell>
          <cell r="F75">
            <v>42584.477523148147</v>
          </cell>
          <cell r="G75">
            <v>1</v>
          </cell>
          <cell r="H75" t="str">
            <v>204:233347</v>
          </cell>
          <cell r="I75">
            <v>42584.505150462966</v>
          </cell>
          <cell r="J75">
            <v>1</v>
          </cell>
          <cell r="K75" t="str">
            <v>4009/4010</v>
          </cell>
          <cell r="L75" t="str">
            <v>STORY</v>
          </cell>
          <cell r="M75">
            <v>2.7627314819255844E-2</v>
          </cell>
          <cell r="N75">
            <v>39.783333339728415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https://search-rtdc-monitor-bjffxe2xuh6vdkpspy63sjmuny.us-east-1.es.amazonaws.com/_plugin/kibana/#/discover/Steve-Slow-Train-Analysis-(2080s-and-2083s)?_g=(refreshInterval:(display:Off,section:0,value:0),time:(from:'2016-08-02 10:26:00-0600',mode:absolute,to:'2016-08-02 13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5" t="str">
            <v>N</v>
          </cell>
          <cell r="X75">
            <v>1</v>
          </cell>
          <cell r="Y75">
            <v>4.8800000000000003E-2</v>
          </cell>
          <cell r="Z75">
            <v>23.334700000000002</v>
          </cell>
          <cell r="AA75">
            <v>23.285900000000002</v>
          </cell>
          <cell r="AB75">
            <v>17867</v>
          </cell>
          <cell r="AC75" t="str">
            <v>PERMANENT SPEED RESTRICTION</v>
          </cell>
          <cell r="AD75" t="str">
            <v>0163-02</v>
          </cell>
          <cell r="AE75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76">
          <cell r="A76" t="str">
            <v>164-02</v>
          </cell>
          <cell r="B76">
            <v>4010</v>
          </cell>
          <cell r="C76" t="str">
            <v>DE.1.0.7.0</v>
          </cell>
          <cell r="D76" t="str">
            <v>204:233051</v>
          </cell>
          <cell r="E76">
            <v>42584.51295138889</v>
          </cell>
          <cell r="F76">
            <v>42584.514027777775</v>
          </cell>
          <cell r="G76">
            <v>1</v>
          </cell>
          <cell r="H76" t="str">
            <v>204:136</v>
          </cell>
          <cell r="I76">
            <v>42584.550937499997</v>
          </cell>
          <cell r="J76">
            <v>0</v>
          </cell>
          <cell r="K76" t="str">
            <v>4009/4010</v>
          </cell>
          <cell r="L76" t="str">
            <v>STORY</v>
          </cell>
          <cell r="M76">
            <v>3.6909722221025731E-2</v>
          </cell>
          <cell r="N76">
            <v>53.149999998277053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https://search-rtdc-monitor-bjffxe2xuh6vdkpspy63sjmuny.us-east-1.es.amazonaws.com/_plugin/kibana/#/discover/Steve-Slow-Train-Analysis-(2080s-and-2083s)?_g=(refreshInterval:(display:Off,section:0,value:0),time:(from:'2016-08-02 11:18:39-0600',mode:absolute,to:'2016-08-02 14:13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6" t="str">
            <v>N</v>
          </cell>
          <cell r="X76">
            <v>1</v>
          </cell>
          <cell r="Y76">
            <v>23.305099999999999</v>
          </cell>
          <cell r="Z76">
            <v>1.3599999999999999E-2</v>
          </cell>
          <cell r="AA76">
            <v>23.291499999999999</v>
          </cell>
          <cell r="AB76" t="e">
            <v>#N/A</v>
          </cell>
          <cell r="AC76" t="e">
            <v>#N/A</v>
          </cell>
          <cell r="AD76" t="str">
            <v>0164-02</v>
          </cell>
          <cell r="AE76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77">
          <cell r="A77" t="str">
            <v>165-02</v>
          </cell>
          <cell r="B77">
            <v>4011</v>
          </cell>
          <cell r="C77" t="str">
            <v>DE.1.0.7.0</v>
          </cell>
          <cell r="D77" t="str">
            <v>204:447</v>
          </cell>
          <cell r="E77">
            <v>42584.48474537037</v>
          </cell>
          <cell r="F77">
            <v>42584.485914351855</v>
          </cell>
          <cell r="G77">
            <v>1</v>
          </cell>
          <cell r="H77" t="str">
            <v>204:233334</v>
          </cell>
          <cell r="I77">
            <v>42584.514155092591</v>
          </cell>
          <cell r="J77">
            <v>0</v>
          </cell>
          <cell r="K77" t="str">
            <v>4011/4012</v>
          </cell>
          <cell r="L77" t="str">
            <v>NEWELL</v>
          </cell>
          <cell r="M77">
            <v>2.824074073578231E-2</v>
          </cell>
          <cell r="N77">
            <v>40.666666659526527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https://search-rtdc-monitor-bjffxe2xuh6vdkpspy63sjmuny.us-east-1.es.amazonaws.com/_plugin/kibana/#/discover/Steve-Slow-Train-Analysis-(2080s-and-2083s)?_g=(refreshInterval:(display:Off,section:0,value:0),time:(from:'2016-08-02 10:38:02-0600',mode:absolute,to:'2016-08-02 13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7" t="str">
            <v>N</v>
          </cell>
          <cell r="X77">
            <v>1</v>
          </cell>
          <cell r="Y77">
            <v>4.4699999999999997E-2</v>
          </cell>
          <cell r="Z77">
            <v>23.333400000000001</v>
          </cell>
          <cell r="AA77">
            <v>23.288700000000002</v>
          </cell>
          <cell r="AB77" t="e">
            <v>#N/A</v>
          </cell>
          <cell r="AC77" t="e">
            <v>#N/A</v>
          </cell>
          <cell r="AD77" t="str">
            <v>0165-02</v>
          </cell>
          <cell r="AE77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78">
          <cell r="A78" t="str">
            <v>166-02</v>
          </cell>
          <cell r="B78">
            <v>4012</v>
          </cell>
          <cell r="C78" t="str">
            <v>DE.1.0.7.0</v>
          </cell>
          <cell r="D78" t="str">
            <v>204:233007</v>
          </cell>
          <cell r="E78">
            <v>42584.518055555556</v>
          </cell>
          <cell r="F78">
            <v>42584.518935185188</v>
          </cell>
          <cell r="G78">
            <v>1</v>
          </cell>
          <cell r="H78" t="str">
            <v>204:143</v>
          </cell>
          <cell r="I78">
            <v>42584.559189814812</v>
          </cell>
          <cell r="J78">
            <v>0</v>
          </cell>
          <cell r="K78" t="str">
            <v>4011/4012</v>
          </cell>
          <cell r="L78" t="str">
            <v>NEWELL</v>
          </cell>
          <cell r="M78">
            <v>4.0254629624541849E-2</v>
          </cell>
          <cell r="N78">
            <v>57.966666659340262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https://search-rtdc-monitor-bjffxe2xuh6vdkpspy63sjmuny.us-east-1.es.amazonaws.com/_plugin/kibana/#/discover/Steve-Slow-Train-Analysis-(2080s-and-2083s)?_g=(refreshInterval:(display:Off,section:0,value:0),time:(from:'2016-08-02 11:26:00-0600',mode:absolute,to:'2016-08-02 14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8" t="str">
            <v>N</v>
          </cell>
          <cell r="X78">
            <v>1</v>
          </cell>
          <cell r="Y78">
            <v>23.300699999999999</v>
          </cell>
          <cell r="Z78">
            <v>1.43E-2</v>
          </cell>
          <cell r="AA78">
            <v>23.2864</v>
          </cell>
          <cell r="AB78" t="e">
            <v>#N/A</v>
          </cell>
          <cell r="AC78" t="e">
            <v>#N/A</v>
          </cell>
          <cell r="AD78" t="str">
            <v>0166-02</v>
          </cell>
          <cell r="AE78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79">
          <cell r="A79" t="str">
            <v>167-02</v>
          </cell>
          <cell r="B79">
            <v>4042</v>
          </cell>
          <cell r="C79" t="str">
            <v>DE.1.0.7.0</v>
          </cell>
          <cell r="D79" t="str">
            <v>204:455</v>
          </cell>
          <cell r="E79">
            <v>42584.497187499997</v>
          </cell>
          <cell r="F79">
            <v>42584.498530092591</v>
          </cell>
          <cell r="G79">
            <v>1</v>
          </cell>
          <cell r="H79" t="str">
            <v>204:233325</v>
          </cell>
          <cell r="I79">
            <v>42584.527662037035</v>
          </cell>
          <cell r="J79">
            <v>0</v>
          </cell>
          <cell r="K79" t="str">
            <v>4041/4042</v>
          </cell>
          <cell r="L79" t="str">
            <v>YOUNG</v>
          </cell>
          <cell r="M79">
            <v>2.9131944444088731E-2</v>
          </cell>
          <cell r="N79">
            <v>41.949999999487773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https://search-rtdc-monitor-bjffxe2xuh6vdkpspy63sjmuny.us-east-1.es.amazonaws.com/_plugin/kibana/#/discover/Steve-Slow-Train-Analysis-(2080s-and-2083s)?_g=(refreshInterval:(display:Off,section:0,value:0),time:(from:'2016-08-02 10:55:57-0600',mode:absolute,to:'2016-08-02 13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9" t="str">
            <v>N</v>
          </cell>
          <cell r="X79">
            <v>1</v>
          </cell>
          <cell r="Y79">
            <v>4.5499999999999999E-2</v>
          </cell>
          <cell r="Z79">
            <v>23.3325</v>
          </cell>
          <cell r="AA79">
            <v>23.286999999999999</v>
          </cell>
          <cell r="AB79" t="e">
            <v>#N/A</v>
          </cell>
          <cell r="AC79" t="e">
            <v>#N/A</v>
          </cell>
          <cell r="AD79" t="str">
            <v>0167-02</v>
          </cell>
          <cell r="AE7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80">
          <cell r="A80" t="str">
            <v>168-02</v>
          </cell>
          <cell r="B80">
            <v>4041</v>
          </cell>
          <cell r="C80" t="str">
            <v>DE.1.0.7.0</v>
          </cell>
          <cell r="D80" t="str">
            <v>204:233008</v>
          </cell>
          <cell r="E80">
            <v>42584.531539351854</v>
          </cell>
          <cell r="F80">
            <v>42584.534212962964</v>
          </cell>
          <cell r="G80">
            <v>3</v>
          </cell>
          <cell r="H80" t="str">
            <v>204:169</v>
          </cell>
          <cell r="I80">
            <v>42584.571944444448</v>
          </cell>
          <cell r="J80">
            <v>1</v>
          </cell>
          <cell r="K80" t="str">
            <v>4041/4042</v>
          </cell>
          <cell r="L80" t="str">
            <v>YOUNG</v>
          </cell>
          <cell r="M80">
            <v>3.7731481483206153E-2</v>
          </cell>
          <cell r="N80">
            <v>54.33333333581686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https://search-rtdc-monitor-bjffxe2xuh6vdkpspy63sjmuny.us-east-1.es.amazonaws.com/_plugin/kibana/#/discover/Steve-Slow-Train-Analysis-(2080s-and-2083s)?_g=(refreshInterval:(display:Off,section:0,value:0),time:(from:'2016-08-02 11:45:25-0600',mode:absolute,to:'2016-08-02 14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0" t="str">
            <v>N</v>
          </cell>
          <cell r="X80">
            <v>1</v>
          </cell>
          <cell r="Y80">
            <v>23.300799999999999</v>
          </cell>
          <cell r="Z80">
            <v>1.6899999999999998E-2</v>
          </cell>
          <cell r="AA80">
            <v>23.283899999999999</v>
          </cell>
          <cell r="AB80" t="e">
            <v>#N/A</v>
          </cell>
          <cell r="AC80" t="e">
            <v>#N/A</v>
          </cell>
          <cell r="AD80" t="str">
            <v>0168-02</v>
          </cell>
          <cell r="AE80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81">
          <cell r="A81" t="str">
            <v>169-02</v>
          </cell>
          <cell r="B81">
            <v>4014</v>
          </cell>
          <cell r="C81" t="str">
            <v>DE.1.0.7.0</v>
          </cell>
          <cell r="D81" t="str">
            <v>204:464</v>
          </cell>
          <cell r="E81">
            <v>42584.506793981483</v>
          </cell>
          <cell r="F81">
            <v>42584.508125</v>
          </cell>
          <cell r="G81">
            <v>1</v>
          </cell>
          <cell r="H81" t="str">
            <v>204:233289</v>
          </cell>
          <cell r="I81">
            <v>42584.536122685182</v>
          </cell>
          <cell r="J81">
            <v>1</v>
          </cell>
          <cell r="K81" t="str">
            <v>4013/4014</v>
          </cell>
          <cell r="L81" t="str">
            <v>MAYBERRY</v>
          </cell>
          <cell r="M81">
            <v>2.7997685181617271E-2</v>
          </cell>
          <cell r="N81">
            <v>40.31666666152887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https://search-rtdc-monitor-bjffxe2xuh6vdkpspy63sjmuny.us-east-1.es.amazonaws.com/_plugin/kibana/#/discover/Steve-Slow-Train-Analysis-(2080s-and-2083s)?_g=(refreshInterval:(display:Off,section:0,value:0),time:(from:'2016-08-02 11:09:47-0600',mode:absolute,to:'2016-08-02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4.6399999999999997E-2</v>
          </cell>
          <cell r="Z81">
            <v>23.328900000000001</v>
          </cell>
          <cell r="AA81">
            <v>23.282500000000002</v>
          </cell>
          <cell r="AB81">
            <v>42779</v>
          </cell>
          <cell r="AC81" t="str">
            <v>GRADE CROSSING</v>
          </cell>
          <cell r="AD81" t="str">
            <v>0169-02</v>
          </cell>
          <cell r="AE81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82">
          <cell r="A82" t="str">
            <v>170-02</v>
          </cell>
          <cell r="B82">
            <v>4013</v>
          </cell>
          <cell r="C82" t="str">
            <v>DE.1.0.7.0</v>
          </cell>
          <cell r="D82" t="str">
            <v>204:232963</v>
          </cell>
          <cell r="E82">
            <v>42584.537662037037</v>
          </cell>
          <cell r="F82">
            <v>42584.539004629631</v>
          </cell>
          <cell r="G82">
            <v>1</v>
          </cell>
          <cell r="H82" t="str">
            <v>204:141</v>
          </cell>
          <cell r="I82">
            <v>42584.580497685187</v>
          </cell>
          <cell r="J82">
            <v>1</v>
          </cell>
          <cell r="K82" t="str">
            <v>4013/4014</v>
          </cell>
          <cell r="L82" t="str">
            <v>MAYBERRY</v>
          </cell>
          <cell r="M82">
            <v>4.1493055556202307E-2</v>
          </cell>
          <cell r="N82">
            <v>59.750000000931323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https://search-rtdc-monitor-bjffxe2xuh6vdkpspy63sjmuny.us-east-1.es.amazonaws.com/_plugin/kibana/#/discover/Steve-Slow-Train-Analysis-(2080s-and-2083s)?_g=(refreshInterval:(display:Off,section:0,value:0),time:(from:'2016-08-02 11:54:14-0600',mode:absolute,to:'2016-08-02 14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N</v>
          </cell>
          <cell r="X82">
            <v>1</v>
          </cell>
          <cell r="Y82">
            <v>23.296299999999999</v>
          </cell>
          <cell r="Z82">
            <v>1.41E-2</v>
          </cell>
          <cell r="AA82">
            <v>23.2822</v>
          </cell>
          <cell r="AB82">
            <v>191723</v>
          </cell>
          <cell r="AC82" t="str">
            <v>SIGNAL</v>
          </cell>
          <cell r="AD82" t="str">
            <v>0170-02</v>
          </cell>
          <cell r="AE82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83">
          <cell r="A83" t="str">
            <v>171-02</v>
          </cell>
          <cell r="B83">
            <v>4018</v>
          </cell>
          <cell r="C83" t="str">
            <v>DE.1.0.7.0</v>
          </cell>
          <cell r="D83" t="str">
            <v>204:460</v>
          </cell>
          <cell r="E83">
            <v>42584.518229166664</v>
          </cell>
          <cell r="F83">
            <v>42584.519409722219</v>
          </cell>
          <cell r="G83">
            <v>1</v>
          </cell>
          <cell r="H83" t="str">
            <v>204:233306</v>
          </cell>
          <cell r="I83">
            <v>42584.548692129632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2.9282407413120382E-2</v>
          </cell>
          <cell r="N83">
            <v>42.166666674893349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https://search-rtdc-monitor-bjffxe2xuh6vdkpspy63sjmuny.us-east-1.es.amazonaws.com/_plugin/kibana/#/discover/Steve-Slow-Train-Analysis-(2080s-and-2083s)?_g=(refreshInterval:(display:Off,section:0,value:0),time:(from:'2016-08-02 11:26:15-0600',mode:absolute,to:'2016-08-02 14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3" t="str">
            <v>N</v>
          </cell>
          <cell r="X83">
            <v>1</v>
          </cell>
          <cell r="Y83">
            <v>4.5999999999999999E-2</v>
          </cell>
          <cell r="Z83">
            <v>23.3306</v>
          </cell>
          <cell r="AA83">
            <v>23.284600000000001</v>
          </cell>
          <cell r="AB83" t="e">
            <v>#N/A</v>
          </cell>
          <cell r="AC83" t="e">
            <v>#N/A</v>
          </cell>
          <cell r="AD83" t="str">
            <v>0171-02</v>
          </cell>
          <cell r="AE83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84">
          <cell r="A84" t="str">
            <v>172-02</v>
          </cell>
          <cell r="B84">
            <v>4017</v>
          </cell>
          <cell r="C84" t="str">
            <v>DE.1.0.7.0</v>
          </cell>
          <cell r="D84" t="str">
            <v>204:232989</v>
          </cell>
          <cell r="E84">
            <v>42584.557592592595</v>
          </cell>
          <cell r="F84">
            <v>42584.559212962966</v>
          </cell>
          <cell r="G84">
            <v>2</v>
          </cell>
          <cell r="H84" t="str">
            <v>204:139</v>
          </cell>
          <cell r="I84">
            <v>42584.589479166665</v>
          </cell>
          <cell r="J84">
            <v>0</v>
          </cell>
          <cell r="K84" t="str">
            <v>4017/4018</v>
          </cell>
          <cell r="L84" t="str">
            <v>SWANSON</v>
          </cell>
          <cell r="M84">
            <v>3.0266203699284233E-2</v>
          </cell>
          <cell r="N84">
            <v>43.583333326969296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https://search-rtdc-monitor-bjffxe2xuh6vdkpspy63sjmuny.us-east-1.es.amazonaws.com/_plugin/kibana/#/discover/Steve-Slow-Train-Analysis-(2080s-and-2083s)?_g=(refreshInterval:(display:Off,section:0,value:0),time:(from:'2016-08-02 12:22:56-0600',mode:absolute,to:'2016-08-02 15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4" t="str">
            <v>N</v>
          </cell>
          <cell r="X84">
            <v>1</v>
          </cell>
          <cell r="Y84">
            <v>23.2989</v>
          </cell>
          <cell r="Z84">
            <v>1.3899999999999999E-2</v>
          </cell>
          <cell r="AA84">
            <v>23.285</v>
          </cell>
          <cell r="AB84" t="e">
            <v>#N/A</v>
          </cell>
          <cell r="AC84" t="e">
            <v>#N/A</v>
          </cell>
          <cell r="AD84" t="str">
            <v>0172-02</v>
          </cell>
          <cell r="AE84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85">
          <cell r="A85" t="str">
            <v>173-02</v>
          </cell>
          <cell r="B85">
            <v>4016</v>
          </cell>
          <cell r="C85" t="str">
            <v>DE.1.0.7.0</v>
          </cell>
          <cell r="D85" t="str">
            <v>204:451</v>
          </cell>
          <cell r="E85">
            <v>42584.526342592595</v>
          </cell>
          <cell r="F85">
            <v>42584.527430555558</v>
          </cell>
          <cell r="G85">
            <v>1</v>
          </cell>
          <cell r="H85" t="str">
            <v>204:233307</v>
          </cell>
          <cell r="I85">
            <v>42584.55914351852</v>
          </cell>
          <cell r="J85">
            <v>0</v>
          </cell>
          <cell r="K85" t="str">
            <v>4015/4016</v>
          </cell>
          <cell r="L85" t="str">
            <v>BARTLETT</v>
          </cell>
          <cell r="M85">
            <v>3.1712962962046731E-2</v>
          </cell>
          <cell r="N85">
            <v>45.666666665347293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https://search-rtdc-monitor-bjffxe2xuh6vdkpspy63sjmuny.us-east-1.es.amazonaws.com/_plugin/kibana/#/discover/Steve-Slow-Train-Analysis-(2080s-and-2083s)?_g=(refreshInterval:(display:Off,section:0,value:0),time:(from:'2016-08-02 11:37:56-0600',mode:absolute,to:'2016-08-02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5" t="str">
            <v>N</v>
          </cell>
          <cell r="X85">
            <v>1</v>
          </cell>
          <cell r="Y85">
            <v>4.5100000000000001E-2</v>
          </cell>
          <cell r="Z85">
            <v>23.3307</v>
          </cell>
          <cell r="AA85">
            <v>23.285599999999999</v>
          </cell>
          <cell r="AB85" t="e">
            <v>#N/A</v>
          </cell>
          <cell r="AC85" t="e">
            <v>#N/A</v>
          </cell>
          <cell r="AD85" t="str">
            <v>0173-02</v>
          </cell>
          <cell r="AE85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86">
          <cell r="A86" t="str">
            <v>174-02</v>
          </cell>
          <cell r="B86">
            <v>4015</v>
          </cell>
          <cell r="C86" t="str">
            <v>DE.1.0.7.0</v>
          </cell>
          <cell r="D86" t="str">
            <v>204:232980</v>
          </cell>
          <cell r="E86" t="str">
            <v>2016-08-02T13:30:02</v>
          </cell>
          <cell r="F86">
            <v>42584.570497685185</v>
          </cell>
          <cell r="G86">
            <v>1</v>
          </cell>
          <cell r="H86" t="str">
            <v>204:170</v>
          </cell>
          <cell r="I86">
            <v>42584.600995370369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3.0497685183945578E-2</v>
          </cell>
          <cell r="N86">
            <v>43.916666664881632</v>
          </cell>
          <cell r="S86">
            <v>1</v>
          </cell>
          <cell r="T86" t="str">
            <v>Southbound</v>
          </cell>
          <cell r="U86">
            <v>12</v>
          </cell>
          <cell r="V86" t="e">
            <v>#VALUE!</v>
          </cell>
          <cell r="W86" t="str">
            <v>N</v>
          </cell>
          <cell r="X86">
            <v>1</v>
          </cell>
          <cell r="Y86">
            <v>23.297999999999998</v>
          </cell>
          <cell r="Z86">
            <v>1.7000000000000001E-2</v>
          </cell>
          <cell r="AA86">
            <v>23.280999999999999</v>
          </cell>
          <cell r="AB86" t="e">
            <v>#N/A</v>
          </cell>
          <cell r="AC86" t="e">
            <v>#N/A</v>
          </cell>
          <cell r="AD86" t="str">
            <v>0174-02</v>
          </cell>
          <cell r="AE8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87">
          <cell r="A87" t="str">
            <v>175-02</v>
          </cell>
          <cell r="B87">
            <v>4020</v>
          </cell>
          <cell r="C87" t="str">
            <v>DE.1.0.7.0</v>
          </cell>
          <cell r="D87" t="str">
            <v>204:469</v>
          </cell>
          <cell r="E87">
            <v>42584.5391087963</v>
          </cell>
          <cell r="F87">
            <v>42584.540798611109</v>
          </cell>
          <cell r="G87">
            <v>2</v>
          </cell>
          <cell r="H87" t="str">
            <v>204:233283</v>
          </cell>
          <cell r="I87">
            <v>42584.56890046296</v>
          </cell>
          <cell r="J87">
            <v>0</v>
          </cell>
          <cell r="K87" t="str">
            <v>4019/4020</v>
          </cell>
          <cell r="L87" t="str">
            <v>STEWART</v>
          </cell>
          <cell r="M87">
            <v>2.810185185080627E-2</v>
          </cell>
          <cell r="N87">
            <v>40.466666665161029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https://search-rtdc-monitor-bjffxe2xuh6vdkpspy63sjmuny.us-east-1.es.amazonaws.com/_plugin/kibana/#/discover/Steve-Slow-Train-Analysis-(2080s-and-2083s)?_g=(refreshInterval:(display:Off,section:0,value:0),time:(from:'2016-08-02 11:56:19-0600',mode:absolute,to:'2016-08-02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7" t="str">
            <v>N</v>
          </cell>
          <cell r="X87">
            <v>1</v>
          </cell>
          <cell r="Y87">
            <v>4.6899999999999997E-2</v>
          </cell>
          <cell r="Z87">
            <v>23.328299999999999</v>
          </cell>
          <cell r="AA87">
            <v>23.281399999999998</v>
          </cell>
          <cell r="AB87" t="e">
            <v>#N/A</v>
          </cell>
          <cell r="AC87" t="e">
            <v>#N/A</v>
          </cell>
          <cell r="AD87" t="str">
            <v>0175-02</v>
          </cell>
          <cell r="AE8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88">
          <cell r="A88" t="str">
            <v>176-02</v>
          </cell>
          <cell r="B88">
            <v>4019</v>
          </cell>
          <cell r="C88" t="str">
            <v>DE.1.0.7.0</v>
          </cell>
          <cell r="D88" t="str">
            <v>204:232977</v>
          </cell>
          <cell r="E88">
            <v>42584.5784375</v>
          </cell>
          <cell r="F88">
            <v>42584.57912037037</v>
          </cell>
          <cell r="G88">
            <v>0</v>
          </cell>
          <cell r="H88" t="str">
            <v>204:152</v>
          </cell>
          <cell r="I88">
            <v>42584.610069444447</v>
          </cell>
          <cell r="J88">
            <v>0</v>
          </cell>
          <cell r="K88" t="str">
            <v>4019/4020</v>
          </cell>
          <cell r="L88" t="str">
            <v>STEWART</v>
          </cell>
          <cell r="M88">
            <v>3.0949074076488614E-2</v>
          </cell>
          <cell r="N88">
            <v>44.566666670143604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https://search-rtdc-monitor-bjffxe2xuh6vdkpspy63sjmuny.us-east-1.es.amazonaws.com/_plugin/kibana/#/discover/Steve-Slow-Train-Analysis-(2080s-and-2083s)?_g=(refreshInterval:(display:Off,section:0,value:0),time:(from:'2016-08-02 12:52:57-0600',mode:absolute,to:'2016-08-02 15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1.52E-2</v>
          </cell>
          <cell r="AA88">
            <v>23.282499999999999</v>
          </cell>
          <cell r="AB88" t="e">
            <v>#N/A</v>
          </cell>
          <cell r="AC88" t="e">
            <v>#N/A</v>
          </cell>
          <cell r="AD88" t="str">
            <v>0176-02</v>
          </cell>
          <cell r="AE88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89">
          <cell r="A89" t="str">
            <v>177-02</v>
          </cell>
          <cell r="B89">
            <v>4009</v>
          </cell>
          <cell r="C89" t="str">
            <v>DE.1.0.7.0</v>
          </cell>
          <cell r="D89" t="str">
            <v>204:437</v>
          </cell>
          <cell r="E89">
            <v>42584.552245370367</v>
          </cell>
          <cell r="F89">
            <v>42584.553113425929</v>
          </cell>
          <cell r="G89">
            <v>1</v>
          </cell>
          <cell r="H89" t="str">
            <v>204:233349</v>
          </cell>
          <cell r="I89">
            <v>42584.580428240741</v>
          </cell>
          <cell r="J89">
            <v>2</v>
          </cell>
          <cell r="K89" t="str">
            <v>4009/4010</v>
          </cell>
          <cell r="L89" t="str">
            <v>STORY</v>
          </cell>
          <cell r="M89">
            <v>2.7314814811688848E-2</v>
          </cell>
          <cell r="N89">
            <v>39.333333328831941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9" t="str">
            <v>N</v>
          </cell>
          <cell r="X89">
            <v>1</v>
          </cell>
          <cell r="Y89">
            <v>4.3700000000000003E-2</v>
          </cell>
          <cell r="Z89">
            <v>23.334900000000001</v>
          </cell>
          <cell r="AA89">
            <v>23.2912</v>
          </cell>
          <cell r="AB89">
            <v>78349</v>
          </cell>
          <cell r="AC89" t="str">
            <v>GRADE CROSSING</v>
          </cell>
          <cell r="AD89" t="str">
            <v>0177-02</v>
          </cell>
          <cell r="AE8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90">
          <cell r="A90" t="str">
            <v>178-02</v>
          </cell>
          <cell r="B90">
            <v>4010</v>
          </cell>
          <cell r="C90" t="str">
            <v>DE.1.0.7.0</v>
          </cell>
          <cell r="D90" t="str">
            <v>204:127872</v>
          </cell>
          <cell r="E90">
            <v>42584.606874999998</v>
          </cell>
          <cell r="F90">
            <v>42584.608124999999</v>
          </cell>
          <cell r="G90">
            <v>1</v>
          </cell>
          <cell r="H90" t="str">
            <v>204:194</v>
          </cell>
          <cell r="I90">
            <v>42584.625439814816</v>
          </cell>
          <cell r="J90">
            <v>1</v>
          </cell>
          <cell r="K90" t="str">
            <v>4009/4010</v>
          </cell>
          <cell r="L90" t="str">
            <v>HAUSER</v>
          </cell>
          <cell r="M90">
            <v>1.7314814816927537E-2</v>
          </cell>
          <cell r="P90">
            <v>24.933333336375654</v>
          </cell>
          <cell r="R90" t="str">
            <v>Onboard in-route failure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https://search-rtdc-monitor-bjffxe2xuh6vdkpspy63sjmuny.us-east-1.es.amazonaws.com/_plugin/kibana/#/discover/Steve-Slow-Train-Analysis-(2080s-and-2083s)?_g=(refreshInterval:(display:Off,section:0,value:0),time:(from:'2016-08-02 13:33:54-0600',mode:absolute,to:'2016-08-02 16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0" t="str">
            <v>Y</v>
          </cell>
          <cell r="X90">
            <v>1</v>
          </cell>
          <cell r="Y90">
            <v>12.7872</v>
          </cell>
          <cell r="Z90">
            <v>1.9400000000000001E-2</v>
          </cell>
          <cell r="AA90">
            <v>12.767800000000001</v>
          </cell>
          <cell r="AB90" t="e">
            <v>#N/A</v>
          </cell>
          <cell r="AC90" t="e">
            <v>#N/A</v>
          </cell>
          <cell r="AD90" t="str">
            <v>0178-02</v>
          </cell>
          <cell r="AE90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91">
          <cell r="A91" t="str">
            <v>179-02</v>
          </cell>
          <cell r="B91">
            <v>4011</v>
          </cell>
          <cell r="C91" t="str">
            <v>DE.1.0.7.0</v>
          </cell>
          <cell r="D91" t="str">
            <v>204:462</v>
          </cell>
          <cell r="E91">
            <v>42584.560879629629</v>
          </cell>
          <cell r="F91">
            <v>42584.562106481484</v>
          </cell>
          <cell r="G91">
            <v>1</v>
          </cell>
          <cell r="H91" t="str">
            <v>204:233297</v>
          </cell>
          <cell r="I91">
            <v>42584.589699074073</v>
          </cell>
          <cell r="J91">
            <v>1</v>
          </cell>
          <cell r="K91" t="str">
            <v>4011/4012</v>
          </cell>
          <cell r="L91" t="str">
            <v>BONDS</v>
          </cell>
          <cell r="M91">
            <v>2.7592592588916887E-2</v>
          </cell>
          <cell r="N91">
            <v>39.733333328040317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https://search-rtdc-monitor-bjffxe2xuh6vdkpspy63sjmuny.us-east-1.es.amazonaws.com/_plugin/kibana/#/discover/Steve-Slow-Train-Analysis-(2080s-and-2083s)?_g=(refreshInterval:(display:Off,section:0,value:0),time:(from:'2016-08-02 12:27:40-0600',mode:absolute,to:'2016-08-02 15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1" t="str">
            <v>N</v>
          </cell>
          <cell r="X91">
            <v>1</v>
          </cell>
          <cell r="Y91">
            <v>4.6199999999999998E-2</v>
          </cell>
          <cell r="Z91">
            <v>23.329699999999999</v>
          </cell>
          <cell r="AA91">
            <v>23.2835</v>
          </cell>
          <cell r="AB91" t="e">
            <v>#N/A</v>
          </cell>
          <cell r="AC91" t="e">
            <v>#N/A</v>
          </cell>
          <cell r="AD91" t="str">
            <v>0179-02</v>
          </cell>
          <cell r="AE9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92">
          <cell r="A92" t="str">
            <v>180-02</v>
          </cell>
          <cell r="B92">
            <v>4012</v>
          </cell>
          <cell r="C92" t="str">
            <v>DE.1.0.7.0</v>
          </cell>
          <cell r="D92" t="str">
            <v>204:232996</v>
          </cell>
          <cell r="E92">
            <v>42584.593773148146</v>
          </cell>
          <cell r="F92">
            <v>42584.594780092593</v>
          </cell>
          <cell r="G92">
            <v>1</v>
          </cell>
          <cell r="H92" t="str">
            <v>204:147</v>
          </cell>
          <cell r="I92">
            <v>42584.630428240744</v>
          </cell>
          <cell r="J92">
            <v>0</v>
          </cell>
          <cell r="K92" t="str">
            <v>4011/4012</v>
          </cell>
          <cell r="L92" t="str">
            <v>BONDS</v>
          </cell>
          <cell r="M92">
            <v>3.5648148150357883E-2</v>
          </cell>
          <cell r="N92">
            <v>51.333333336515352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https://search-rtdc-monitor-bjffxe2xuh6vdkpspy63sjmuny.us-east-1.es.amazonaws.com/_plugin/kibana/#/discover/Steve-Slow-Train-Analysis-(2080s-and-2083s)?_g=(refreshInterval:(display:Off,section:0,value:0),time:(from:'2016-08-02 13:15:02-0600',mode:absolute,to:'2016-08-02 16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2" t="str">
            <v>N</v>
          </cell>
          <cell r="X92">
            <v>1</v>
          </cell>
          <cell r="Y92">
            <v>23.299600000000002</v>
          </cell>
          <cell r="Z92">
            <v>1.47E-2</v>
          </cell>
          <cell r="AA92">
            <v>23.2849</v>
          </cell>
          <cell r="AB92" t="e">
            <v>#N/A</v>
          </cell>
          <cell r="AC92" t="e">
            <v>#N/A</v>
          </cell>
          <cell r="AD92" t="str">
            <v>0180-02</v>
          </cell>
          <cell r="AE9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93">
          <cell r="A93" t="str">
            <v>181-02</v>
          </cell>
          <cell r="B93">
            <v>4042</v>
          </cell>
          <cell r="C93" t="str">
            <v>DE.1.0.7.0</v>
          </cell>
          <cell r="D93" t="str">
            <v>204:460</v>
          </cell>
          <cell r="E93">
            <v>42584.573310185187</v>
          </cell>
          <cell r="F93">
            <v>42584.574143518519</v>
          </cell>
          <cell r="G93">
            <v>1</v>
          </cell>
          <cell r="H93" t="str">
            <v>204:233334</v>
          </cell>
          <cell r="I93">
            <v>42584.601851851854</v>
          </cell>
          <cell r="J93">
            <v>0</v>
          </cell>
          <cell r="K93" t="str">
            <v>4041/4042</v>
          </cell>
          <cell r="L93" t="str">
            <v>YOUNG</v>
          </cell>
          <cell r="M93">
            <v>2.7708333334885538E-2</v>
          </cell>
          <cell r="N93">
            <v>39.900000002235174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https://search-rtdc-monitor-bjffxe2xuh6vdkpspy63sjmuny.us-east-1.es.amazonaws.com/_plugin/kibana/#/discover/Steve-Slow-Train-Analysis-(2080s-and-2083s)?_g=(refreshInterval:(display:Off,section:0,value:0),time:(from:'2016-08-02 12:45:34-0600',mode:absolute,to:'2016-08-02 15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3" t="str">
            <v>N</v>
          </cell>
          <cell r="X93">
            <v>1</v>
          </cell>
          <cell r="Y93">
            <v>4.5999999999999999E-2</v>
          </cell>
          <cell r="Z93">
            <v>23.333400000000001</v>
          </cell>
          <cell r="AA93">
            <v>23.287400000000002</v>
          </cell>
          <cell r="AB93" t="e">
            <v>#N/A</v>
          </cell>
          <cell r="AC93" t="e">
            <v>#N/A</v>
          </cell>
          <cell r="AD93" t="str">
            <v>0181-02</v>
          </cell>
          <cell r="AE9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94">
          <cell r="A94" t="str">
            <v>182-02</v>
          </cell>
          <cell r="B94">
            <v>4041</v>
          </cell>
          <cell r="C94" t="str">
            <v>DE.1.0.7.0</v>
          </cell>
          <cell r="D94" t="str">
            <v>204:232998</v>
          </cell>
          <cell r="E94">
            <v>42584.610208333332</v>
          </cell>
          <cell r="F94">
            <v>42584.611319444448</v>
          </cell>
          <cell r="G94">
            <v>1</v>
          </cell>
          <cell r="H94" t="str">
            <v>204:187</v>
          </cell>
          <cell r="I94">
            <v>42584.645370370374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3.4050925925839692E-2</v>
          </cell>
          <cell r="N94">
            <v>49.033333333209157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https://search-rtdc-monitor-bjffxe2xuh6vdkpspy63sjmuny.us-east-1.es.amazonaws.com/_plugin/kibana/#/discover/Steve-Slow-Train-Analysis-(2080s-and-2083s)?_g=(refreshInterval:(display:Off,section:0,value:0),time:(from:'2016-08-02 13:38:42-0600',mode:absolute,to:'2016-08-02 16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4" t="str">
            <v>N</v>
          </cell>
          <cell r="X94">
            <v>1</v>
          </cell>
          <cell r="Y94">
            <v>23.299800000000001</v>
          </cell>
          <cell r="Z94">
            <v>1.8700000000000001E-2</v>
          </cell>
          <cell r="AA94">
            <v>23.281100000000002</v>
          </cell>
          <cell r="AB94" t="e">
            <v>#N/A</v>
          </cell>
          <cell r="AC94" t="e">
            <v>#N/A</v>
          </cell>
          <cell r="AD94" t="str">
            <v>0182-02</v>
          </cell>
          <cell r="AE9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95">
          <cell r="A95" t="str">
            <v>183-02</v>
          </cell>
          <cell r="B95">
            <v>4014</v>
          </cell>
          <cell r="C95" t="str">
            <v>DE.1.0.7.0</v>
          </cell>
          <cell r="D95" t="str">
            <v>204:455</v>
          </cell>
          <cell r="E95">
            <v>42584.581932870373</v>
          </cell>
          <cell r="F95">
            <v>42584.583136574074</v>
          </cell>
          <cell r="G95">
            <v>1</v>
          </cell>
          <cell r="H95" t="str">
            <v>204:233314</v>
          </cell>
          <cell r="I95">
            <v>42584.610046296293</v>
          </cell>
          <cell r="J95">
            <v>0</v>
          </cell>
          <cell r="K95" t="str">
            <v>4013/4014</v>
          </cell>
          <cell r="L95" t="str">
            <v>OUN</v>
          </cell>
          <cell r="M95">
            <v>2.6909722218988463E-2</v>
          </cell>
          <cell r="N95">
            <v>38.749999995343387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https://search-rtdc-monitor-bjffxe2xuh6vdkpspy63sjmuny.us-east-1.es.amazonaws.com/_plugin/kibana/#/discover/Steve-Slow-Train-Analysis-(2080s-and-2083s)?_g=(refreshInterval:(display:Off,section:0,value:0),time:(from:'2016-08-02 12:57:59-0600',mode:absolute,to:'2016-08-02 15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4.5499999999999999E-2</v>
          </cell>
          <cell r="Z95">
            <v>23.331399999999999</v>
          </cell>
          <cell r="AA95">
            <v>23.285899999999998</v>
          </cell>
          <cell r="AB95" t="e">
            <v>#N/A</v>
          </cell>
          <cell r="AC95" t="e">
            <v>#N/A</v>
          </cell>
          <cell r="AD95" t="str">
            <v>0183-02</v>
          </cell>
          <cell r="AE9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96">
          <cell r="A96" t="str">
            <v>184-02</v>
          </cell>
          <cell r="B96">
            <v>4013</v>
          </cell>
          <cell r="C96" t="str">
            <v>DE.1.0.7.0</v>
          </cell>
          <cell r="D96" t="str">
            <v>204:233011</v>
          </cell>
          <cell r="E96">
            <v>42584.611712962964</v>
          </cell>
          <cell r="F96">
            <v>42584.61309027778</v>
          </cell>
          <cell r="G96">
            <v>1</v>
          </cell>
          <cell r="H96" t="str">
            <v>204:145</v>
          </cell>
          <cell r="I96">
            <v>42584.651770833334</v>
          </cell>
          <cell r="J96">
            <v>1</v>
          </cell>
          <cell r="K96" t="str">
            <v>4013/4014</v>
          </cell>
          <cell r="L96" t="str">
            <v>OUN</v>
          </cell>
          <cell r="M96">
            <v>3.8680555553582963E-2</v>
          </cell>
          <cell r="N96">
            <v>55.699999997159466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https://search-rtdc-monitor-bjffxe2xuh6vdkpspy63sjmuny.us-east-1.es.amazonaws.com/_plugin/kibana/#/discover/Steve-Slow-Train-Analysis-(2080s-and-2083s)?_g=(refreshInterval:(display:Off,section:0,value:0),time:(from:'2016-08-02 13:40:52-0600',mode:absolute,to:'2016-08-02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6" t="str">
            <v>N</v>
          </cell>
          <cell r="X96">
            <v>1</v>
          </cell>
          <cell r="Y96">
            <v>23.301100000000002</v>
          </cell>
          <cell r="Z96">
            <v>1.4500000000000001E-2</v>
          </cell>
          <cell r="AA96">
            <v>23.2866</v>
          </cell>
          <cell r="AB96">
            <v>103800</v>
          </cell>
          <cell r="AC96" t="str">
            <v>GRADE CROSSING</v>
          </cell>
          <cell r="AD96" t="str">
            <v>0184-02</v>
          </cell>
          <cell r="AE9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97">
          <cell r="A97" t="str">
            <v>185-02</v>
          </cell>
          <cell r="B97">
            <v>4018</v>
          </cell>
          <cell r="C97" t="str">
            <v>DE.1.0.7.0</v>
          </cell>
          <cell r="D97" t="str">
            <v>204:455</v>
          </cell>
          <cell r="E97">
            <v>42584.591562499998</v>
          </cell>
          <cell r="F97">
            <v>42584.592743055553</v>
          </cell>
          <cell r="G97">
            <v>1</v>
          </cell>
          <cell r="H97" t="str">
            <v>204:233286</v>
          </cell>
          <cell r="I97">
            <v>42584.623425925929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3.0682870376040228E-2</v>
          </cell>
          <cell r="N97">
            <v>44.183333341497928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https://search-rtdc-monitor-bjffxe2xuh6vdkpspy63sjmuny.us-east-1.es.amazonaws.com/_plugin/kibana/#/discover/Steve-Slow-Train-Analysis-(2080s-and-2083s)?_g=(refreshInterval:(display:Off,section:0,value:0),time:(from:'2016-08-02 13:11:51-0600',mode:absolute,to:'2016-08-02 15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23.328600000000002</v>
          </cell>
          <cell r="AA97">
            <v>23.283100000000001</v>
          </cell>
          <cell r="AB97" t="e">
            <v>#N/A</v>
          </cell>
          <cell r="AC97" t="e">
            <v>#N/A</v>
          </cell>
          <cell r="AD97" t="str">
            <v>0185-02</v>
          </cell>
          <cell r="AE9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98">
          <cell r="A98" t="str">
            <v>186-02</v>
          </cell>
          <cell r="B98">
            <v>4017</v>
          </cell>
          <cell r="C98" t="str">
            <v>DE.1.0.7.0</v>
          </cell>
          <cell r="D98" t="str">
            <v>204:232969</v>
          </cell>
          <cell r="E98">
            <v>42584.629421296297</v>
          </cell>
          <cell r="F98">
            <v>42584.630335648151</v>
          </cell>
          <cell r="G98">
            <v>1</v>
          </cell>
          <cell r="H98" t="str">
            <v>204:1181</v>
          </cell>
          <cell r="I98">
            <v>42584.663032407407</v>
          </cell>
          <cell r="J98">
            <v>0</v>
          </cell>
          <cell r="K98" t="str">
            <v>4017/4018</v>
          </cell>
          <cell r="L98" t="str">
            <v>SWANSON</v>
          </cell>
          <cell r="M98">
            <v>3.269675925548654E-2</v>
          </cell>
          <cell r="N98">
            <v>47.083333327900618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https://search-rtdc-monitor-bjffxe2xuh6vdkpspy63sjmuny.us-east-1.es.amazonaws.com/_plugin/kibana/#/discover/Steve-Slow-Train-Analysis-(2080s-and-2083s)?_g=(refreshInterval:(display:Off,section:0,value:0),time:(from:'2016-08-02 14:06:22-0600',mode:absolute,to:'2016-08-02 16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23.296900000000001</v>
          </cell>
          <cell r="Z98">
            <v>0.1181</v>
          </cell>
          <cell r="AA98">
            <v>23.178800000000003</v>
          </cell>
          <cell r="AB98" t="e">
            <v>#N/A</v>
          </cell>
          <cell r="AC98" t="e">
            <v>#N/A</v>
          </cell>
          <cell r="AD98" t="str">
            <v>0186-02</v>
          </cell>
          <cell r="AE9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99">
          <cell r="A99" t="str">
            <v>187-02</v>
          </cell>
          <cell r="B99">
            <v>4016</v>
          </cell>
          <cell r="C99" t="str">
            <v>DE.1.0.7.0</v>
          </cell>
          <cell r="D99" t="str">
            <v>204:484</v>
          </cell>
          <cell r="E99">
            <v>42584.602210648147</v>
          </cell>
          <cell r="F99">
            <v>42584.603229166663</v>
          </cell>
          <cell r="G99">
            <v>1</v>
          </cell>
          <cell r="H99" t="str">
            <v>204:233291</v>
          </cell>
          <cell r="I99">
            <v>42584.630648148152</v>
          </cell>
          <cell r="J99">
            <v>0</v>
          </cell>
          <cell r="K99" t="str">
            <v>4015/4016</v>
          </cell>
          <cell r="L99" t="str">
            <v>BARTLETT</v>
          </cell>
          <cell r="M99">
            <v>2.7418981488153804E-2</v>
          </cell>
          <cell r="N99">
            <v>39.483333342941478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https://search-rtdc-monitor-bjffxe2xuh6vdkpspy63sjmuny.us-east-1.es.amazonaws.com/_plugin/kibana/#/discover/Steve-Slow-Train-Analysis-(2080s-and-2083s)?_g=(refreshInterval:(display:Off,section:0,value:0),time:(from:'2016-08-02 13:27:11-0600',mode:absolute,to:'2016-08-02 16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9" t="str">
            <v>N</v>
          </cell>
          <cell r="X99">
            <v>1</v>
          </cell>
          <cell r="Y99">
            <v>4.8399999999999999E-2</v>
          </cell>
          <cell r="Z99">
            <v>23.3291</v>
          </cell>
          <cell r="AA99">
            <v>23.2807</v>
          </cell>
          <cell r="AB99" t="e">
            <v>#N/A</v>
          </cell>
          <cell r="AC99" t="e">
            <v>#N/A</v>
          </cell>
          <cell r="AD99" t="str">
            <v>0187-02</v>
          </cell>
          <cell r="AE9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00">
          <cell r="A100" t="str">
            <v>188-02</v>
          </cell>
          <cell r="B100">
            <v>4015</v>
          </cell>
          <cell r="C100" t="str">
            <v>DE.1.0.7.0</v>
          </cell>
          <cell r="D100" t="str">
            <v>204:232987</v>
          </cell>
          <cell r="E100">
            <v>42584.638749999998</v>
          </cell>
          <cell r="F100">
            <v>42584.639699074076</v>
          </cell>
          <cell r="G100">
            <v>1</v>
          </cell>
          <cell r="H100" t="str">
            <v>204:4286</v>
          </cell>
          <cell r="I100">
            <v>42584.668969907405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2.9270833329064772E-2</v>
          </cell>
          <cell r="N100">
            <v>42.149999993853271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https://search-rtdc-monitor-bjffxe2xuh6vdkpspy63sjmuny.us-east-1.es.amazonaws.com/_plugin/kibana/#/discover/Steve-Slow-Train-Analysis-(2080s-and-2083s)?_g=(refreshInterval:(display:Off,section:0,value:0),time:(from:'2016-08-02 14:19:48-0600',mode:absolute,to:'2016-08-02 17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0" t="str">
            <v>Y</v>
          </cell>
          <cell r="X100">
            <v>1</v>
          </cell>
          <cell r="Y100">
            <v>23.2987</v>
          </cell>
          <cell r="Z100">
            <v>0.42859999999999998</v>
          </cell>
          <cell r="AA100">
            <v>22.870100000000001</v>
          </cell>
          <cell r="AB100">
            <v>4102</v>
          </cell>
          <cell r="AC100" t="str">
            <v>SWITCH UNKNOWN</v>
          </cell>
          <cell r="AD100" t="str">
            <v>0188-02</v>
          </cell>
          <cell r="AE10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01">
          <cell r="A101" t="str">
            <v>189-02</v>
          </cell>
          <cell r="B101">
            <v>4020</v>
          </cell>
          <cell r="C101" t="str">
            <v>DE.1.0.7.0</v>
          </cell>
          <cell r="D101" t="str">
            <v>204:458</v>
          </cell>
          <cell r="E101">
            <v>42584.612175925926</v>
          </cell>
          <cell r="F101">
            <v>42584.613321759258</v>
          </cell>
          <cell r="G101">
            <v>1</v>
          </cell>
          <cell r="H101" t="str">
            <v>204:233337</v>
          </cell>
          <cell r="I101">
            <v>42584.642048611109</v>
          </cell>
          <cell r="J101">
            <v>0</v>
          </cell>
          <cell r="K101" t="str">
            <v>4019/4020</v>
          </cell>
          <cell r="L101" t="str">
            <v>STEWART</v>
          </cell>
          <cell r="M101">
            <v>2.8726851851388346E-2</v>
          </cell>
          <cell r="N101">
            <v>41.366666665999219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https://search-rtdc-monitor-bjffxe2xuh6vdkpspy63sjmuny.us-east-1.es.amazonaws.com/_plugin/kibana/#/discover/Steve-Slow-Train-Analysis-(2080s-and-2083s)?_g=(refreshInterval:(display:Off,section:0,value:0),time:(from:'2016-08-02 13:41:32-0600',mode:absolute,to:'2016-08-02 16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1" t="str">
            <v>N</v>
          </cell>
          <cell r="X101">
            <v>1</v>
          </cell>
          <cell r="Y101">
            <v>4.58E-2</v>
          </cell>
          <cell r="Z101">
            <v>23.3337</v>
          </cell>
          <cell r="AA101">
            <v>23.2879</v>
          </cell>
          <cell r="AB101" t="e">
            <v>#N/A</v>
          </cell>
          <cell r="AC101" t="e">
            <v>#N/A</v>
          </cell>
          <cell r="AD101" t="str">
            <v>0189-02</v>
          </cell>
          <cell r="AE10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02">
          <cell r="A102" t="str">
            <v>190-02</v>
          </cell>
          <cell r="B102">
            <v>4019</v>
          </cell>
          <cell r="C102" t="str">
            <v>DE.1.0.7.0</v>
          </cell>
          <cell r="D102" t="str">
            <v>204:232977</v>
          </cell>
          <cell r="E102">
            <v>42584.648680555554</v>
          </cell>
          <cell r="F102">
            <v>42584.649583333332</v>
          </cell>
          <cell r="G102">
            <v>1</v>
          </cell>
          <cell r="H102" t="str">
            <v>204:167</v>
          </cell>
          <cell r="I102">
            <v>42584.682650462964</v>
          </cell>
          <cell r="J102">
            <v>0</v>
          </cell>
          <cell r="K102" t="str">
            <v>4019/4020</v>
          </cell>
          <cell r="L102" t="str">
            <v>STEWART</v>
          </cell>
          <cell r="M102">
            <v>3.3067129632399883E-2</v>
          </cell>
          <cell r="N102">
            <v>47.616666670655832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https://search-rtdc-monitor-bjffxe2xuh6vdkpspy63sjmuny.us-east-1.es.amazonaws.com/_plugin/kibana/#/discover/Steve-Slow-Train-Analysis-(2080s-and-2083s)?_g=(refreshInterval:(display:Off,section:0,value:0),time:(from:'2016-08-02 14:34:06-0600',mode:absolute,to:'2016-08-02 17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1.67E-2</v>
          </cell>
          <cell r="AA102">
            <v>23.280999999999999</v>
          </cell>
          <cell r="AB102" t="e">
            <v>#N/A</v>
          </cell>
          <cell r="AC102" t="e">
            <v>#N/A</v>
          </cell>
          <cell r="AD102" t="str">
            <v>0190-02</v>
          </cell>
          <cell r="AE10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03">
          <cell r="A103" t="str">
            <v>191-02</v>
          </cell>
          <cell r="B103">
            <v>4009</v>
          </cell>
          <cell r="C103" t="str">
            <v>DE.1.0.7.0</v>
          </cell>
          <cell r="D103" t="str">
            <v>204:498</v>
          </cell>
          <cell r="E103">
            <v>42584.626620370371</v>
          </cell>
          <cell r="F103">
            <v>42584.627581018518</v>
          </cell>
          <cell r="G103">
            <v>1</v>
          </cell>
          <cell r="H103" t="str">
            <v>204:233346</v>
          </cell>
          <cell r="I103">
            <v>42584.657534722224</v>
          </cell>
          <cell r="J103">
            <v>0</v>
          </cell>
          <cell r="K103" t="str">
            <v>4009/4010</v>
          </cell>
          <cell r="L103" t="str">
            <v>STORY</v>
          </cell>
          <cell r="M103">
            <v>2.9953703706269152E-2</v>
          </cell>
          <cell r="N103">
            <v>43.13333333702758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https://search-rtdc-monitor-bjffxe2xuh6vdkpspy63sjmuny.us-east-1.es.amazonaws.com/_plugin/kibana/#/discover/Steve-Slow-Train-Analysis-(2080s-and-2083s)?_g=(refreshInterval:(display:Off,section:0,value:0),time:(from:'2016-08-02 14:02:20-0600',mode:absolute,to:'2016-08-02 16:46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3" t="str">
            <v>N</v>
          </cell>
          <cell r="X103">
            <v>1</v>
          </cell>
          <cell r="Y103">
            <v>4.9799999999999997E-2</v>
          </cell>
          <cell r="Z103">
            <v>23.334599999999998</v>
          </cell>
          <cell r="AA103">
            <v>23.284799999999997</v>
          </cell>
          <cell r="AB103" t="e">
            <v>#N/A</v>
          </cell>
          <cell r="AC103" t="e">
            <v>#N/A</v>
          </cell>
          <cell r="AD103" t="str">
            <v>0191-02</v>
          </cell>
          <cell r="AE10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04">
          <cell r="A104" t="str">
            <v>192-02</v>
          </cell>
          <cell r="B104">
            <v>4010</v>
          </cell>
          <cell r="C104" t="str">
            <v>DE.1.0.7.0</v>
          </cell>
          <cell r="D104" t="str">
            <v>204:233049</v>
          </cell>
          <cell r="E104">
            <v>42584.658738425926</v>
          </cell>
          <cell r="F104">
            <v>42584.660254629627</v>
          </cell>
          <cell r="G104">
            <v>2</v>
          </cell>
          <cell r="H104" t="str">
            <v>204:147</v>
          </cell>
          <cell r="I104">
            <v>42584.695486111108</v>
          </cell>
          <cell r="J104">
            <v>0</v>
          </cell>
          <cell r="K104" t="str">
            <v>4009/4010</v>
          </cell>
          <cell r="L104" t="str">
            <v>STORY</v>
          </cell>
          <cell r="M104">
            <v>3.5231481480877846E-2</v>
          </cell>
          <cell r="N104">
            <v>50.733333332464099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https://search-rtdc-monitor-bjffxe2xuh6vdkpspy63sjmuny.us-east-1.es.amazonaws.com/_plugin/kibana/#/discover/Steve-Slow-Train-Analysis-(2080s-and-2083s)?_g=(refreshInterval:(display:Off,section:0,value:0),time:(from:'2016-08-02 14:48:35-0600',mode:absolute,to:'2016-08-02 17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4" t="str">
            <v>N</v>
          </cell>
          <cell r="X104">
            <v>1</v>
          </cell>
          <cell r="Y104">
            <v>23.3049</v>
          </cell>
          <cell r="Z104">
            <v>1.47E-2</v>
          </cell>
          <cell r="AA104">
            <v>23.290199999999999</v>
          </cell>
          <cell r="AB104" t="e">
            <v>#N/A</v>
          </cell>
          <cell r="AC104" t="e">
            <v>#N/A</v>
          </cell>
          <cell r="AD104" t="str">
            <v>0192-02</v>
          </cell>
          <cell r="AE10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05">
          <cell r="A105" t="str">
            <v>193-02</v>
          </cell>
          <cell r="B105">
            <v>4011</v>
          </cell>
          <cell r="C105" t="str">
            <v>DE.1.0.7.0</v>
          </cell>
          <cell r="D105" t="str">
            <v>204:446</v>
          </cell>
          <cell r="E105">
            <v>42584.632094907407</v>
          </cell>
          <cell r="F105">
            <v>42584.633055555554</v>
          </cell>
          <cell r="G105">
            <v>1</v>
          </cell>
          <cell r="H105" t="str">
            <v>204:233289</v>
          </cell>
          <cell r="I105">
            <v>42584.660995370374</v>
          </cell>
          <cell r="J105">
            <v>0</v>
          </cell>
          <cell r="K105" t="str">
            <v>4011/4012</v>
          </cell>
          <cell r="L105" t="str">
            <v>BONDS</v>
          </cell>
          <cell r="M105">
            <v>2.7939814819546882E-2</v>
          </cell>
          <cell r="N105">
            <v>40.23333334014751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https://search-rtdc-monitor-bjffxe2xuh6vdkpspy63sjmuny.us-east-1.es.amazonaws.com/_plugin/kibana/#/discover/Steve-Slow-Train-Analysis-(2080s-and-2083s)?_g=(refreshInterval:(display:Off,section:0,value:0),time:(from:'2016-08-02 14:10:13-0600',mode:absolute,to:'2016-08-02 16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5" t="str">
            <v>N</v>
          </cell>
          <cell r="X105">
            <v>1</v>
          </cell>
          <cell r="Y105">
            <v>4.4600000000000001E-2</v>
          </cell>
          <cell r="Z105">
            <v>23.328900000000001</v>
          </cell>
          <cell r="AA105">
            <v>23.284300000000002</v>
          </cell>
          <cell r="AB105" t="e">
            <v>#N/A</v>
          </cell>
          <cell r="AC105" t="e">
            <v>#N/A</v>
          </cell>
          <cell r="AD105" t="str">
            <v>0193-02</v>
          </cell>
          <cell r="AE10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06">
          <cell r="A106" t="str">
            <v>194-02</v>
          </cell>
          <cell r="B106">
            <v>4012</v>
          </cell>
          <cell r="C106" t="str">
            <v>DE.1.0.7.0</v>
          </cell>
          <cell r="D106" t="str">
            <v>204:232998</v>
          </cell>
          <cell r="E106">
            <v>42584.665555555555</v>
          </cell>
          <cell r="F106">
            <v>42584.667500000003</v>
          </cell>
          <cell r="G106">
            <v>2</v>
          </cell>
          <cell r="H106" t="str">
            <v>204:152</v>
          </cell>
          <cell r="I106">
            <v>42584.703576388885</v>
          </cell>
          <cell r="J106">
            <v>0</v>
          </cell>
          <cell r="K106" t="str">
            <v>4011/4012</v>
          </cell>
          <cell r="L106" t="str">
            <v>BONDS</v>
          </cell>
          <cell r="M106">
            <v>3.6076388882065658E-2</v>
          </cell>
          <cell r="N106">
            <v>51.949999990174547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https://search-rtdc-monitor-bjffxe2xuh6vdkpspy63sjmuny.us-east-1.es.amazonaws.com/_plugin/kibana/#/discover/Steve-Slow-Train-Analysis-(2080s-and-2083s)?_g=(refreshInterval:(display:Off,section:0,value:0),time:(from:'2016-08-02 14:58:24-0600',mode:absolute,to:'2016-08-02 17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1.52E-2</v>
          </cell>
          <cell r="AA106">
            <v>23.284600000000001</v>
          </cell>
          <cell r="AB106" t="e">
            <v>#N/A</v>
          </cell>
          <cell r="AC106" t="e">
            <v>#N/A</v>
          </cell>
          <cell r="AD106" t="str">
            <v>0194-02</v>
          </cell>
          <cell r="AE10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07">
          <cell r="A107" t="str">
            <v>195-02</v>
          </cell>
          <cell r="B107">
            <v>4042</v>
          </cell>
          <cell r="C107" t="str">
            <v>DE.1.0.7.0</v>
          </cell>
          <cell r="D107" t="str">
            <v>204:498</v>
          </cell>
          <cell r="E107">
            <v>42584.646469907406</v>
          </cell>
          <cell r="F107">
            <v>42584.647199074076</v>
          </cell>
          <cell r="G107">
            <v>1</v>
          </cell>
          <cell r="H107" t="str">
            <v>204:233314</v>
          </cell>
          <cell r="I107">
            <v>42584.673946759256</v>
          </cell>
          <cell r="J107">
            <v>0</v>
          </cell>
          <cell r="K107" t="str">
            <v>4041/4042</v>
          </cell>
          <cell r="L107" t="str">
            <v>YOUNG</v>
          </cell>
          <cell r="M107">
            <v>2.6747685180453118E-2</v>
          </cell>
          <cell r="N107">
            <v>38.51666665985249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https://search-rtdc-monitor-bjffxe2xuh6vdkpspy63sjmuny.us-east-1.es.amazonaws.com/_plugin/kibana/#/discover/Steve-Slow-Train-Analysis-(2080s-and-2083s)?_g=(refreshInterval:(display:Off,section:0,value:0),time:(from:'2016-08-02 14:30:55-0600',mode:absolute,to:'2016-08-02 17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7" t="str">
            <v>N</v>
          </cell>
          <cell r="X107">
            <v>1</v>
          </cell>
          <cell r="Y107">
            <v>4.9799999999999997E-2</v>
          </cell>
          <cell r="Z107">
            <v>23.331399999999999</v>
          </cell>
          <cell r="AA107">
            <v>23.281599999999997</v>
          </cell>
          <cell r="AB107" t="e">
            <v>#N/A</v>
          </cell>
          <cell r="AC107" t="e">
            <v>#N/A</v>
          </cell>
          <cell r="AD107" t="str">
            <v>0195-02</v>
          </cell>
          <cell r="AE10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08">
          <cell r="A108" t="str">
            <v>196-02</v>
          </cell>
          <cell r="B108">
            <v>4041</v>
          </cell>
          <cell r="C108" t="str">
            <v>DE.1.0.7.0</v>
          </cell>
          <cell r="D108" t="str">
            <v>204:233010</v>
          </cell>
          <cell r="E108">
            <v>42584.677928240744</v>
          </cell>
          <cell r="F108">
            <v>42584.678749999999</v>
          </cell>
          <cell r="G108">
            <v>1</v>
          </cell>
          <cell r="H108" t="str">
            <v>204:156</v>
          </cell>
          <cell r="I108">
            <v>42584.71292824074</v>
          </cell>
          <cell r="J108">
            <v>1</v>
          </cell>
          <cell r="K108" t="str">
            <v>4041/4042</v>
          </cell>
          <cell r="L108" t="str">
            <v>YOUNG</v>
          </cell>
          <cell r="M108">
            <v>3.4178240741312038E-2</v>
          </cell>
          <cell r="N108">
            <v>49.216666667489335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https://search-rtdc-monitor-bjffxe2xuh6vdkpspy63sjmuny.us-east-1.es.amazonaws.com/_plugin/kibana/#/discover/Steve-Slow-Train-Analysis-(2080s-and-2083s)?_g=(refreshInterval:(display:Off,section:0,value:0),time:(from:'2016-08-02 15:16:13-0600',mode:absolute,to:'2016-08-02 18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8" t="str">
            <v>N</v>
          </cell>
          <cell r="X108">
            <v>1</v>
          </cell>
          <cell r="Y108">
            <v>23.300999999999998</v>
          </cell>
          <cell r="Z108">
            <v>1.5599999999999999E-2</v>
          </cell>
          <cell r="AA108">
            <v>23.285399999999999</v>
          </cell>
          <cell r="AB108" t="e">
            <v>#N/A</v>
          </cell>
          <cell r="AC108" t="e">
            <v>#N/A</v>
          </cell>
          <cell r="AD108" t="str">
            <v>0196-02</v>
          </cell>
          <cell r="AE10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09">
          <cell r="A109" t="str">
            <v>197-02</v>
          </cell>
          <cell r="B109">
            <v>4014</v>
          </cell>
          <cell r="C109" t="str">
            <v>DE.1.0.7.0</v>
          </cell>
          <cell r="D109" t="str">
            <v>204:446</v>
          </cell>
          <cell r="E109">
            <v>42584.653634259259</v>
          </cell>
          <cell r="F109">
            <v>42584.654629629629</v>
          </cell>
          <cell r="G109">
            <v>1</v>
          </cell>
          <cell r="H109" t="str">
            <v>204:233291</v>
          </cell>
          <cell r="I109">
            <v>42584.683229166665</v>
          </cell>
          <cell r="J109">
            <v>0</v>
          </cell>
          <cell r="K109" t="str">
            <v>4013/4014</v>
          </cell>
          <cell r="L109" t="str">
            <v>OUN</v>
          </cell>
          <cell r="M109">
            <v>2.8599537035916001E-2</v>
          </cell>
          <cell r="N109">
            <v>41.183333331719041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https://search-rtdc-monitor-bjffxe2xuh6vdkpspy63sjmuny.us-east-1.es.amazonaws.com/_plugin/kibana/#/discover/Steve-Slow-Train-Analysis-(2080s-and-2083s)?_g=(refreshInterval:(display:Off,section:0,value:0),time:(from:'2016-08-02 14:41:14-0600',mode:absolute,to:'2016-08-02 17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4.4600000000000001E-2</v>
          </cell>
          <cell r="Z109">
            <v>23.3291</v>
          </cell>
          <cell r="AA109">
            <v>23.284500000000001</v>
          </cell>
          <cell r="AB109" t="e">
            <v>#N/A</v>
          </cell>
          <cell r="AC109" t="e">
            <v>#N/A</v>
          </cell>
          <cell r="AD109" t="str">
            <v>0197-02</v>
          </cell>
          <cell r="AE10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10">
          <cell r="A110" t="str">
            <v>198-02</v>
          </cell>
          <cell r="B110">
            <v>4013</v>
          </cell>
          <cell r="C110" t="str">
            <v>DE.1.0.7.0</v>
          </cell>
          <cell r="D110" t="str">
            <v>204:232961</v>
          </cell>
          <cell r="E110">
            <v>42584.693020833336</v>
          </cell>
          <cell r="F110">
            <v>42584.69390046296</v>
          </cell>
          <cell r="G110">
            <v>1</v>
          </cell>
          <cell r="H110" t="str">
            <v>204:165</v>
          </cell>
          <cell r="I110">
            <v>42584.724004629628</v>
          </cell>
          <cell r="J110">
            <v>0</v>
          </cell>
          <cell r="K110" t="str">
            <v>4013/4014</v>
          </cell>
          <cell r="L110" t="str">
            <v>OUN</v>
          </cell>
          <cell r="M110">
            <v>3.0104166668024845E-2</v>
          </cell>
          <cell r="N110">
            <v>43.350000001955777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https://search-rtdc-monitor-bjffxe2xuh6vdkpspy63sjmuny.us-east-1.es.amazonaws.com/_plugin/kibana/#/discover/Steve-Slow-Train-Analysis-(2080s-and-2083s)?_g=(refreshInterval:(display:Off,section:0,value:0),time:(from:'2016-08-02 15:37:57-0600',mode:absolute,to:'2016-08-02 18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0" t="str">
            <v>N</v>
          </cell>
          <cell r="X110">
            <v>1</v>
          </cell>
          <cell r="Y110">
            <v>23.296099999999999</v>
          </cell>
          <cell r="Z110">
            <v>1.6500000000000001E-2</v>
          </cell>
          <cell r="AA110">
            <v>23.279599999999999</v>
          </cell>
          <cell r="AB110" t="e">
            <v>#N/A</v>
          </cell>
          <cell r="AC110" t="e">
            <v>#N/A</v>
          </cell>
          <cell r="AD110" t="str">
            <v>0198-02</v>
          </cell>
          <cell r="AE11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11">
          <cell r="A111" t="str">
            <v>199-02</v>
          </cell>
          <cell r="B111">
            <v>4025</v>
          </cell>
          <cell r="C111" t="str">
            <v>DE.1.0.7.0</v>
          </cell>
          <cell r="D111" t="str">
            <v>204:455</v>
          </cell>
          <cell r="E111">
            <v>42584.664837962962</v>
          </cell>
          <cell r="F111">
            <v>42584.669293981482</v>
          </cell>
          <cell r="G111">
            <v>6</v>
          </cell>
          <cell r="H111" t="str">
            <v>204:233295</v>
          </cell>
          <cell r="I111">
            <v>42584.699652777781</v>
          </cell>
          <cell r="J111">
            <v>0</v>
          </cell>
          <cell r="K111" t="str">
            <v>4025/4026</v>
          </cell>
          <cell r="L111" t="str">
            <v>SWANSON</v>
          </cell>
          <cell r="M111">
            <v>3.0358796298969537E-2</v>
          </cell>
          <cell r="N111">
            <v>43.716666670516133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https://search-rtdc-monitor-bjffxe2xuh6vdkpspy63sjmuny.us-east-1.es.amazonaws.com/_plugin/kibana/#/discover/Steve-Slow-Train-Analysis-(2080s-and-2083s)?_g=(refreshInterval:(display:Off,section:0,value:0),time:(from:'2016-08-02 14:57:22-0600',mode:absolute,to:'2016-08-02 17:47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1" t="str">
            <v>N</v>
          </cell>
          <cell r="X111">
            <v>1</v>
          </cell>
          <cell r="Y111">
            <v>4.5499999999999999E-2</v>
          </cell>
          <cell r="Z111">
            <v>23.329499999999999</v>
          </cell>
          <cell r="AA111">
            <v>23.283999999999999</v>
          </cell>
          <cell r="AB111" t="e">
            <v>#N/A</v>
          </cell>
          <cell r="AC111" t="e">
            <v>#N/A</v>
          </cell>
          <cell r="AD111" t="str">
            <v>0199-02</v>
          </cell>
          <cell r="AE111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12">
          <cell r="A112" t="str">
            <v>200-02</v>
          </cell>
          <cell r="B112">
            <v>4026</v>
          </cell>
          <cell r="C112" t="str">
            <v>DE.1.0.7.0</v>
          </cell>
          <cell r="D112" t="str">
            <v>204:232976</v>
          </cell>
          <cell r="E112">
            <v>42584.702349537038</v>
          </cell>
          <cell r="F112">
            <v>42584.703969907408</v>
          </cell>
          <cell r="G112">
            <v>2</v>
          </cell>
          <cell r="H112" t="str">
            <v>204:160</v>
          </cell>
          <cell r="I112">
            <v>42584.734236111108</v>
          </cell>
          <cell r="J112">
            <v>1</v>
          </cell>
          <cell r="K112" t="str">
            <v>4025/4026</v>
          </cell>
          <cell r="L112" t="str">
            <v>SWANSON</v>
          </cell>
          <cell r="M112">
            <v>3.0266203699284233E-2</v>
          </cell>
          <cell r="N112">
            <v>43.583333326969296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https://search-rtdc-monitor-bjffxe2xuh6vdkpspy63sjmuny.us-east-1.es.amazonaws.com/_plugin/kibana/#/discover/Steve-Slow-Train-Analysis-(2080s-and-2083s)?_g=(refreshInterval:(display:Off,section:0,value:0),time:(from:'2016-08-02 15:51:23-0600',mode:absolute,to:'2016-08-02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2" t="str">
            <v>N</v>
          </cell>
          <cell r="X112">
            <v>1</v>
          </cell>
          <cell r="Y112">
            <v>23.297599999999999</v>
          </cell>
          <cell r="Z112">
            <v>1.6E-2</v>
          </cell>
          <cell r="AA112">
            <v>23.281600000000001</v>
          </cell>
          <cell r="AB112" t="e">
            <v>#N/A</v>
          </cell>
          <cell r="AC112" t="e">
            <v>#N/A</v>
          </cell>
          <cell r="AD112" t="str">
            <v>0200-02</v>
          </cell>
          <cell r="AE112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13">
          <cell r="A113" t="str">
            <v>201-02</v>
          </cell>
          <cell r="B113">
            <v>4016</v>
          </cell>
          <cell r="C113" t="str">
            <v>DE.1.0.7.0</v>
          </cell>
          <cell r="D113" t="str">
            <v>204:469</v>
          </cell>
          <cell r="E113">
            <v>42584.674189814818</v>
          </cell>
          <cell r="F113">
            <v>42584.675196759257</v>
          </cell>
          <cell r="G113">
            <v>1</v>
          </cell>
          <cell r="H113" t="str">
            <v>204:233284</v>
          </cell>
          <cell r="I113">
            <v>42584.703287037039</v>
          </cell>
          <cell r="J113">
            <v>1</v>
          </cell>
          <cell r="K113" t="str">
            <v>4015/4016</v>
          </cell>
          <cell r="L113" t="str">
            <v>BARTLETT</v>
          </cell>
          <cell r="M113">
            <v>2.8090277781302575E-2</v>
          </cell>
          <cell r="N113">
            <v>40.450000005075708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https://search-rtdc-monitor-bjffxe2xuh6vdkpspy63sjmuny.us-east-1.es.amazonaws.com/_plugin/kibana/#/discover/Steve-Slow-Train-Analysis-(2080s-and-2083s)?_g=(refreshInterval:(display:Off,section:0,value:0),time:(from:'2016-08-02 15:10:50-0600',mode:absolute,to:'2016-08-02 17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3" t="str">
            <v>N</v>
          </cell>
          <cell r="X113">
            <v>1</v>
          </cell>
          <cell r="Y113">
            <v>4.6899999999999997E-2</v>
          </cell>
          <cell r="Z113">
            <v>23.328399999999998</v>
          </cell>
          <cell r="AA113">
            <v>23.281499999999998</v>
          </cell>
          <cell r="AB113" t="e">
            <v>#N/A</v>
          </cell>
          <cell r="AC113" t="e">
            <v>#N/A</v>
          </cell>
          <cell r="AD113" t="str">
            <v>0201-02</v>
          </cell>
          <cell r="AE11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14">
          <cell r="A114" t="str">
            <v>202-02</v>
          </cell>
          <cell r="B114">
            <v>4015</v>
          </cell>
          <cell r="C114" t="str">
            <v>DE.1.0.7.0</v>
          </cell>
          <cell r="D114" t="str">
            <v>204:232952</v>
          </cell>
          <cell r="E114">
            <v>42584.705555555556</v>
          </cell>
          <cell r="F114">
            <v>42584.706597222219</v>
          </cell>
          <cell r="G114">
            <v>1</v>
          </cell>
          <cell r="H114" t="str">
            <v>204:152</v>
          </cell>
          <cell r="I114">
            <v>42584.74490740741</v>
          </cell>
          <cell r="J114">
            <v>0</v>
          </cell>
          <cell r="K114" t="str">
            <v>4015/4016</v>
          </cell>
          <cell r="L114" t="str">
            <v>BARTLETT</v>
          </cell>
          <cell r="M114">
            <v>3.8310185191221535E-2</v>
          </cell>
          <cell r="N114">
            <v>55.166666675359011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https://search-rtdc-monitor-bjffxe2xuh6vdkpspy63sjmuny.us-east-1.es.amazonaws.com/_plugin/kibana/#/discover/Steve-Slow-Train-Analysis-(2080s-and-2083s)?_g=(refreshInterval:(display:Off,section:0,value:0),time:(from:'2016-08-02 15:56:00-0600',mode:absolute,to:'2016-08-02 18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4" t="str">
            <v>N</v>
          </cell>
          <cell r="X114">
            <v>1</v>
          </cell>
          <cell r="Y114">
            <v>23.295200000000001</v>
          </cell>
          <cell r="Z114">
            <v>1.52E-2</v>
          </cell>
          <cell r="AA114">
            <v>23.28</v>
          </cell>
          <cell r="AB114" t="e">
            <v>#N/A</v>
          </cell>
          <cell r="AC114" t="e">
            <v>#N/A</v>
          </cell>
          <cell r="AD114" t="str">
            <v>0202-02</v>
          </cell>
          <cell r="AE11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15">
          <cell r="A115" t="str">
            <v>203-02</v>
          </cell>
          <cell r="B115">
            <v>4020</v>
          </cell>
          <cell r="C115" t="str">
            <v>DE.1.0.7.0</v>
          </cell>
          <cell r="D115" t="str">
            <v>204:440</v>
          </cell>
          <cell r="E115">
            <v>42584.685416666667</v>
          </cell>
          <cell r="F115">
            <v>42584.686388888891</v>
          </cell>
          <cell r="G115">
            <v>1</v>
          </cell>
          <cell r="H115" t="str">
            <v>204:233293</v>
          </cell>
          <cell r="I115">
            <v>42584.713553240741</v>
          </cell>
          <cell r="J115">
            <v>0</v>
          </cell>
          <cell r="K115" t="str">
            <v>4019/4020</v>
          </cell>
          <cell r="L115" t="str">
            <v>STEWART</v>
          </cell>
          <cell r="M115">
            <v>2.7164351849933155E-2</v>
          </cell>
          <cell r="N115">
            <v>39.116666663903743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https://search-rtdc-monitor-bjffxe2xuh6vdkpspy63sjmuny.us-east-1.es.amazonaws.com/_plugin/kibana/#/discover/Steve-Slow-Train-Analysis-(2080s-and-2083s)?_g=(refreshInterval:(display:Off,section:0,value:0),time:(from:'2016-08-02 15:27:00-0600',mode:absolute,to:'2016-08-02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23.3293</v>
          </cell>
          <cell r="AA115">
            <v>23.285299999999999</v>
          </cell>
          <cell r="AB115" t="e">
            <v>#N/A</v>
          </cell>
          <cell r="AC115" t="e">
            <v>#N/A</v>
          </cell>
          <cell r="AD115" t="str">
            <v>0203-02</v>
          </cell>
          <cell r="AE11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16">
          <cell r="A116" t="str">
            <v>204-02</v>
          </cell>
          <cell r="B116">
            <v>4019</v>
          </cell>
          <cell r="C116" t="str">
            <v>DE.1.0.7.0</v>
          </cell>
          <cell r="D116" t="str">
            <v>204:232979</v>
          </cell>
          <cell r="E116">
            <v>42584.723912037036</v>
          </cell>
          <cell r="F116">
            <v>42584.724849537037</v>
          </cell>
          <cell r="G116">
            <v>1</v>
          </cell>
          <cell r="H116" t="str">
            <v>204:154</v>
          </cell>
          <cell r="I116">
            <v>42584.755416666667</v>
          </cell>
          <cell r="J116">
            <v>0</v>
          </cell>
          <cell r="K116" t="str">
            <v>4019/4020</v>
          </cell>
          <cell r="L116" t="str">
            <v>STEWART</v>
          </cell>
          <cell r="M116">
            <v>3.0567129630071577E-2</v>
          </cell>
          <cell r="N116">
            <v>44.01666666730307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https://search-rtdc-monitor-bjffxe2xuh6vdkpspy63sjmuny.us-east-1.es.amazonaws.com/_plugin/kibana/#/discover/Steve-Slow-Train-Analysis-(2080s-and-2083s)?_g=(refreshInterval:(display:Off,section:0,value:0),time:(from:'2016-08-02 16:22:26-0600',mode:absolute,to:'2016-08-02 19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6" t="str">
            <v>N</v>
          </cell>
          <cell r="X116">
            <v>1</v>
          </cell>
          <cell r="Y116">
            <v>23.297899999999998</v>
          </cell>
          <cell r="Z116">
            <v>1.54E-2</v>
          </cell>
          <cell r="AA116">
            <v>23.282499999999999</v>
          </cell>
          <cell r="AB116" t="e">
            <v>#N/A</v>
          </cell>
          <cell r="AC116" t="e">
            <v>#N/A</v>
          </cell>
          <cell r="AD116" t="str">
            <v>0204-02</v>
          </cell>
          <cell r="AE11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17">
          <cell r="A117" t="str">
            <v>205-02</v>
          </cell>
          <cell r="B117">
            <v>4009</v>
          </cell>
          <cell r="C117" t="str">
            <v>DE.1.0.7.0</v>
          </cell>
          <cell r="D117" t="str">
            <v>204:444</v>
          </cell>
          <cell r="E117">
            <v>42584.698344907411</v>
          </cell>
          <cell r="F117">
            <v>42584.699108796296</v>
          </cell>
          <cell r="G117">
            <v>1</v>
          </cell>
          <cell r="H117" t="str">
            <v>204:233332</v>
          </cell>
          <cell r="I117">
            <v>42584.724814814814</v>
          </cell>
          <cell r="J117">
            <v>0</v>
          </cell>
          <cell r="K117" t="str">
            <v>4009/4010</v>
          </cell>
          <cell r="L117" t="str">
            <v>STORY</v>
          </cell>
          <cell r="M117">
            <v>2.5706018517666962E-2</v>
          </cell>
          <cell r="N117">
            <v>37.016666665440425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https://search-rtdc-monitor-bjffxe2xuh6vdkpspy63sjmuny.us-east-1.es.amazonaws.com/_plugin/kibana/#/discover/Steve-Slow-Train-Analysis-(2080s-and-2083s)?_g=(refreshInterval:(display:Off,section:0,value:0),time:(from:'2016-08-02 15:45:37-0600',mode:absolute,to:'2016-08-02 18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7" t="str">
            <v>N</v>
          </cell>
          <cell r="X117">
            <v>1</v>
          </cell>
          <cell r="Y117">
            <v>4.4400000000000002E-2</v>
          </cell>
          <cell r="Z117">
            <v>23.333200000000001</v>
          </cell>
          <cell r="AA117">
            <v>23.288800000000002</v>
          </cell>
          <cell r="AB117" t="e">
            <v>#N/A</v>
          </cell>
          <cell r="AC117" t="e">
            <v>#N/A</v>
          </cell>
          <cell r="AD117" t="str">
            <v>0205-02</v>
          </cell>
          <cell r="AE11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18">
          <cell r="A118" t="str">
            <v>206-02</v>
          </cell>
          <cell r="B118">
            <v>4010</v>
          </cell>
          <cell r="C118" t="str">
            <v>DE.1.0.7.0</v>
          </cell>
          <cell r="D118" t="str">
            <v>204:233017</v>
          </cell>
          <cell r="E118">
            <v>42584.732800925929</v>
          </cell>
          <cell r="F118">
            <v>42584.736944444441</v>
          </cell>
          <cell r="G118">
            <v>5</v>
          </cell>
          <cell r="H118" t="str">
            <v>204:139</v>
          </cell>
          <cell r="I118">
            <v>42584.767314814817</v>
          </cell>
          <cell r="J118">
            <v>0</v>
          </cell>
          <cell r="K118" t="str">
            <v>4009/4010</v>
          </cell>
          <cell r="L118" t="str">
            <v>STORY</v>
          </cell>
          <cell r="M118">
            <v>3.0370370375749189E-2</v>
          </cell>
          <cell r="N118">
            <v>43.733333341078833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https://search-rtdc-monitor-bjffxe2xuh6vdkpspy63sjmuny.us-east-1.es.amazonaws.com/_plugin/kibana/#/discover/Steve-Slow-Train-Analysis-(2080s-and-2083s)?_g=(refreshInterval:(display:Off,section:0,value:0),time:(from:'2016-08-02 16:35:14-0600',mode:absolute,to:'2016-08-02 19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8" t="str">
            <v>N</v>
          </cell>
          <cell r="X118">
            <v>1</v>
          </cell>
          <cell r="Y118">
            <v>23.3017</v>
          </cell>
          <cell r="Z118">
            <v>1.3899999999999999E-2</v>
          </cell>
          <cell r="AA118">
            <v>23.287800000000001</v>
          </cell>
          <cell r="AB118" t="e">
            <v>#N/A</v>
          </cell>
          <cell r="AC118" t="e">
            <v>#N/A</v>
          </cell>
          <cell r="AD118" t="str">
            <v>0206-02</v>
          </cell>
          <cell r="AE1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19">
          <cell r="A119" t="str">
            <v>207-02</v>
          </cell>
          <cell r="B119">
            <v>4011</v>
          </cell>
          <cell r="C119" t="str">
            <v>DE.1.0.7.0</v>
          </cell>
          <cell r="D119" t="str">
            <v>204:444</v>
          </cell>
          <cell r="E119">
            <v>42584.705150462964</v>
          </cell>
          <cell r="F119">
            <v>42584.706342592595</v>
          </cell>
          <cell r="G119">
            <v>1</v>
          </cell>
          <cell r="H119" t="str">
            <v>204:233355</v>
          </cell>
          <cell r="I119">
            <v>42584.735173611109</v>
          </cell>
          <cell r="J119">
            <v>0</v>
          </cell>
          <cell r="K119" t="str">
            <v>4011/4012</v>
          </cell>
          <cell r="L119" t="str">
            <v>BONDS</v>
          </cell>
          <cell r="M119">
            <v>2.8831018513301387E-2</v>
          </cell>
          <cell r="N119">
            <v>41.516666659153998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https://search-rtdc-monitor-bjffxe2xuh6vdkpspy63sjmuny.us-east-1.es.amazonaws.com/_plugin/kibana/#/discover/Steve-Slow-Train-Analysis-(2080s-and-2083s)?_g=(refreshInterval:(display:Off,section:0,value:0),time:(from:'2016-08-02 15:55:25-0600',mode:absolute,to:'2016-08-02 18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4.4400000000000002E-2</v>
          </cell>
          <cell r="Z119">
            <v>23.3355</v>
          </cell>
          <cell r="AA119">
            <v>23.2911</v>
          </cell>
          <cell r="AB119" t="e">
            <v>#N/A</v>
          </cell>
          <cell r="AC119" t="e">
            <v>#N/A</v>
          </cell>
          <cell r="AD119" t="str">
            <v>0207-02</v>
          </cell>
          <cell r="AE11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20">
          <cell r="A120" t="str">
            <v>208-02</v>
          </cell>
          <cell r="B120">
            <v>4012</v>
          </cell>
          <cell r="C120" t="str">
            <v>DE.1.0.7.0</v>
          </cell>
          <cell r="D120" t="str">
            <v>204:233004</v>
          </cell>
          <cell r="E120">
            <v>42584.742962962962</v>
          </cell>
          <cell r="F120">
            <v>42584.743877314817</v>
          </cell>
          <cell r="G120">
            <v>1</v>
          </cell>
          <cell r="H120" t="str">
            <v>204:138</v>
          </cell>
          <cell r="I120">
            <v>42584.776331018518</v>
          </cell>
          <cell r="J120">
            <v>0</v>
          </cell>
          <cell r="K120" t="str">
            <v>4011/4012</v>
          </cell>
          <cell r="L120" t="str">
            <v>BONDS</v>
          </cell>
          <cell r="M120">
            <v>3.2453703701321501E-2</v>
          </cell>
          <cell r="N120">
            <v>46.733333329902962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https://search-rtdc-monitor-bjffxe2xuh6vdkpspy63sjmuny.us-east-1.es.amazonaws.com/_plugin/kibana/#/discover/Steve-Slow-Train-Analysis-(2080s-and-2083s)?_g=(refreshInterval:(display:Off,section:0,value:0),time:(from:'2016-08-02 16:49:52-0600',mode:absolute,to:'2016-08-02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0" t="str">
            <v>N</v>
          </cell>
          <cell r="X120">
            <v>1</v>
          </cell>
          <cell r="Y120">
            <v>23.3004</v>
          </cell>
          <cell r="Z120">
            <v>1.38E-2</v>
          </cell>
          <cell r="AA120">
            <v>23.2866</v>
          </cell>
          <cell r="AB120" t="e">
            <v>#N/A</v>
          </cell>
          <cell r="AC120" t="e">
            <v>#N/A</v>
          </cell>
          <cell r="AD120" t="str">
            <v>0208-02</v>
          </cell>
          <cell r="AE12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21">
          <cell r="A121" t="str">
            <v>209-02</v>
          </cell>
          <cell r="B121">
            <v>4042</v>
          </cell>
          <cell r="C121" t="str">
            <v>DE.1.0.7.0</v>
          </cell>
          <cell r="D121" t="str">
            <v>204:467</v>
          </cell>
          <cell r="E121">
            <v>42584.714953703704</v>
          </cell>
          <cell r="F121">
            <v>42584.716111111113</v>
          </cell>
          <cell r="G121">
            <v>1</v>
          </cell>
          <cell r="H121" t="str">
            <v>204:233303</v>
          </cell>
          <cell r="I121">
            <v>42584.746863425928</v>
          </cell>
          <cell r="J121">
            <v>0</v>
          </cell>
          <cell r="K121" t="str">
            <v>4041/4042</v>
          </cell>
          <cell r="L121" t="str">
            <v>YOUNG</v>
          </cell>
          <cell r="M121">
            <v>3.0752314814890269E-2</v>
          </cell>
          <cell r="N121">
            <v>44.283333333441988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https://search-rtdc-monitor-bjffxe2xuh6vdkpspy63sjmuny.us-east-1.es.amazonaws.com/_plugin/kibana/#/discover/Steve-Slow-Train-Analysis-(2080s-and-2083s)?_g=(refreshInterval:(display:Off,section:0,value:0),time:(from:'2016-08-02 16:09:32-0600',mode:absolute,to:'2016-08-02 18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1" t="str">
            <v>N</v>
          </cell>
          <cell r="X121">
            <v>1</v>
          </cell>
          <cell r="Y121">
            <v>4.6699999999999998E-2</v>
          </cell>
          <cell r="Z121">
            <v>23.330300000000001</v>
          </cell>
          <cell r="AA121">
            <v>23.2836</v>
          </cell>
          <cell r="AB121" t="e">
            <v>#N/A</v>
          </cell>
          <cell r="AC121" t="e">
            <v>#N/A</v>
          </cell>
          <cell r="AD121" t="str">
            <v>0209-02</v>
          </cell>
          <cell r="AE12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22">
          <cell r="A122" t="str">
            <v>210-02</v>
          </cell>
          <cell r="B122">
            <v>4041</v>
          </cell>
          <cell r="C122" t="str">
            <v>DE.1.0.7.0</v>
          </cell>
          <cell r="D122" t="str">
            <v>204:232986</v>
          </cell>
          <cell r="E122">
            <v>42584.750914351855</v>
          </cell>
          <cell r="F122">
            <v>42584.752106481479</v>
          </cell>
          <cell r="G122">
            <v>1</v>
          </cell>
          <cell r="H122" t="str">
            <v>204:156</v>
          </cell>
          <cell r="I122">
            <v>42584.785949074074</v>
          </cell>
          <cell r="J122">
            <v>1</v>
          </cell>
          <cell r="K122" t="str">
            <v>4041/4042</v>
          </cell>
          <cell r="L122" t="str">
            <v>ROBINSON</v>
          </cell>
          <cell r="M122">
            <v>3.3842592594737653E-2</v>
          </cell>
          <cell r="N122">
            <v>48.73333333642222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https://search-rtdc-monitor-bjffxe2xuh6vdkpspy63sjmuny.us-east-1.es.amazonaws.com/_plugin/kibana/#/discover/Steve-Slow-Train-Analysis-(2080s-and-2083s)?_g=(refreshInterval:(display:Off,section:0,value:0),time:(from:'2016-08-02 17:01:19-0600',mode:absolute,to:'2016-08-02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2" t="str">
            <v>N</v>
          </cell>
          <cell r="X122">
            <v>1</v>
          </cell>
          <cell r="Y122">
            <v>23.2986</v>
          </cell>
          <cell r="Z122">
            <v>1.5599999999999999E-2</v>
          </cell>
          <cell r="AA122">
            <v>23.283000000000001</v>
          </cell>
          <cell r="AB122" t="e">
            <v>#N/A</v>
          </cell>
          <cell r="AC122" t="e">
            <v>#N/A</v>
          </cell>
          <cell r="AD122" t="str">
            <v>0210-02</v>
          </cell>
          <cell r="AE12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23">
          <cell r="A123" t="str">
            <v>211-02</v>
          </cell>
          <cell r="B123">
            <v>4014</v>
          </cell>
          <cell r="C123" t="str">
            <v>DE.1.0.7.0</v>
          </cell>
          <cell r="D123" t="str">
            <v>204:458</v>
          </cell>
          <cell r="E123">
            <v>42584.726458333331</v>
          </cell>
          <cell r="F123">
            <v>42584.727812500001</v>
          </cell>
          <cell r="G123">
            <v>1</v>
          </cell>
          <cell r="H123" t="str">
            <v>204:233327</v>
          </cell>
          <cell r="I123">
            <v>42584.756886574076</v>
          </cell>
          <cell r="J123">
            <v>0</v>
          </cell>
          <cell r="K123" t="str">
            <v>4013/4014</v>
          </cell>
          <cell r="L123" t="str">
            <v>YOUNG</v>
          </cell>
          <cell r="M123">
            <v>2.9074074074742384E-2</v>
          </cell>
          <cell r="N123">
            <v>41.866666667629033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https://search-rtdc-monitor-bjffxe2xuh6vdkpspy63sjmuny.us-east-1.es.amazonaws.com/_plugin/kibana/#/discover/Steve-Slow-Train-Analysis-(2080s-and-2083s)?_g=(refreshInterval:(display:Off,section:0,value:0),time:(from:'2016-08-02 16:26:06-0600',mode:absolute,to:'2016-08-02 19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4.58E-2</v>
          </cell>
          <cell r="Z123">
            <v>23.332699999999999</v>
          </cell>
          <cell r="AA123">
            <v>23.286899999999999</v>
          </cell>
          <cell r="AB123" t="e">
            <v>#N/A</v>
          </cell>
          <cell r="AC123" t="e">
            <v>#N/A</v>
          </cell>
          <cell r="AD123" t="str">
            <v>0211-02</v>
          </cell>
          <cell r="AE12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24">
          <cell r="A124" t="str">
            <v>212-02</v>
          </cell>
          <cell r="B124">
            <v>4013</v>
          </cell>
          <cell r="C124" t="str">
            <v>DE.1.0.7.0</v>
          </cell>
          <cell r="D124" t="str">
            <v>204:233017</v>
          </cell>
          <cell r="E124">
            <v>42584.762812499997</v>
          </cell>
          <cell r="F124">
            <v>42584.763796296298</v>
          </cell>
          <cell r="G124">
            <v>1</v>
          </cell>
          <cell r="H124" t="str">
            <v>204:127</v>
          </cell>
          <cell r="I124">
            <v>42584.798171296294</v>
          </cell>
          <cell r="J124">
            <v>0</v>
          </cell>
          <cell r="K124" t="str">
            <v>4013/4014</v>
          </cell>
          <cell r="L124" t="str">
            <v>YOUNG</v>
          </cell>
          <cell r="M124">
            <v>3.4374999995634425E-2</v>
          </cell>
          <cell r="N124">
            <v>49.499999993713573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https://search-rtdc-monitor-bjffxe2xuh6vdkpspy63sjmuny.us-east-1.es.amazonaws.com/_plugin/kibana/#/discover/Steve-Slow-Train-Analysis-(2080s-and-2083s)?_g=(refreshInterval:(display:Off,section:0,value:0),time:(from:'2016-08-02 17:18:27-0600',mode:absolute,to:'2016-08-02 20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4" t="str">
            <v>N</v>
          </cell>
          <cell r="X124">
            <v>1</v>
          </cell>
          <cell r="Y124">
            <v>23.3017</v>
          </cell>
          <cell r="Z124">
            <v>1.2699999999999999E-2</v>
          </cell>
          <cell r="AA124">
            <v>23.289000000000001</v>
          </cell>
          <cell r="AB124" t="e">
            <v>#N/A</v>
          </cell>
          <cell r="AC124" t="e">
            <v>#N/A</v>
          </cell>
          <cell r="AD124" t="str">
            <v>0212-02</v>
          </cell>
          <cell r="AE12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25">
          <cell r="A125" t="str">
            <v>213-02</v>
          </cell>
          <cell r="B125">
            <v>4025</v>
          </cell>
          <cell r="C125" t="str">
            <v>DE.1.0.7.0</v>
          </cell>
          <cell r="D125" t="str">
            <v>204:451</v>
          </cell>
          <cell r="E125">
            <v>42584.736608796295</v>
          </cell>
          <cell r="F125">
            <v>42584.739745370367</v>
          </cell>
          <cell r="G125">
            <v>4</v>
          </cell>
          <cell r="H125" t="str">
            <v>204:233309</v>
          </cell>
          <cell r="I125">
            <v>42584.764270833337</v>
          </cell>
          <cell r="J125">
            <v>0</v>
          </cell>
          <cell r="K125" t="str">
            <v>4025/4026</v>
          </cell>
          <cell r="L125" t="str">
            <v>COOLAHAN</v>
          </cell>
          <cell r="M125">
            <v>2.4525462969904765E-2</v>
          </cell>
          <cell r="N125">
            <v>35.316666676662862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https://search-rtdc-monitor-bjffxe2xuh6vdkpspy63sjmuny.us-east-1.es.amazonaws.com/_plugin/kibana/#/discover/Steve-Slow-Train-Analysis-(2080s-and-2083s)?_g=(refreshInterval:(display:Off,section:0,value:0),time:(from:'2016-08-02 16:40:43-0600',mode:absolute,to:'2016-08-02 19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5" t="str">
            <v>N</v>
          </cell>
          <cell r="X125">
            <v>1</v>
          </cell>
          <cell r="Y125">
            <v>4.5100000000000001E-2</v>
          </cell>
          <cell r="Z125">
            <v>23.3309</v>
          </cell>
          <cell r="AA125">
            <v>23.285799999999998</v>
          </cell>
          <cell r="AB125" t="e">
            <v>#N/A</v>
          </cell>
          <cell r="AC125" t="e">
            <v>#N/A</v>
          </cell>
          <cell r="AD125" t="str">
            <v>0213-02</v>
          </cell>
          <cell r="AE12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26">
          <cell r="A126" t="str">
            <v>214-02</v>
          </cell>
          <cell r="B126">
            <v>4026</v>
          </cell>
          <cell r="C126" t="str">
            <v>DE.1.0.7.0</v>
          </cell>
          <cell r="D126" t="str">
            <v>204:232992</v>
          </cell>
          <cell r="E126">
            <v>42584.773402777777</v>
          </cell>
          <cell r="F126">
            <v>42584.774675925924</v>
          </cell>
          <cell r="G126">
            <v>1</v>
          </cell>
          <cell r="H126" t="str">
            <v>204:132</v>
          </cell>
          <cell r="I126">
            <v>42584.806064814817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3.1388888892251998E-2</v>
          </cell>
          <cell r="N126">
            <v>45.200000004842877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https://search-rtdc-monitor-bjffxe2xuh6vdkpspy63sjmuny.us-east-1.es.amazonaws.com/_plugin/kibana/#/discover/Steve-Slow-Train-Analysis-(2080s-and-2083s)?_g=(refreshInterval:(display:Off,section:0,value:0),time:(from:'2016-08-02 17:33:42-0600',mode:absolute,to:'2016-08-02 20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1.32E-2</v>
          </cell>
          <cell r="AA126">
            <v>23.285999999999998</v>
          </cell>
          <cell r="AB126" t="e">
            <v>#N/A</v>
          </cell>
          <cell r="AC126" t="e">
            <v>#N/A</v>
          </cell>
          <cell r="AD126" t="str">
            <v>0214-02</v>
          </cell>
          <cell r="AE12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27">
          <cell r="A127" t="str">
            <v>215-02</v>
          </cell>
          <cell r="B127">
            <v>4016</v>
          </cell>
          <cell r="C127" t="str">
            <v>DE.1.0.7.0</v>
          </cell>
          <cell r="D127" t="str">
            <v>204:473</v>
          </cell>
          <cell r="E127">
            <v>42584.748240740744</v>
          </cell>
          <cell r="F127">
            <v>42584.749386574076</v>
          </cell>
          <cell r="G127">
            <v>1</v>
          </cell>
          <cell r="H127" t="str">
            <v>204:233327</v>
          </cell>
          <cell r="I127">
            <v>42584.776712962965</v>
          </cell>
          <cell r="J127">
            <v>0</v>
          </cell>
          <cell r="K127" t="str">
            <v>4015/4016</v>
          </cell>
          <cell r="L127" t="str">
            <v>SWANSON</v>
          </cell>
          <cell r="M127">
            <v>2.73263888884685E-2</v>
          </cell>
          <cell r="N127">
            <v>39.34999999939464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https://search-rtdc-monitor-bjffxe2xuh6vdkpspy63sjmuny.us-east-1.es.amazonaws.com/_plugin/kibana/#/discover/Steve-Slow-Train-Analysis-(2080s-and-2083s)?_g=(refreshInterval:(display:Off,section:0,value:0),time:(from:'2016-08-02 16:57:28-0600',mode:absolute,to:'2016-08-02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7" t="str">
            <v>N</v>
          </cell>
          <cell r="X127">
            <v>1</v>
          </cell>
          <cell r="Y127">
            <v>4.7300000000000002E-2</v>
          </cell>
          <cell r="Z127">
            <v>23.332699999999999</v>
          </cell>
          <cell r="AA127">
            <v>23.285399999999999</v>
          </cell>
          <cell r="AB127" t="e">
            <v>#N/A</v>
          </cell>
          <cell r="AC127" t="e">
            <v>#N/A</v>
          </cell>
          <cell r="AD127" t="str">
            <v>0215-02</v>
          </cell>
          <cell r="AE12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28">
          <cell r="A128" t="str">
            <v>216-02</v>
          </cell>
          <cell r="B128">
            <v>4015</v>
          </cell>
          <cell r="C128" t="str">
            <v>DE.1.0.7.0</v>
          </cell>
          <cell r="D128" t="str">
            <v>204:232994</v>
          </cell>
          <cell r="E128">
            <v>42584.783483796295</v>
          </cell>
          <cell r="F128">
            <v>42584.784687500003</v>
          </cell>
          <cell r="G128">
            <v>1</v>
          </cell>
          <cell r="H128" t="str">
            <v>204:152</v>
          </cell>
          <cell r="I128">
            <v>42584.817372685182</v>
          </cell>
          <cell r="J128">
            <v>0</v>
          </cell>
          <cell r="K128" t="str">
            <v>4015/4016</v>
          </cell>
          <cell r="L128" t="str">
            <v>SWANSON</v>
          </cell>
          <cell r="M128">
            <v>3.2685185178706888E-2</v>
          </cell>
          <cell r="N128">
            <v>47.066666657337919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https://search-rtdc-monitor-bjffxe2xuh6vdkpspy63sjmuny.us-east-1.es.amazonaws.com/_plugin/kibana/#/discover/Steve-Slow-Train-Analysis-(2080s-and-2083s)?_g=(refreshInterval:(display:Off,section:0,value:0),time:(from:'2016-08-02 17:48:13-0600',mode:absolute,to:'2016-08-02 20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1.52E-2</v>
          </cell>
          <cell r="AA128">
            <v>23.284199999999998</v>
          </cell>
          <cell r="AB128" t="e">
            <v>#N/A</v>
          </cell>
          <cell r="AC128" t="e">
            <v>#N/A</v>
          </cell>
          <cell r="AD128" t="str">
            <v>0216-02</v>
          </cell>
          <cell r="AE12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29">
          <cell r="A129" t="str">
            <v>217-02</v>
          </cell>
          <cell r="B129">
            <v>4020</v>
          </cell>
          <cell r="C129" t="str">
            <v>DE.1.0.7.0</v>
          </cell>
          <cell r="D129" t="str">
            <v>204:467</v>
          </cell>
          <cell r="E129">
            <v>42584.757511574076</v>
          </cell>
          <cell r="F129">
            <v>42584.759687500002</v>
          </cell>
          <cell r="G129">
            <v>3</v>
          </cell>
          <cell r="H129" t="str">
            <v>204:233295</v>
          </cell>
          <cell r="I129">
            <v>42584.786030092589</v>
          </cell>
          <cell r="J129">
            <v>0</v>
          </cell>
          <cell r="K129" t="str">
            <v>4019/4020</v>
          </cell>
          <cell r="L129" t="str">
            <v>HAITHCOX</v>
          </cell>
          <cell r="M129">
            <v>2.6342592587752733E-2</v>
          </cell>
          <cell r="N129">
            <v>37.933333326363936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https://search-rtdc-monitor-bjffxe2xuh6vdkpspy63sjmuny.us-east-1.es.amazonaws.com/_plugin/kibana/#/discover/Steve-Slow-Train-Analysis-(2080s-and-2083s)?_g=(refreshInterval:(display:Off,section:0,value:0),time:(from:'2016-08-02 17:10:49-0600',mode:absolute,to:'2016-08-02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9" t="str">
            <v>N</v>
          </cell>
          <cell r="X129">
            <v>1</v>
          </cell>
          <cell r="Y129">
            <v>4.6699999999999998E-2</v>
          </cell>
          <cell r="Z129">
            <v>23.329499999999999</v>
          </cell>
          <cell r="AA129">
            <v>23.282799999999998</v>
          </cell>
          <cell r="AB129" t="e">
            <v>#N/A</v>
          </cell>
          <cell r="AC129" t="e">
            <v>#N/A</v>
          </cell>
          <cell r="AD129" t="str">
            <v>0217-02</v>
          </cell>
          <cell r="AE12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0">
          <cell r="A130" t="str">
            <v>218-02</v>
          </cell>
          <cell r="B130">
            <v>4019</v>
          </cell>
          <cell r="C130" t="str">
            <v>DE.1.0.7.0</v>
          </cell>
          <cell r="D130" t="str">
            <v>204:232973</v>
          </cell>
          <cell r="E130">
            <v>42584.793819444443</v>
          </cell>
          <cell r="F130">
            <v>42584.795532407406</v>
          </cell>
          <cell r="G130">
            <v>2</v>
          </cell>
          <cell r="H130" t="str">
            <v>204:134</v>
          </cell>
          <cell r="I130">
            <v>42584.839062500003</v>
          </cell>
          <cell r="J130">
            <v>0</v>
          </cell>
          <cell r="K130" t="str">
            <v>4019/4020</v>
          </cell>
          <cell r="L130" t="str">
            <v>HAITHCOX</v>
          </cell>
          <cell r="M130">
            <v>4.3530092596483883E-2</v>
          </cell>
          <cell r="N130">
            <v>62.683333338936791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https://search-rtdc-monitor-bjffxe2xuh6vdkpspy63sjmuny.us-east-1.es.amazonaws.com/_plugin/kibana/#/discover/Steve-Slow-Train-Analysis-(2080s-and-2083s)?_g=(refreshInterval:(display:Off,section:0,value:0),time:(from:'2016-08-02 18:03:06-0600',mode:absolute,to:'2016-08-02 21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0" t="str">
            <v>N</v>
          </cell>
          <cell r="X130">
            <v>1</v>
          </cell>
          <cell r="Y130">
            <v>23.2973</v>
          </cell>
          <cell r="Z130">
            <v>1.34E-2</v>
          </cell>
          <cell r="AA130">
            <v>23.283899999999999</v>
          </cell>
          <cell r="AB130" t="e">
            <v>#N/A</v>
          </cell>
          <cell r="AC130" t="e">
            <v>#N/A</v>
          </cell>
          <cell r="AD130" t="str">
            <v>0218-02</v>
          </cell>
          <cell r="AE13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31">
          <cell r="A131" t="str">
            <v>219-02</v>
          </cell>
          <cell r="B131">
            <v>4009</v>
          </cell>
          <cell r="C131" t="str">
            <v>DE.1.0.7.0</v>
          </cell>
          <cell r="D131" t="str">
            <v>204:427</v>
          </cell>
          <cell r="E131">
            <v>42584.771006944444</v>
          </cell>
          <cell r="F131">
            <v>42584.771932870368</v>
          </cell>
          <cell r="G131">
            <v>1</v>
          </cell>
          <cell r="H131" t="str">
            <v>204:233300</v>
          </cell>
          <cell r="I131">
            <v>42584.797303240739</v>
          </cell>
          <cell r="J131">
            <v>1</v>
          </cell>
          <cell r="K131" t="str">
            <v>4009/4010</v>
          </cell>
          <cell r="L131" t="str">
            <v>CHANDLER</v>
          </cell>
          <cell r="M131">
            <v>2.5370370371092577E-2</v>
          </cell>
          <cell r="N131">
            <v>36.53333333437331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https://search-rtdc-monitor-bjffxe2xuh6vdkpspy63sjmuny.us-east-1.es.amazonaws.com/_plugin/kibana/#/discover/Steve-Slow-Train-Analysis-(2080s-and-2083s)?_g=(refreshInterval:(display:Off,section:0,value:0),time:(from:'2016-08-02 17:30:15-0600',mode:absolute,to:'2016-08-02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1" t="str">
            <v>N</v>
          </cell>
          <cell r="X131">
            <v>1</v>
          </cell>
          <cell r="Y131">
            <v>4.2700000000000002E-2</v>
          </cell>
          <cell r="Z131">
            <v>23.33</v>
          </cell>
          <cell r="AA131">
            <v>23.287299999999998</v>
          </cell>
          <cell r="AB131">
            <v>230436</v>
          </cell>
          <cell r="AC131" t="str">
            <v>PERMANENT SPEED RESTRICTION</v>
          </cell>
          <cell r="AD131" t="str">
            <v>0219-02</v>
          </cell>
          <cell r="AE13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32">
          <cell r="A132" t="str">
            <v>220-02</v>
          </cell>
          <cell r="B132">
            <v>4010</v>
          </cell>
          <cell r="C132" t="str">
            <v>DE.1.0.7.0</v>
          </cell>
          <cell r="D132" t="str">
            <v>204:232983</v>
          </cell>
          <cell r="E132">
            <v>42584.807303240741</v>
          </cell>
          <cell r="F132">
            <v>42584.808576388888</v>
          </cell>
          <cell r="G132">
            <v>1</v>
          </cell>
          <cell r="H132" t="str">
            <v>204:174</v>
          </cell>
          <cell r="I132">
            <v>42584.852418981478</v>
          </cell>
          <cell r="J132">
            <v>0</v>
          </cell>
          <cell r="K132" t="str">
            <v>4009/4010</v>
          </cell>
          <cell r="L132" t="str">
            <v>CHANDLER</v>
          </cell>
          <cell r="M132">
            <v>4.3842592589498963E-2</v>
          </cell>
          <cell r="N132">
            <v>63.133333328878507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https://search-rtdc-monitor-bjffxe2xuh6vdkpspy63sjmuny.us-east-1.es.amazonaws.com/_plugin/kibana/#/discover/Steve-Slow-Train-Analysis-(2080s-and-2083s)?_g=(refreshInterval:(display:Off,section:0,value:0),time:(from:'2016-08-02 18:22:31-0600',mode:absolute,to:'2016-08-02 21:27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2" t="str">
            <v>N</v>
          </cell>
          <cell r="X132">
            <v>1</v>
          </cell>
          <cell r="Y132">
            <v>23.298300000000001</v>
          </cell>
          <cell r="Z132">
            <v>1.7399999999999999E-2</v>
          </cell>
          <cell r="AA132">
            <v>23.280900000000003</v>
          </cell>
          <cell r="AB132" t="e">
            <v>#N/A</v>
          </cell>
          <cell r="AC132" t="e">
            <v>#N/A</v>
          </cell>
          <cell r="AD132" t="str">
            <v>0220-02</v>
          </cell>
          <cell r="AE13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33">
          <cell r="A133" t="str">
            <v>221-02</v>
          </cell>
          <cell r="B133">
            <v>4042</v>
          </cell>
          <cell r="C133" t="str">
            <v>DE.1.0.7.0</v>
          </cell>
          <cell r="D133" t="str">
            <v>204:444</v>
          </cell>
          <cell r="E133">
            <v>42584.787280092591</v>
          </cell>
          <cell r="F133">
            <v>42584.788298611114</v>
          </cell>
          <cell r="G133">
            <v>1</v>
          </cell>
          <cell r="H133" t="str">
            <v>204:233304</v>
          </cell>
          <cell r="I133">
            <v>42584.817754629628</v>
          </cell>
          <cell r="J133">
            <v>0</v>
          </cell>
          <cell r="K133" t="str">
            <v>4041/4042</v>
          </cell>
          <cell r="L133" t="str">
            <v>YOUNG</v>
          </cell>
          <cell r="M133">
            <v>2.9456018513883464E-2</v>
          </cell>
          <cell r="N133">
            <v>42.416666659992188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https://search-rtdc-monitor-bjffxe2xuh6vdkpspy63sjmuny.us-east-1.es.amazonaws.com/_plugin/kibana/#/discover/Steve-Slow-Train-Analysis-(2080s-and-2083s)?_g=(refreshInterval:(display:Off,section:0,value:0),time:(from:'2016-08-02 17:53:41-0600',mode:absolute,to:'2016-08-02 20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3" t="str">
            <v>N</v>
          </cell>
          <cell r="X133">
            <v>1</v>
          </cell>
          <cell r="Y133">
            <v>4.4400000000000002E-2</v>
          </cell>
          <cell r="Z133">
            <v>23.330400000000001</v>
          </cell>
          <cell r="AA133">
            <v>23.286000000000001</v>
          </cell>
          <cell r="AB133" t="e">
            <v>#N/A</v>
          </cell>
          <cell r="AC133" t="e">
            <v>#N/A</v>
          </cell>
          <cell r="AD133" t="str">
            <v>0221-02</v>
          </cell>
          <cell r="AE13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34">
          <cell r="A134" t="str">
            <v>222-02</v>
          </cell>
          <cell r="B134">
            <v>4041</v>
          </cell>
          <cell r="C134" t="str">
            <v>DE.1.0.7.0</v>
          </cell>
          <cell r="D134" t="str">
            <v>204:232993</v>
          </cell>
          <cell r="E134">
            <v>42584.824074074073</v>
          </cell>
          <cell r="F134">
            <v>42584.825115740743</v>
          </cell>
          <cell r="G134">
            <v>1</v>
          </cell>
          <cell r="H134" t="str">
            <v>204:149</v>
          </cell>
          <cell r="I134">
            <v>42584.861585648148</v>
          </cell>
          <cell r="J134">
            <v>0</v>
          </cell>
          <cell r="K134" t="str">
            <v>4041/4042</v>
          </cell>
          <cell r="L134" t="str">
            <v>ROBINSON</v>
          </cell>
          <cell r="M134">
            <v>3.6469907405262347E-2</v>
          </cell>
          <cell r="N134">
            <v>52.51666666357778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https://search-rtdc-monitor-bjffxe2xuh6vdkpspy63sjmuny.us-east-1.es.amazonaws.com/_plugin/kibana/#/discover/Steve-Slow-Train-Analysis-(2080s-and-2083s)?_g=(refreshInterval:(display:Off,section:0,value:0),time:(from:'2016-08-02 18:46:40-0600',mode:absolute,to:'2016-08-02 21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4" t="str">
            <v>N</v>
          </cell>
          <cell r="X134">
            <v>1</v>
          </cell>
          <cell r="Y134">
            <v>23.299299999999999</v>
          </cell>
          <cell r="Z134">
            <v>1.49E-2</v>
          </cell>
          <cell r="AA134">
            <v>23.284399999999998</v>
          </cell>
          <cell r="AB134" t="e">
            <v>#N/A</v>
          </cell>
          <cell r="AC134" t="e">
            <v>#N/A</v>
          </cell>
          <cell r="AD134" t="str">
            <v>0222-02</v>
          </cell>
          <cell r="AE13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35">
          <cell r="A135" t="str">
            <v>223-02</v>
          </cell>
          <cell r="B135">
            <v>4025</v>
          </cell>
          <cell r="C135" t="str">
            <v>DE.1.0.7.0</v>
          </cell>
          <cell r="D135" t="str">
            <v>204:457</v>
          </cell>
          <cell r="E135">
            <v>42584.809918981482</v>
          </cell>
          <cell r="F135">
            <v>42584.812638888892</v>
          </cell>
          <cell r="G135">
            <v>3</v>
          </cell>
          <cell r="H135" t="str">
            <v>204:233293</v>
          </cell>
          <cell r="I135">
            <v>42584.84642361111</v>
          </cell>
          <cell r="J135">
            <v>0</v>
          </cell>
          <cell r="K135" t="str">
            <v>4025/4026</v>
          </cell>
          <cell r="L135" t="str">
            <v>COOLAHAN</v>
          </cell>
          <cell r="M135">
            <v>3.3784722218115348E-2</v>
          </cell>
          <cell r="N135">
            <v>48.649999994086102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https://search-rtdc-monitor-bjffxe2xuh6vdkpspy63sjmuny.us-east-1.es.amazonaws.com/_plugin/kibana/#/discover/Steve-Slow-Train-Analysis-(2080s-and-2083s)?_g=(refreshInterval:(display:Off,section:0,value:0),time:(from:'2016-08-02 18:26:17-0600',mode:absolute,to:'2016-08-02 21:18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5" t="str">
            <v>N</v>
          </cell>
          <cell r="X135">
            <v>1</v>
          </cell>
          <cell r="Y135">
            <v>4.5699999999999998E-2</v>
          </cell>
          <cell r="Z135">
            <v>23.3293</v>
          </cell>
          <cell r="AA135">
            <v>23.2836</v>
          </cell>
          <cell r="AB135" t="e">
            <v>#N/A</v>
          </cell>
          <cell r="AC135" t="e">
            <v>#N/A</v>
          </cell>
          <cell r="AD135" t="str">
            <v>0223-02</v>
          </cell>
          <cell r="AE13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36">
          <cell r="A136" t="str">
            <v>224-02</v>
          </cell>
          <cell r="B136">
            <v>4026</v>
          </cell>
          <cell r="C136" t="str">
            <v>DE.1.0.7.0</v>
          </cell>
          <cell r="D136" t="str">
            <v>204:232986</v>
          </cell>
          <cell r="E136">
            <v>42584.849479166667</v>
          </cell>
          <cell r="F136">
            <v>42584.850335648145</v>
          </cell>
          <cell r="G136">
            <v>1</v>
          </cell>
          <cell r="H136" t="str">
            <v>204:136</v>
          </cell>
          <cell r="I136">
            <v>42584.882303240738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3.1967592592991423E-2</v>
          </cell>
          <cell r="N136">
            <v>46.033333333907649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https://search-rtdc-monitor-bjffxe2xuh6vdkpspy63sjmuny.us-east-1.es.amazonaws.com/_plugin/kibana/#/discover/Steve-Slow-Train-Analysis-(2080s-and-2083s)?_g=(refreshInterval:(display:Off,section:0,value:0),time:(from:'2016-08-02 19:23:15-0600',mode:absolute,to:'2016-08-02 22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6" t="str">
            <v>N</v>
          </cell>
          <cell r="X136">
            <v>1</v>
          </cell>
          <cell r="Y136">
            <v>23.2986</v>
          </cell>
          <cell r="Z136">
            <v>1.3599999999999999E-2</v>
          </cell>
          <cell r="AA136">
            <v>23.285</v>
          </cell>
          <cell r="AB136" t="e">
            <v>#N/A</v>
          </cell>
          <cell r="AC136" t="e">
            <v>#N/A</v>
          </cell>
          <cell r="AD136" t="str">
            <v>0224-02</v>
          </cell>
          <cell r="AE13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37">
          <cell r="A137" t="str">
            <v>225-02</v>
          </cell>
          <cell r="B137">
            <v>4020</v>
          </cell>
          <cell r="C137" t="str">
            <v>DE.1.0.7.0</v>
          </cell>
          <cell r="D137" t="str">
            <v>204:486</v>
          </cell>
          <cell r="E137">
            <v>42584.840370370373</v>
          </cell>
          <cell r="F137">
            <v>42584.841331018521</v>
          </cell>
          <cell r="G137">
            <v>1</v>
          </cell>
          <cell r="H137" t="str">
            <v>204:233293</v>
          </cell>
          <cell r="I137">
            <v>42584.870381944442</v>
          </cell>
          <cell r="J137">
            <v>0</v>
          </cell>
          <cell r="K137" t="str">
            <v>4019/4020</v>
          </cell>
          <cell r="L137" t="str">
            <v>HAITHCOX</v>
          </cell>
          <cell r="M137">
            <v>2.9050925921183079E-2</v>
          </cell>
          <cell r="N137">
            <v>41.833333326503634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https://search-rtdc-monitor-bjffxe2xuh6vdkpspy63sjmuny.us-east-1.es.amazonaws.com/_plugin/kibana/#/discover/Steve-Slow-Train-Analysis-(2080s-and-2083s)?_g=(refreshInterval:(display:Off,section:0,value:0),time:(from:'2016-08-02 19:10:08-0600',mode:absolute,to:'2016-08-02 21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7" t="str">
            <v>N</v>
          </cell>
          <cell r="X137">
            <v>1</v>
          </cell>
          <cell r="Y137">
            <v>4.8599999999999997E-2</v>
          </cell>
          <cell r="Z137">
            <v>23.3293</v>
          </cell>
          <cell r="AA137">
            <v>23.2807</v>
          </cell>
          <cell r="AB137" t="e">
            <v>#N/A</v>
          </cell>
          <cell r="AC137" t="e">
            <v>#N/A</v>
          </cell>
          <cell r="AD137" t="str">
            <v>0225-02</v>
          </cell>
          <cell r="AE13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8">
          <cell r="A138" t="str">
            <v>226-02</v>
          </cell>
          <cell r="B138">
            <v>4019</v>
          </cell>
          <cell r="C138" t="str">
            <v>DE.1.0.7.0</v>
          </cell>
          <cell r="D138" t="str">
            <v>204:486</v>
          </cell>
          <cell r="E138">
            <v>42584.840370370373</v>
          </cell>
          <cell r="F138" t="str">
            <v>?</v>
          </cell>
          <cell r="G138">
            <v>1</v>
          </cell>
          <cell r="H138" t="str">
            <v>204:233293</v>
          </cell>
          <cell r="I138" t="str">
            <v>?</v>
          </cell>
          <cell r="J138">
            <v>0</v>
          </cell>
          <cell r="K138" t="str">
            <v>4019/4020</v>
          </cell>
          <cell r="L138" t="e">
            <v>#N/A</v>
          </cell>
          <cell r="M138" t="e">
            <v>#VALUE!</v>
          </cell>
          <cell r="P138">
            <v>1</v>
          </cell>
          <cell r="R138" t="str">
            <v>Did not initialize</v>
          </cell>
          <cell r="S138">
            <v>0</v>
          </cell>
          <cell r="T138" t="str">
            <v>Southbound</v>
          </cell>
          <cell r="U138">
            <v>0</v>
          </cell>
          <cell r="V138" t="e">
            <v>#VALUE!</v>
          </cell>
          <cell r="W138" t="str">
            <v>N</v>
          </cell>
          <cell r="X138">
            <v>1</v>
          </cell>
          <cell r="Y138">
            <v>4.8599999999999997E-2</v>
          </cell>
          <cell r="Z138">
            <v>23.3293</v>
          </cell>
          <cell r="AA138">
            <v>23.2807</v>
          </cell>
          <cell r="AB138" t="e">
            <v>#N/A</v>
          </cell>
          <cell r="AC138" t="e">
            <v>#N/A</v>
          </cell>
          <cell r="AD138" t="str">
            <v>0226-02</v>
          </cell>
          <cell r="AE138" t="e">
            <v>#VALUE!</v>
          </cell>
        </row>
        <row r="139">
          <cell r="A139" t="str">
            <v>227-02</v>
          </cell>
          <cell r="B139">
            <v>4009</v>
          </cell>
          <cell r="C139" t="str">
            <v>DE.1.0.7.0</v>
          </cell>
          <cell r="D139" t="str">
            <v>204:446</v>
          </cell>
          <cell r="E139">
            <v>42584.854502314818</v>
          </cell>
          <cell r="F139">
            <v>42584.855509259258</v>
          </cell>
          <cell r="G139">
            <v>1</v>
          </cell>
          <cell r="H139" t="str">
            <v>204:233291</v>
          </cell>
          <cell r="I139">
            <v>42584.889467592591</v>
          </cell>
          <cell r="J139">
            <v>0</v>
          </cell>
          <cell r="K139" t="str">
            <v>4009/4010</v>
          </cell>
          <cell r="L139" t="str">
            <v>CHANDLER</v>
          </cell>
          <cell r="M139">
            <v>3.3958333333430346E-2</v>
          </cell>
          <cell r="N139">
            <v>48.900000000139698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https://search-rtdc-monitor-bjffxe2xuh6vdkpspy63sjmuny.us-east-1.es.amazonaws.com/_plugin/kibana/#/discover/Steve-Slow-Train-Analysis-(2080s-and-2083s)?_g=(refreshInterval:(display:Off,section:0,value:0),time:(from:'2016-08-02 19:30:29-0600',mode:absolute,to:'2016-08-02 22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4.4600000000000001E-2</v>
          </cell>
          <cell r="Z139">
            <v>23.3291</v>
          </cell>
          <cell r="AA139">
            <v>23.284500000000001</v>
          </cell>
          <cell r="AB139" t="e">
            <v>#N/A</v>
          </cell>
          <cell r="AC139" t="e">
            <v>#N/A</v>
          </cell>
          <cell r="AD139" t="str">
            <v>0227-02</v>
          </cell>
          <cell r="AE13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0">
          <cell r="A140" t="str">
            <v>228-02</v>
          </cell>
          <cell r="B140">
            <v>4010</v>
          </cell>
          <cell r="C140" t="str">
            <v>DE.1.0.7.0</v>
          </cell>
          <cell r="D140" t="str">
            <v>204:446</v>
          </cell>
          <cell r="E140">
            <v>42584.854502314818</v>
          </cell>
          <cell r="F140" t="str">
            <v>?</v>
          </cell>
          <cell r="G140">
            <v>1</v>
          </cell>
          <cell r="H140" t="str">
            <v>204:233291</v>
          </cell>
          <cell r="I140" t="str">
            <v>?</v>
          </cell>
          <cell r="J140">
            <v>0</v>
          </cell>
          <cell r="K140" t="str">
            <v>4009/4010</v>
          </cell>
          <cell r="L140" t="e">
            <v>#N/A</v>
          </cell>
          <cell r="M140" t="e">
            <v>#VALUE!</v>
          </cell>
          <cell r="P140">
            <v>1</v>
          </cell>
          <cell r="R140" t="str">
            <v>Did not initialize</v>
          </cell>
          <cell r="S140">
            <v>0</v>
          </cell>
          <cell r="T140" t="str">
            <v>Southbound</v>
          </cell>
          <cell r="U140">
            <v>0</v>
          </cell>
          <cell r="V140" t="e">
            <v>#VALUE!</v>
          </cell>
          <cell r="W140" t="str">
            <v>N</v>
          </cell>
          <cell r="X140">
            <v>1</v>
          </cell>
          <cell r="Y140">
            <v>4.4600000000000001E-2</v>
          </cell>
          <cell r="Z140">
            <v>23.3291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0228-02</v>
          </cell>
          <cell r="AE140" t="e">
            <v>#VALUE!</v>
          </cell>
        </row>
        <row r="141">
          <cell r="A141" t="str">
            <v>229-02</v>
          </cell>
          <cell r="B141">
            <v>4042</v>
          </cell>
          <cell r="C141" t="str">
            <v>DE.1.0.7.0</v>
          </cell>
          <cell r="D141" t="str">
            <v>204:449</v>
          </cell>
          <cell r="E141">
            <v>42584.865497685183</v>
          </cell>
          <cell r="F141">
            <v>42584.867118055554</v>
          </cell>
          <cell r="G141">
            <v>2</v>
          </cell>
          <cell r="H141" t="str">
            <v>204:233289</v>
          </cell>
          <cell r="I141">
            <v>42584.902766203704</v>
          </cell>
          <cell r="J141">
            <v>0</v>
          </cell>
          <cell r="K141" t="str">
            <v>4041/4042</v>
          </cell>
          <cell r="L141" t="str">
            <v>ROBINSON</v>
          </cell>
          <cell r="M141">
            <v>3.5648148150357883E-2</v>
          </cell>
          <cell r="N141">
            <v>51.333333336515352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https://search-rtdc-monitor-bjffxe2xuh6vdkpspy63sjmuny.us-east-1.es.amazonaws.com/_plugin/kibana/#/discover/Steve-Slow-Train-Analysis-(2080s-and-2083s)?_g=(refreshInterval:(display:Off,section:0,value:0),time:(from:'2016-08-02 19:46:19-0600',mode:absolute,to:'2016-08-02 22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1" t="str">
            <v>N</v>
          </cell>
          <cell r="X141">
            <v>1</v>
          </cell>
          <cell r="Y141">
            <v>4.4900000000000002E-2</v>
          </cell>
          <cell r="Z141">
            <v>23.328900000000001</v>
          </cell>
          <cell r="AA141">
            <v>23.284000000000002</v>
          </cell>
          <cell r="AB141" t="e">
            <v>#N/A</v>
          </cell>
          <cell r="AC141" t="e">
            <v>#N/A</v>
          </cell>
          <cell r="AD141" t="str">
            <v>0229-02</v>
          </cell>
          <cell r="AE14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2">
          <cell r="A142" t="str">
            <v>230-02</v>
          </cell>
          <cell r="B142">
            <v>4041</v>
          </cell>
          <cell r="C142" t="str">
            <v>DE.1.0.7.0</v>
          </cell>
          <cell r="D142" t="str">
            <v>204:232971</v>
          </cell>
          <cell r="E142">
            <v>42584.908888888887</v>
          </cell>
          <cell r="F142">
            <v>42584.91002314815</v>
          </cell>
          <cell r="G142">
            <v>1</v>
          </cell>
          <cell r="H142" t="str">
            <v>204:139</v>
          </cell>
          <cell r="I142">
            <v>42584.945729166669</v>
          </cell>
          <cell r="J142">
            <v>0</v>
          </cell>
          <cell r="K142" t="str">
            <v>4041/4042</v>
          </cell>
          <cell r="L142" t="str">
            <v>ROBINSON</v>
          </cell>
          <cell r="M142">
            <v>3.570601851970423E-2</v>
          </cell>
          <cell r="N142">
            <v>51.416666668374091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https://search-rtdc-monitor-bjffxe2xuh6vdkpspy63sjmuny.us-east-1.es.amazonaws.com/_plugin/kibana/#/discover/Steve-Slow-Train-Analysis-(2080s-and-2083s)?_g=(refreshInterval:(display:Off,section:0,value:0),time:(from:'2016-08-02 20:48:48-0600',mode:absolute,to:'2016-08-02 23:41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2" t="str">
            <v>N</v>
          </cell>
          <cell r="X142">
            <v>1</v>
          </cell>
          <cell r="Y142">
            <v>23.2971</v>
          </cell>
          <cell r="Z142">
            <v>1.3899999999999999E-2</v>
          </cell>
          <cell r="AA142">
            <v>23.283200000000001</v>
          </cell>
          <cell r="AB142" t="e">
            <v>#N/A</v>
          </cell>
          <cell r="AC142" t="e">
            <v>#N/A</v>
          </cell>
          <cell r="AD142" t="str">
            <v>0230-02</v>
          </cell>
          <cell r="AE14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43">
          <cell r="A143" t="str">
            <v>231-02</v>
          </cell>
          <cell r="B143">
            <v>4025</v>
          </cell>
          <cell r="C143" t="str">
            <v>DE.1.0.7.0</v>
          </cell>
          <cell r="D143" t="str">
            <v>204:442</v>
          </cell>
          <cell r="E143">
            <v>42584.891921296294</v>
          </cell>
          <cell r="F143">
            <v>42584.893043981479</v>
          </cell>
          <cell r="G143">
            <v>1</v>
          </cell>
          <cell r="H143" t="str">
            <v>204:233286</v>
          </cell>
          <cell r="I143">
            <v>42584.923842592594</v>
          </cell>
          <cell r="J143">
            <v>0</v>
          </cell>
          <cell r="K143" t="str">
            <v>4025/4026</v>
          </cell>
          <cell r="L143" t="str">
            <v>COOLAHAN</v>
          </cell>
          <cell r="M143">
            <v>3.0798611114732921E-2</v>
          </cell>
          <cell r="N143">
            <v>44.350000005215406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https://search-rtdc-monitor-bjffxe2xuh6vdkpspy63sjmuny.us-east-1.es.amazonaws.com/_plugin/kibana/#/discover/Steve-Slow-Train-Analysis-(2080s-and-2083s)?_g=(refreshInterval:(display:Off,section:0,value:0),time:(from:'2016-08-02 20:24:22-0600',mode:absolute,to:'2016-08-02 23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3" t="str">
            <v>N</v>
          </cell>
          <cell r="X143">
            <v>1</v>
          </cell>
          <cell r="Y143">
            <v>4.4200000000000003E-2</v>
          </cell>
          <cell r="Z143">
            <v>23.328600000000002</v>
          </cell>
          <cell r="AA143">
            <v>23.284400000000002</v>
          </cell>
          <cell r="AB143" t="e">
            <v>#N/A</v>
          </cell>
          <cell r="AC143" t="e">
            <v>#N/A</v>
          </cell>
          <cell r="AD143" t="str">
            <v>0231-02</v>
          </cell>
          <cell r="AE143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44">
          <cell r="A144" t="str">
            <v>232-02</v>
          </cell>
          <cell r="B144">
            <v>4026</v>
          </cell>
          <cell r="C144" t="str">
            <v>DE.1.0.7.0</v>
          </cell>
          <cell r="D144" t="str">
            <v>204:232969</v>
          </cell>
          <cell r="E144">
            <v>42584.930810185186</v>
          </cell>
          <cell r="F144">
            <v>42584.934872685182</v>
          </cell>
          <cell r="G144">
            <v>5</v>
          </cell>
          <cell r="H144" t="str">
            <v>204:138</v>
          </cell>
          <cell r="I144">
            <v>42584.963773148149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2.8900462966703344E-2</v>
          </cell>
          <cell r="N144">
            <v>41.616666672052816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https://search-rtdc-monitor-bjffxe2xuh6vdkpspy63sjmuny.us-east-1.es.amazonaws.com/_plugin/kibana/#/discover/Steve-Slow-Train-Analysis-(2080s-and-2083s)?_g=(refreshInterval:(display:Off,section:0,value:0),time:(from:'2016-08-02 21:20:22-0600',mode:absolute,to:'2016-08-03 00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4" t="str">
            <v>N</v>
          </cell>
          <cell r="X144">
            <v>1</v>
          </cell>
          <cell r="Y144">
            <v>23.296900000000001</v>
          </cell>
          <cell r="Z144">
            <v>1.38E-2</v>
          </cell>
          <cell r="AA144">
            <v>23.283100000000001</v>
          </cell>
          <cell r="AB144" t="e">
            <v>#N/A</v>
          </cell>
          <cell r="AC144" t="e">
            <v>#N/A</v>
          </cell>
          <cell r="AD144" t="str">
            <v>0232-02</v>
          </cell>
          <cell r="AE144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45">
          <cell r="A145" t="str">
            <v>233-02</v>
          </cell>
          <cell r="B145">
            <v>4020</v>
          </cell>
          <cell r="C145" t="str">
            <v>DE.1.0.7.0</v>
          </cell>
          <cell r="D145" t="str">
            <v>204:444</v>
          </cell>
          <cell r="E145">
            <v>42584.905960648146</v>
          </cell>
          <cell r="F145">
            <v>42584.90693287037</v>
          </cell>
          <cell r="G145">
            <v>1</v>
          </cell>
          <cell r="H145" t="str">
            <v>204:233316</v>
          </cell>
          <cell r="I145">
            <v>42584.944282407407</v>
          </cell>
          <cell r="J145">
            <v>0</v>
          </cell>
          <cell r="K145" t="str">
            <v>4019/4020</v>
          </cell>
          <cell r="L145" t="str">
            <v>YANAI</v>
          </cell>
          <cell r="M145">
            <v>3.7349537036789116E-2</v>
          </cell>
          <cell r="N145">
            <v>53.783333332976326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https://search-rtdc-monitor-bjffxe2xuh6vdkpspy63sjmuny.us-east-1.es.amazonaws.com/_plugin/kibana/#/discover/Steve-Slow-Train-Analysis-(2080s-and-2083s)?_g=(refreshInterval:(display:Off,section:0,value:0),time:(from:'2016-08-02 20:44:35-0600',mode:absolute,to:'2016-08-02 23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5" t="str">
            <v>N</v>
          </cell>
          <cell r="X145">
            <v>1</v>
          </cell>
          <cell r="Y145">
            <v>4.4400000000000002E-2</v>
          </cell>
          <cell r="Z145">
            <v>23.331600000000002</v>
          </cell>
          <cell r="AA145">
            <v>23.287200000000002</v>
          </cell>
          <cell r="AB145" t="e">
            <v>#N/A</v>
          </cell>
          <cell r="AC145" t="e">
            <v>#N/A</v>
          </cell>
          <cell r="AD145" t="str">
            <v>0233-02</v>
          </cell>
          <cell r="AE1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46">
          <cell r="A146" t="str">
            <v>234-02</v>
          </cell>
          <cell r="B146">
            <v>4019</v>
          </cell>
          <cell r="C146" t="str">
            <v>DE.1.0.7.0</v>
          </cell>
          <cell r="D146" t="str">
            <v>204:232965</v>
          </cell>
          <cell r="E146">
            <v>42584.951527777775</v>
          </cell>
          <cell r="F146">
            <v>42584.953715277778</v>
          </cell>
          <cell r="G146">
            <v>3</v>
          </cell>
          <cell r="H146" t="str">
            <v>204:112</v>
          </cell>
          <cell r="I146">
            <v>42584.98641203704</v>
          </cell>
          <cell r="J146">
            <v>0</v>
          </cell>
          <cell r="K146" t="str">
            <v>4019/4020</v>
          </cell>
          <cell r="L146" t="str">
            <v>YANAI</v>
          </cell>
          <cell r="M146">
            <v>3.2696759262762498E-2</v>
          </cell>
          <cell r="N146">
            <v>47.083333338377997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https://search-rtdc-monitor-bjffxe2xuh6vdkpspy63sjmuny.us-east-1.es.amazonaws.com/_plugin/kibana/#/discover/Steve-Slow-Train-Analysis-(2080s-and-2083s)?_g=(refreshInterval:(display:Off,section:0,value:0),time:(from:'2016-08-02 21:50:12-0600',mode:absolute,to:'2016-08-03 00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6" t="str">
            <v>N</v>
          </cell>
          <cell r="X146">
            <v>1</v>
          </cell>
          <cell r="Y146">
            <v>23.296500000000002</v>
          </cell>
          <cell r="Z146">
            <v>1.12E-2</v>
          </cell>
          <cell r="AA146">
            <v>23.285300000000003</v>
          </cell>
          <cell r="AB146" t="e">
            <v>#N/A</v>
          </cell>
          <cell r="AC146" t="e">
            <v>#N/A</v>
          </cell>
          <cell r="AD146" t="str">
            <v>0234-02</v>
          </cell>
          <cell r="AE1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47">
          <cell r="A147" t="str">
            <v>235-02</v>
          </cell>
          <cell r="B147">
            <v>4009</v>
          </cell>
          <cell r="C147" t="str">
            <v>DE.1.0.7.0</v>
          </cell>
          <cell r="D147" t="str">
            <v>204:469</v>
          </cell>
          <cell r="E147">
            <v>42584.936365740738</v>
          </cell>
          <cell r="F147">
            <v>42584.937488425923</v>
          </cell>
          <cell r="G147">
            <v>1</v>
          </cell>
          <cell r="H147" t="str">
            <v>204:233295</v>
          </cell>
          <cell r="I147">
            <v>42584.96980324074</v>
          </cell>
          <cell r="J147">
            <v>0</v>
          </cell>
          <cell r="K147" t="str">
            <v>4009/4010</v>
          </cell>
          <cell r="L147" t="str">
            <v>CHANDLER</v>
          </cell>
          <cell r="M147">
            <v>3.2314814816345461E-2</v>
          </cell>
          <cell r="N147">
            <v>46.533333335537463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https://search-rtdc-monitor-bjffxe2xuh6vdkpspy63sjmuny.us-east-1.es.amazonaws.com/_plugin/kibana/#/discover/Steve-Slow-Train-Analysis-(2080s-and-2083s)?_g=(refreshInterval:(display:Off,section:0,value:0),time:(from:'2016-08-02 21:28:22-0600',mode:absolute,to:'2016-08-03 00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4.6899999999999997E-2</v>
          </cell>
          <cell r="Z147">
            <v>23.329499999999999</v>
          </cell>
          <cell r="AA147">
            <v>23.282599999999999</v>
          </cell>
          <cell r="AB147" t="e">
            <v>#N/A</v>
          </cell>
          <cell r="AC147" t="e">
            <v>#N/A</v>
          </cell>
          <cell r="AD147" t="str">
            <v>0235-02</v>
          </cell>
          <cell r="AE1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8">
          <cell r="A148" t="str">
            <v>236-02</v>
          </cell>
          <cell r="B148">
            <v>4010</v>
          </cell>
          <cell r="C148" t="str">
            <v>DE.1.0.7.0</v>
          </cell>
          <cell r="D148" t="str">
            <v>204:232848</v>
          </cell>
          <cell r="E148">
            <v>42584.974363425928</v>
          </cell>
          <cell r="F148">
            <v>42584.976620370369</v>
          </cell>
          <cell r="G148">
            <v>3</v>
          </cell>
          <cell r="H148" t="str">
            <v>204:64159</v>
          </cell>
          <cell r="I148">
            <v>42584.997372685182</v>
          </cell>
          <cell r="J148">
            <v>0</v>
          </cell>
          <cell r="K148" t="str">
            <v>4009/4010</v>
          </cell>
          <cell r="L148" t="str">
            <v>CHANDLER</v>
          </cell>
          <cell r="M148">
            <v>2.0752314812853001E-2</v>
          </cell>
          <cell r="P148">
            <v>29.883333330508322</v>
          </cell>
          <cell r="R148" t="str">
            <v>Onboard in-route failure</v>
          </cell>
          <cell r="S148">
            <v>0.25</v>
          </cell>
          <cell r="T148" t="str">
            <v>Southbound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https://search-rtdc-monitor-bjffxe2xuh6vdkpspy63sjmuny.us-east-1.es.amazonaws.com/_plugin/kibana/#/discover/Steve-Slow-Train-Analysis-(2080s-and-2083s)?_g=(refreshInterval:(display:Off,section:0,value:0),time:(from:'2016-08-02 22:23:05-0600',mode:absolute,to:'2016-08-03 00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Y</v>
          </cell>
          <cell r="X148">
            <v>1</v>
          </cell>
          <cell r="Y148">
            <v>23.284800000000001</v>
          </cell>
          <cell r="Z148">
            <v>6.4158999999999997</v>
          </cell>
          <cell r="AA148">
            <v>16.8689</v>
          </cell>
          <cell r="AB148" t="e">
            <v>#N/A</v>
          </cell>
          <cell r="AC148" t="e">
            <v>#N/A</v>
          </cell>
          <cell r="AD148" t="str">
            <v>0236-02</v>
          </cell>
          <cell r="AE1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49">
          <cell r="A149" t="str">
            <v>237-02</v>
          </cell>
          <cell r="B149">
            <v>4042</v>
          </cell>
          <cell r="C149" t="str">
            <v>DE.1.0.7.0</v>
          </cell>
          <cell r="D149" t="str">
            <v>204:460</v>
          </cell>
          <cell r="E149">
            <v>42584.951921296299</v>
          </cell>
          <cell r="F149">
            <v>42584.952974537038</v>
          </cell>
          <cell r="G149">
            <v>1</v>
          </cell>
          <cell r="H149" t="str">
            <v>204:233270</v>
          </cell>
          <cell r="I149">
            <v>42584.987511574072</v>
          </cell>
          <cell r="J149">
            <v>0</v>
          </cell>
          <cell r="K149" t="str">
            <v>4041/4042</v>
          </cell>
          <cell r="L149" t="str">
            <v>ROBINSON</v>
          </cell>
          <cell r="M149">
            <v>3.4537037034169771E-2</v>
          </cell>
          <cell r="N149">
            <v>49.73333332920447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https://search-rtdc-monitor-bjffxe2xuh6vdkpspy63sjmuny.us-east-1.es.amazonaws.com/_plugin/kibana/#/discover/Steve-Slow-Train-Analysis-(2080s-and-2083s)?_g=(refreshInterval:(display:Off,section:0,value:0),time:(from:'2016-08-02 21:50:46-0600',mode:absolute,to:'2016-08-03 00:42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9" t="str">
            <v>N</v>
          </cell>
          <cell r="X149">
            <v>1</v>
          </cell>
          <cell r="Y149">
            <v>4.5999999999999999E-2</v>
          </cell>
          <cell r="Z149">
            <v>23.327000000000002</v>
          </cell>
          <cell r="AA149">
            <v>23.281000000000002</v>
          </cell>
          <cell r="AB149" t="e">
            <v>#N/A</v>
          </cell>
          <cell r="AC149" t="e">
            <v>#N/A</v>
          </cell>
          <cell r="AD149" t="str">
            <v>0237-02</v>
          </cell>
          <cell r="AE14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50">
          <cell r="A150" t="str">
            <v>238-02</v>
          </cell>
          <cell r="B150">
            <v>4041</v>
          </cell>
          <cell r="C150" t="str">
            <v>DE.1.0.7.0</v>
          </cell>
          <cell r="D150" t="str">
            <v>204:127857</v>
          </cell>
          <cell r="E150">
            <v>42585.019097222219</v>
          </cell>
          <cell r="F150">
            <v>42585.020057870373</v>
          </cell>
          <cell r="G150">
            <v>1</v>
          </cell>
          <cell r="H150" t="str">
            <v>204:152</v>
          </cell>
          <cell r="I150">
            <v>42585.038703703707</v>
          </cell>
          <cell r="J150">
            <v>0</v>
          </cell>
          <cell r="K150" t="str">
            <v>4041/4042</v>
          </cell>
          <cell r="L150" t="str">
            <v>ROBINSON</v>
          </cell>
          <cell r="M150">
            <v>1.8645833333721384E-2</v>
          </cell>
          <cell r="P150">
            <v>26.850000000558794</v>
          </cell>
          <cell r="R150" t="str">
            <v>Onboard in-route failure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https://search-rtdc-monitor-bjffxe2xuh6vdkpspy63sjmuny.us-east-1.es.amazonaws.com/_plugin/kibana/#/discover/Steve-Slow-Train-Analysis-(2080s-and-2083s)?_g=(refreshInterval:(display:Off,section:0,value:0),time:(from:'2016-08-02 23:27:30-0600',mode:absolute,to:'2016-08-03 01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0" t="str">
            <v>Y</v>
          </cell>
          <cell r="X150">
            <v>1</v>
          </cell>
          <cell r="Y150">
            <v>12.7857</v>
          </cell>
          <cell r="Z150">
            <v>1.52E-2</v>
          </cell>
          <cell r="AA150">
            <v>12.7705</v>
          </cell>
          <cell r="AB150" t="e">
            <v>#N/A</v>
          </cell>
          <cell r="AC150" t="e">
            <v>#N/A</v>
          </cell>
          <cell r="AD150" t="str">
            <v>0238-02</v>
          </cell>
          <cell r="AE15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51">
          <cell r="A151" t="str">
            <v>238-02</v>
          </cell>
          <cell r="B151">
            <v>4041</v>
          </cell>
          <cell r="C151" t="str">
            <v>DE.1.0.7.0</v>
          </cell>
          <cell r="D151" t="str">
            <v>204:232959</v>
          </cell>
          <cell r="E151">
            <v>42584.992800925924</v>
          </cell>
          <cell r="F151">
            <v>42584.993726851855</v>
          </cell>
          <cell r="G151">
            <v>1</v>
          </cell>
          <cell r="H151" t="str">
            <v>204:232961</v>
          </cell>
          <cell r="I151">
            <v>42584.993877314817</v>
          </cell>
          <cell r="J151">
            <v>0</v>
          </cell>
          <cell r="K151" t="str">
            <v>4041/4042</v>
          </cell>
          <cell r="L151" t="str">
            <v>ROBINSON</v>
          </cell>
          <cell r="M151">
            <v>1.5046296175569296E-4</v>
          </cell>
          <cell r="T151" t="str">
            <v>Southbound</v>
          </cell>
          <cell r="U151">
            <v>0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https://search-rtdc-monitor-bjffxe2xuh6vdkpspy63sjmuny.us-east-1.es.amazonaws.com/_plugin/kibana/#/discover/Steve-Slow-Train-Analysis-(2080s-and-2083s)?_g=(refreshInterval:(display:Off,section:0,value:0),time:(from:'2016-08-02 22:49:38-0600',mode:absolute,to:'2016-08-03 00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1" t="str">
            <v>Y</v>
          </cell>
          <cell r="X151">
            <v>0</v>
          </cell>
          <cell r="Y151">
            <v>23.2959</v>
          </cell>
          <cell r="Z151">
            <v>23.296099999999999</v>
          </cell>
          <cell r="AA151">
            <v>1.9999999999953388E-4</v>
          </cell>
          <cell r="AB151" t="e">
            <v>#N/A</v>
          </cell>
          <cell r="AC151" t="e">
            <v>#N/A</v>
          </cell>
          <cell r="AD151" t="str">
            <v>0238-02</v>
          </cell>
          <cell r="AE151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52">
          <cell r="A152" t="str">
            <v>239-02</v>
          </cell>
          <cell r="B152">
            <v>4025</v>
          </cell>
          <cell r="C152" t="str">
            <v>DE.1.0.7.0</v>
          </cell>
          <cell r="D152" t="str">
            <v>204:442</v>
          </cell>
          <cell r="E152">
            <v>42584.975578703707</v>
          </cell>
          <cell r="F152">
            <v>42584.976921296293</v>
          </cell>
          <cell r="G152">
            <v>1</v>
          </cell>
          <cell r="H152" t="str">
            <v>204:233300</v>
          </cell>
          <cell r="I152">
            <v>42585.005636574075</v>
          </cell>
          <cell r="J152">
            <v>1</v>
          </cell>
          <cell r="K152" t="str">
            <v>4025/4026</v>
          </cell>
          <cell r="L152" t="str">
            <v>COOLAHAN</v>
          </cell>
          <cell r="M152">
            <v>2.8715277781884652E-2</v>
          </cell>
          <cell r="N152">
            <v>41.350000005913898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https://search-rtdc-monitor-bjffxe2xuh6vdkpspy63sjmuny.us-east-1.es.amazonaws.com/_plugin/kibana/#/discover/Steve-Slow-Train-Analysis-(2080s-and-2083s)?_g=(refreshInterval:(display:Off,section:0,value:0),time:(from:'2016-08-02 22:24:50-0600',mode:absolute,to:'2016-08-03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4.4200000000000003E-2</v>
          </cell>
          <cell r="Z152">
            <v>23.33</v>
          </cell>
          <cell r="AA152">
            <v>23.285799999999998</v>
          </cell>
          <cell r="AB152">
            <v>33136</v>
          </cell>
          <cell r="AC152" t="str">
            <v>GRADE CROSSING</v>
          </cell>
          <cell r="AD152" t="str">
            <v>0239-02</v>
          </cell>
          <cell r="AE152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53">
          <cell r="A153" t="str">
            <v>240-02</v>
          </cell>
          <cell r="B153">
            <v>4026</v>
          </cell>
          <cell r="C153" t="str">
            <v>DE.1.0.7.0</v>
          </cell>
          <cell r="D153" t="str">
            <v>204:232972</v>
          </cell>
          <cell r="E153">
            <v>42585.014872685184</v>
          </cell>
          <cell r="F153">
            <v>42585.016284722224</v>
          </cell>
          <cell r="G153">
            <v>2</v>
          </cell>
          <cell r="H153" t="str">
            <v>204:981</v>
          </cell>
          <cell r="I153">
            <v>42585.044907407406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2.8622685182199348E-2</v>
          </cell>
          <cell r="N153">
            <v>41.216666662367061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https://search-rtdc-monitor-bjffxe2xuh6vdkpspy63sjmuny.us-east-1.es.amazonaws.com/_plugin/kibana/#/discover/Steve-Slow-Train-Analysis-(2080s-and-2083s)?_g=(refreshInterval:(display:Off,section:0,value:0),time:(from:'2016-08-02 23:21:25-0600',mode:absolute,to:'2016-08-03 02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23.2972</v>
          </cell>
          <cell r="Z153">
            <v>9.8100000000000007E-2</v>
          </cell>
          <cell r="AA153">
            <v>23.199100000000001</v>
          </cell>
          <cell r="AB153" t="e">
            <v>#N/A</v>
          </cell>
          <cell r="AC153" t="e">
            <v>#N/A</v>
          </cell>
          <cell r="AD153" t="str">
            <v>0240-02</v>
          </cell>
          <cell r="AE153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4">
          <cell r="A154" t="str">
            <v>241-02</v>
          </cell>
          <cell r="B154">
            <v>4020</v>
          </cell>
          <cell r="C154" t="str">
            <v>DE.1.0.7.0</v>
          </cell>
          <cell r="D154" t="str">
            <v>204:444</v>
          </cell>
          <cell r="E154">
            <v>42584.993379629632</v>
          </cell>
          <cell r="F154">
            <v>42584.994583333333</v>
          </cell>
          <cell r="G154">
            <v>1</v>
          </cell>
          <cell r="H154" t="str">
            <v>204:233284</v>
          </cell>
          <cell r="I154">
            <v>42585.031736111108</v>
          </cell>
          <cell r="J154">
            <v>0</v>
          </cell>
          <cell r="K154" t="str">
            <v>4019/4020</v>
          </cell>
          <cell r="L154" t="str">
            <v>YANAI</v>
          </cell>
          <cell r="M154">
            <v>3.7152777775190771E-2</v>
          </cell>
          <cell r="N154">
            <v>53.49999999627471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https://search-rtdc-monitor-bjffxe2xuh6vdkpspy63sjmuny.us-east-1.es.amazonaws.com/_plugin/kibana/#/discover/Steve-Slow-Train-Analysis-(2080s-and-2083s)?_g=(refreshInterval:(display:Off,section:0,value:0),time:(from:'2016-08-02 22:50:28-0600',mode:absolute,to:'2016-08-03 01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4" t="str">
            <v>N</v>
          </cell>
          <cell r="X154">
            <v>1</v>
          </cell>
          <cell r="Y154">
            <v>4.4400000000000002E-2</v>
          </cell>
          <cell r="Z154">
            <v>23.328399999999998</v>
          </cell>
          <cell r="AA154">
            <v>23.283999999999999</v>
          </cell>
          <cell r="AB154" t="e">
            <v>#N/A</v>
          </cell>
          <cell r="AC154" t="e">
            <v>#N/A</v>
          </cell>
          <cell r="AD154" t="str">
            <v>0241-02</v>
          </cell>
          <cell r="AE154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55">
          <cell r="A155" t="str">
            <v>242-02</v>
          </cell>
          <cell r="B155">
            <v>4019</v>
          </cell>
          <cell r="C155" t="str">
            <v>DE.1.0.7.0</v>
          </cell>
          <cell r="D155" t="str">
            <v>204:232959</v>
          </cell>
          <cell r="E155">
            <v>42585.034490740742</v>
          </cell>
          <cell r="F155">
            <v>42585.035694444443</v>
          </cell>
          <cell r="G155">
            <v>1</v>
          </cell>
          <cell r="H155" t="str">
            <v>204:181</v>
          </cell>
          <cell r="I155">
            <v>42585.065057870372</v>
          </cell>
          <cell r="J155">
            <v>0</v>
          </cell>
          <cell r="K155" t="str">
            <v>4019/4020</v>
          </cell>
          <cell r="L155" t="str">
            <v>YANAI</v>
          </cell>
          <cell r="M155">
            <v>2.9363425928750075E-2</v>
          </cell>
          <cell r="N155">
            <v>42.283333337400109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https://search-rtdc-monitor-bjffxe2xuh6vdkpspy63sjmuny.us-east-1.es.amazonaws.com/_plugin/kibana/#/discover/Steve-Slow-Train-Analysis-(2080s-and-2083s)?_g=(refreshInterval:(display:Off,section:0,value:0),time:(from:'2016-08-02 23:49:40-0600',mode:absolute,to:'2016-08-03 02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1.8100000000000002E-2</v>
          </cell>
          <cell r="AA155">
            <v>23.277799999999999</v>
          </cell>
          <cell r="AB155" t="e">
            <v>#N/A</v>
          </cell>
          <cell r="AC155" t="e">
            <v>#N/A</v>
          </cell>
          <cell r="AD155" t="str">
            <v>0242-02</v>
          </cell>
          <cell r="AE155" t="str">
            <v>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 &amp; 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</v>
          </cell>
        </row>
        <row r="156">
          <cell r="A156" t="str">
            <v>243-02</v>
          </cell>
          <cell r="B156">
            <v>4029</v>
          </cell>
          <cell r="C156" t="str">
            <v>DE.1.0.7.0</v>
          </cell>
          <cell r="D156" t="str">
            <v>204:1164</v>
          </cell>
          <cell r="E156">
            <v>42585.023587962962</v>
          </cell>
          <cell r="F156">
            <v>42585.024502314816</v>
          </cell>
          <cell r="G156">
            <v>1</v>
          </cell>
          <cell r="H156" t="str">
            <v>204:233288</v>
          </cell>
          <cell r="I156">
            <v>42585.052939814814</v>
          </cell>
          <cell r="J156">
            <v>0</v>
          </cell>
          <cell r="K156" t="str">
            <v>4029/4030</v>
          </cell>
          <cell r="L156" t="str">
            <v>CHANDLER</v>
          </cell>
          <cell r="M156">
            <v>2.8437499997380655E-2</v>
          </cell>
          <cell r="N156">
            <v>40.949999996228144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https://search-rtdc-monitor-bjffxe2xuh6vdkpspy63sjmuny.us-east-1.es.amazonaws.com/_plugin/kibana/#/discover/Steve-Slow-Train-Analysis-(2080s-and-2083s)?_g=(refreshInterval:(display:Off,section:0,value:0),time:(from:'2016-08-02 23:33:58-0600',mode:absolute,to:'2016-08-03 02:16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6" t="str">
            <v>N</v>
          </cell>
          <cell r="X156">
            <v>1</v>
          </cell>
          <cell r="Y156">
            <v>0.1164</v>
          </cell>
          <cell r="Z156">
            <v>23.328800000000001</v>
          </cell>
          <cell r="AA156">
            <v>23.212400000000002</v>
          </cell>
          <cell r="AB156" t="e">
            <v>#N/A</v>
          </cell>
          <cell r="AC156" t="e">
            <v>#N/A</v>
          </cell>
          <cell r="AD156" t="str">
            <v>0243-02</v>
          </cell>
          <cell r="AE156" t="str">
            <v>aws s3 cp s3://rtdc.mdm.uploadarchive/RTDC4029/2016-08-03/ "%USERPROFILE%\AppData\Local\Temp\OnboardLogs"\RTDC4029\2016-08-03 --recursive &amp; "%USERPROFILE%\Documents\GitHub\mrs-test-scripts\Headless Mode &amp; Sideloading\WalkAndUnGZ.bat" "%USERPROFILE%\AppData\Local\Temp\OnboardLogs"\RTDC4029\2016-08-03 &amp; 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</v>
          </cell>
        </row>
        <row r="157">
          <cell r="A157" t="str">
            <v>244-02</v>
          </cell>
          <cell r="B157">
            <v>4030</v>
          </cell>
          <cell r="C157" t="str">
            <v>DE.1.0.7.0</v>
          </cell>
          <cell r="D157" t="str">
            <v>204:232973</v>
          </cell>
          <cell r="E157">
            <v>42585.057696759257</v>
          </cell>
          <cell r="F157">
            <v>42585.058819444443</v>
          </cell>
          <cell r="G157">
            <v>1</v>
          </cell>
          <cell r="H157" t="str">
            <v>204:935</v>
          </cell>
          <cell r="I157">
            <v>42585.087685185186</v>
          </cell>
          <cell r="J157">
            <v>1</v>
          </cell>
          <cell r="K157" t="str">
            <v>4029/4030</v>
          </cell>
          <cell r="L157" t="str">
            <v>CHANDLER</v>
          </cell>
          <cell r="M157">
            <v>2.8865740743640345E-2</v>
          </cell>
          <cell r="N157">
            <v>41.566666670842096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00:23:05-0600',mode:absolute,to:'2016-08-03 03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9.35E-2</v>
          </cell>
          <cell r="AA157">
            <v>23.203800000000001</v>
          </cell>
          <cell r="AB157" t="e">
            <v>#N/A</v>
          </cell>
          <cell r="AC157" t="e">
            <v>#N/A</v>
          </cell>
          <cell r="AD157" t="str">
            <v>0244-02</v>
          </cell>
          <cell r="AE157" t="str">
            <v>aws s3 cp s3://rtdc.mdm.uploadarchive/RTDC4030/2016-08-03/ "%USERPROFILE%\AppData\Local\Temp\OnboardLogs"\RTDC4030\2016-08-03 --recursive &amp; "%USERPROFILE%\Documents\GitHub\mrs-test-scripts\Headless Mode &amp; Sideloading\WalkAndUnGZ.bat" "%USERPROFILE%\AppData\Local\Temp\OnboardLogs"\RTDC4030\2016-08-03 &amp; 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</v>
          </cell>
        </row>
        <row r="158">
          <cell r="A158" t="str">
            <v>800-02</v>
          </cell>
          <cell r="B158">
            <v>4037</v>
          </cell>
          <cell r="C158" t="str">
            <v>DE.1.0.7.0</v>
          </cell>
          <cell r="D158" t="str">
            <v>300:58615</v>
          </cell>
          <cell r="E158">
            <v>42584.218923611108</v>
          </cell>
          <cell r="F158">
            <v>42584.219930555555</v>
          </cell>
          <cell r="G158">
            <v>1</v>
          </cell>
          <cell r="H158" t="str">
            <v>204:649</v>
          </cell>
          <cell r="I158">
            <v>42584.232604166667</v>
          </cell>
          <cell r="J158">
            <v>0</v>
          </cell>
          <cell r="K158" t="str">
            <v>4037/4038</v>
          </cell>
          <cell r="L158" t="str">
            <v>STARKS</v>
          </cell>
          <cell r="M158">
            <v>1.2673611112404615E-2</v>
          </cell>
          <cell r="N158">
            <v>18.250000001862645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https://search-rtdc-monitor-bjffxe2xuh6vdkpspy63sjmuny.us-east-1.es.amazonaws.com/_plugin/kibana/#/discover/Steve-Slow-Train-Analysis-(2080s-and-2083s)?_g=(refreshInterval:(display:Off,section:0,value:0),time:(from:'2016-08-02 04:15:15-0600',mode:absolute,to:'2016-08-02 06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8" t="str">
            <v>N</v>
          </cell>
          <cell r="X158">
            <v>556</v>
          </cell>
          <cell r="Y158">
            <v>5.8615000000000004</v>
          </cell>
          <cell r="Z158">
            <v>6.4899999999999999E-2</v>
          </cell>
          <cell r="AA158">
            <v>5.7966000000000006</v>
          </cell>
          <cell r="AB158" t="e">
            <v>#N/A</v>
          </cell>
          <cell r="AC158" t="e">
            <v>#N/A</v>
          </cell>
          <cell r="AD158" t="str">
            <v>0800-02</v>
          </cell>
          <cell r="AE15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59">
          <cell r="A159" t="str">
            <v>801-02</v>
          </cell>
          <cell r="B159">
            <v>4038</v>
          </cell>
          <cell r="C159" t="str">
            <v>DE.1.0.7.0</v>
          </cell>
          <cell r="D159" t="str">
            <v>204:939</v>
          </cell>
          <cell r="E159">
            <v>42584.240162037036</v>
          </cell>
          <cell r="F159">
            <v>42584.241030092591</v>
          </cell>
          <cell r="G159">
            <v>1</v>
          </cell>
          <cell r="H159" t="str">
            <v>300:58926</v>
          </cell>
          <cell r="I159">
            <v>42584.256377314814</v>
          </cell>
          <cell r="J159">
            <v>0</v>
          </cell>
          <cell r="K159" t="str">
            <v>4037/4038</v>
          </cell>
          <cell r="L159" t="str">
            <v>STARKS</v>
          </cell>
          <cell r="M159">
            <v>1.5347222222771961E-2</v>
          </cell>
          <cell r="N159">
            <v>22.100000000791624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https://search-rtdc-monitor-bjffxe2xuh6vdkpspy63sjmuny.us-east-1.es.amazonaws.com/_plugin/kibana/#/discover/Steve-Slow-Train-Analysis-(2080s-and-2083s)?_g=(refreshInterval:(display:Off,section:0,value:0),time:(from:'2016-08-02 04:45:50-0600',mode:absolute,to:'2016-08-02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9.3899999999999997E-2</v>
          </cell>
          <cell r="Z159">
            <v>5.8925999999999998</v>
          </cell>
          <cell r="AA159">
            <v>5.7987000000000002</v>
          </cell>
          <cell r="AB159" t="e">
            <v>#N/A</v>
          </cell>
          <cell r="AC159" t="e">
            <v>#N/A</v>
          </cell>
          <cell r="AD159" t="str">
            <v>0801-02</v>
          </cell>
          <cell r="AE15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0">
          <cell r="A160" t="str">
            <v>802-02</v>
          </cell>
          <cell r="B160">
            <v>4037</v>
          </cell>
          <cell r="C160" t="str">
            <v>DE.1.0.7.0</v>
          </cell>
          <cell r="D160" t="str">
            <v>300:58604</v>
          </cell>
          <cell r="E160">
            <v>42584.257905092592</v>
          </cell>
          <cell r="F160">
            <v>42584.258773148147</v>
          </cell>
          <cell r="G160">
            <v>1</v>
          </cell>
          <cell r="H160" t="str">
            <v>204:780</v>
          </cell>
          <cell r="I160">
            <v>42584.27003472222</v>
          </cell>
          <cell r="J160">
            <v>1</v>
          </cell>
          <cell r="K160" t="str">
            <v>4037/4038</v>
          </cell>
          <cell r="L160" t="str">
            <v>STARKS</v>
          </cell>
          <cell r="M160">
            <v>1.1261574072705116E-2</v>
          </cell>
          <cell r="N160">
            <v>16.216666664695367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05:11:23-0600',mode:absolute,to:'2016-08-02 07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5.8604000000000003</v>
          </cell>
          <cell r="Z160">
            <v>7.8E-2</v>
          </cell>
          <cell r="AA160">
            <v>5.7824</v>
          </cell>
          <cell r="AB160" t="e">
            <v>#N/A</v>
          </cell>
          <cell r="AC160" t="e">
            <v>#N/A</v>
          </cell>
          <cell r="AD160" t="str">
            <v>0802-02</v>
          </cell>
          <cell r="AE16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1">
          <cell r="A161" t="str">
            <v>803-02</v>
          </cell>
          <cell r="B161">
            <v>4031</v>
          </cell>
          <cell r="C161" t="str">
            <v>DE.1.0.7.0</v>
          </cell>
          <cell r="D161" t="str">
            <v>204:1016</v>
          </cell>
          <cell r="E161">
            <v>42584.259467592594</v>
          </cell>
          <cell r="F161">
            <v>42584.260185185187</v>
          </cell>
          <cell r="G161">
            <v>1</v>
          </cell>
          <cell r="H161" t="str">
            <v>300:58907</v>
          </cell>
          <cell r="I161">
            <v>42584.277719907404</v>
          </cell>
          <cell r="J161">
            <v>1</v>
          </cell>
          <cell r="K161" t="str">
            <v>4031/4032</v>
          </cell>
          <cell r="L161" t="str">
            <v>LEVIN</v>
          </cell>
          <cell r="M161">
            <v>1.7534722217533272E-2</v>
          </cell>
          <cell r="N161">
            <v>25.249999993247911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https://search-rtdc-monitor-bjffxe2xuh6vdkpspy63sjmuny.us-east-1.es.amazonaws.com/_plugin/kibana/#/discover/Steve-Slow-Train-Analysis-(2080s-and-2083s)?_g=(refreshInterval:(display:Off,section:0,value:0),time:(from:'2016-08-02 05:13:38-0600',mode:absolute,to:'2016-08-02 07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1" t="str">
            <v>N</v>
          </cell>
          <cell r="X161">
            <v>1</v>
          </cell>
          <cell r="Y161">
            <v>0.1016</v>
          </cell>
          <cell r="Z161">
            <v>5.8906999999999998</v>
          </cell>
          <cell r="AA161">
            <v>5.7890999999999995</v>
          </cell>
          <cell r="AB161" t="e">
            <v>#N/A</v>
          </cell>
          <cell r="AC161" t="e">
            <v>#N/A</v>
          </cell>
          <cell r="AD161" t="str">
            <v>0803-02</v>
          </cell>
          <cell r="AE16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2">
          <cell r="A162" t="str">
            <v>804-02</v>
          </cell>
          <cell r="B162">
            <v>4032</v>
          </cell>
          <cell r="C162" t="str">
            <v>DE.1.0.7.0</v>
          </cell>
          <cell r="D162" t="str">
            <v>300:58600</v>
          </cell>
          <cell r="E162">
            <v>42584.278553240743</v>
          </cell>
          <cell r="F162">
            <v>42584.279756944445</v>
          </cell>
          <cell r="G162">
            <v>1</v>
          </cell>
          <cell r="H162" t="str">
            <v>204:783</v>
          </cell>
          <cell r="I162">
            <v>42584.291215277779</v>
          </cell>
          <cell r="J162">
            <v>0</v>
          </cell>
          <cell r="K162" t="str">
            <v>4031/4032</v>
          </cell>
          <cell r="L162" t="str">
            <v>LEVIN</v>
          </cell>
          <cell r="M162">
            <v>1.1458333334303461E-2</v>
          </cell>
          <cell r="N162">
            <v>16.500000001396984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https://search-rtdc-monitor-bjffxe2xuh6vdkpspy63sjmuny.us-east-1.es.amazonaws.com/_plugin/kibana/#/discover/Steve-Slow-Train-Analysis-(2080s-and-2083s)?_g=(refreshInterval:(display:Off,section:0,value:0),time:(from:'2016-08-02 05:41:07-0600',mode:absolute,to:'2016-08-02 07:59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2" t="str">
            <v>N</v>
          </cell>
          <cell r="X162">
            <v>1</v>
          </cell>
          <cell r="Y162">
            <v>5.86</v>
          </cell>
          <cell r="Z162">
            <v>7.8299999999999995E-2</v>
          </cell>
          <cell r="AA162">
            <v>5.7817000000000007</v>
          </cell>
          <cell r="AB162" t="e">
            <v>#N/A</v>
          </cell>
          <cell r="AC162" t="e">
            <v>#N/A</v>
          </cell>
          <cell r="AD162" t="str">
            <v>0804-02</v>
          </cell>
          <cell r="AE16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3">
          <cell r="A163" t="str">
            <v>805-02</v>
          </cell>
          <cell r="B163">
            <v>4038</v>
          </cell>
          <cell r="C163" t="str">
            <v>DE.1.0.7.0</v>
          </cell>
          <cell r="D163" t="str">
            <v>204:1091</v>
          </cell>
          <cell r="E163">
            <v>42584.283067129632</v>
          </cell>
          <cell r="F163">
            <v>42584.283784722225</v>
          </cell>
          <cell r="G163">
            <v>1</v>
          </cell>
          <cell r="H163" t="str">
            <v>300:58931</v>
          </cell>
          <cell r="I163">
            <v>42584.297766203701</v>
          </cell>
          <cell r="J163">
            <v>3</v>
          </cell>
          <cell r="K163" t="str">
            <v>4037/4038</v>
          </cell>
          <cell r="L163" t="str">
            <v>STARKS</v>
          </cell>
          <cell r="M163">
            <v>1.3981481475639157E-2</v>
          </cell>
          <cell r="N163">
            <v>20.133333324920386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3" t="str">
            <v>N</v>
          </cell>
          <cell r="X163">
            <v>1</v>
          </cell>
          <cell r="Y163">
            <v>0.1091</v>
          </cell>
          <cell r="Z163">
            <v>5.8930999999999996</v>
          </cell>
          <cell r="AA163">
            <v>5.7839999999999998</v>
          </cell>
          <cell r="AB163" t="e">
            <v>#N/A</v>
          </cell>
          <cell r="AC163" t="e">
            <v>#N/A</v>
          </cell>
          <cell r="AD163" t="str">
            <v>0805-02</v>
          </cell>
          <cell r="AE16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4">
          <cell r="A164" t="str">
            <v>806-02</v>
          </cell>
          <cell r="B164">
            <v>4037</v>
          </cell>
          <cell r="C164" t="str">
            <v>DE.1.0.7.0</v>
          </cell>
          <cell r="D164" t="str">
            <v>300:58615</v>
          </cell>
          <cell r="E164">
            <v>42584.298703703702</v>
          </cell>
          <cell r="F164">
            <v>42584.300335648149</v>
          </cell>
          <cell r="G164">
            <v>2</v>
          </cell>
          <cell r="H164" t="str">
            <v>204:654</v>
          </cell>
          <cell r="I164">
            <v>42584.311967592592</v>
          </cell>
          <cell r="J164">
            <v>0</v>
          </cell>
          <cell r="K164" t="str">
            <v>4037/4038</v>
          </cell>
          <cell r="L164" t="str">
            <v>STARKS</v>
          </cell>
          <cell r="M164">
            <v>1.1631944442342501E-2</v>
          </cell>
          <cell r="N164">
            <v>16.749999996973202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https://search-rtdc-monitor-bjffxe2xuh6vdkpspy63sjmuny.us-east-1.es.amazonaws.com/_plugin/kibana/#/discover/Steve-Slow-Train-Analysis-(2080s-and-2083s)?_g=(refreshInterval:(display:Off,section:0,value:0),time:(from:'2016-08-02 06:10:08-0600',mode:absolute,to:'2016-08-02 08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6.54E-2</v>
          </cell>
          <cell r="AA164">
            <v>5.7961</v>
          </cell>
          <cell r="AB164" t="e">
            <v>#N/A</v>
          </cell>
          <cell r="AC164" t="e">
            <v>#N/A</v>
          </cell>
          <cell r="AD164" t="str">
            <v>0806-02</v>
          </cell>
          <cell r="AE16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5">
          <cell r="A165" t="str">
            <v>807-02</v>
          </cell>
          <cell r="B165">
            <v>4031</v>
          </cell>
          <cell r="C165" t="str">
            <v>DE.1.0.7.0</v>
          </cell>
          <cell r="D165" t="str">
            <v>204:1062</v>
          </cell>
          <cell r="E165">
            <v>42584.301921296297</v>
          </cell>
          <cell r="F165">
            <v>42584.30269675926</v>
          </cell>
          <cell r="G165">
            <v>1</v>
          </cell>
          <cell r="H165" t="str">
            <v>300:58914</v>
          </cell>
          <cell r="I165">
            <v>42584.317037037035</v>
          </cell>
          <cell r="J165">
            <v>0</v>
          </cell>
          <cell r="K165" t="str">
            <v>4031/4032</v>
          </cell>
          <cell r="L165" t="str">
            <v>LEVIN</v>
          </cell>
          <cell r="M165">
            <v>1.4340277775772847E-2</v>
          </cell>
          <cell r="N165">
            <v>20.6499999971129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https://search-rtdc-monitor-bjffxe2xuh6vdkpspy63sjmuny.us-east-1.es.amazonaws.com/_plugin/kibana/#/discover/Steve-Slow-Train-Analysis-(2080s-and-2083s)?_g=(refreshInterval:(display:Off,section:0,value:0),time:(from:'2016-08-02 06:14:46-0600',mode:absolute,to:'2016-08-02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5" t="str">
            <v>N</v>
          </cell>
          <cell r="X165">
            <v>1</v>
          </cell>
          <cell r="Y165">
            <v>0.1062</v>
          </cell>
          <cell r="Z165">
            <v>5.8914</v>
          </cell>
          <cell r="AA165">
            <v>5.7851999999999997</v>
          </cell>
          <cell r="AB165" t="e">
            <v>#N/A</v>
          </cell>
          <cell r="AC165" t="e">
            <v>#N/A</v>
          </cell>
          <cell r="AD165" t="str">
            <v>0807-02</v>
          </cell>
          <cell r="AE16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6">
          <cell r="A166" t="str">
            <v>808-02</v>
          </cell>
          <cell r="B166">
            <v>4032</v>
          </cell>
          <cell r="C166" t="str">
            <v>DE.1.0.7.0</v>
          </cell>
          <cell r="D166" t="str">
            <v>300:58596</v>
          </cell>
          <cell r="E166">
            <v>42584.318043981482</v>
          </cell>
          <cell r="F166">
            <v>42584.318715277775</v>
          </cell>
          <cell r="G166">
            <v>0</v>
          </cell>
          <cell r="H166" t="str">
            <v>204:771</v>
          </cell>
          <cell r="I166">
            <v>42584.330659722225</v>
          </cell>
          <cell r="J166">
            <v>0</v>
          </cell>
          <cell r="K166" t="str">
            <v>4031/4032</v>
          </cell>
          <cell r="L166" t="str">
            <v>LEVIN</v>
          </cell>
          <cell r="M166">
            <v>1.1944444449909497E-2</v>
          </cell>
          <cell r="N166">
            <v>17.200000007869676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https://search-rtdc-monitor-bjffxe2xuh6vdkpspy63sjmuny.us-east-1.es.amazonaws.com/_plugin/kibana/#/discover/Steve-Slow-Train-Analysis-(2080s-and-2083s)?_g=(refreshInterval:(display:Off,section:0,value:0),time:(from:'2016-08-02 06:37:59-0600',mode:absolute,to:'2016-08-02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7.7100000000000002E-2</v>
          </cell>
          <cell r="AA166">
            <v>5.7825000000000006</v>
          </cell>
          <cell r="AB166" t="e">
            <v>#N/A</v>
          </cell>
          <cell r="AC166" t="e">
            <v>#N/A</v>
          </cell>
          <cell r="AD166" t="str">
            <v>0808-02</v>
          </cell>
          <cell r="AE16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7">
          <cell r="A167" t="str">
            <v>809-02</v>
          </cell>
          <cell r="B167">
            <v>4038</v>
          </cell>
          <cell r="C167" t="str">
            <v>DE.1.0.7.0</v>
          </cell>
          <cell r="D167" t="str">
            <v>204:937</v>
          </cell>
          <cell r="E167">
            <v>42584.325243055559</v>
          </cell>
          <cell r="F167">
            <v>42584.325995370367</v>
          </cell>
          <cell r="G167">
            <v>1</v>
          </cell>
          <cell r="H167" t="str">
            <v>300:58935</v>
          </cell>
          <cell r="I167">
            <v>42584.339571759258</v>
          </cell>
          <cell r="J167">
            <v>0</v>
          </cell>
          <cell r="K167" t="str">
            <v>4037/4038</v>
          </cell>
          <cell r="L167" t="str">
            <v>STARKS</v>
          </cell>
          <cell r="M167">
            <v>1.357638889021473E-2</v>
          </cell>
          <cell r="N167">
            <v>19.550000001909211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https://search-rtdc-monitor-bjffxe2xuh6vdkpspy63sjmuny.us-east-1.es.amazonaws.com/_plugin/kibana/#/discover/Steve-Slow-Train-Analysis-(2080s-and-2083s)?_g=(refreshInterval:(display:Off,section:0,value:0),time:(from:'2016-08-02 06:48:21-0600',mode:absolute,to:'2016-08-02 09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7" t="str">
            <v>N</v>
          </cell>
          <cell r="X167">
            <v>1</v>
          </cell>
          <cell r="Y167">
            <v>9.3700000000000006E-2</v>
          </cell>
          <cell r="Z167">
            <v>5.8935000000000004</v>
          </cell>
          <cell r="AA167">
            <v>5.7998000000000003</v>
          </cell>
          <cell r="AB167" t="e">
            <v>#N/A</v>
          </cell>
          <cell r="AC167" t="e">
            <v>#N/A</v>
          </cell>
          <cell r="AD167" t="str">
            <v>0809-02</v>
          </cell>
          <cell r="AE167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8">
          <cell r="A168" t="str">
            <v>810-02</v>
          </cell>
          <cell r="B168">
            <v>4037</v>
          </cell>
          <cell r="C168" t="str">
            <v>DE.1.0.7.0</v>
          </cell>
          <cell r="D168" t="str">
            <v>300:58615</v>
          </cell>
          <cell r="E168">
            <v>42584.340648148151</v>
          </cell>
          <cell r="F168">
            <v>42584.341516203705</v>
          </cell>
          <cell r="G168">
            <v>1</v>
          </cell>
          <cell r="H168" t="str">
            <v>204:775</v>
          </cell>
          <cell r="I168">
            <v>42584.353321759256</v>
          </cell>
          <cell r="J168">
            <v>0</v>
          </cell>
          <cell r="K168" t="str">
            <v>4037/4038</v>
          </cell>
          <cell r="L168" t="str">
            <v>STARKS</v>
          </cell>
          <cell r="M168">
            <v>1.1805555550381541E-2</v>
          </cell>
          <cell r="N168">
            <v>16.999999992549419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https://search-rtdc-monitor-bjffxe2xuh6vdkpspy63sjmuny.us-east-1.es.amazonaws.com/_plugin/kibana/#/discover/Steve-Slow-Train-Analysis-(2080s-and-2083s)?_g=(refreshInterval:(display:Off,section:0,value:0),time:(from:'2016-08-02 07:10:32-0600',mode:absolute,to:'2016-08-02 09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8" t="str">
            <v>N</v>
          </cell>
          <cell r="X168">
            <v>1</v>
          </cell>
          <cell r="Y168">
            <v>5.8615000000000004</v>
          </cell>
          <cell r="Z168">
            <v>7.7499999999999999E-2</v>
          </cell>
          <cell r="AA168">
            <v>5.7840000000000007</v>
          </cell>
          <cell r="AB168" t="e">
            <v>#N/A</v>
          </cell>
          <cell r="AC168" t="e">
            <v>#N/A</v>
          </cell>
          <cell r="AD168" t="str">
            <v>0810-02</v>
          </cell>
          <cell r="AE16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9">
          <cell r="A169" t="str">
            <v>811-02</v>
          </cell>
          <cell r="B169">
            <v>4031</v>
          </cell>
          <cell r="C169" t="str">
            <v>DE.1.0.7.0</v>
          </cell>
          <cell r="D169" t="str">
            <v>204:1076</v>
          </cell>
          <cell r="E169">
            <v>42584.343726851854</v>
          </cell>
          <cell r="F169">
            <v>42584.344768518517</v>
          </cell>
          <cell r="G169">
            <v>1</v>
          </cell>
          <cell r="H169" t="str">
            <v>300:58920</v>
          </cell>
          <cell r="I169">
            <v>42584.359409722223</v>
          </cell>
          <cell r="J169">
            <v>0</v>
          </cell>
          <cell r="K169" t="str">
            <v>4031/4032</v>
          </cell>
          <cell r="L169" t="str">
            <v>LEVIN</v>
          </cell>
          <cell r="M169">
            <v>1.4641203706560191E-2</v>
          </cell>
          <cell r="N169">
            <v>21.083333337446675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https://search-rtdc-monitor-bjffxe2xuh6vdkpspy63sjmuny.us-east-1.es.amazonaws.com/_plugin/kibana/#/discover/Steve-Slow-Train-Analysis-(2080s-and-2083s)?_g=(refreshInterval:(display:Off,section:0,value:0),time:(from:'2016-08-02 07:14:58-0600',mode:absolute,to:'2016-08-02 09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9" t="str">
            <v>N</v>
          </cell>
          <cell r="X169">
            <v>1</v>
          </cell>
          <cell r="Y169">
            <v>0.1076</v>
          </cell>
          <cell r="Z169">
            <v>5.8920000000000003</v>
          </cell>
          <cell r="AA169">
            <v>5.7844000000000007</v>
          </cell>
          <cell r="AB169" t="e">
            <v>#N/A</v>
          </cell>
          <cell r="AC169" t="e">
            <v>#N/A</v>
          </cell>
          <cell r="AD169" t="str">
            <v>0811-02</v>
          </cell>
          <cell r="AE16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0">
          <cell r="A170" t="str">
            <v>812-02</v>
          </cell>
          <cell r="B170">
            <v>4032</v>
          </cell>
          <cell r="C170" t="str">
            <v>DE.1.0.7.0</v>
          </cell>
          <cell r="D170" t="str">
            <v>300:58604</v>
          </cell>
          <cell r="E170">
            <v>42584.360648148147</v>
          </cell>
          <cell r="F170">
            <v>42584.36141203704</v>
          </cell>
          <cell r="G170">
            <v>1</v>
          </cell>
          <cell r="H170" t="str">
            <v>204:769</v>
          </cell>
          <cell r="I170">
            <v>42584.372708333336</v>
          </cell>
          <cell r="J170">
            <v>0</v>
          </cell>
          <cell r="K170" t="str">
            <v>4031/4032</v>
          </cell>
          <cell r="L170" t="str">
            <v>LEVIN</v>
          </cell>
          <cell r="M170">
            <v>1.1296296295768116E-2</v>
          </cell>
          <cell r="N170">
            <v>16.266666665906087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https://search-rtdc-monitor-bjffxe2xuh6vdkpspy63sjmuny.us-east-1.es.amazonaws.com/_plugin/kibana/#/discover/Steve-Slow-Train-Analysis-(2080s-and-2083s)?_g=(refreshInterval:(display:Off,section:0,value:0),time:(from:'2016-08-02 07:39:20-0600',mode:absolute,to:'2016-08-02 09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7.6899999999999996E-2</v>
          </cell>
          <cell r="AA170">
            <v>5.7835000000000001</v>
          </cell>
          <cell r="AB170" t="e">
            <v>#N/A</v>
          </cell>
          <cell r="AC170" t="e">
            <v>#N/A</v>
          </cell>
          <cell r="AD170" t="str">
            <v>0812-02</v>
          </cell>
          <cell r="AE17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1">
          <cell r="A171" t="str">
            <v>813-02</v>
          </cell>
          <cell r="B171">
            <v>4031</v>
          </cell>
          <cell r="C171" t="str">
            <v>DE.1.0.7.0</v>
          </cell>
          <cell r="D171" t="str">
            <v>204:1067</v>
          </cell>
          <cell r="E171">
            <v>42584.382939814815</v>
          </cell>
          <cell r="F171">
            <v>42584.383703703701</v>
          </cell>
          <cell r="G171">
            <v>1</v>
          </cell>
          <cell r="H171" t="str">
            <v>300:58911</v>
          </cell>
          <cell r="I171">
            <v>42584.399918981479</v>
          </cell>
          <cell r="J171">
            <v>0</v>
          </cell>
          <cell r="K171" t="str">
            <v>4031/4032</v>
          </cell>
          <cell r="L171" t="str">
            <v>LEVIN</v>
          </cell>
          <cell r="M171">
            <v>1.6215277777519077E-2</v>
          </cell>
          <cell r="N171">
            <v>23.349999999627471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https://search-rtdc-monitor-bjffxe2xuh6vdkpspy63sjmuny.us-east-1.es.amazonaws.com/_plugin/kibana/#/discover/Steve-Slow-Train-Analysis-(2080s-and-2083s)?_g=(refreshInterval:(display:Off,section:0,value:0),time:(from:'2016-08-02 08:11:26-0600',mode:absolute,to:'2016-08-02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1" t="str">
            <v>N</v>
          </cell>
          <cell r="X171">
            <v>1</v>
          </cell>
          <cell r="Y171">
            <v>0.1067</v>
          </cell>
          <cell r="Z171">
            <v>5.8910999999999998</v>
          </cell>
          <cell r="AA171">
            <v>5.7843999999999998</v>
          </cell>
          <cell r="AB171" t="e">
            <v>#N/A</v>
          </cell>
          <cell r="AC171" t="e">
            <v>#N/A</v>
          </cell>
          <cell r="AD171" t="str">
            <v>0813-02</v>
          </cell>
          <cell r="AE17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2">
          <cell r="A172" t="str">
            <v>814-02</v>
          </cell>
          <cell r="B172">
            <v>4032</v>
          </cell>
          <cell r="C172" t="str">
            <v>DE.1.0.7.0</v>
          </cell>
          <cell r="D172" t="str">
            <v>300:58594</v>
          </cell>
          <cell r="E172">
            <v>42584.400821759256</v>
          </cell>
          <cell r="F172">
            <v>42584.401666666665</v>
          </cell>
          <cell r="G172">
            <v>1</v>
          </cell>
          <cell r="H172" t="str">
            <v>204:773</v>
          </cell>
          <cell r="I172">
            <v>42584.413877314815</v>
          </cell>
          <cell r="J172">
            <v>0</v>
          </cell>
          <cell r="K172" t="str">
            <v>4031/4032</v>
          </cell>
          <cell r="L172" t="str">
            <v>LEVIN</v>
          </cell>
          <cell r="M172">
            <v>1.2210648150357883E-2</v>
          </cell>
          <cell r="N172">
            <v>17.583333336515352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https://search-rtdc-monitor-bjffxe2xuh6vdkpspy63sjmuny.us-east-1.es.amazonaws.com/_plugin/kibana/#/discover/Steve-Slow-Train-Analysis-(2080s-and-2083s)?_g=(refreshInterval:(display:Off,section:0,value:0),time:(from:'2016-08-02 08:37:11-0600',mode:absolute,to:'2016-08-02 10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2" t="str">
            <v>N</v>
          </cell>
          <cell r="X172">
            <v>1</v>
          </cell>
          <cell r="Y172">
            <v>5.8593999999999999</v>
          </cell>
          <cell r="Z172">
            <v>7.7299999999999994E-2</v>
          </cell>
          <cell r="AA172">
            <v>5.7820999999999998</v>
          </cell>
          <cell r="AB172" t="e">
            <v>#N/A</v>
          </cell>
          <cell r="AC172" t="e">
            <v>#N/A</v>
          </cell>
          <cell r="AD172" t="str">
            <v>0814-02</v>
          </cell>
          <cell r="AE17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3">
          <cell r="A173" t="str">
            <v>815-02</v>
          </cell>
          <cell r="B173">
            <v>4031</v>
          </cell>
          <cell r="C173" t="str">
            <v>DE.1.0.7.0</v>
          </cell>
          <cell r="D173" t="str">
            <v>204:1070</v>
          </cell>
          <cell r="E173">
            <v>42584.42763888889</v>
          </cell>
          <cell r="F173">
            <v>42584.42895833333</v>
          </cell>
          <cell r="G173">
            <v>1</v>
          </cell>
          <cell r="H173" t="str">
            <v>300:58916</v>
          </cell>
          <cell r="I173">
            <v>42584.44253472222</v>
          </cell>
          <cell r="J173">
            <v>1</v>
          </cell>
          <cell r="K173" t="str">
            <v>4031/4032</v>
          </cell>
          <cell r="L173" t="str">
            <v>LEVIN</v>
          </cell>
          <cell r="M173">
            <v>1.357638889021473E-2</v>
          </cell>
          <cell r="N173">
            <v>19.550000001909211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https://search-rtdc-monitor-bjffxe2xuh6vdkpspy63sjmuny.us-east-1.es.amazonaws.com/_plugin/kibana/#/discover/Steve-Slow-Train-Analysis-(2080s-and-2083s)?_g=(refreshInterval:(display:Off,section:0,value:0),time:(from:'2016-08-02 09:15:48-0600',mode:absolute,to:'2016-08-02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3" t="str">
            <v>N</v>
          </cell>
          <cell r="X173">
            <v>1</v>
          </cell>
          <cell r="Y173">
            <v>0.107</v>
          </cell>
          <cell r="Z173">
            <v>5.8916000000000004</v>
          </cell>
          <cell r="AA173">
            <v>5.7846000000000002</v>
          </cell>
          <cell r="AB173" t="e">
            <v>#N/A</v>
          </cell>
          <cell r="AC173" t="e">
            <v>#N/A</v>
          </cell>
          <cell r="AD173" t="str">
            <v>0815-02</v>
          </cell>
          <cell r="AE17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4">
          <cell r="A174" t="str">
            <v>816-02</v>
          </cell>
          <cell r="B174">
            <v>4032</v>
          </cell>
          <cell r="C174" t="str">
            <v>DE.1.0.7.0</v>
          </cell>
          <cell r="D174" t="str">
            <v>300:58598</v>
          </cell>
          <cell r="E174">
            <v>42584.443472222221</v>
          </cell>
          <cell r="F174">
            <v>42584.44458333333</v>
          </cell>
          <cell r="G174">
            <v>1</v>
          </cell>
          <cell r="H174" t="str">
            <v>204:169</v>
          </cell>
          <cell r="I174">
            <v>42584.459606481483</v>
          </cell>
          <cell r="J174">
            <v>1</v>
          </cell>
          <cell r="K174" t="str">
            <v>4031/4032</v>
          </cell>
          <cell r="L174" t="str">
            <v>LEVIN</v>
          </cell>
          <cell r="M174">
            <v>1.5023148152977228E-2</v>
          </cell>
          <cell r="N174">
            <v>21.633333340287209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https://search-rtdc-monitor-bjffxe2xuh6vdkpspy63sjmuny.us-east-1.es.amazonaws.com/_plugin/kibana/#/discover/Steve-Slow-Train-Analysis-(2080s-and-2083s)?_g=(refreshInterval:(display:Off,section:0,value:0),time:(from:'2016-08-02 09:38:36-0600',mode:absolute,to:'2016-08-02 12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4" t="str">
            <v>N</v>
          </cell>
          <cell r="X174">
            <v>1</v>
          </cell>
          <cell r="Y174">
            <v>5.8597999999999999</v>
          </cell>
          <cell r="Z174">
            <v>1.6899999999999998E-2</v>
          </cell>
          <cell r="AA174">
            <v>5.8429000000000002</v>
          </cell>
          <cell r="AB174" t="e">
            <v>#N/A</v>
          </cell>
          <cell r="AC174" t="e">
            <v>#N/A</v>
          </cell>
          <cell r="AD174" t="str">
            <v>0816-02</v>
          </cell>
          <cell r="AE17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5">
          <cell r="A175" t="str">
            <v>817-02</v>
          </cell>
          <cell r="B175">
            <v>4031</v>
          </cell>
          <cell r="C175" t="str">
            <v>DE.1.0.7.0</v>
          </cell>
          <cell r="D175" t="str">
            <v>204:451</v>
          </cell>
          <cell r="E175">
            <v>42584.465138888889</v>
          </cell>
          <cell r="F175">
            <v>42584.466122685182</v>
          </cell>
          <cell r="G175">
            <v>1</v>
          </cell>
          <cell r="H175" t="str">
            <v>300:58912</v>
          </cell>
          <cell r="I175">
            <v>42584.4840625</v>
          </cell>
          <cell r="J175">
            <v>0</v>
          </cell>
          <cell r="K175" t="str">
            <v>4031/4032</v>
          </cell>
          <cell r="L175" t="str">
            <v>LEVIN</v>
          </cell>
          <cell r="M175">
            <v>1.7939814817509614E-2</v>
          </cell>
          <cell r="N175">
            <v>25.833333337213844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https://search-rtdc-monitor-bjffxe2xuh6vdkpspy63sjmuny.us-east-1.es.amazonaws.com/_plugin/kibana/#/discover/Steve-Slow-Train-Analysis-(2080s-and-2083s)?_g=(refreshInterval:(display:Off,section:0,value:0),time:(from:'2016-08-02 10:09:48-0600',mode:absolute,to:'2016-08-02 12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5" t="str">
            <v>N</v>
          </cell>
          <cell r="X175">
            <v>1</v>
          </cell>
          <cell r="Y175">
            <v>4.5100000000000001E-2</v>
          </cell>
          <cell r="Z175">
            <v>5.8912000000000004</v>
          </cell>
          <cell r="AA175">
            <v>5.8461000000000007</v>
          </cell>
          <cell r="AB175" t="e">
            <v>#N/A</v>
          </cell>
          <cell r="AC175" t="e">
            <v>#N/A</v>
          </cell>
          <cell r="AD175" t="str">
            <v>0817-02</v>
          </cell>
          <cell r="AE17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6">
          <cell r="A176" t="str">
            <v>818-02</v>
          </cell>
          <cell r="B176">
            <v>4032</v>
          </cell>
          <cell r="C176" t="str">
            <v>DE.1.0.7.0</v>
          </cell>
          <cell r="D176" t="str">
            <v>300:58587</v>
          </cell>
          <cell r="E176">
            <v>42584.485046296293</v>
          </cell>
          <cell r="F176">
            <v>42584.485821759263</v>
          </cell>
          <cell r="G176">
            <v>1</v>
          </cell>
          <cell r="H176" t="str">
            <v>204:757</v>
          </cell>
          <cell r="I176">
            <v>42584.499155092592</v>
          </cell>
          <cell r="J176">
            <v>0</v>
          </cell>
          <cell r="K176" t="str">
            <v>4031/4032</v>
          </cell>
          <cell r="L176" t="str">
            <v>LEVIN</v>
          </cell>
          <cell r="M176">
            <v>1.3333333328773733E-2</v>
          </cell>
          <cell r="N176">
            <v>19.199999993434176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https://search-rtdc-monitor-bjffxe2xuh6vdkpspy63sjmuny.us-east-1.es.amazonaws.com/_plugin/kibana/#/discover/Steve-Slow-Train-Analysis-(2080s-and-2083s)?_g=(refreshInterval:(display:Off,section:0,value:0),time:(from:'2016-08-02 10:38:28-0600',mode:absolute,to:'2016-08-02 12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6" t="str">
            <v>N</v>
          </cell>
          <cell r="X176">
            <v>1</v>
          </cell>
          <cell r="Y176">
            <v>5.8586999999999998</v>
          </cell>
          <cell r="Z176">
            <v>7.5700000000000003E-2</v>
          </cell>
          <cell r="AA176">
            <v>5.7829999999999995</v>
          </cell>
          <cell r="AB176" t="e">
            <v>#N/A</v>
          </cell>
          <cell r="AC176" t="e">
            <v>#N/A</v>
          </cell>
          <cell r="AD176" t="str">
            <v>0818-02</v>
          </cell>
          <cell r="AE17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7">
          <cell r="A177" t="str">
            <v>819-02</v>
          </cell>
          <cell r="B177">
            <v>4031</v>
          </cell>
          <cell r="C177" t="str">
            <v>DE.1.0.7.0</v>
          </cell>
          <cell r="D177" t="str">
            <v>204:1037</v>
          </cell>
          <cell r="E177">
            <v>42584.508634259262</v>
          </cell>
          <cell r="F177">
            <v>42584.509502314817</v>
          </cell>
          <cell r="G177">
            <v>1</v>
          </cell>
          <cell r="H177" t="str">
            <v>300:58929</v>
          </cell>
          <cell r="I177">
            <v>42584.524814814817</v>
          </cell>
          <cell r="J177">
            <v>0</v>
          </cell>
          <cell r="K177" t="str">
            <v>4031/4032</v>
          </cell>
          <cell r="L177" t="str">
            <v>LEVIN</v>
          </cell>
          <cell r="M177">
            <v>1.5312499999708962E-2</v>
          </cell>
          <cell r="N177">
            <v>22.049999999580905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https://search-rtdc-monitor-bjffxe2xuh6vdkpspy63sjmuny.us-east-1.es.amazonaws.com/_plugin/kibana/#/discover/Steve-Slow-Train-Analysis-(2080s-and-2083s)?_g=(refreshInterval:(display:Off,section:0,value:0),time:(from:'2016-08-02 11:12:26-0600',mode:absolute,to:'2016-08-02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7" t="str">
            <v>N</v>
          </cell>
          <cell r="X177">
            <v>1</v>
          </cell>
          <cell r="Y177">
            <v>0.1037</v>
          </cell>
          <cell r="Z177">
            <v>5.8929</v>
          </cell>
          <cell r="AA177">
            <v>5.7892000000000001</v>
          </cell>
          <cell r="AB177" t="e">
            <v>#N/A</v>
          </cell>
          <cell r="AC177" t="e">
            <v>#N/A</v>
          </cell>
          <cell r="AD177" t="str">
            <v>0819-02</v>
          </cell>
          <cell r="AE17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8">
          <cell r="A178" t="str">
            <v>820-02</v>
          </cell>
          <cell r="B178">
            <v>4032</v>
          </cell>
          <cell r="C178" t="str">
            <v>DE.1.0.7.0</v>
          </cell>
          <cell r="D178" t="str">
            <v>300:58609</v>
          </cell>
          <cell r="E178">
            <v>42584.525868055556</v>
          </cell>
          <cell r="F178">
            <v>42584.526631944442</v>
          </cell>
          <cell r="G178">
            <v>1</v>
          </cell>
          <cell r="H178" t="str">
            <v>204:778</v>
          </cell>
          <cell r="I178">
            <v>42584.539733796293</v>
          </cell>
          <cell r="J178">
            <v>0</v>
          </cell>
          <cell r="K178" t="str">
            <v>4031/4032</v>
          </cell>
          <cell r="L178" t="str">
            <v>LEVIN</v>
          </cell>
          <cell r="M178">
            <v>1.3101851851388346E-2</v>
          </cell>
          <cell r="N178">
            <v>18.866666665999219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https://search-rtdc-monitor-bjffxe2xuh6vdkpspy63sjmuny.us-east-1.es.amazonaws.com/_plugin/kibana/#/discover/Steve-Slow-Train-Analysis-(2080s-and-2083s)?_g=(refreshInterval:(display:Off,section:0,value:0),time:(from:'2016-08-02 11:37:15-0600',mode:absolute,to:'2016-08-02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8" t="str">
            <v>N</v>
          </cell>
          <cell r="X178">
            <v>1</v>
          </cell>
          <cell r="Y178">
            <v>5.8609</v>
          </cell>
          <cell r="Z178">
            <v>7.7799999999999994E-2</v>
          </cell>
          <cell r="AA178">
            <v>5.7831000000000001</v>
          </cell>
          <cell r="AB178" t="e">
            <v>#N/A</v>
          </cell>
          <cell r="AC178" t="e">
            <v>#N/A</v>
          </cell>
          <cell r="AD178" t="str">
            <v>0820-02</v>
          </cell>
          <cell r="AE17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9">
          <cell r="A179" t="str">
            <v>821-02</v>
          </cell>
          <cell r="B179">
            <v>4031</v>
          </cell>
          <cell r="C179" t="str">
            <v>DE.1.0.7.0</v>
          </cell>
          <cell r="D179" t="str">
            <v>204:1063</v>
          </cell>
          <cell r="E179">
            <v>42584.545659722222</v>
          </cell>
          <cell r="F179">
            <v>42584.54791666667</v>
          </cell>
          <cell r="G179">
            <v>3</v>
          </cell>
          <cell r="H179" t="str">
            <v>300:58924</v>
          </cell>
          <cell r="I179">
            <v>42584.566782407404</v>
          </cell>
          <cell r="J179">
            <v>0</v>
          </cell>
          <cell r="K179" t="str">
            <v>4031/4032</v>
          </cell>
          <cell r="L179" t="str">
            <v>BRUDER</v>
          </cell>
          <cell r="M179">
            <v>1.8865740734327119E-2</v>
          </cell>
          <cell r="N179">
            <v>27.166666657431051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https://search-rtdc-monitor-bjffxe2xuh6vdkpspy63sjmuny.us-east-1.es.amazonaws.com/_plugin/kibana/#/discover/Steve-Slow-Train-Analysis-(2080s-and-2083s)?_g=(refreshInterval:(display:Off,section:0,value:0),time:(from:'2016-08-02 12:05:45-0600',mode:absolute,to:'2016-08-02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9" t="str">
            <v>N</v>
          </cell>
          <cell r="X179">
            <v>1</v>
          </cell>
          <cell r="Y179">
            <v>0.10630000000000001</v>
          </cell>
          <cell r="Z179">
            <v>5.8924000000000003</v>
          </cell>
          <cell r="AA179">
            <v>5.7861000000000002</v>
          </cell>
          <cell r="AB179" t="e">
            <v>#N/A</v>
          </cell>
          <cell r="AC179" t="e">
            <v>#N/A</v>
          </cell>
          <cell r="AD179" t="str">
            <v>0821-02</v>
          </cell>
          <cell r="AE17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0">
          <cell r="A180" t="str">
            <v>822-02</v>
          </cell>
          <cell r="B180">
            <v>4032</v>
          </cell>
          <cell r="C180" t="str">
            <v>DE.1.0.7.0</v>
          </cell>
          <cell r="D180" t="str">
            <v>300:58606</v>
          </cell>
          <cell r="E180">
            <v>42584.568460648145</v>
          </cell>
          <cell r="F180">
            <v>42584.569652777776</v>
          </cell>
          <cell r="G180">
            <v>1</v>
          </cell>
          <cell r="H180" t="str">
            <v>204:654</v>
          </cell>
          <cell r="I180">
            <v>42584.580914351849</v>
          </cell>
          <cell r="J180">
            <v>0</v>
          </cell>
          <cell r="K180" t="str">
            <v>4031/4032</v>
          </cell>
          <cell r="L180" t="str">
            <v>BRUDER</v>
          </cell>
          <cell r="M180">
            <v>1.1261574072705116E-2</v>
          </cell>
          <cell r="N180">
            <v>16.216666664695367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https://search-rtdc-monitor-bjffxe2xuh6vdkpspy63sjmuny.us-east-1.es.amazonaws.com/_plugin/kibana/#/discover/Steve-Slow-Train-Analysis-(2080s-and-2083s)?_g=(refreshInterval:(display:Off,section:0,value:0),time:(from:'2016-08-02 12:38:35-0600',mode:absolute,to:'2016-08-02 14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0" t="str">
            <v>N</v>
          </cell>
          <cell r="X180">
            <v>1</v>
          </cell>
          <cell r="Y180">
            <v>5.8605999999999998</v>
          </cell>
          <cell r="Z180">
            <v>6.54E-2</v>
          </cell>
          <cell r="AA180">
            <v>5.7951999999999995</v>
          </cell>
          <cell r="AB180" t="e">
            <v>#N/A</v>
          </cell>
          <cell r="AC180" t="e">
            <v>#N/A</v>
          </cell>
          <cell r="AD180" t="str">
            <v>0822-02</v>
          </cell>
          <cell r="AE18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1">
          <cell r="A181" t="str">
            <v>823-02</v>
          </cell>
          <cell r="B181">
            <v>4031</v>
          </cell>
          <cell r="C181" t="str">
            <v>DE.1.0.7.0</v>
          </cell>
          <cell r="D181" t="str">
            <v>204:964</v>
          </cell>
          <cell r="E181">
            <v>42584.591909722221</v>
          </cell>
          <cell r="F181">
            <v>42584.592974537038</v>
          </cell>
          <cell r="G181">
            <v>1</v>
          </cell>
          <cell r="H181" t="str">
            <v>300:58922</v>
          </cell>
          <cell r="I181">
            <v>42584.60796296296</v>
          </cell>
          <cell r="J181">
            <v>0</v>
          </cell>
          <cell r="K181" t="str">
            <v>4031/4032</v>
          </cell>
          <cell r="L181" t="str">
            <v>BRUDER</v>
          </cell>
          <cell r="M181">
            <v>1.4988425922638271E-2</v>
          </cell>
          <cell r="N181">
            <v>21.58333332859911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https://search-rtdc-monitor-bjffxe2xuh6vdkpspy63sjmuny.us-east-1.es.amazonaws.com/_plugin/kibana/#/discover/Steve-Slow-Train-Analysis-(2080s-and-2083s)?_g=(refreshInterval:(display:Off,section:0,value:0),time:(from:'2016-08-02 13:12:21-0600',mode:absolute,to:'2016-08-02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1" t="str">
            <v>N</v>
          </cell>
          <cell r="X181">
            <v>1</v>
          </cell>
          <cell r="Y181">
            <v>9.64E-2</v>
          </cell>
          <cell r="Z181">
            <v>5.8921999999999999</v>
          </cell>
          <cell r="AA181">
            <v>5.7957999999999998</v>
          </cell>
          <cell r="AB181" t="e">
            <v>#N/A</v>
          </cell>
          <cell r="AC181" t="e">
            <v>#N/A</v>
          </cell>
          <cell r="AD181" t="str">
            <v>0823-02</v>
          </cell>
          <cell r="AE18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2">
          <cell r="A182" t="str">
            <v>824-02</v>
          </cell>
          <cell r="B182">
            <v>4032</v>
          </cell>
          <cell r="C182" t="str">
            <v>DE.1.0.7.0</v>
          </cell>
          <cell r="D182" t="str">
            <v>300:58609</v>
          </cell>
          <cell r="E182">
            <v>42584.609444444446</v>
          </cell>
          <cell r="F182">
            <v>42584.610266203701</v>
          </cell>
          <cell r="G182">
            <v>1</v>
          </cell>
          <cell r="H182" t="str">
            <v>204:687</v>
          </cell>
          <cell r="I182">
            <v>42584.621689814812</v>
          </cell>
          <cell r="J182">
            <v>0</v>
          </cell>
          <cell r="K182" t="str">
            <v>4031/4032</v>
          </cell>
          <cell r="L182" t="str">
            <v>BRUDER</v>
          </cell>
          <cell r="M182">
            <v>1.1423611111240461E-2</v>
          </cell>
          <cell r="N182">
            <v>16.450000000186265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https://search-rtdc-monitor-bjffxe2xuh6vdkpspy63sjmuny.us-east-1.es.amazonaws.com/_plugin/kibana/#/discover/Steve-Slow-Train-Analysis-(2080s-and-2083s)?_g=(refreshInterval:(display:Off,section:0,value:0),time:(from:'2016-08-02 13:37:36-0600',mode:absolute,to:'2016-08-02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2" t="str">
            <v>N</v>
          </cell>
          <cell r="X182">
            <v>1</v>
          </cell>
          <cell r="Y182">
            <v>5.8609</v>
          </cell>
          <cell r="Z182">
            <v>6.8699999999999997E-2</v>
          </cell>
          <cell r="AA182">
            <v>5.7922000000000002</v>
          </cell>
          <cell r="AB182" t="e">
            <v>#N/A</v>
          </cell>
          <cell r="AC182" t="e">
            <v>#N/A</v>
          </cell>
          <cell r="AD182" t="str">
            <v>0824-02</v>
          </cell>
          <cell r="AE18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3">
          <cell r="A183" t="str">
            <v>825-02</v>
          </cell>
          <cell r="B183">
            <v>4031</v>
          </cell>
          <cell r="C183" t="str">
            <v>DE.1.0.7.0</v>
          </cell>
          <cell r="D183" t="str">
            <v>204:960</v>
          </cell>
          <cell r="E183">
            <v>42584.635497685187</v>
          </cell>
          <cell r="F183">
            <v>42584.636377314811</v>
          </cell>
          <cell r="G183">
            <v>1</v>
          </cell>
          <cell r="H183" t="str">
            <v>300:58926</v>
          </cell>
          <cell r="I183">
            <v>42584.649675925924</v>
          </cell>
          <cell r="J183">
            <v>0</v>
          </cell>
          <cell r="K183" t="str">
            <v>4031/4032</v>
          </cell>
          <cell r="L183" t="str">
            <v>BRUDER</v>
          </cell>
          <cell r="M183">
            <v>1.3298611112986691E-2</v>
          </cell>
          <cell r="N183">
            <v>19.150000002700835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https://search-rtdc-monitor-bjffxe2xuh6vdkpspy63sjmuny.us-east-1.es.amazonaws.com/_plugin/kibana/#/discover/Steve-Slow-Train-Analysis-(2080s-and-2083s)?_g=(refreshInterval:(display:Off,section:0,value:0),time:(from:'2016-08-02 14:15:07-0600',mode:absolute,to:'2016-08-02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3" t="str">
            <v>N</v>
          </cell>
          <cell r="X183">
            <v>1</v>
          </cell>
          <cell r="Y183">
            <v>9.6000000000000002E-2</v>
          </cell>
          <cell r="Z183">
            <v>5.8925999999999998</v>
          </cell>
          <cell r="AA183">
            <v>5.7965999999999998</v>
          </cell>
          <cell r="AB183" t="e">
            <v>#N/A</v>
          </cell>
          <cell r="AC183" t="e">
            <v>#N/A</v>
          </cell>
          <cell r="AD183" t="str">
            <v>0825-02</v>
          </cell>
          <cell r="AE18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4">
          <cell r="A184" t="str">
            <v>826-02</v>
          </cell>
          <cell r="B184">
            <v>4032</v>
          </cell>
          <cell r="C184" t="str">
            <v>DE.1.0.7.0</v>
          </cell>
          <cell r="D184" t="str">
            <v>300:58604</v>
          </cell>
          <cell r="E184">
            <v>42584.651134259257</v>
          </cell>
          <cell r="F184">
            <v>42584.652141203704</v>
          </cell>
          <cell r="G184">
            <v>1</v>
          </cell>
          <cell r="H184" t="str">
            <v>204:81</v>
          </cell>
          <cell r="I184">
            <v>42584.665972222225</v>
          </cell>
          <cell r="J184">
            <v>0</v>
          </cell>
          <cell r="K184" t="str">
            <v>4031/4032</v>
          </cell>
          <cell r="L184" t="str">
            <v>BRUDER</v>
          </cell>
          <cell r="M184">
            <v>1.3831018521159422E-2</v>
          </cell>
          <cell r="N184">
            <v>19.916666670469567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https://search-rtdc-monitor-bjffxe2xuh6vdkpspy63sjmuny.us-east-1.es.amazonaws.com/_plugin/kibana/#/discover/Steve-Slow-Train-Analysis-(2080s-and-2083s)?_g=(refreshInterval:(display:Off,section:0,value:0),time:(from:'2016-08-02 14:37:38-0600',mode:absolute,to:'2016-08-02 16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8.0999999999999996E-3</v>
          </cell>
          <cell r="AA184">
            <v>5.8523000000000005</v>
          </cell>
          <cell r="AB184" t="e">
            <v>#N/A</v>
          </cell>
          <cell r="AC184" t="e">
            <v>#N/A</v>
          </cell>
          <cell r="AD184" t="str">
            <v>0826-02</v>
          </cell>
          <cell r="AE18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5">
          <cell r="A185" t="str">
            <v>827-02</v>
          </cell>
          <cell r="B185">
            <v>4038</v>
          </cell>
          <cell r="C185" t="str">
            <v>DE.1.0.7.0</v>
          </cell>
          <cell r="D185" t="str">
            <v>204:965</v>
          </cell>
          <cell r="E185">
            <v>42584.661307870374</v>
          </cell>
          <cell r="F185">
            <v>42584.662534722222</v>
          </cell>
          <cell r="G185">
            <v>1</v>
          </cell>
          <cell r="H185" t="str">
            <v>300:58922</v>
          </cell>
          <cell r="I185">
            <v>42584.679120370369</v>
          </cell>
          <cell r="J185">
            <v>0</v>
          </cell>
          <cell r="K185" t="str">
            <v>4037/4038</v>
          </cell>
          <cell r="L185" t="str">
            <v>STURGEON</v>
          </cell>
          <cell r="M185">
            <v>1.6585648147156462E-2</v>
          </cell>
          <cell r="N185">
            <v>23.883333331905305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https://search-rtdc-monitor-bjffxe2xuh6vdkpspy63sjmuny.us-east-1.es.amazonaws.com/_plugin/kibana/#/discover/Steve-Slow-Train-Analysis-(2080s-and-2083s)?_g=(refreshInterval:(display:Off,section:0,value:0),time:(from:'2016-08-02 14:52:17-0600',mode:absolute,to:'2016-08-02 17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5" t="str">
            <v>N</v>
          </cell>
          <cell r="X185">
            <v>1</v>
          </cell>
          <cell r="Y185">
            <v>9.6500000000000002E-2</v>
          </cell>
          <cell r="Z185">
            <v>5.8921999999999999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0827-02</v>
          </cell>
          <cell r="AE185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86">
          <cell r="A186" t="str">
            <v>828-02</v>
          </cell>
          <cell r="B186">
            <v>4037</v>
          </cell>
          <cell r="C186" t="str">
            <v>DE.1.0.7.0</v>
          </cell>
          <cell r="D186" t="str">
            <v>300:58602</v>
          </cell>
          <cell r="E186">
            <v>42584.680358796293</v>
          </cell>
          <cell r="F186">
            <v>42584.681643518517</v>
          </cell>
          <cell r="G186">
            <v>1</v>
          </cell>
          <cell r="H186" t="str">
            <v>204:699</v>
          </cell>
          <cell r="I186">
            <v>42584.696006944447</v>
          </cell>
          <cell r="J186">
            <v>1</v>
          </cell>
          <cell r="K186" t="str">
            <v>4037/4038</v>
          </cell>
          <cell r="L186" t="str">
            <v>STURGEON</v>
          </cell>
          <cell r="M186">
            <v>1.4363425929332152E-2</v>
          </cell>
          <cell r="N186">
            <v>20.683333338238299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https://search-rtdc-monitor-bjffxe2xuh6vdkpspy63sjmuny.us-east-1.es.amazonaws.com/_plugin/kibana/#/discover/Steve-Slow-Train-Analysis-(2080s-and-2083s)?_g=(refreshInterval:(display:Off,section:0,value:0),time:(from:'2016-08-02 15:19:43-0600',mode:absolute,to:'2016-08-02 17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6" t="str">
            <v>N</v>
          </cell>
          <cell r="X186">
            <v>1</v>
          </cell>
          <cell r="Y186">
            <v>5.8601999999999999</v>
          </cell>
          <cell r="Z186">
            <v>6.9900000000000004E-2</v>
          </cell>
          <cell r="AA186">
            <v>5.7903000000000002</v>
          </cell>
          <cell r="AB186" t="e">
            <v>#N/A</v>
          </cell>
          <cell r="AC186" t="e">
            <v>#N/A</v>
          </cell>
          <cell r="AD186" t="str">
            <v>0828-02</v>
          </cell>
          <cell r="AE186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87">
          <cell r="A187" t="str">
            <v>829-02</v>
          </cell>
          <cell r="B187">
            <v>4031</v>
          </cell>
          <cell r="C187" t="str">
            <v>DE.1.0.7.0</v>
          </cell>
          <cell r="D187" t="str">
            <v>204:379</v>
          </cell>
          <cell r="E187">
            <v>42584.674525462964</v>
          </cell>
          <cell r="F187">
            <v>42584.675370370373</v>
          </cell>
          <cell r="G187">
            <v>1</v>
          </cell>
          <cell r="H187" t="str">
            <v>300:58924</v>
          </cell>
          <cell r="I187">
            <v>42584.694699074076</v>
          </cell>
          <cell r="J187">
            <v>0</v>
          </cell>
          <cell r="K187" t="str">
            <v>4031/4032</v>
          </cell>
          <cell r="L187" t="str">
            <v>BRUDER</v>
          </cell>
          <cell r="M187">
            <v>1.9328703703649808E-2</v>
          </cell>
          <cell r="N187">
            <v>27.833333333255723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https://search-rtdc-monitor-bjffxe2xuh6vdkpspy63sjmuny.us-east-1.es.amazonaws.com/_plugin/kibana/#/discover/Steve-Slow-Train-Analysis-(2080s-and-2083s)?_g=(refreshInterval:(display:Off,section:0,value:0),time:(from:'2016-08-02 15:11:19-0600',mode:absolute,to:'2016-08-02 17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7" t="str">
            <v>N</v>
          </cell>
          <cell r="X187">
            <v>1</v>
          </cell>
          <cell r="Y187">
            <v>3.7900000000000003E-2</v>
          </cell>
          <cell r="Z187">
            <v>5.8924000000000003</v>
          </cell>
          <cell r="AA187">
            <v>5.8545000000000007</v>
          </cell>
          <cell r="AB187" t="e">
            <v>#N/A</v>
          </cell>
          <cell r="AC187" t="e">
            <v>#N/A</v>
          </cell>
          <cell r="AD187" t="str">
            <v>0829-02</v>
          </cell>
          <cell r="AE18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8">
          <cell r="A188" t="str">
            <v>830-02</v>
          </cell>
          <cell r="B188">
            <v>4032</v>
          </cell>
          <cell r="C188" t="str">
            <v>DE.1.0.7.0</v>
          </cell>
          <cell r="D188" t="str">
            <v>300:58609</v>
          </cell>
          <cell r="E188">
            <v>42584.69568287037</v>
          </cell>
          <cell r="F188">
            <v>42584.696608796294</v>
          </cell>
          <cell r="G188">
            <v>1</v>
          </cell>
          <cell r="H188" t="str">
            <v>204:670</v>
          </cell>
          <cell r="I188">
            <v>42584.706597222219</v>
          </cell>
          <cell r="J188">
            <v>0</v>
          </cell>
          <cell r="K188" t="str">
            <v>4031/4032</v>
          </cell>
          <cell r="L188" t="str">
            <v>BRUDER</v>
          </cell>
          <cell r="M188">
            <v>9.9884259252576157E-3</v>
          </cell>
          <cell r="N188">
            <v>14.383333332370967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https://search-rtdc-monitor-bjffxe2xuh6vdkpspy63sjmuny.us-east-1.es.amazonaws.com/_plugin/kibana/#/discover/Steve-Slow-Train-Analysis-(2080s-and-2083s)?_g=(refreshInterval:(display:Off,section:0,value:0),time:(from:'2016-08-02 15:41:47-0600',mode:absolute,to:'2016-08-02 17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8" t="str">
            <v>N</v>
          </cell>
          <cell r="X188">
            <v>1</v>
          </cell>
          <cell r="Y188">
            <v>5.8609</v>
          </cell>
          <cell r="Z188">
            <v>6.7000000000000004E-2</v>
          </cell>
          <cell r="AA188">
            <v>5.7938999999999998</v>
          </cell>
          <cell r="AB188" t="e">
            <v>#N/A</v>
          </cell>
          <cell r="AC188" t="e">
            <v>#N/A</v>
          </cell>
          <cell r="AD188" t="str">
            <v>0830-02</v>
          </cell>
          <cell r="AE18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9">
          <cell r="A189" t="str">
            <v>831-02</v>
          </cell>
          <cell r="B189">
            <v>4038</v>
          </cell>
          <cell r="C189" t="str">
            <v>DE.1.0.7.0</v>
          </cell>
          <cell r="D189" t="str">
            <v>204:1009</v>
          </cell>
          <cell r="E189">
            <v>42584.697708333333</v>
          </cell>
          <cell r="F189">
            <v>42584.698634259257</v>
          </cell>
          <cell r="G189">
            <v>1</v>
          </cell>
          <cell r="H189" t="str">
            <v>300:58922</v>
          </cell>
          <cell r="I189">
            <v>42584.714895833335</v>
          </cell>
          <cell r="J189">
            <v>0</v>
          </cell>
          <cell r="K189" t="str">
            <v>4037/4038</v>
          </cell>
          <cell r="L189" t="str">
            <v>STURGEON</v>
          </cell>
          <cell r="M189">
            <v>1.6261574077361729E-2</v>
          </cell>
          <cell r="N189">
            <v>23.41666667140089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https://search-rtdc-monitor-bjffxe2xuh6vdkpspy63sjmuny.us-east-1.es.amazonaws.com/_plugin/kibana/#/discover/Steve-Slow-Train-Analysis-(2080s-and-2083s)?_g=(refreshInterval:(display:Off,section:0,value:0),time:(from:'2016-08-02 15:44:42-0600',mode:absolute,to:'2016-08-02 18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9" t="str">
            <v>N</v>
          </cell>
          <cell r="X189">
            <v>1</v>
          </cell>
          <cell r="Y189">
            <v>0.1009</v>
          </cell>
          <cell r="Z189">
            <v>5.8921999999999999</v>
          </cell>
          <cell r="AA189">
            <v>5.7912999999999997</v>
          </cell>
          <cell r="AB189" t="e">
            <v>#N/A</v>
          </cell>
          <cell r="AC189" t="e">
            <v>#N/A</v>
          </cell>
          <cell r="AD189" t="str">
            <v>0831-02</v>
          </cell>
          <cell r="AE18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0">
          <cell r="A190" t="str">
            <v>832-02</v>
          </cell>
          <cell r="B190">
            <v>4037</v>
          </cell>
          <cell r="C190" t="str">
            <v>DE.1.0.7.0</v>
          </cell>
          <cell r="D190" t="str">
            <v>300:58604</v>
          </cell>
          <cell r="E190">
            <v>42584.716157407405</v>
          </cell>
          <cell r="F190">
            <v>42584.717152777775</v>
          </cell>
          <cell r="G190">
            <v>1</v>
          </cell>
          <cell r="H190" t="str">
            <v>204:712</v>
          </cell>
          <cell r="I190">
            <v>42584.729803240742</v>
          </cell>
          <cell r="J190">
            <v>1</v>
          </cell>
          <cell r="K190" t="str">
            <v>4037/4038</v>
          </cell>
          <cell r="L190" t="str">
            <v>STURGEON</v>
          </cell>
          <cell r="M190">
            <v>1.2650462966121268E-2</v>
          </cell>
          <cell r="N190">
            <v>18.216666671214625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https://search-rtdc-monitor-bjffxe2xuh6vdkpspy63sjmuny.us-east-1.es.amazonaws.com/_plugin/kibana/#/discover/Steve-Slow-Train-Analysis-(2080s-and-2083s)?_g=(refreshInterval:(display:Off,section:0,value:0),time:(from:'2016-08-02 16:11:16-0600',mode:absolute,to:'2016-08-02 18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0" t="str">
            <v>N</v>
          </cell>
          <cell r="X190">
            <v>1</v>
          </cell>
          <cell r="Y190">
            <v>5.8604000000000003</v>
          </cell>
          <cell r="Z190">
            <v>7.1199999999999999E-2</v>
          </cell>
          <cell r="AA190">
            <v>5.7892000000000001</v>
          </cell>
          <cell r="AB190" t="e">
            <v>#N/A</v>
          </cell>
          <cell r="AC190" t="e">
            <v>#N/A</v>
          </cell>
          <cell r="AD190" t="str">
            <v>0832-02</v>
          </cell>
          <cell r="AE19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1">
          <cell r="A191" t="str">
            <v>833-02</v>
          </cell>
          <cell r="B191">
            <v>4031</v>
          </cell>
          <cell r="C191" t="str">
            <v>DE.1.0.7.0</v>
          </cell>
          <cell r="D191" t="str">
            <v>204:971</v>
          </cell>
          <cell r="E191">
            <v>42584.71802083333</v>
          </cell>
          <cell r="F191">
            <v>42584.718807870369</v>
          </cell>
          <cell r="G191">
            <v>1</v>
          </cell>
          <cell r="H191" t="str">
            <v>300:58916</v>
          </cell>
          <cell r="I191">
            <v>42584.733252314814</v>
          </cell>
          <cell r="J191">
            <v>0</v>
          </cell>
          <cell r="K191" t="str">
            <v>4031/4032</v>
          </cell>
          <cell r="L191" t="str">
            <v>BRUDER</v>
          </cell>
          <cell r="M191">
            <v>1.4444444444961846E-2</v>
          </cell>
          <cell r="N191">
            <v>20.800000000745058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https://search-rtdc-monitor-bjffxe2xuh6vdkpspy63sjmuny.us-east-1.es.amazonaws.com/_plugin/kibana/#/discover/Steve-Slow-Train-Analysis-(2080s-and-2083s)?_g=(refreshInterval:(display:Off,section:0,value:0),time:(from:'2016-08-02 16:13:57-0600',mode:absolute,to:'2016-08-02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1" t="str">
            <v>N</v>
          </cell>
          <cell r="X191">
            <v>1</v>
          </cell>
          <cell r="Y191">
            <v>9.7100000000000006E-2</v>
          </cell>
          <cell r="Z191">
            <v>5.8916000000000004</v>
          </cell>
          <cell r="AA191">
            <v>5.7945000000000002</v>
          </cell>
          <cell r="AB191" t="e">
            <v>#N/A</v>
          </cell>
          <cell r="AC191" t="e">
            <v>#N/A</v>
          </cell>
          <cell r="AD191" t="str">
            <v>0833-02</v>
          </cell>
          <cell r="AE19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2">
          <cell r="A192" t="str">
            <v>834-02</v>
          </cell>
          <cell r="B192">
            <v>4032</v>
          </cell>
          <cell r="C192" t="str">
            <v>DE.1.0.7.0</v>
          </cell>
          <cell r="D192" t="str">
            <v>300:58606</v>
          </cell>
          <cell r="E192">
            <v>42584.734340277777</v>
          </cell>
          <cell r="F192">
            <v>42584.735231481478</v>
          </cell>
          <cell r="G192">
            <v>1</v>
          </cell>
          <cell r="H192" t="str">
            <v>204:659</v>
          </cell>
          <cell r="I192">
            <v>42584.748391203706</v>
          </cell>
          <cell r="J192">
            <v>0</v>
          </cell>
          <cell r="K192" t="str">
            <v>4031/4032</v>
          </cell>
          <cell r="L192" t="str">
            <v>BRUDER</v>
          </cell>
          <cell r="M192">
            <v>1.3159722228010651E-2</v>
          </cell>
          <cell r="N192">
            <v>18.950000008335337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https://search-rtdc-monitor-bjffxe2xuh6vdkpspy63sjmuny.us-east-1.es.amazonaws.com/_plugin/kibana/#/discover/Steve-Slow-Train-Analysis-(2080s-and-2083s)?_g=(refreshInterval:(display:Off,section:0,value:0),time:(from:'2016-08-02 16:37:27-0600',mode:absolute,to:'2016-08-02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2" t="str">
            <v>N</v>
          </cell>
          <cell r="X192">
            <v>1</v>
          </cell>
          <cell r="Y192">
            <v>5.8605999999999998</v>
          </cell>
          <cell r="Z192">
            <v>6.59E-2</v>
          </cell>
          <cell r="AA192">
            <v>5.7946999999999997</v>
          </cell>
          <cell r="AB192" t="e">
            <v>#N/A</v>
          </cell>
          <cell r="AC192" t="e">
            <v>#N/A</v>
          </cell>
          <cell r="AD192" t="str">
            <v>0834-02</v>
          </cell>
          <cell r="AE19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3">
          <cell r="A193" t="str">
            <v>835-02</v>
          </cell>
          <cell r="B193">
            <v>4038</v>
          </cell>
          <cell r="C193" t="str">
            <v>DE.1.0.7.0</v>
          </cell>
          <cell r="D193" t="str">
            <v>204:1007</v>
          </cell>
          <cell r="E193">
            <v>42584.732372685183</v>
          </cell>
          <cell r="F193">
            <v>42584.734988425924</v>
          </cell>
          <cell r="G193">
            <v>3</v>
          </cell>
          <cell r="H193" t="str">
            <v>300:58916</v>
          </cell>
          <cell r="I193">
            <v>42584.757013888891</v>
          </cell>
          <cell r="J193">
            <v>0</v>
          </cell>
          <cell r="K193" t="str">
            <v>4037/4038</v>
          </cell>
          <cell r="L193" t="str">
            <v>STURGEON</v>
          </cell>
          <cell r="M193">
            <v>2.2025462967576459E-2</v>
          </cell>
          <cell r="N193">
            <v>31.716666673310101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https://search-rtdc-monitor-bjffxe2xuh6vdkpspy63sjmuny.us-east-1.es.amazonaws.com/_plugin/kibana/#/discover/Steve-Slow-Train-Analysis-(2080s-and-2083s)?_g=(refreshInterval:(display:Off,section:0,value:0),time:(from:'2016-08-02 16:34:37-0600',mode:absolute,to:'2016-08-02 19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3" t="str">
            <v>N</v>
          </cell>
          <cell r="X193">
            <v>1</v>
          </cell>
          <cell r="Y193">
            <v>0.1007</v>
          </cell>
          <cell r="Z193">
            <v>5.8916000000000004</v>
          </cell>
          <cell r="AA193">
            <v>5.7909000000000006</v>
          </cell>
          <cell r="AB193" t="e">
            <v>#N/A</v>
          </cell>
          <cell r="AC193" t="e">
            <v>#N/A</v>
          </cell>
          <cell r="AD193" t="str">
            <v>0835-02</v>
          </cell>
          <cell r="AE19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4">
          <cell r="A194" t="str">
            <v>836-02</v>
          </cell>
          <cell r="B194">
            <v>4037</v>
          </cell>
          <cell r="C194" t="str">
            <v>DE.1.0.7.0</v>
          </cell>
          <cell r="D194" t="str">
            <v>300:48212</v>
          </cell>
          <cell r="E194">
            <v>42584.76667824074</v>
          </cell>
          <cell r="F194">
            <v>42584.767523148148</v>
          </cell>
          <cell r="G194">
            <v>1</v>
          </cell>
          <cell r="H194" t="str">
            <v>204:724</v>
          </cell>
          <cell r="I194">
            <v>42584.781921296293</v>
          </cell>
          <cell r="J194">
            <v>0</v>
          </cell>
          <cell r="K194" t="str">
            <v>4037/4038</v>
          </cell>
          <cell r="L194" t="str">
            <v>STURGEON</v>
          </cell>
          <cell r="M194">
            <v>1.4398148145119194E-2</v>
          </cell>
          <cell r="P194">
            <v>26.31666665780358</v>
          </cell>
          <cell r="R194" t="str">
            <v>Onboard in-route failure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https://search-rtdc-monitor-bjffxe2xuh6vdkpspy63sjmuny.us-east-1.es.amazonaws.com/_plugin/kibana/#/discover/Steve-Slow-Train-Analysis-(2080s-and-2083s)?_g=(refreshInterval:(display:Off,section:0,value:0),time:(from:'2016-08-02 17:24:01-0600',mode:absolute,to:'2016-08-02 19:45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4" t="str">
            <v>Y</v>
          </cell>
          <cell r="X194">
            <v>1</v>
          </cell>
          <cell r="Y194">
            <v>4.8212000000000002</v>
          </cell>
          <cell r="Z194">
            <v>7.2400000000000006E-2</v>
          </cell>
          <cell r="AA194">
            <v>4.7488000000000001</v>
          </cell>
          <cell r="AB194" t="e">
            <v>#N/A</v>
          </cell>
          <cell r="AC194" t="e">
            <v>#N/A</v>
          </cell>
          <cell r="AD194" t="str">
            <v>0836-02</v>
          </cell>
          <cell r="AE19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5">
          <cell r="A195" t="str">
            <v>836-02</v>
          </cell>
          <cell r="B195">
            <v>4037</v>
          </cell>
          <cell r="C195" t="str">
            <v>DE.1.0.7.0</v>
          </cell>
          <cell r="D195" t="str">
            <v>300:58594</v>
          </cell>
          <cell r="E195">
            <v>42584.758252314816</v>
          </cell>
          <cell r="F195">
            <v>42584.759282407409</v>
          </cell>
          <cell r="G195">
            <v>1</v>
          </cell>
          <cell r="H195" t="str">
            <v>300:55095</v>
          </cell>
          <cell r="I195">
            <v>42584.763159722221</v>
          </cell>
          <cell r="J195">
            <v>0</v>
          </cell>
          <cell r="K195" t="str">
            <v>4037/4038</v>
          </cell>
          <cell r="L195" t="str">
            <v>STURGEON</v>
          </cell>
          <cell r="M195">
            <v>3.8773148116888478E-3</v>
          </cell>
          <cell r="T195" t="str">
            <v>Southbound</v>
          </cell>
          <cell r="U195">
            <v>0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https://search-rtdc-monitor-bjffxe2xuh6vdkpspy63sjmuny.us-east-1.es.amazonaws.com/_plugin/kibana/#/discover/Steve-Slow-Train-Analysis-(2080s-and-2083s)?_g=(refreshInterval:(display:Off,section:0,value:0),time:(from:'2016-08-02 17:11:53-0600',mode:absolute,to:'2016-08-02 19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5" t="str">
            <v>Y</v>
          </cell>
          <cell r="X195">
            <v>0</v>
          </cell>
          <cell r="Y195">
            <v>5.8593999999999999</v>
          </cell>
          <cell r="Z195">
            <v>5.5095000000000001</v>
          </cell>
          <cell r="AA195">
            <v>0.34989999999999988</v>
          </cell>
          <cell r="AB195" t="e">
            <v>#N/A</v>
          </cell>
          <cell r="AC195" t="e">
            <v>#N/A</v>
          </cell>
          <cell r="AD195" t="str">
            <v>0836-02</v>
          </cell>
          <cell r="AE195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6">
          <cell r="A196" t="str">
            <v>837-02</v>
          </cell>
          <cell r="B196">
            <v>4031</v>
          </cell>
          <cell r="C196" t="str">
            <v>DE.1.0.7.0</v>
          </cell>
          <cell r="D196" t="str">
            <v>204:974</v>
          </cell>
          <cell r="E196">
            <v>42584.76116898148</v>
          </cell>
          <cell r="F196">
            <v>42584.762361111112</v>
          </cell>
          <cell r="G196">
            <v>1</v>
          </cell>
          <cell r="H196" t="str">
            <v>300:40072</v>
          </cell>
          <cell r="I196">
            <v>42584.777604166666</v>
          </cell>
          <cell r="J196">
            <v>0</v>
          </cell>
          <cell r="K196" t="str">
            <v>4031/4032</v>
          </cell>
          <cell r="L196" t="str">
            <v>BRUDER</v>
          </cell>
          <cell r="M196">
            <v>1.5243055553582963E-2</v>
          </cell>
          <cell r="P196">
            <v>21.949999997159466</v>
          </cell>
          <cell r="R196" t="str">
            <v>GL0412RH (PECOS) Signal 2N was STOP, no controls sent from TMDS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https://search-rtdc-monitor-bjffxe2xuh6vdkpspy63sjmuny.us-east-1.es.amazonaws.com/_plugin/kibana/#/discover/Steve-Slow-Train-Analysis-(2080s-and-2083s)?_g=(refreshInterval:(display:Off,section:0,value:0),time:(from:'2016-08-02 17:16:05-0600',mode:absolute,to:'2016-08-02 19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Y</v>
          </cell>
          <cell r="X196">
            <v>1</v>
          </cell>
          <cell r="Y196">
            <v>9.74E-2</v>
          </cell>
          <cell r="Z196">
            <v>4.0072000000000001</v>
          </cell>
          <cell r="AA196">
            <v>3.9098000000000002</v>
          </cell>
          <cell r="AB196" t="e">
            <v>#N/A</v>
          </cell>
          <cell r="AC196" t="e">
            <v>#N/A</v>
          </cell>
          <cell r="AD196" t="str">
            <v>0837-02</v>
          </cell>
          <cell r="AE196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7">
          <cell r="A197" t="str">
            <v>838-02</v>
          </cell>
          <cell r="B197">
            <v>4032</v>
          </cell>
          <cell r="C197" t="str">
            <v>DE.1.0.7.0</v>
          </cell>
          <cell r="D197" t="str">
            <v>300:58615</v>
          </cell>
          <cell r="E197">
            <v>42584.788194444445</v>
          </cell>
          <cell r="F197">
            <v>42584.789074074077</v>
          </cell>
          <cell r="G197">
            <v>1</v>
          </cell>
          <cell r="H197" t="str">
            <v>204:666</v>
          </cell>
          <cell r="I197">
            <v>42584.80023148148</v>
          </cell>
          <cell r="J197">
            <v>0</v>
          </cell>
          <cell r="K197" t="str">
            <v>4031/4032</v>
          </cell>
          <cell r="L197" t="str">
            <v>BRUDER</v>
          </cell>
          <cell r="M197">
            <v>1.1157407403516117E-2</v>
          </cell>
          <cell r="N197">
            <v>16.066666661063209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https://search-rtdc-monitor-bjffxe2xuh6vdkpspy63sjmuny.us-east-1.es.amazonaws.com/_plugin/kibana/#/discover/Steve-Slow-Train-Analysis-(2080s-and-2083s)?_g=(refreshInterval:(display:Off,section:0,value:0),time:(from:'2016-08-02 17:55:00-0600',mode:absolute,to:'2016-08-02 20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5.8615000000000004</v>
          </cell>
          <cell r="Z197">
            <v>6.6600000000000006E-2</v>
          </cell>
          <cell r="AA197">
            <v>5.7949000000000002</v>
          </cell>
          <cell r="AB197" t="e">
            <v>#N/A</v>
          </cell>
          <cell r="AC197" t="e">
            <v>#N/A</v>
          </cell>
          <cell r="AD197" t="str">
            <v>0838-02</v>
          </cell>
          <cell r="AE197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8">
          <cell r="A198" t="str">
            <v>839-02</v>
          </cell>
          <cell r="B198">
            <v>4038</v>
          </cell>
          <cell r="C198" t="str">
            <v>DE.1.0.7.0</v>
          </cell>
          <cell r="D198" t="str">
            <v>204:997</v>
          </cell>
          <cell r="E198">
            <v>42584.784375000003</v>
          </cell>
          <cell r="F198">
            <v>42584.785231481481</v>
          </cell>
          <cell r="G198">
            <v>1</v>
          </cell>
          <cell r="H198" t="str">
            <v>300:58912</v>
          </cell>
          <cell r="I198">
            <v>42584.799641203703</v>
          </cell>
          <cell r="J198">
            <v>0</v>
          </cell>
          <cell r="K198" t="str">
            <v>4037/4038</v>
          </cell>
          <cell r="L198" t="str">
            <v>STURGEON</v>
          </cell>
          <cell r="M198">
            <v>1.4409722221898846E-2</v>
          </cell>
          <cell r="N198">
            <v>20.749999999534339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https://search-rtdc-monitor-bjffxe2xuh6vdkpspy63sjmuny.us-east-1.es.amazonaws.com/_plugin/kibana/#/discover/Steve-Slow-Train-Analysis-(2080s-and-2083s)?_g=(refreshInterval:(display:Off,section:0,value:0),time:(from:'2016-08-02 17:49:30-0600',mode:absolute,to:'2016-08-02 20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8" t="str">
            <v>N</v>
          </cell>
          <cell r="X198">
            <v>1</v>
          </cell>
          <cell r="Y198">
            <v>9.9699999999999997E-2</v>
          </cell>
          <cell r="Z198">
            <v>5.8912000000000004</v>
          </cell>
          <cell r="AA198">
            <v>5.7915000000000001</v>
          </cell>
          <cell r="AB198" t="e">
            <v>#N/A</v>
          </cell>
          <cell r="AC198" t="e">
            <v>#N/A</v>
          </cell>
          <cell r="AD198" t="str">
            <v>0839-02</v>
          </cell>
          <cell r="AE198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9">
          <cell r="A199" t="str">
            <v>840-02</v>
          </cell>
          <cell r="B199">
            <v>4032</v>
          </cell>
          <cell r="C199" t="str">
            <v>DE.1.0.7.0</v>
          </cell>
          <cell r="D199" t="str">
            <v>300:58617</v>
          </cell>
          <cell r="E199">
            <v>42584.822650462964</v>
          </cell>
          <cell r="F199">
            <v>42584.823831018519</v>
          </cell>
          <cell r="G199">
            <v>1</v>
          </cell>
          <cell r="H199" t="str">
            <v>204:685</v>
          </cell>
          <cell r="I199">
            <v>42584.834189814814</v>
          </cell>
          <cell r="J199">
            <v>0</v>
          </cell>
          <cell r="K199" t="str">
            <v>4031/4032</v>
          </cell>
          <cell r="L199" t="str">
            <v>BRUDER</v>
          </cell>
          <cell r="M199">
            <v>1.0358796294895001E-2</v>
          </cell>
          <cell r="N199">
            <v>14.916666664648801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https://search-rtdc-monitor-bjffxe2xuh6vdkpspy63sjmuny.us-east-1.es.amazonaws.com/_plugin/kibana/#/discover/Steve-Slow-Train-Analysis-(2080s-and-2083s)?_g=(refreshInterval:(display:Off,section:0,value:0),time:(from:'2016-08-02 18:44:37-0600',mode:absolute,to:'2016-08-02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5.8616999999999999</v>
          </cell>
          <cell r="Z199">
            <v>6.8500000000000005E-2</v>
          </cell>
          <cell r="AA199">
            <v>5.7931999999999997</v>
          </cell>
          <cell r="AB199" t="e">
            <v>#N/A</v>
          </cell>
          <cell r="AC199" t="e">
            <v>#N/A</v>
          </cell>
          <cell r="AD199" t="str">
            <v>0840-02</v>
          </cell>
          <cell r="AE199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0">
          <cell r="A200" t="str">
            <v>841-02</v>
          </cell>
          <cell r="B200">
            <v>4031</v>
          </cell>
          <cell r="C200" t="str">
            <v>DE.1.0.7.0</v>
          </cell>
          <cell r="D200" t="str">
            <v>204:969</v>
          </cell>
          <cell r="E200">
            <v>42584.801388888889</v>
          </cell>
          <cell r="F200">
            <v>42584.802581018521</v>
          </cell>
          <cell r="G200">
            <v>1</v>
          </cell>
          <cell r="H200" t="str">
            <v>300:58922</v>
          </cell>
          <cell r="I200">
            <v>42584.821215277778</v>
          </cell>
          <cell r="J200">
            <v>0</v>
          </cell>
          <cell r="K200" t="str">
            <v>4031/4032</v>
          </cell>
          <cell r="L200" t="str">
            <v>BRUDER</v>
          </cell>
          <cell r="M200">
            <v>1.8634259256941732E-2</v>
          </cell>
          <cell r="N200">
            <v>26.833333329996094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https://search-rtdc-monitor-bjffxe2xuh6vdkpspy63sjmuny.us-east-1.es.amazonaws.com/_plugin/kibana/#/discover/Steve-Slow-Train-Analysis-(2080s-and-2083s)?_g=(refreshInterval:(display:Off,section:0,value:0),time:(from:'2016-08-02 18:14:00-0600',mode:absolute,to:'2016-08-02 20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9.69E-2</v>
          </cell>
          <cell r="Z200">
            <v>5.8921999999999999</v>
          </cell>
          <cell r="AA200">
            <v>5.7953000000000001</v>
          </cell>
          <cell r="AB200" t="e">
            <v>#N/A</v>
          </cell>
          <cell r="AC200" t="e">
            <v>#N/A</v>
          </cell>
          <cell r="AD200" t="str">
            <v>0841-02</v>
          </cell>
          <cell r="AE200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1">
          <cell r="A201" t="str">
            <v>842-02</v>
          </cell>
          <cell r="B201">
            <v>4032</v>
          </cell>
          <cell r="C201" t="str">
            <v>DE.1.0.7.0</v>
          </cell>
          <cell r="D201" t="str">
            <v>300:58609</v>
          </cell>
          <cell r="E201">
            <v>42584.859398148146</v>
          </cell>
          <cell r="F201">
            <v>42584.860601851855</v>
          </cell>
          <cell r="G201">
            <v>1</v>
          </cell>
          <cell r="H201" t="str">
            <v>204:684</v>
          </cell>
          <cell r="I201">
            <v>42584.871574074074</v>
          </cell>
          <cell r="J201">
            <v>0</v>
          </cell>
          <cell r="K201" t="str">
            <v>4031/4032</v>
          </cell>
          <cell r="L201" t="str">
            <v>BRUDER</v>
          </cell>
          <cell r="M201">
            <v>1.0972222218697425E-2</v>
          </cell>
          <cell r="N201">
            <v>15.799999994924292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https://search-rtdc-monitor-bjffxe2xuh6vdkpspy63sjmuny.us-east-1.es.amazonaws.com/_plugin/kibana/#/discover/Steve-Slow-Train-Analysis-(2080s-and-2083s)?_g=(refreshInterval:(display:Off,section:0,value:0),time:(from:'2016-08-02 19:37:32-0600',mode:absolute,to:'2016-08-02 21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5.8609</v>
          </cell>
          <cell r="Z201">
            <v>6.8400000000000002E-2</v>
          </cell>
          <cell r="AA201">
            <v>5.7925000000000004</v>
          </cell>
          <cell r="AB201" t="e">
            <v>#N/A</v>
          </cell>
          <cell r="AC201" t="e">
            <v>#N/A</v>
          </cell>
          <cell r="AD201" t="str">
            <v>0842-02</v>
          </cell>
          <cell r="AE201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2">
          <cell r="A202" t="str">
            <v>843-02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42584.842395833337</v>
          </cell>
          <cell r="F202">
            <v>42584.843136574076</v>
          </cell>
          <cell r="G202">
            <v>1</v>
          </cell>
          <cell r="H202" t="str">
            <v>300:58929</v>
          </cell>
          <cell r="I202">
            <v>42584.85765046296</v>
          </cell>
          <cell r="J202">
            <v>0</v>
          </cell>
          <cell r="K202" t="str">
            <v>4031/4032</v>
          </cell>
          <cell r="L202" t="str">
            <v>BRUDER</v>
          </cell>
          <cell r="M202">
            <v>1.4513888883811887E-2</v>
          </cell>
          <cell r="N202">
            <v>20.899999992689118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https://search-rtdc-monitor-bjffxe2xuh6vdkpspy63sjmuny.us-east-1.es.amazonaws.com/_plugin/kibana/#/discover/Steve-Slow-Train-Analysis-(2080s-and-2083s)?_g=(refreshInterval:(display:Off,section:0,value:0),time:(from:'2016-08-02 19:13:03-0600',mode:absolute,to:'2016-08-02 21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5.8929</v>
          </cell>
          <cell r="AA202">
            <v>5.7954999999999997</v>
          </cell>
          <cell r="AB202" t="e">
            <v>#N/A</v>
          </cell>
          <cell r="AC202" t="e">
            <v>#N/A</v>
          </cell>
          <cell r="AD202" t="str">
            <v>0843-02</v>
          </cell>
          <cell r="AE202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3">
          <cell r="A203" t="str">
            <v>844-02</v>
          </cell>
          <cell r="B203">
            <v>4032</v>
          </cell>
          <cell r="C203" t="str">
            <v>DE.1.0.7.0</v>
          </cell>
          <cell r="D203" t="str">
            <v>300:58602</v>
          </cell>
          <cell r="E203">
            <v>42584.903541666667</v>
          </cell>
          <cell r="F203">
            <v>42584.90452546296</v>
          </cell>
          <cell r="G203">
            <v>1</v>
          </cell>
          <cell r="H203" t="str">
            <v>204:729</v>
          </cell>
          <cell r="I203">
            <v>42584.916655092595</v>
          </cell>
          <cell r="J203">
            <v>0</v>
          </cell>
          <cell r="K203" t="str">
            <v>4031/4032</v>
          </cell>
          <cell r="L203" t="str">
            <v>STURGEON</v>
          </cell>
          <cell r="M203">
            <v>1.212962963472819E-2</v>
          </cell>
          <cell r="N203">
            <v>17.466666674008593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https://search-rtdc-monitor-bjffxe2xuh6vdkpspy63sjmuny.us-east-1.es.amazonaws.com/_plugin/kibana/#/discover/Steve-Slow-Train-Analysis-(2080s-and-2083s)?_g=(refreshInterval:(display:Off,section:0,value:0),time:(from:'2016-08-02 20:41:06-0600',mode:absolute,to:'2016-08-02 22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7.2900000000000006E-2</v>
          </cell>
          <cell r="AA203">
            <v>5.7873000000000001</v>
          </cell>
          <cell r="AB203" t="e">
            <v>#N/A</v>
          </cell>
          <cell r="AC203" t="e">
            <v>#N/A</v>
          </cell>
          <cell r="AD203" t="str">
            <v>0844-02</v>
          </cell>
          <cell r="AE203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4">
          <cell r="A204" t="str">
            <v>845-02</v>
          </cell>
          <cell r="B204">
            <v>4031</v>
          </cell>
          <cell r="C204" t="str">
            <v>DE.1.0.7.0</v>
          </cell>
          <cell r="D204" t="str">
            <v>204:978</v>
          </cell>
          <cell r="E204">
            <v>42584.875439814816</v>
          </cell>
          <cell r="F204">
            <v>42584.876840277779</v>
          </cell>
          <cell r="G204">
            <v>2</v>
          </cell>
          <cell r="H204" t="str">
            <v>300:58920</v>
          </cell>
          <cell r="I204">
            <v>42584.90216435185</v>
          </cell>
          <cell r="J204">
            <v>0</v>
          </cell>
          <cell r="K204" t="str">
            <v>4031/4032</v>
          </cell>
          <cell r="L204" t="str">
            <v>STURGEON</v>
          </cell>
          <cell r="M204">
            <v>2.5324074071249925E-2</v>
          </cell>
          <cell r="N204">
            <v>36.466666662599891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https://search-rtdc-monitor-bjffxe2xuh6vdkpspy63sjmuny.us-east-1.es.amazonaws.com/_plugin/kibana/#/discover/Steve-Slow-Train-Analysis-(2080s-and-2083s)?_g=(refreshInterval:(display:Off,section:0,value:0),time:(from:'2016-08-02 20:00:38-0600',mode:absolute,to:'2016-08-02 22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9.7799999999999998E-2</v>
          </cell>
          <cell r="Z204">
            <v>5.8920000000000003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0845-02</v>
          </cell>
          <cell r="AE204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5">
          <cell r="A205" t="str">
            <v>847-02</v>
          </cell>
          <cell r="B205">
            <v>4031</v>
          </cell>
          <cell r="C205" t="str">
            <v>DE.1.0.7.0</v>
          </cell>
          <cell r="D205" t="str">
            <v>204:1020</v>
          </cell>
          <cell r="E205">
            <v>42584.919895833336</v>
          </cell>
          <cell r="F205">
            <v>42584.920798611114</v>
          </cell>
          <cell r="G205">
            <v>1</v>
          </cell>
          <cell r="H205" t="str">
            <v>300:58920</v>
          </cell>
          <cell r="I205">
            <v>42584.944525462961</v>
          </cell>
          <cell r="J205">
            <v>0</v>
          </cell>
          <cell r="K205" t="str">
            <v>4031/4032</v>
          </cell>
          <cell r="L205" t="str">
            <v>STURGEON</v>
          </cell>
          <cell r="M205">
            <v>2.3726851846731734E-2</v>
          </cell>
          <cell r="N205">
            <v>34.166666659293696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https://search-rtdc-monitor-bjffxe2xuh6vdkpspy63sjmuny.us-east-1.es.amazonaws.com/_plugin/kibana/#/discover/Steve-Slow-Train-Analysis-(2080s-and-2083s)?_g=(refreshInterval:(display:Off,section:0,value:0),time:(from:'2016-08-02 21:04:39-0600',mode:absolute,to:'2016-08-02 23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0.10199999999999999</v>
          </cell>
          <cell r="Z205">
            <v>5.8920000000000003</v>
          </cell>
          <cell r="AA205">
            <v>5.79</v>
          </cell>
          <cell r="AB205" t="e">
            <v>#N/A</v>
          </cell>
          <cell r="AC205" t="e">
            <v>#N/A</v>
          </cell>
          <cell r="AD205" t="str">
            <v>0847-02</v>
          </cell>
          <cell r="AE20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6">
          <cell r="A206" t="str">
            <v>301-02</v>
          </cell>
          <cell r="B206">
            <v>4025</v>
          </cell>
          <cell r="C206" t="str">
            <v>DE.1.0.7.0</v>
          </cell>
          <cell r="D206" t="str">
            <v>204:1492</v>
          </cell>
          <cell r="E206">
            <v>42584.336875000001</v>
          </cell>
          <cell r="F206">
            <v>42584.339178240742</v>
          </cell>
          <cell r="G206">
            <v>3</v>
          </cell>
          <cell r="H206" t="str">
            <v>204:1492</v>
          </cell>
          <cell r="I206">
            <v>42584.339212962965</v>
          </cell>
          <cell r="J206">
            <v>0</v>
          </cell>
          <cell r="K206" t="str">
            <v>4025/4026</v>
          </cell>
          <cell r="L206" t="str">
            <v>MADLOM</v>
          </cell>
          <cell r="M206">
            <v>3.4722223062999547E-5</v>
          </cell>
          <cell r="N206">
            <v>5.0000001210719347E-2</v>
          </cell>
          <cell r="S206">
            <v>0</v>
          </cell>
          <cell r="T206" t="str">
            <v>NorthBound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https://search-rtdc-monitor-bjffxe2xuh6vdkpspy63sjmuny.us-east-1.es.amazonaws.com/_plugin/kibana/#/discover/Steve-Slow-Train-Analysis-(2080s-and-2083s)?_g=(refreshInterval:(display:Off,section:0,value:0),time:(from:'2016-08-02 07:05:06-0600',mode:absolute,to:'2016-08-02 09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Y</v>
          </cell>
          <cell r="X206">
            <v>-546</v>
          </cell>
          <cell r="Y206">
            <v>0.1492</v>
          </cell>
          <cell r="Z206">
            <v>0.1492</v>
          </cell>
          <cell r="AA206">
            <v>0</v>
          </cell>
          <cell r="AB206" t="e">
            <v>#N/A</v>
          </cell>
          <cell r="AC206" t="e">
            <v>#N/A</v>
          </cell>
          <cell r="AD206" t="str">
            <v>0301-02</v>
          </cell>
          <cell r="AE206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7">
          <cell r="A207" t="str">
            <v>301-02</v>
          </cell>
          <cell r="B207">
            <v>4025</v>
          </cell>
          <cell r="C207" t="str">
            <v>DE.1.0.7.0</v>
          </cell>
          <cell r="D207" t="str">
            <v>204:1496</v>
          </cell>
          <cell r="E207">
            <v>42584.27103009259</v>
          </cell>
          <cell r="F207">
            <v>42584.277384259258</v>
          </cell>
          <cell r="G207">
            <v>9</v>
          </cell>
          <cell r="H207" t="str">
            <v>204:1507</v>
          </cell>
          <cell r="I207">
            <v>42584.284328703703</v>
          </cell>
          <cell r="J207">
            <v>0</v>
          </cell>
          <cell r="K207" t="str">
            <v>4025/4026</v>
          </cell>
          <cell r="L207" t="str">
            <v>MADLOM</v>
          </cell>
          <cell r="M207">
            <v>6.9444444452528842E-3</v>
          </cell>
          <cell r="N207">
            <v>10.000000001164153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https://search-rtdc-monitor-bjffxe2xuh6vdkpspy63sjmuny.us-east-1.es.amazonaws.com/_plugin/kibana/#/discover/Steve-Slow-Train-Analysis-(2080s-and-2083s)?_g=(refreshInterval:(display:Off,section:0,value:0),time:(from:'2016-08-02 05:30:17-0600',mode:absolute,to:'2016-08-02 07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Y</v>
          </cell>
          <cell r="X207">
            <v>0</v>
          </cell>
          <cell r="Y207">
            <v>0.14960000000000001</v>
          </cell>
          <cell r="Z207">
            <v>0.1507</v>
          </cell>
          <cell r="AA207">
            <v>1.0999999999999899E-3</v>
          </cell>
          <cell r="AB207" t="e">
            <v>#N/A</v>
          </cell>
          <cell r="AC207" t="e">
            <v>#N/A</v>
          </cell>
          <cell r="AD207" t="str">
            <v>0301-02</v>
          </cell>
          <cell r="AE207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8">
          <cell r="A208" t="str">
            <v>307-02</v>
          </cell>
          <cell r="B208">
            <v>4016</v>
          </cell>
          <cell r="C208" t="str">
            <v>DE.1.0.7.0</v>
          </cell>
          <cell r="D208" t="str">
            <v>204:449</v>
          </cell>
          <cell r="E208">
            <v>42584.818993055553</v>
          </cell>
          <cell r="F208">
            <v>42584.820011574076</v>
          </cell>
          <cell r="G208">
            <v>1</v>
          </cell>
          <cell r="H208" t="str">
            <v>300:23304</v>
          </cell>
          <cell r="I208">
            <v>42584.834189814814</v>
          </cell>
          <cell r="J208">
            <v>0</v>
          </cell>
          <cell r="K208" t="str">
            <v>4015/4016</v>
          </cell>
          <cell r="L208" t="str">
            <v>SWANSON</v>
          </cell>
          <cell r="M208">
            <v>1.4178240737237502E-2</v>
          </cell>
          <cell r="N208">
            <v>20.416666661622003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https://search-rtdc-monitor-bjffxe2xuh6vdkpspy63sjmuny.us-east-1.es.amazonaws.com/_plugin/kibana/#/discover/Steve-Slow-Train-Analysis-(2080s-and-2083s)?_g=(refreshInterval:(display:Off,section:0,value:0),time:(from:'2016-08-02 18:39:21-0600',mode:absolute,to:'2016-08-02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</v>
          </cell>
          <cell r="Y208">
            <v>4.4900000000000002E-2</v>
          </cell>
          <cell r="Z208">
            <v>2.3304</v>
          </cell>
          <cell r="AA208">
            <v>2.2854999999999999</v>
          </cell>
          <cell r="AB208" t="e">
            <v>#N/A</v>
          </cell>
          <cell r="AC208" t="e">
            <v>#N/A</v>
          </cell>
          <cell r="AD208" t="str">
            <v>0307-02</v>
          </cell>
          <cell r="AE208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209">
          <cell r="A209" t="str">
            <v>309-02</v>
          </cell>
          <cell r="B209">
            <v>4042</v>
          </cell>
          <cell r="C209" t="str">
            <v>DE.1.0.7.0</v>
          </cell>
          <cell r="D209" t="str">
            <v>204:478</v>
          </cell>
          <cell r="E209">
            <v>42585.042453703703</v>
          </cell>
          <cell r="F209">
            <v>42585.043414351851</v>
          </cell>
          <cell r="G209">
            <v>1</v>
          </cell>
          <cell r="H209" t="str">
            <v>300:23301</v>
          </cell>
          <cell r="I209">
            <v>42585.053194444445</v>
          </cell>
          <cell r="J209">
            <v>0</v>
          </cell>
          <cell r="K209" t="str">
            <v>4041/4042</v>
          </cell>
          <cell r="L209" t="str">
            <v>ROBINSON</v>
          </cell>
          <cell r="M209">
            <v>9.7800925941555761E-3</v>
          </cell>
          <cell r="N209">
            <v>14.08333333558403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00:01:08-0600',mode:absolute,to:'2016-08-03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9" t="str">
            <v>Y</v>
          </cell>
          <cell r="X209">
            <v>2</v>
          </cell>
          <cell r="Y209">
            <v>4.7800000000000002E-2</v>
          </cell>
          <cell r="Z209">
            <v>2.3300999999999998</v>
          </cell>
          <cell r="AA209">
            <v>2.2822999999999998</v>
          </cell>
          <cell r="AB209" t="e">
            <v>#N/A</v>
          </cell>
          <cell r="AC209" t="e">
            <v>#N/A</v>
          </cell>
          <cell r="AD209" t="str">
            <v>0309-02</v>
          </cell>
          <cell r="AE20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10">
          <cell r="A210" t="str">
            <v>313-02</v>
          </cell>
          <cell r="B210">
            <v>4020</v>
          </cell>
          <cell r="C210" t="str">
            <v>DE.1.0.7.0</v>
          </cell>
          <cell r="D210" t="str">
            <v>204:473</v>
          </cell>
          <cell r="E210">
            <v>42585.067164351851</v>
          </cell>
          <cell r="F210">
            <v>42585.067835648151</v>
          </cell>
          <cell r="G210">
            <v>0</v>
          </cell>
          <cell r="H210" t="str">
            <v>300:23183</v>
          </cell>
          <cell r="I210">
            <v>42585.073240740741</v>
          </cell>
          <cell r="J210">
            <v>0</v>
          </cell>
          <cell r="K210" t="str">
            <v>4019/4020</v>
          </cell>
          <cell r="L210" t="str">
            <v>YANAI</v>
          </cell>
          <cell r="M210">
            <v>5.4050925900810398E-3</v>
          </cell>
          <cell r="N210">
            <v>7.7833333297166973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https://search-rtdc-monitor-bjffxe2xuh6vdkpspy63sjmuny.us-east-1.es.amazonaws.com/_plugin/kibana/#/discover/Steve-Slow-Train-Analysis-(2080s-and-2083s)?_g=(refreshInterval:(display:Off,section:0,value:0),time:(from:'2016-08-03 00:36:43-0600',mode:absolute,to:'2016-08-03 02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0" t="str">
            <v>Y</v>
          </cell>
          <cell r="X210">
            <v>4</v>
          </cell>
          <cell r="Y210">
            <v>4.7300000000000002E-2</v>
          </cell>
          <cell r="Z210">
            <v>2.3182999999999998</v>
          </cell>
          <cell r="AA210">
            <v>2.2709999999999999</v>
          </cell>
          <cell r="AB210" t="e">
            <v>#N/A</v>
          </cell>
          <cell r="AC210" t="e">
            <v>#N/A</v>
          </cell>
          <cell r="AD210" t="str">
            <v>0313-02</v>
          </cell>
          <cell r="AE210" t="str">
            <v>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 &amp; 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2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903-02</v>
          </cell>
          <cell r="B212">
            <v>4038</v>
          </cell>
          <cell r="C212" t="str">
            <v>DE.1.0.7.0</v>
          </cell>
          <cell r="D212" t="str">
            <v>204:1065</v>
          </cell>
          <cell r="E212">
            <v>42584.35628472222</v>
          </cell>
          <cell r="F212">
            <v>42584.35733796296</v>
          </cell>
          <cell r="G212">
            <v>1</v>
          </cell>
          <cell r="H212" t="str">
            <v>300:24205</v>
          </cell>
          <cell r="I212">
            <v>42584.366840277777</v>
          </cell>
          <cell r="J212">
            <v>1</v>
          </cell>
          <cell r="K212" t="str">
            <v>4037/4038</v>
          </cell>
          <cell r="L212" t="str">
            <v>STARKS</v>
          </cell>
          <cell r="M212">
            <v>9.5023148169275373E-3</v>
          </cell>
          <cell r="N212">
            <v>13.683333336375654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https://search-rtdc-monitor-bjffxe2xuh6vdkpspy63sjmuny.us-east-1.es.amazonaws.com/_plugin/kibana/#/discover/Steve-Slow-Train-Analysis-(2080s-and-2083s)?_g=(refreshInterval:(display:Off,section:0,value:0),time:(from:'2016-08-02 07:33:03-0600',mode:absolute,to:'2016-08-02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2" t="str">
            <v>Y</v>
          </cell>
          <cell r="X212">
            <v>588</v>
          </cell>
          <cell r="Y212">
            <v>0.1065</v>
          </cell>
          <cell r="Z212">
            <v>2.4205000000000001</v>
          </cell>
          <cell r="AA212">
            <v>2.3140000000000001</v>
          </cell>
          <cell r="AB212" t="e">
            <v>#N/A</v>
          </cell>
          <cell r="AC212" t="e">
            <v>#N/A</v>
          </cell>
          <cell r="AD212" t="str">
            <v>0903-02</v>
          </cell>
          <cell r="AE212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213">
          <cell r="A213" t="str">
            <v>904-02</v>
          </cell>
          <cell r="B213">
            <v>4037</v>
          </cell>
          <cell r="C213" t="str">
            <v>DE.1.0.7.0</v>
          </cell>
          <cell r="D213" t="str">
            <v>300:23993</v>
          </cell>
          <cell r="E213">
            <v>42584.648888888885</v>
          </cell>
          <cell r="F213">
            <v>42584.651331018518</v>
          </cell>
          <cell r="G213">
            <v>3</v>
          </cell>
          <cell r="H213" t="str">
            <v>300:19635</v>
          </cell>
          <cell r="I213">
            <v>42584.653379629628</v>
          </cell>
          <cell r="J213">
            <v>0</v>
          </cell>
          <cell r="K213" t="str">
            <v>4037/4038</v>
          </cell>
          <cell r="L213" t="str">
            <v>STURGEON</v>
          </cell>
          <cell r="M213">
            <v>2.0486111097852699E-3</v>
          </cell>
          <cell r="N213">
            <v>2.9499999980907887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https://search-rtdc-monitor-bjffxe2xuh6vdkpspy63sjmuny.us-east-1.es.amazonaws.com/_plugin/kibana/#/discover/Steve-Slow-Train-Analysis-(2080s-and-2083s)?_g=(refreshInterval:(display:Off,section:0,value:0),time:(from:'2016-08-02 14:34:24-0600',mode:absolute,to:'2016-08-02 16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3" t="str">
            <v>Y</v>
          </cell>
          <cell r="X213">
            <v>1</v>
          </cell>
          <cell r="Y213">
            <v>2.3993000000000002</v>
          </cell>
          <cell r="Z213">
            <v>1.9635</v>
          </cell>
          <cell r="AA213">
            <v>0.43580000000000019</v>
          </cell>
          <cell r="AB213" t="e">
            <v>#N/A</v>
          </cell>
          <cell r="AC213" t="e">
            <v>#N/A</v>
          </cell>
          <cell r="AD213" t="str">
            <v>0904-02</v>
          </cell>
          <cell r="AE213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4">
          <cell r="A214" t="str">
            <v>906-02</v>
          </cell>
          <cell r="B214">
            <v>4037</v>
          </cell>
          <cell r="C214" t="str">
            <v>DE.1.0.7.0</v>
          </cell>
          <cell r="D214" t="str">
            <v>300:58602</v>
          </cell>
          <cell r="E214">
            <v>42584.801064814812</v>
          </cell>
          <cell r="F214">
            <v>42584.802222222221</v>
          </cell>
          <cell r="G214">
            <v>1</v>
          </cell>
          <cell r="H214" t="str">
            <v>300:58602</v>
          </cell>
          <cell r="I214">
            <v>42584.802222222221</v>
          </cell>
          <cell r="J214">
            <v>0</v>
          </cell>
          <cell r="K214" t="str">
            <v>4037/4038</v>
          </cell>
          <cell r="L214" t="str">
            <v>STURGEON</v>
          </cell>
          <cell r="M214">
            <v>0</v>
          </cell>
          <cell r="N214">
            <v>0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https://search-rtdc-monitor-bjffxe2xuh6vdkpspy63sjmuny.us-east-1.es.amazonaws.com/_plugin/kibana/#/discover/Steve-Slow-Train-Analysis-(2080s-and-2083s)?_g=(refreshInterval:(display:Off,section:0,value:0),time:(from:'2016-08-02 18:13:32-0600',mode:absolute,to:'2016-08-02 20:15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4" t="str">
            <v>Y</v>
          </cell>
          <cell r="X214">
            <v>2</v>
          </cell>
          <cell r="Y214">
            <v>5.8601999999999999</v>
          </cell>
          <cell r="Z214">
            <v>5.8601999999999999</v>
          </cell>
          <cell r="AA214">
            <v>0</v>
          </cell>
          <cell r="AB214" t="e">
            <v>#N/A</v>
          </cell>
          <cell r="AC214" t="e">
            <v>#N/A</v>
          </cell>
          <cell r="AD214" t="str">
            <v>0906-02</v>
          </cell>
          <cell r="AE21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5">
          <cell r="A215" t="str">
            <v>908-02</v>
          </cell>
          <cell r="B215">
            <v>4032</v>
          </cell>
          <cell r="C215" t="str">
            <v>DE.1.0.7.0</v>
          </cell>
          <cell r="D215" t="str">
            <v>300:58600</v>
          </cell>
          <cell r="E215">
            <v>42584.945833333331</v>
          </cell>
          <cell r="F215">
            <v>42584.946875000001</v>
          </cell>
          <cell r="G215">
            <v>1</v>
          </cell>
          <cell r="H215" t="str">
            <v>300:21786</v>
          </cell>
          <cell r="I215">
            <v>42584.953784722224</v>
          </cell>
          <cell r="J215">
            <v>0</v>
          </cell>
          <cell r="K215" t="str">
            <v>4031/4032</v>
          </cell>
          <cell r="L215" t="str">
            <v>STURGEON</v>
          </cell>
          <cell r="M215">
            <v>6.9097222221898846E-3</v>
          </cell>
          <cell r="N215">
            <v>9.9499999999534339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https://search-rtdc-monitor-bjffxe2xuh6vdkpspy63sjmuny.us-east-1.es.amazonaws.com/_plugin/kibana/#/discover/Steve-Slow-Train-Analysis-(2080s-and-2083s)?_g=(refreshInterval:(display:Off,section:0,value:0),time:(from:'2016-08-02 21:42:00-0600',mode:absolute,to:'2016-08-02 23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5" t="str">
            <v>Y</v>
          </cell>
          <cell r="X215">
            <v>2</v>
          </cell>
          <cell r="Y215">
            <v>5.86</v>
          </cell>
          <cell r="Z215">
            <v>2.1785999999999999</v>
          </cell>
          <cell r="AA215">
            <v>3.6814000000000004</v>
          </cell>
          <cell r="AB215" t="e">
            <v>#N/A</v>
          </cell>
          <cell r="AC215" t="e">
            <v>#N/A</v>
          </cell>
          <cell r="AD215" t="str">
            <v>0908-02</v>
          </cell>
          <cell r="AE215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</sheetData>
      <sheetData sheetId="1"/>
      <sheetData sheetId="2"/>
      <sheetData sheetId="3">
        <row r="1">
          <cell r="C1" t="str">
            <v>220-01</v>
          </cell>
          <cell r="D1">
            <v>2090000</v>
          </cell>
          <cell r="E1" t="str">
            <v>HAITHCOX</v>
          </cell>
        </row>
        <row r="2">
          <cell r="C2" t="str">
            <v>827-02</v>
          </cell>
          <cell r="D2">
            <v>1480000</v>
          </cell>
          <cell r="E2" t="str">
            <v>STURGEON</v>
          </cell>
        </row>
        <row r="3">
          <cell r="C3" t="str">
            <v>828-02</v>
          </cell>
          <cell r="D3">
            <v>1480000</v>
          </cell>
          <cell r="E3" t="str">
            <v>STURGEON</v>
          </cell>
        </row>
        <row r="4">
          <cell r="C4" t="str">
            <v>198-02</v>
          </cell>
          <cell r="D4">
            <v>2110000</v>
          </cell>
          <cell r="E4" t="str">
            <v>OUN</v>
          </cell>
        </row>
        <row r="5">
          <cell r="C5" t="str">
            <v>169-02</v>
          </cell>
          <cell r="D5">
            <v>1520000</v>
          </cell>
          <cell r="E5" t="str">
            <v>MAYBERRY</v>
          </cell>
        </row>
        <row r="6">
          <cell r="C6" t="str">
            <v>841-02</v>
          </cell>
          <cell r="D6">
            <v>1770000</v>
          </cell>
          <cell r="E6" t="str">
            <v>BRUDER</v>
          </cell>
        </row>
        <row r="7">
          <cell r="C7" t="str">
            <v>222-02</v>
          </cell>
          <cell r="D7">
            <v>2140000</v>
          </cell>
          <cell r="E7" t="str">
            <v>ROBINSON</v>
          </cell>
        </row>
        <row r="8">
          <cell r="C8" t="str">
            <v>187-02</v>
          </cell>
          <cell r="D8">
            <v>1280000</v>
          </cell>
          <cell r="E8" t="str">
            <v>BARTLETT</v>
          </cell>
        </row>
        <row r="9">
          <cell r="C9" t="str">
            <v>824-02</v>
          </cell>
          <cell r="D9">
            <v>1770000</v>
          </cell>
          <cell r="E9" t="str">
            <v>BRUDER</v>
          </cell>
        </row>
        <row r="10">
          <cell r="C10" t="str">
            <v>189-02</v>
          </cell>
          <cell r="D10">
            <v>880000</v>
          </cell>
          <cell r="E10" t="str">
            <v>STEWART</v>
          </cell>
        </row>
        <row r="11">
          <cell r="C11" t="str">
            <v>161-02</v>
          </cell>
          <cell r="D11">
            <v>880000</v>
          </cell>
          <cell r="E11" t="str">
            <v>STEWART</v>
          </cell>
        </row>
        <row r="12">
          <cell r="C12" t="str">
            <v>195-02</v>
          </cell>
          <cell r="D12">
            <v>1140000</v>
          </cell>
          <cell r="E12" t="str">
            <v>YOUNG</v>
          </cell>
        </row>
        <row r="13">
          <cell r="C13" t="str">
            <v>153-02</v>
          </cell>
          <cell r="D13">
            <v>2100000</v>
          </cell>
          <cell r="E13" t="str">
            <v>ISHMAEL</v>
          </cell>
        </row>
        <row r="14">
          <cell r="C14" t="str">
            <v>904-02</v>
          </cell>
          <cell r="D14">
            <v>1480000</v>
          </cell>
          <cell r="E14" t="str">
            <v>STURGEON</v>
          </cell>
        </row>
        <row r="15">
          <cell r="C15" t="str">
            <v>126-02</v>
          </cell>
          <cell r="D15">
            <v>2100000</v>
          </cell>
          <cell r="E15" t="str">
            <v>ISHMAEL</v>
          </cell>
        </row>
        <row r="16">
          <cell r="C16" t="str">
            <v>205-02</v>
          </cell>
          <cell r="D16">
            <v>1740000</v>
          </cell>
          <cell r="E16" t="str">
            <v>STORY</v>
          </cell>
        </row>
        <row r="17">
          <cell r="C17" t="str">
            <v>127-02</v>
          </cell>
          <cell r="D17">
            <v>1360000</v>
          </cell>
          <cell r="E17" t="str">
            <v>SANTIZO</v>
          </cell>
        </row>
        <row r="18">
          <cell r="C18" t="str">
            <v>211-02</v>
          </cell>
          <cell r="D18">
            <v>1140000</v>
          </cell>
          <cell r="E18" t="str">
            <v>YOUNG</v>
          </cell>
        </row>
        <row r="19">
          <cell r="C19" t="str">
            <v>102-02</v>
          </cell>
          <cell r="D19">
            <v>1360000</v>
          </cell>
          <cell r="E19" t="str">
            <v>SANTIZO</v>
          </cell>
        </row>
        <row r="20">
          <cell r="C20" t="str">
            <v>YANAI-02</v>
          </cell>
          <cell r="D20">
            <v>1230000</v>
          </cell>
          <cell r="E20" t="str">
            <v>YANAI</v>
          </cell>
        </row>
        <row r="21">
          <cell r="C21" t="str">
            <v>315-01</v>
          </cell>
          <cell r="D21">
            <v>2090000</v>
          </cell>
          <cell r="E21" t="str">
            <v>HAITHCOX</v>
          </cell>
        </row>
        <row r="22">
          <cell r="C22" t="str">
            <v>231-02</v>
          </cell>
          <cell r="D22">
            <v>1290000</v>
          </cell>
          <cell r="E22" t="str">
            <v>COOLAHAN</v>
          </cell>
        </row>
        <row r="23">
          <cell r="C23" t="str">
            <v>240-01</v>
          </cell>
          <cell r="D23">
            <v>1810000</v>
          </cell>
          <cell r="E23" t="str">
            <v>NEWELL</v>
          </cell>
        </row>
        <row r="24">
          <cell r="C24" t="str">
            <v>237-02</v>
          </cell>
          <cell r="D24">
            <v>2140000</v>
          </cell>
          <cell r="E24" t="str">
            <v>ROBINSON</v>
          </cell>
        </row>
        <row r="25">
          <cell r="C25" t="str">
            <v>818-02</v>
          </cell>
          <cell r="D25">
            <v>1300000</v>
          </cell>
          <cell r="E25" t="str">
            <v>LEVIN</v>
          </cell>
        </row>
        <row r="26">
          <cell r="C26" t="str">
            <v>103-03</v>
          </cell>
          <cell r="D26">
            <v>1260000</v>
          </cell>
          <cell r="E26" t="str">
            <v>ACKERMAN</v>
          </cell>
        </row>
        <row r="27">
          <cell r="C27" t="str">
            <v>165-02</v>
          </cell>
          <cell r="D27">
            <v>1810000</v>
          </cell>
          <cell r="E27" t="str">
            <v>NEWELL</v>
          </cell>
        </row>
        <row r="28">
          <cell r="C28" t="str">
            <v>102-03</v>
          </cell>
          <cell r="D28">
            <v>2010000</v>
          </cell>
          <cell r="E28" t="str">
            <v>MAELZER</v>
          </cell>
        </row>
        <row r="29">
          <cell r="C29" t="str">
            <v>154-02</v>
          </cell>
          <cell r="D29">
            <v>2100000</v>
          </cell>
          <cell r="E29" t="str">
            <v>ISHMAEL</v>
          </cell>
        </row>
        <row r="30">
          <cell r="C30" t="str">
            <v>803-03</v>
          </cell>
          <cell r="D30">
            <v>2100000</v>
          </cell>
          <cell r="E30" t="str">
            <v>ISHMAEL</v>
          </cell>
        </row>
        <row r="31">
          <cell r="C31" t="str">
            <v>146-02</v>
          </cell>
          <cell r="D31">
            <v>1260000</v>
          </cell>
          <cell r="E31" t="str">
            <v>ACKERMAN</v>
          </cell>
        </row>
        <row r="32">
          <cell r="C32" t="str">
            <v>802-03</v>
          </cell>
          <cell r="D32">
            <v>1990000</v>
          </cell>
          <cell r="E32" t="str">
            <v>DAVIS</v>
          </cell>
        </row>
        <row r="33">
          <cell r="C33" t="str">
            <v>132-02</v>
          </cell>
          <cell r="D33">
            <v>1260000</v>
          </cell>
          <cell r="E33" t="str">
            <v>ACKERMAN</v>
          </cell>
        </row>
        <row r="34">
          <cell r="C34" t="str">
            <v>125-03</v>
          </cell>
          <cell r="D34">
            <v>900000</v>
          </cell>
          <cell r="E34" t="str">
            <v>ROCHA</v>
          </cell>
        </row>
        <row r="35">
          <cell r="C35" t="str">
            <v>130-02</v>
          </cell>
          <cell r="D35">
            <v>900000</v>
          </cell>
          <cell r="E35" t="str">
            <v>ROCHA</v>
          </cell>
        </row>
        <row r="36">
          <cell r="C36" t="str">
            <v>805-03</v>
          </cell>
          <cell r="D36">
            <v>1990000</v>
          </cell>
          <cell r="E36" t="str">
            <v>DAVIS</v>
          </cell>
        </row>
        <row r="37">
          <cell r="C37" t="str">
            <v>808-02</v>
          </cell>
          <cell r="D37">
            <v>1300000</v>
          </cell>
          <cell r="E37" t="str">
            <v>LEVIN</v>
          </cell>
        </row>
        <row r="38">
          <cell r="C38" t="str">
            <v>120-03</v>
          </cell>
          <cell r="D38">
            <v>1760000</v>
          </cell>
          <cell r="E38" t="str">
            <v>STRICKLAND</v>
          </cell>
        </row>
        <row r="39">
          <cell r="C39" t="str">
            <v>301-02</v>
          </cell>
          <cell r="D39">
            <v>540000</v>
          </cell>
          <cell r="E39" t="str">
            <v>MADLOM</v>
          </cell>
        </row>
        <row r="40">
          <cell r="C40" t="str">
            <v>127-03</v>
          </cell>
          <cell r="D40">
            <v>2010000</v>
          </cell>
          <cell r="E40" t="str">
            <v>MAELZER</v>
          </cell>
        </row>
        <row r="41">
          <cell r="C41" t="str">
            <v>108-02</v>
          </cell>
          <cell r="D41">
            <v>1090000</v>
          </cell>
          <cell r="E41" t="str">
            <v>SPECTOR</v>
          </cell>
        </row>
        <row r="42">
          <cell r="C42" t="str">
            <v>906-01</v>
          </cell>
          <cell r="D42">
            <v>1290000</v>
          </cell>
          <cell r="E42" t="str">
            <v>COOLAHAN</v>
          </cell>
        </row>
        <row r="43">
          <cell r="C43" t="str">
            <v>111-02</v>
          </cell>
          <cell r="D43">
            <v>2100000</v>
          </cell>
          <cell r="E43" t="str">
            <v>ISHMAEL</v>
          </cell>
        </row>
        <row r="44">
          <cell r="C44" t="str">
            <v>229-01</v>
          </cell>
          <cell r="D44">
            <v>2140000</v>
          </cell>
          <cell r="E44" t="str">
            <v>ROBINSON</v>
          </cell>
        </row>
        <row r="45">
          <cell r="C45" t="str">
            <v>236-01</v>
          </cell>
          <cell r="D45">
            <v>2090000</v>
          </cell>
          <cell r="E45" t="str">
            <v>HAITHCOX</v>
          </cell>
        </row>
        <row r="46">
          <cell r="C46" t="str">
            <v>232-01</v>
          </cell>
          <cell r="D46">
            <v>1810000</v>
          </cell>
          <cell r="E46" t="str">
            <v>NEWELL</v>
          </cell>
        </row>
        <row r="47">
          <cell r="C47" t="str">
            <v>844-01</v>
          </cell>
          <cell r="D47">
            <v>1290000</v>
          </cell>
          <cell r="E47" t="str">
            <v>COOLAHAN</v>
          </cell>
        </row>
        <row r="48">
          <cell r="C48" t="str">
            <v>908-01</v>
          </cell>
          <cell r="D48">
            <v>1290000</v>
          </cell>
          <cell r="E48" t="str">
            <v>COOLAHAN</v>
          </cell>
        </row>
        <row r="49">
          <cell r="C49" t="str">
            <v>231-01</v>
          </cell>
          <cell r="D49">
            <v>1810000</v>
          </cell>
          <cell r="E49" t="str">
            <v>NEWELL</v>
          </cell>
        </row>
        <row r="50">
          <cell r="C50" t="str">
            <v>239-01</v>
          </cell>
          <cell r="D50">
            <v>1810000</v>
          </cell>
          <cell r="E50" t="str">
            <v>NEWELL</v>
          </cell>
        </row>
        <row r="51">
          <cell r="C51" t="str">
            <v>845-01</v>
          </cell>
          <cell r="D51">
            <v>1290000</v>
          </cell>
          <cell r="E51" t="str">
            <v>COOLAHAN</v>
          </cell>
        </row>
        <row r="52">
          <cell r="C52" t="str">
            <v>244-01</v>
          </cell>
          <cell r="D52">
            <v>2090000</v>
          </cell>
          <cell r="E52" t="str">
            <v>HAITHCOX</v>
          </cell>
        </row>
        <row r="53">
          <cell r="C53" t="str">
            <v>307-01</v>
          </cell>
          <cell r="D53">
            <v>1780000</v>
          </cell>
          <cell r="E53" t="str">
            <v>DE LA ROSA</v>
          </cell>
        </row>
        <row r="54">
          <cell r="C54" t="str">
            <v>101-02</v>
          </cell>
          <cell r="D54">
            <v>1360000</v>
          </cell>
          <cell r="E54" t="str">
            <v>SANTIZO</v>
          </cell>
        </row>
        <row r="55">
          <cell r="C55" t="str">
            <v>162-02</v>
          </cell>
          <cell r="D55">
            <v>880000</v>
          </cell>
          <cell r="E55" t="str">
            <v>STEWART</v>
          </cell>
        </row>
        <row r="56">
          <cell r="C56" t="str">
            <v>306-02</v>
          </cell>
          <cell r="D56">
            <v>1990000</v>
          </cell>
          <cell r="E56" t="str">
            <v>DAVIS</v>
          </cell>
        </row>
        <row r="57">
          <cell r="C57" t="str">
            <v>151-02</v>
          </cell>
          <cell r="D57">
            <v>1750000</v>
          </cell>
          <cell r="E57" t="str">
            <v>REBOLETTI</v>
          </cell>
        </row>
        <row r="58">
          <cell r="C58" t="str">
            <v>105-02</v>
          </cell>
          <cell r="D58">
            <v>1990000</v>
          </cell>
          <cell r="E58" t="str">
            <v>DAVIS</v>
          </cell>
        </row>
        <row r="59">
          <cell r="C59" t="str">
            <v>134-02</v>
          </cell>
          <cell r="D59">
            <v>1990000</v>
          </cell>
          <cell r="E59" t="str">
            <v>DAVIS</v>
          </cell>
        </row>
        <row r="60">
          <cell r="C60" t="str">
            <v>109-02</v>
          </cell>
          <cell r="D60">
            <v>1750000</v>
          </cell>
          <cell r="E60" t="str">
            <v>REBOLETTI</v>
          </cell>
        </row>
        <row r="61">
          <cell r="C61" t="str">
            <v>811-02</v>
          </cell>
          <cell r="D61">
            <v>1300000</v>
          </cell>
          <cell r="E61" t="str">
            <v>LEVIN</v>
          </cell>
        </row>
        <row r="62">
          <cell r="C62" t="str">
            <v>800-02</v>
          </cell>
          <cell r="D62">
            <v>1110000</v>
          </cell>
          <cell r="E62" t="str">
            <v>STARKS</v>
          </cell>
        </row>
        <row r="63">
          <cell r="C63" t="str">
            <v>131-02</v>
          </cell>
          <cell r="D63">
            <v>1260000</v>
          </cell>
          <cell r="E63" t="str">
            <v>ACKERMAN</v>
          </cell>
        </row>
        <row r="64">
          <cell r="C64" t="str">
            <v>801-02</v>
          </cell>
          <cell r="D64">
            <v>1110000</v>
          </cell>
          <cell r="E64" t="str">
            <v>STARKS</v>
          </cell>
        </row>
        <row r="65">
          <cell r="C65" t="str">
            <v>122-02</v>
          </cell>
          <cell r="D65">
            <v>1090000</v>
          </cell>
          <cell r="E65" t="str">
            <v>SPECTOR</v>
          </cell>
        </row>
        <row r="66">
          <cell r="C66" t="str">
            <v>803-02</v>
          </cell>
          <cell r="D66">
            <v>1300000</v>
          </cell>
          <cell r="E66" t="str">
            <v>LEVIN</v>
          </cell>
        </row>
        <row r="67">
          <cell r="C67" t="str">
            <v>117-02</v>
          </cell>
          <cell r="D67">
            <v>1260000</v>
          </cell>
          <cell r="E67" t="str">
            <v>ACKERMAN</v>
          </cell>
        </row>
        <row r="68">
          <cell r="C68" t="str">
            <v>803-02</v>
          </cell>
          <cell r="D68">
            <v>1300000</v>
          </cell>
          <cell r="E68" t="str">
            <v>LEVIN</v>
          </cell>
        </row>
        <row r="69">
          <cell r="C69" t="str">
            <v>106-02</v>
          </cell>
          <cell r="D69">
            <v>1990000</v>
          </cell>
          <cell r="E69" t="str">
            <v>DAVIS</v>
          </cell>
        </row>
        <row r="70">
          <cell r="C70" t="str">
            <v>125-02</v>
          </cell>
          <cell r="D70">
            <v>2100000</v>
          </cell>
          <cell r="E70" t="str">
            <v>ISHMAEL</v>
          </cell>
        </row>
        <row r="71">
          <cell r="C71" t="str">
            <v>901-02</v>
          </cell>
          <cell r="D71">
            <v>1110000</v>
          </cell>
          <cell r="E71" t="str">
            <v>STARKS</v>
          </cell>
        </row>
        <row r="72">
          <cell r="C72" t="str">
            <v>804-02</v>
          </cell>
          <cell r="D72">
            <v>1300000</v>
          </cell>
          <cell r="E72" t="str">
            <v>LEVIN</v>
          </cell>
        </row>
        <row r="73">
          <cell r="C73" t="str">
            <v>107-02</v>
          </cell>
          <cell r="D73">
            <v>1090000</v>
          </cell>
          <cell r="E73" t="str">
            <v>SPECTOR</v>
          </cell>
        </row>
        <row r="74">
          <cell r="C74" t="str">
            <v>129-02</v>
          </cell>
          <cell r="D74">
            <v>900000</v>
          </cell>
          <cell r="E74" t="str">
            <v>ROCHA</v>
          </cell>
        </row>
        <row r="75">
          <cell r="C75" t="str">
            <v>233-01</v>
          </cell>
          <cell r="D75">
            <v>1800000</v>
          </cell>
          <cell r="E75" t="str">
            <v>CHANDLER</v>
          </cell>
        </row>
        <row r="76">
          <cell r="C76" t="str">
            <v>807-02</v>
          </cell>
          <cell r="D76">
            <v>1300000</v>
          </cell>
          <cell r="E76" t="str">
            <v>LEVIN</v>
          </cell>
        </row>
        <row r="77">
          <cell r="C77" t="str">
            <v>119-03</v>
          </cell>
          <cell r="D77">
            <v>1760000</v>
          </cell>
          <cell r="E77" t="str">
            <v>STRICKLAND</v>
          </cell>
        </row>
        <row r="78">
          <cell r="C78" t="str">
            <v>133-02</v>
          </cell>
          <cell r="D78">
            <v>1990000</v>
          </cell>
          <cell r="E78" t="str">
            <v>DAVIS</v>
          </cell>
        </row>
        <row r="79">
          <cell r="C79" t="str">
            <v>112-03</v>
          </cell>
          <cell r="D79">
            <v>900000</v>
          </cell>
          <cell r="E79" t="str">
            <v>ROCHA</v>
          </cell>
        </row>
        <row r="80">
          <cell r="C80" t="str">
            <v>137-02</v>
          </cell>
          <cell r="D80">
            <v>1750000</v>
          </cell>
          <cell r="E80" t="str">
            <v>REBOLETTI</v>
          </cell>
        </row>
        <row r="81">
          <cell r="C81" t="str">
            <v>106-03</v>
          </cell>
          <cell r="D81">
            <v>1760000</v>
          </cell>
          <cell r="E81" t="str">
            <v>STRICKLAND</v>
          </cell>
        </row>
        <row r="82">
          <cell r="C82" t="str">
            <v>152-02</v>
          </cell>
          <cell r="D82">
            <v>1750000</v>
          </cell>
          <cell r="E82" t="str">
            <v>REBOLETTI</v>
          </cell>
        </row>
        <row r="83">
          <cell r="C83" t="str">
            <v>107-03</v>
          </cell>
          <cell r="D83">
            <v>1090000</v>
          </cell>
          <cell r="E83" t="str">
            <v>SPECTOR</v>
          </cell>
        </row>
        <row r="84">
          <cell r="C84" t="str">
            <v>173-02</v>
          </cell>
          <cell r="D84">
            <v>1280000</v>
          </cell>
          <cell r="E84" t="str">
            <v>BARTLETT</v>
          </cell>
        </row>
        <row r="85">
          <cell r="C85" t="str">
            <v>313-02</v>
          </cell>
          <cell r="D85">
            <v>1230000</v>
          </cell>
          <cell r="E85" t="str">
            <v>YANAI</v>
          </cell>
        </row>
        <row r="86">
          <cell r="C86" t="str">
            <v>168-02</v>
          </cell>
          <cell r="D86">
            <v>1140000</v>
          </cell>
          <cell r="E86" t="str">
            <v>YOUNG</v>
          </cell>
        </row>
        <row r="87">
          <cell r="C87" t="str">
            <v>311-02</v>
          </cell>
          <cell r="D87">
            <v>1290000</v>
          </cell>
          <cell r="E87" t="str">
            <v>COOLAHAN</v>
          </cell>
        </row>
        <row r="88">
          <cell r="C88" t="str">
            <v>823-02</v>
          </cell>
          <cell r="D88">
            <v>1770000</v>
          </cell>
          <cell r="E88" t="str">
            <v>BRUDER</v>
          </cell>
        </row>
        <row r="89">
          <cell r="C89" t="str">
            <v>309-02</v>
          </cell>
          <cell r="D89">
            <v>2140000</v>
          </cell>
          <cell r="E89" t="str">
            <v>ROBINSON</v>
          </cell>
        </row>
        <row r="90">
          <cell r="C90" t="str">
            <v>178-02</v>
          </cell>
          <cell r="D90">
            <v>0</v>
          </cell>
          <cell r="E90" t="str">
            <v>HAUSER</v>
          </cell>
        </row>
        <row r="91">
          <cell r="C91" t="str">
            <v>242-02</v>
          </cell>
          <cell r="D91">
            <v>1230000</v>
          </cell>
          <cell r="E91" t="str">
            <v>YANAI</v>
          </cell>
        </row>
        <row r="92">
          <cell r="C92" t="str">
            <v>186-02</v>
          </cell>
          <cell r="D92">
            <v>2150000</v>
          </cell>
          <cell r="E92" t="str">
            <v>SWANSON</v>
          </cell>
        </row>
        <row r="93">
          <cell r="C93" t="str">
            <v>232-02</v>
          </cell>
          <cell r="D93">
            <v>1290000</v>
          </cell>
          <cell r="E93" t="str">
            <v>COOLAHAN</v>
          </cell>
        </row>
        <row r="94">
          <cell r="C94" t="str">
            <v>193-02</v>
          </cell>
          <cell r="D94">
            <v>940000</v>
          </cell>
          <cell r="E94" t="str">
            <v>BONDS</v>
          </cell>
        </row>
        <row r="95">
          <cell r="C95" t="str">
            <v>230-02</v>
          </cell>
          <cell r="D95">
            <v>2140000</v>
          </cell>
          <cell r="E95" t="str">
            <v>ROBINSON</v>
          </cell>
        </row>
        <row r="96">
          <cell r="C96" t="str">
            <v>826-02</v>
          </cell>
          <cell r="D96">
            <v>1770000</v>
          </cell>
          <cell r="E96" t="str">
            <v>BRUDER</v>
          </cell>
        </row>
        <row r="97">
          <cell r="C97" t="str">
            <v>229-02</v>
          </cell>
          <cell r="D97">
            <v>2140000</v>
          </cell>
          <cell r="E97" t="str">
            <v>ROBINSON</v>
          </cell>
        </row>
        <row r="98">
          <cell r="C98" t="str">
            <v>192-02</v>
          </cell>
          <cell r="D98">
            <v>1740000</v>
          </cell>
          <cell r="E98" t="str">
            <v>STORY</v>
          </cell>
        </row>
        <row r="99">
          <cell r="C99" t="str">
            <v>224-02</v>
          </cell>
          <cell r="D99">
            <v>1290000</v>
          </cell>
          <cell r="E99" t="str">
            <v>COOLAHAN</v>
          </cell>
        </row>
        <row r="100">
          <cell r="C100" t="str">
            <v>199-02</v>
          </cell>
          <cell r="D100">
            <v>2150000</v>
          </cell>
          <cell r="E100" t="str">
            <v>SWANSON</v>
          </cell>
        </row>
        <row r="101">
          <cell r="C101" t="str">
            <v>843-02</v>
          </cell>
          <cell r="D101">
            <v>1770000</v>
          </cell>
          <cell r="E101" t="str">
            <v>BRUDER</v>
          </cell>
        </row>
        <row r="102">
          <cell r="C102" t="str">
            <v>829-02</v>
          </cell>
          <cell r="D102">
            <v>1770000</v>
          </cell>
          <cell r="E102" t="str">
            <v>BRUDER</v>
          </cell>
        </row>
        <row r="103">
          <cell r="C103" t="str">
            <v>225-02</v>
          </cell>
          <cell r="D103">
            <v>2090000</v>
          </cell>
          <cell r="E103" t="str">
            <v>HAITHCOX</v>
          </cell>
        </row>
        <row r="104">
          <cell r="C104" t="str">
            <v>836-02</v>
          </cell>
          <cell r="D104">
            <v>1480000</v>
          </cell>
          <cell r="E104" t="str">
            <v>STURGEON</v>
          </cell>
        </row>
        <row r="105">
          <cell r="C105" t="str">
            <v>220-02</v>
          </cell>
          <cell r="D105">
            <v>1800000</v>
          </cell>
          <cell r="E105" t="str">
            <v>CHANDLER</v>
          </cell>
        </row>
        <row r="106">
          <cell r="C106" t="str">
            <v>212-02</v>
          </cell>
          <cell r="D106">
            <v>1140000</v>
          </cell>
          <cell r="E106" t="str">
            <v>YOUNG</v>
          </cell>
        </row>
        <row r="107">
          <cell r="C107" t="str">
            <v>218-02</v>
          </cell>
          <cell r="D107">
            <v>2090000</v>
          </cell>
          <cell r="E107" t="str">
            <v>HAITHCOX</v>
          </cell>
        </row>
        <row r="108">
          <cell r="C108" t="str">
            <v>903-02</v>
          </cell>
          <cell r="D108">
            <v>1110000</v>
          </cell>
          <cell r="E108" t="str">
            <v>STARKS</v>
          </cell>
        </row>
        <row r="109">
          <cell r="C109" t="str">
            <v>837-02</v>
          </cell>
          <cell r="D109">
            <v>1770000</v>
          </cell>
          <cell r="E109" t="str">
            <v>BRUDER</v>
          </cell>
        </row>
        <row r="110">
          <cell r="C110" t="str">
            <v>812-02</v>
          </cell>
          <cell r="D110">
            <v>1300000</v>
          </cell>
          <cell r="E110" t="str">
            <v>LEVIN</v>
          </cell>
        </row>
        <row r="111">
          <cell r="C111" t="str">
            <v>837-02</v>
          </cell>
          <cell r="D111">
            <v>1770000</v>
          </cell>
          <cell r="E111" t="str">
            <v>BRUDER</v>
          </cell>
        </row>
        <row r="112">
          <cell r="C112" t="str">
            <v>143-02</v>
          </cell>
          <cell r="D112">
            <v>900000</v>
          </cell>
          <cell r="E112" t="str">
            <v>ROCHA</v>
          </cell>
        </row>
        <row r="113">
          <cell r="C113" t="str">
            <v>839-02</v>
          </cell>
          <cell r="D113">
            <v>1480000</v>
          </cell>
          <cell r="E113" t="str">
            <v>STURGEON</v>
          </cell>
        </row>
        <row r="114">
          <cell r="C114" t="str">
            <v>813-02</v>
          </cell>
          <cell r="D114">
            <v>1300000</v>
          </cell>
          <cell r="E114" t="str">
            <v>LEVIN</v>
          </cell>
        </row>
        <row r="115">
          <cell r="C115" t="str">
            <v>216-02</v>
          </cell>
          <cell r="D115">
            <v>2150000</v>
          </cell>
          <cell r="E115" t="str">
            <v>SWANSON</v>
          </cell>
        </row>
        <row r="116">
          <cell r="C116" t="str">
            <v>814-02</v>
          </cell>
          <cell r="D116">
            <v>1300000</v>
          </cell>
          <cell r="E116" t="str">
            <v>LEVIN</v>
          </cell>
        </row>
        <row r="117">
          <cell r="C117" t="str">
            <v>215-02</v>
          </cell>
          <cell r="D117">
            <v>2150000</v>
          </cell>
          <cell r="E117" t="str">
            <v>SWANSON</v>
          </cell>
        </row>
        <row r="118">
          <cell r="C118" t="str">
            <v>150-02</v>
          </cell>
          <cell r="D118">
            <v>1090000</v>
          </cell>
          <cell r="E118" t="str">
            <v>SPECTOR</v>
          </cell>
        </row>
        <row r="119">
          <cell r="C119" t="str">
            <v>YANAI-02</v>
          </cell>
          <cell r="D119">
            <v>1230000</v>
          </cell>
          <cell r="E119" t="str">
            <v>YANAI</v>
          </cell>
        </row>
        <row r="120">
          <cell r="C120" t="str">
            <v>819-02</v>
          </cell>
          <cell r="D120">
            <v>1300000</v>
          </cell>
          <cell r="E120" t="str">
            <v>LEVIN</v>
          </cell>
        </row>
        <row r="121">
          <cell r="C121" t="str">
            <v>834-02</v>
          </cell>
          <cell r="D121">
            <v>1770000</v>
          </cell>
          <cell r="E121" t="str">
            <v>BRUDER</v>
          </cell>
        </row>
        <row r="122">
          <cell r="C122" t="str">
            <v>171-02</v>
          </cell>
          <cell r="D122">
            <v>2150000</v>
          </cell>
          <cell r="E122" t="str">
            <v>SWANSON</v>
          </cell>
        </row>
        <row r="123">
          <cell r="C123" t="str">
            <v>835-02</v>
          </cell>
          <cell r="D123">
            <v>1480000</v>
          </cell>
          <cell r="E123" t="str">
            <v>STURGEON</v>
          </cell>
        </row>
        <row r="124">
          <cell r="C124" t="str">
            <v>194-02</v>
          </cell>
          <cell r="D124">
            <v>940000</v>
          </cell>
          <cell r="E124" t="str">
            <v>BONDS</v>
          </cell>
        </row>
        <row r="125">
          <cell r="C125" t="str">
            <v>833-02</v>
          </cell>
          <cell r="D125">
            <v>1770000</v>
          </cell>
          <cell r="E125" t="str">
            <v>BRUDER</v>
          </cell>
        </row>
        <row r="126">
          <cell r="C126" t="str">
            <v>201-02</v>
          </cell>
          <cell r="D126">
            <v>1280000</v>
          </cell>
          <cell r="E126" t="str">
            <v>BARTLETT</v>
          </cell>
        </row>
        <row r="127">
          <cell r="C127" t="str">
            <v>202-02</v>
          </cell>
          <cell r="D127">
            <v>1280000</v>
          </cell>
          <cell r="E127" t="str">
            <v>BARTLETT</v>
          </cell>
        </row>
        <row r="128">
          <cell r="C128" t="str">
            <v>203-02</v>
          </cell>
          <cell r="D128">
            <v>880000</v>
          </cell>
          <cell r="E128" t="str">
            <v>STEWART</v>
          </cell>
        </row>
        <row r="129">
          <cell r="C129" t="str">
            <v>831-02</v>
          </cell>
          <cell r="D129">
            <v>1480000</v>
          </cell>
          <cell r="E129" t="str">
            <v>STURGEON</v>
          </cell>
        </row>
        <row r="130">
          <cell r="C130" t="str">
            <v>204-02</v>
          </cell>
          <cell r="D130">
            <v>880000</v>
          </cell>
          <cell r="E130" t="str">
            <v>STEWART</v>
          </cell>
        </row>
        <row r="131">
          <cell r="C131" t="str">
            <v>192-02</v>
          </cell>
          <cell r="D131">
            <v>1740000</v>
          </cell>
          <cell r="E131" t="str">
            <v>STORY</v>
          </cell>
        </row>
        <row r="132">
          <cell r="C132" t="str">
            <v>206-02</v>
          </cell>
          <cell r="D132">
            <v>1740000</v>
          </cell>
          <cell r="E132" t="str">
            <v>STORY</v>
          </cell>
        </row>
        <row r="133">
          <cell r="C133" t="str">
            <v>191-02</v>
          </cell>
          <cell r="D133">
            <v>1740000</v>
          </cell>
          <cell r="E133" t="str">
            <v>STORY</v>
          </cell>
        </row>
        <row r="134">
          <cell r="C134" t="str">
            <v>837-02</v>
          </cell>
          <cell r="D134">
            <v>1770000</v>
          </cell>
          <cell r="E134" t="str">
            <v>BRUDER</v>
          </cell>
        </row>
        <row r="135">
          <cell r="C135" t="str">
            <v>184-02</v>
          </cell>
          <cell r="D135">
            <v>2110000</v>
          </cell>
          <cell r="E135" t="str">
            <v>OUN</v>
          </cell>
        </row>
        <row r="136">
          <cell r="C136" t="str">
            <v>214-02</v>
          </cell>
          <cell r="D136">
            <v>1290000</v>
          </cell>
          <cell r="E136" t="str">
            <v>COOLAHAN</v>
          </cell>
        </row>
        <row r="137">
          <cell r="C137" t="str">
            <v>185-02</v>
          </cell>
          <cell r="D137">
            <v>2150000</v>
          </cell>
          <cell r="E137" t="str">
            <v>SWANSON</v>
          </cell>
        </row>
        <row r="138">
          <cell r="C138" t="str">
            <v>838-02</v>
          </cell>
          <cell r="D138">
            <v>1770000</v>
          </cell>
          <cell r="E138" t="str">
            <v>BRUDER</v>
          </cell>
        </row>
        <row r="139">
          <cell r="C139" t="str">
            <v>820-02</v>
          </cell>
          <cell r="D139">
            <v>1300000</v>
          </cell>
          <cell r="E139" t="str">
            <v>LEVIN</v>
          </cell>
        </row>
        <row r="140">
          <cell r="C140" t="str">
            <v>223-02</v>
          </cell>
          <cell r="D140">
            <v>1290000</v>
          </cell>
          <cell r="E140" t="str">
            <v>COOLAHAN</v>
          </cell>
        </row>
        <row r="141">
          <cell r="C141" t="str">
            <v>158-02</v>
          </cell>
          <cell r="D141">
            <v>900000</v>
          </cell>
          <cell r="E141" t="str">
            <v>ROCHA</v>
          </cell>
        </row>
        <row r="142">
          <cell r="C142" t="str">
            <v>840-02</v>
          </cell>
          <cell r="D142">
            <v>1770000</v>
          </cell>
          <cell r="E142" t="str">
            <v>BRUDER</v>
          </cell>
        </row>
        <row r="143">
          <cell r="C143" t="str">
            <v>816-02</v>
          </cell>
          <cell r="D143">
            <v>1300000</v>
          </cell>
          <cell r="E143" t="str">
            <v>LEVIN</v>
          </cell>
        </row>
        <row r="144">
          <cell r="C144" t="str">
            <v>227-02</v>
          </cell>
          <cell r="D144">
            <v>1800000</v>
          </cell>
          <cell r="E144" t="str">
            <v>CHANDLER</v>
          </cell>
        </row>
        <row r="145">
          <cell r="C145" t="str">
            <v>149-02</v>
          </cell>
          <cell r="D145">
            <v>1090000</v>
          </cell>
          <cell r="E145" t="str">
            <v>SPECTOR</v>
          </cell>
        </row>
        <row r="146">
          <cell r="C146" t="str">
            <v>842-02</v>
          </cell>
          <cell r="D146">
            <v>1770000</v>
          </cell>
          <cell r="E146" t="str">
            <v>BRUDER</v>
          </cell>
        </row>
        <row r="147">
          <cell r="C147" t="str">
            <v>136-02</v>
          </cell>
          <cell r="D147">
            <v>1090000</v>
          </cell>
          <cell r="E147" t="str">
            <v>SPECTOR</v>
          </cell>
        </row>
        <row r="148">
          <cell r="C148" t="str">
            <v>235-02</v>
          </cell>
          <cell r="D148">
            <v>1800000</v>
          </cell>
          <cell r="E148" t="str">
            <v>CHANDLER</v>
          </cell>
        </row>
        <row r="149">
          <cell r="C149" t="str">
            <v>139-02</v>
          </cell>
          <cell r="D149">
            <v>2100000</v>
          </cell>
          <cell r="E149" t="str">
            <v>ISHMAEL</v>
          </cell>
        </row>
        <row r="150">
          <cell r="C150" t="str">
            <v>908-02</v>
          </cell>
          <cell r="D150">
            <v>1480000</v>
          </cell>
          <cell r="E150" t="str">
            <v>STURGEON</v>
          </cell>
        </row>
        <row r="151">
          <cell r="C151" t="str">
            <v>124-02</v>
          </cell>
          <cell r="D151">
            <v>1750000</v>
          </cell>
          <cell r="E151" t="str">
            <v>REBOLETTI</v>
          </cell>
        </row>
        <row r="152">
          <cell r="C152" t="str">
            <v>236-02</v>
          </cell>
          <cell r="D152">
            <v>1800000</v>
          </cell>
          <cell r="E152" t="str">
            <v>CHANDLER</v>
          </cell>
        </row>
        <row r="153">
          <cell r="C153" t="str">
            <v>118-02</v>
          </cell>
          <cell r="D153">
            <v>1260000</v>
          </cell>
          <cell r="E153" t="str">
            <v>ACKERMAN</v>
          </cell>
        </row>
        <row r="154">
          <cell r="C154" t="str">
            <v>241-02</v>
          </cell>
          <cell r="D154">
            <v>1230000</v>
          </cell>
          <cell r="E154" t="str">
            <v>YANAI</v>
          </cell>
        </row>
        <row r="155">
          <cell r="C155" t="str">
            <v>123-02</v>
          </cell>
          <cell r="D155">
            <v>1750000</v>
          </cell>
          <cell r="E155" t="str">
            <v>REBOLETTI</v>
          </cell>
        </row>
        <row r="156">
          <cell r="C156" t="str">
            <v>309-02</v>
          </cell>
          <cell r="D156">
            <v>2140000</v>
          </cell>
          <cell r="E156" t="str">
            <v>ROBINSON</v>
          </cell>
        </row>
        <row r="157">
          <cell r="C157" t="str">
            <v>803-02</v>
          </cell>
          <cell r="D157">
            <v>1300000</v>
          </cell>
          <cell r="E157" t="str">
            <v>LEVIN</v>
          </cell>
        </row>
        <row r="158">
          <cell r="C158" t="str">
            <v>244-02</v>
          </cell>
          <cell r="D158">
            <v>1800000</v>
          </cell>
          <cell r="E158" t="str">
            <v>CHANDLER</v>
          </cell>
        </row>
        <row r="159">
          <cell r="C159" t="str">
            <v>802-02</v>
          </cell>
          <cell r="D159">
            <v>1110000</v>
          </cell>
          <cell r="E159" t="str">
            <v>STARKS</v>
          </cell>
        </row>
        <row r="160">
          <cell r="C160" t="str">
            <v>313-02</v>
          </cell>
          <cell r="D160">
            <v>1230000</v>
          </cell>
          <cell r="E160" t="str">
            <v>YANAI</v>
          </cell>
        </row>
        <row r="161">
          <cell r="C161" t="str">
            <v>104-02</v>
          </cell>
          <cell r="D161">
            <v>1260000</v>
          </cell>
          <cell r="E161" t="str">
            <v>ACKERMAN</v>
          </cell>
        </row>
        <row r="162">
          <cell r="C162" t="str">
            <v>315-02</v>
          </cell>
          <cell r="D162">
            <v>1800000</v>
          </cell>
          <cell r="E162" t="str">
            <v>CHANDLER</v>
          </cell>
        </row>
        <row r="163">
          <cell r="C163" t="str">
            <v>180-02</v>
          </cell>
          <cell r="D163">
            <v>940000</v>
          </cell>
          <cell r="E163" t="str">
            <v>BONDS</v>
          </cell>
        </row>
        <row r="164">
          <cell r="C164" t="str">
            <v>104-03</v>
          </cell>
          <cell r="D164">
            <v>1260000</v>
          </cell>
          <cell r="E164" t="str">
            <v>ACKERMAN</v>
          </cell>
        </row>
        <row r="165">
          <cell r="C165" t="str">
            <v>178-02</v>
          </cell>
          <cell r="D165">
            <v>1740000</v>
          </cell>
          <cell r="E165" t="str">
            <v>STORY</v>
          </cell>
        </row>
        <row r="166">
          <cell r="C166" t="str">
            <v>113-03</v>
          </cell>
          <cell r="D166">
            <v>2010000</v>
          </cell>
          <cell r="E166" t="str">
            <v>MAELZER</v>
          </cell>
        </row>
        <row r="167">
          <cell r="C167" t="str">
            <v>181-02</v>
          </cell>
          <cell r="D167">
            <v>1140000</v>
          </cell>
          <cell r="E167" t="str">
            <v>YOUNG</v>
          </cell>
        </row>
        <row r="168">
          <cell r="C168" t="str">
            <v>115-03</v>
          </cell>
          <cell r="D168">
            <v>1190000</v>
          </cell>
          <cell r="E168" t="str">
            <v>BRANNON</v>
          </cell>
        </row>
        <row r="169">
          <cell r="C169" t="str">
            <v>179-02</v>
          </cell>
          <cell r="D169">
            <v>940000</v>
          </cell>
          <cell r="E169" t="str">
            <v>BONDS</v>
          </cell>
        </row>
        <row r="170">
          <cell r="C170" t="str">
            <v>110-03</v>
          </cell>
          <cell r="D170">
            <v>1540000</v>
          </cell>
          <cell r="E170" t="str">
            <v>HELVIE</v>
          </cell>
        </row>
        <row r="171">
          <cell r="C171" t="str">
            <v>160-02</v>
          </cell>
          <cell r="D171">
            <v>1280000</v>
          </cell>
          <cell r="E171" t="str">
            <v>BARTLETT</v>
          </cell>
        </row>
        <row r="172">
          <cell r="C172" t="str">
            <v>117-03</v>
          </cell>
          <cell r="D172">
            <v>1260000</v>
          </cell>
          <cell r="E172" t="str">
            <v>ACKERMAN</v>
          </cell>
        </row>
        <row r="173">
          <cell r="C173" t="str">
            <v>163-02</v>
          </cell>
          <cell r="D173">
            <v>1740000</v>
          </cell>
          <cell r="E173" t="str">
            <v>STORY</v>
          </cell>
        </row>
        <row r="174">
          <cell r="C174" t="str">
            <v>802-03</v>
          </cell>
          <cell r="D174">
            <v>1990000</v>
          </cell>
          <cell r="E174" t="str">
            <v>DAVIS</v>
          </cell>
        </row>
        <row r="175">
          <cell r="C175" t="str">
            <v>157-02</v>
          </cell>
          <cell r="D175">
            <v>900000</v>
          </cell>
          <cell r="E175" t="str">
            <v>ROCHA</v>
          </cell>
        </row>
        <row r="176">
          <cell r="C176" t="str">
            <v>801-03</v>
          </cell>
          <cell r="D176">
            <v>1110000</v>
          </cell>
          <cell r="E176" t="str">
            <v>STARKS</v>
          </cell>
        </row>
        <row r="177">
          <cell r="C177" t="str">
            <v>145-02</v>
          </cell>
          <cell r="D177">
            <v>1260000</v>
          </cell>
          <cell r="E177" t="str">
            <v>ACKERMAN</v>
          </cell>
        </row>
        <row r="178">
          <cell r="C178" t="str">
            <v>116-03</v>
          </cell>
          <cell r="D178">
            <v>1190000</v>
          </cell>
          <cell r="E178" t="str">
            <v>BRANNON</v>
          </cell>
        </row>
        <row r="179">
          <cell r="C179" t="str">
            <v>810-02</v>
          </cell>
          <cell r="D179">
            <v>1110000</v>
          </cell>
          <cell r="E179" t="str">
            <v>STARKS</v>
          </cell>
        </row>
        <row r="180">
          <cell r="C180" t="str">
            <v>118-03</v>
          </cell>
          <cell r="D180">
            <v>1260000</v>
          </cell>
          <cell r="E180" t="str">
            <v>ACKERMAN</v>
          </cell>
        </row>
        <row r="181">
          <cell r="C181" t="str">
            <v>128-02</v>
          </cell>
          <cell r="D181">
            <v>1360000</v>
          </cell>
          <cell r="E181" t="str">
            <v>SANTIZO</v>
          </cell>
        </row>
        <row r="182">
          <cell r="C182" t="str">
            <v>804-03</v>
          </cell>
          <cell r="D182">
            <v>2100000</v>
          </cell>
          <cell r="E182" t="str">
            <v>ISHMAEL</v>
          </cell>
        </row>
        <row r="183">
          <cell r="C183" t="str">
            <v>805-02</v>
          </cell>
          <cell r="D183">
            <v>1110000</v>
          </cell>
          <cell r="E183" t="str">
            <v>STARKS</v>
          </cell>
        </row>
        <row r="184">
          <cell r="C184" t="str">
            <v>218-01</v>
          </cell>
          <cell r="D184">
            <v>1800000</v>
          </cell>
          <cell r="E184" t="str">
            <v>CHANDLER</v>
          </cell>
        </row>
        <row r="185">
          <cell r="C185" t="str">
            <v>121-02</v>
          </cell>
          <cell r="D185">
            <v>1090000</v>
          </cell>
          <cell r="E185" t="str">
            <v>SPECTOR</v>
          </cell>
        </row>
        <row r="186">
          <cell r="C186" t="str">
            <v>841-01</v>
          </cell>
          <cell r="D186">
            <v>2150000</v>
          </cell>
          <cell r="E186" t="str">
            <v>SWANSON</v>
          </cell>
        </row>
        <row r="187">
          <cell r="C187" t="str">
            <v>119-02</v>
          </cell>
          <cell r="D187">
            <v>1990000</v>
          </cell>
          <cell r="E187" t="str">
            <v>DAVIS</v>
          </cell>
        </row>
        <row r="188">
          <cell r="C188" t="str">
            <v>223-01</v>
          </cell>
          <cell r="D188">
            <v>1810000</v>
          </cell>
          <cell r="E188" t="str">
            <v>NEWELL</v>
          </cell>
        </row>
        <row r="189">
          <cell r="C189" t="str">
            <v>103-02</v>
          </cell>
          <cell r="D189">
            <v>1260000</v>
          </cell>
          <cell r="E189" t="str">
            <v>ACKERMAN</v>
          </cell>
        </row>
        <row r="190">
          <cell r="C190" t="str">
            <v>840-01</v>
          </cell>
          <cell r="D190">
            <v>2150000</v>
          </cell>
          <cell r="E190" t="str">
            <v>SWANSON</v>
          </cell>
        </row>
        <row r="191">
          <cell r="C191" t="str">
            <v>309-01</v>
          </cell>
          <cell r="D191">
            <v>2140000</v>
          </cell>
          <cell r="E191" t="str">
            <v>ROBINSON</v>
          </cell>
        </row>
        <row r="192">
          <cell r="C192" t="str">
            <v>222-01</v>
          </cell>
          <cell r="D192">
            <v>2140000</v>
          </cell>
          <cell r="E192" t="str">
            <v>ROBINSON</v>
          </cell>
        </row>
        <row r="193">
          <cell r="C193" t="str">
            <v>228-01</v>
          </cell>
          <cell r="D193">
            <v>2090000</v>
          </cell>
          <cell r="E193" t="str">
            <v>HAITHCOX</v>
          </cell>
        </row>
        <row r="194">
          <cell r="C194" t="str">
            <v>843-01</v>
          </cell>
          <cell r="D194">
            <v>2150000</v>
          </cell>
          <cell r="E194" t="str">
            <v>SWANSON</v>
          </cell>
        </row>
        <row r="195">
          <cell r="C195" t="str">
            <v>842-01</v>
          </cell>
          <cell r="D195">
            <v>2150000</v>
          </cell>
          <cell r="E195" t="str">
            <v>SWANSON</v>
          </cell>
        </row>
        <row r="196">
          <cell r="C196" t="str">
            <v>227-01</v>
          </cell>
          <cell r="D196">
            <v>2090000</v>
          </cell>
          <cell r="E196" t="str">
            <v>HAITHCOX</v>
          </cell>
        </row>
        <row r="197">
          <cell r="C197" t="str">
            <v>224-01</v>
          </cell>
          <cell r="D197">
            <v>1810000</v>
          </cell>
          <cell r="E197" t="str">
            <v>NEWELL</v>
          </cell>
        </row>
        <row r="198">
          <cell r="C198" t="str">
            <v>226-01</v>
          </cell>
          <cell r="D198">
            <v>1800000</v>
          </cell>
          <cell r="E198" t="str">
            <v>CHANDLER</v>
          </cell>
        </row>
        <row r="199">
          <cell r="C199" t="str">
            <v>222-01</v>
          </cell>
          <cell r="D199">
            <v>2140000</v>
          </cell>
          <cell r="E199" t="str">
            <v>ROBINSON</v>
          </cell>
        </row>
        <row r="200">
          <cell r="C200" t="str">
            <v>230-01</v>
          </cell>
          <cell r="D200">
            <v>2140000</v>
          </cell>
          <cell r="E200" t="str">
            <v>ROBINSON</v>
          </cell>
        </row>
        <row r="201">
          <cell r="C201" t="str">
            <v>123-03</v>
          </cell>
          <cell r="D201">
            <v>1540000</v>
          </cell>
          <cell r="E201" t="str">
            <v>HELVIE</v>
          </cell>
        </row>
        <row r="202">
          <cell r="C202" t="str">
            <v>847-01</v>
          </cell>
          <cell r="D202">
            <v>1290000</v>
          </cell>
          <cell r="E202" t="str">
            <v>COOLAHAN</v>
          </cell>
        </row>
        <row r="203">
          <cell r="C203" t="str">
            <v>108-03</v>
          </cell>
          <cell r="D203">
            <v>1090000</v>
          </cell>
          <cell r="E203" t="str">
            <v>SPECTOR</v>
          </cell>
        </row>
        <row r="204">
          <cell r="C204" t="str">
            <v>233-01</v>
          </cell>
          <cell r="D204">
            <v>1800000</v>
          </cell>
          <cell r="E204" t="str">
            <v>CHANDLER</v>
          </cell>
        </row>
        <row r="205">
          <cell r="C205" t="str">
            <v>111-03</v>
          </cell>
          <cell r="D205">
            <v>900000</v>
          </cell>
          <cell r="E205" t="str">
            <v>ROCHA</v>
          </cell>
        </row>
        <row r="206">
          <cell r="C206" t="str">
            <v>237-01</v>
          </cell>
          <cell r="D206">
            <v>2140000</v>
          </cell>
          <cell r="E206" t="str">
            <v>ROBINSON</v>
          </cell>
        </row>
        <row r="207">
          <cell r="C207" t="str">
            <v>109-03</v>
          </cell>
          <cell r="D207">
            <v>1540000</v>
          </cell>
          <cell r="E207" t="str">
            <v>HELVIE</v>
          </cell>
        </row>
        <row r="208">
          <cell r="C208" t="str">
            <v>234-01</v>
          </cell>
          <cell r="D208">
            <v>1800000</v>
          </cell>
          <cell r="E208" t="str">
            <v>CHANDLER</v>
          </cell>
        </row>
        <row r="209">
          <cell r="C209" t="str">
            <v>105-03</v>
          </cell>
          <cell r="D209">
            <v>1760000</v>
          </cell>
          <cell r="E209" t="str">
            <v>STRICKLAND</v>
          </cell>
        </row>
        <row r="210">
          <cell r="C210" t="str">
            <v>238-01</v>
          </cell>
          <cell r="D210">
            <v>2140000</v>
          </cell>
          <cell r="E210" t="str">
            <v>ROBINSON</v>
          </cell>
        </row>
        <row r="211">
          <cell r="C211" t="str">
            <v>306-03</v>
          </cell>
          <cell r="D211">
            <v>1760000</v>
          </cell>
          <cell r="E211" t="str">
            <v>STRICKLAND</v>
          </cell>
        </row>
        <row r="212">
          <cell r="C212" t="str">
            <v>243-01</v>
          </cell>
          <cell r="D212">
            <v>2090000</v>
          </cell>
          <cell r="E212" t="str">
            <v>HAITHCOX</v>
          </cell>
        </row>
        <row r="213">
          <cell r="C213" t="str">
            <v>103-03</v>
          </cell>
          <cell r="D213">
            <v>1260000</v>
          </cell>
          <cell r="E213" t="str">
            <v>ACKERMAN</v>
          </cell>
        </row>
        <row r="214">
          <cell r="C214" t="str">
            <v>313-01</v>
          </cell>
          <cell r="D214">
            <v>1800000</v>
          </cell>
          <cell r="E214" t="str">
            <v>CHANDLER</v>
          </cell>
        </row>
        <row r="215">
          <cell r="C215" t="str">
            <v>101-03</v>
          </cell>
          <cell r="D215">
            <v>2010000</v>
          </cell>
          <cell r="E215" t="str">
            <v>MAELZER</v>
          </cell>
        </row>
        <row r="216">
          <cell r="C216" t="str">
            <v>115-02</v>
          </cell>
          <cell r="D216">
            <v>900000</v>
          </cell>
          <cell r="E216" t="str">
            <v>ROCHA</v>
          </cell>
        </row>
        <row r="217">
          <cell r="C217" t="str">
            <v>240-02</v>
          </cell>
          <cell r="D217">
            <v>1290000</v>
          </cell>
          <cell r="E217" t="str">
            <v>COOLAHAN</v>
          </cell>
        </row>
        <row r="218">
          <cell r="C218" t="str">
            <v>112-02</v>
          </cell>
          <cell r="D218">
            <v>2100000</v>
          </cell>
          <cell r="E218" t="str">
            <v>ISHMAEL</v>
          </cell>
        </row>
        <row r="219">
          <cell r="C219" t="str">
            <v>847-02</v>
          </cell>
          <cell r="D219">
            <v>1480000</v>
          </cell>
          <cell r="E219" t="str">
            <v>STURGEON</v>
          </cell>
        </row>
        <row r="220">
          <cell r="C220" t="str">
            <v>806-02</v>
          </cell>
          <cell r="D220">
            <v>1110000</v>
          </cell>
          <cell r="E220" t="str">
            <v>STARKS</v>
          </cell>
        </row>
        <row r="221">
          <cell r="C221" t="str">
            <v>844-02</v>
          </cell>
          <cell r="D221">
            <v>1480000</v>
          </cell>
          <cell r="E221" t="str">
            <v>STURGEON</v>
          </cell>
        </row>
        <row r="222">
          <cell r="C222" t="str">
            <v>142-02</v>
          </cell>
          <cell r="D222">
            <v>1360000</v>
          </cell>
          <cell r="E222" t="str">
            <v>SANTIZO</v>
          </cell>
        </row>
        <row r="223">
          <cell r="C223" t="str">
            <v>906-02</v>
          </cell>
          <cell r="D223">
            <v>1480000</v>
          </cell>
          <cell r="E223" t="str">
            <v>STURGEON</v>
          </cell>
        </row>
        <row r="224">
          <cell r="C224" t="str">
            <v>144-02</v>
          </cell>
          <cell r="D224">
            <v>900000</v>
          </cell>
          <cell r="E224" t="str">
            <v>ROCHA</v>
          </cell>
        </row>
        <row r="225">
          <cell r="C225" t="str">
            <v>221-02</v>
          </cell>
          <cell r="D225">
            <v>1140000</v>
          </cell>
          <cell r="E225" t="str">
            <v>YOUNG</v>
          </cell>
        </row>
        <row r="226">
          <cell r="C226" t="str">
            <v>815-02</v>
          </cell>
          <cell r="D226">
            <v>1300000</v>
          </cell>
          <cell r="E226" t="str">
            <v>LEVIN</v>
          </cell>
        </row>
        <row r="227">
          <cell r="C227" t="str">
            <v>219-02</v>
          </cell>
          <cell r="D227">
            <v>1800000</v>
          </cell>
          <cell r="E227" t="str">
            <v>CHANDLER</v>
          </cell>
        </row>
        <row r="228">
          <cell r="C228" t="str">
            <v>155-02</v>
          </cell>
          <cell r="D228">
            <v>1110000</v>
          </cell>
          <cell r="E228" t="str">
            <v>STARKS</v>
          </cell>
        </row>
        <row r="229">
          <cell r="C229" t="str">
            <v>217-02</v>
          </cell>
          <cell r="D229">
            <v>2090000</v>
          </cell>
          <cell r="E229" t="str">
            <v>HAITHCOX</v>
          </cell>
        </row>
        <row r="230">
          <cell r="C230" t="str">
            <v>156-02</v>
          </cell>
          <cell r="D230">
            <v>1110000</v>
          </cell>
          <cell r="E230" t="str">
            <v>STARKS</v>
          </cell>
        </row>
        <row r="231">
          <cell r="C231" t="str">
            <v>213-02</v>
          </cell>
          <cell r="D231">
            <v>1290000</v>
          </cell>
          <cell r="E231" t="str">
            <v>COOLAHAN</v>
          </cell>
        </row>
        <row r="232">
          <cell r="C232" t="str">
            <v>164-02</v>
          </cell>
          <cell r="D232">
            <v>1740000</v>
          </cell>
          <cell r="E232" t="str">
            <v>STORY</v>
          </cell>
        </row>
        <row r="233">
          <cell r="C233" t="str">
            <v>207-02</v>
          </cell>
          <cell r="D233">
            <v>940000</v>
          </cell>
          <cell r="E233" t="str">
            <v>BONDS</v>
          </cell>
        </row>
        <row r="234">
          <cell r="C234" t="str">
            <v>176-02</v>
          </cell>
          <cell r="D234">
            <v>880000</v>
          </cell>
          <cell r="E234" t="str">
            <v>STEWART</v>
          </cell>
        </row>
        <row r="235">
          <cell r="C235" t="str">
            <v>200-02</v>
          </cell>
          <cell r="D235">
            <v>2150000</v>
          </cell>
          <cell r="E235" t="str">
            <v>SWANSON</v>
          </cell>
        </row>
        <row r="236">
          <cell r="C236" t="str">
            <v>190-02</v>
          </cell>
          <cell r="D236">
            <v>880000</v>
          </cell>
          <cell r="E236" t="str">
            <v>STEWART</v>
          </cell>
        </row>
        <row r="237">
          <cell r="C237" t="str">
            <v>830-02</v>
          </cell>
          <cell r="D237">
            <v>1770000</v>
          </cell>
          <cell r="E237" t="str">
            <v>BRUDER</v>
          </cell>
        </row>
        <row r="238">
          <cell r="C238" t="str">
            <v>197-02</v>
          </cell>
          <cell r="D238">
            <v>2110000</v>
          </cell>
          <cell r="E238" t="str">
            <v>OUN</v>
          </cell>
        </row>
        <row r="239">
          <cell r="C239" t="str">
            <v>196-02</v>
          </cell>
          <cell r="D239">
            <v>1140000</v>
          </cell>
          <cell r="E239" t="str">
            <v>YOUNG</v>
          </cell>
        </row>
        <row r="240">
          <cell r="C240" t="str">
            <v>209-02</v>
          </cell>
          <cell r="D240">
            <v>1140000</v>
          </cell>
          <cell r="E240" t="str">
            <v>YOUNG</v>
          </cell>
        </row>
        <row r="241">
          <cell r="C241" t="str">
            <v>174-02</v>
          </cell>
          <cell r="D241">
            <v>1280000</v>
          </cell>
          <cell r="E241" t="str">
            <v>BARTLETT</v>
          </cell>
        </row>
        <row r="242">
          <cell r="C242" t="str">
            <v>116-02</v>
          </cell>
          <cell r="D242">
            <v>900000</v>
          </cell>
          <cell r="E242" t="str">
            <v>ROCHA</v>
          </cell>
        </row>
        <row r="243">
          <cell r="C243" t="str">
            <v>821-02</v>
          </cell>
          <cell r="D243">
            <v>1770000</v>
          </cell>
          <cell r="E243" t="str">
            <v>BRUDER</v>
          </cell>
        </row>
        <row r="244">
          <cell r="C244" t="str">
            <v>120-02</v>
          </cell>
          <cell r="D244">
            <v>1990000</v>
          </cell>
          <cell r="E244" t="str">
            <v>DAVIS</v>
          </cell>
        </row>
        <row r="245">
          <cell r="C245" t="str">
            <v>175-02</v>
          </cell>
          <cell r="D245">
            <v>880000</v>
          </cell>
          <cell r="E245" t="str">
            <v>STEWART</v>
          </cell>
        </row>
        <row r="246">
          <cell r="C246" t="str">
            <v>809-02</v>
          </cell>
          <cell r="D246">
            <v>1110000</v>
          </cell>
          <cell r="E246" t="str">
            <v>STARKS</v>
          </cell>
        </row>
        <row r="247">
          <cell r="C247" t="str">
            <v>167-02</v>
          </cell>
          <cell r="D247">
            <v>1140000</v>
          </cell>
          <cell r="E247" t="str">
            <v>YOUNG</v>
          </cell>
        </row>
        <row r="248">
          <cell r="C248" t="str">
            <v>138-02</v>
          </cell>
          <cell r="D248">
            <v>1750000</v>
          </cell>
          <cell r="E248" t="str">
            <v>REBOLETTI</v>
          </cell>
        </row>
        <row r="249">
          <cell r="C249" t="str">
            <v>817-02</v>
          </cell>
          <cell r="D249">
            <v>1300000</v>
          </cell>
          <cell r="E249" t="str">
            <v>LEVIN</v>
          </cell>
        </row>
        <row r="250">
          <cell r="C250" t="str">
            <v>148-02</v>
          </cell>
          <cell r="D250">
            <v>1190000</v>
          </cell>
          <cell r="E250" t="str">
            <v>BRANNON</v>
          </cell>
        </row>
        <row r="251">
          <cell r="C251" t="str">
            <v>147-02</v>
          </cell>
          <cell r="D251">
            <v>1190000</v>
          </cell>
          <cell r="E251" t="str">
            <v>BRANNON</v>
          </cell>
        </row>
        <row r="252">
          <cell r="C252" t="str">
            <v>159-02</v>
          </cell>
          <cell r="D252">
            <v>1280000</v>
          </cell>
          <cell r="E252" t="str">
            <v>BARTLETT</v>
          </cell>
        </row>
        <row r="253">
          <cell r="C253" t="str">
            <v>141-02</v>
          </cell>
          <cell r="D253">
            <v>1360000</v>
          </cell>
          <cell r="E253" t="str">
            <v>SANTIZO</v>
          </cell>
        </row>
        <row r="254">
          <cell r="C254" t="str">
            <v>166-02</v>
          </cell>
          <cell r="D254">
            <v>1810000</v>
          </cell>
          <cell r="E254" t="str">
            <v>NEWELL</v>
          </cell>
        </row>
        <row r="255">
          <cell r="C255" t="str">
            <v>135-02</v>
          </cell>
          <cell r="D255">
            <v>1090000</v>
          </cell>
          <cell r="E255" t="str">
            <v>SPECTOR</v>
          </cell>
        </row>
        <row r="256">
          <cell r="C256" t="str">
            <v>177-02</v>
          </cell>
          <cell r="D256">
            <v>1740000</v>
          </cell>
          <cell r="E256" t="str">
            <v>STORY</v>
          </cell>
        </row>
        <row r="257">
          <cell r="C257" t="str">
            <v>114-02</v>
          </cell>
          <cell r="D257">
            <v>1360000</v>
          </cell>
          <cell r="E257" t="str">
            <v>SANTIZO</v>
          </cell>
        </row>
        <row r="258">
          <cell r="C258" t="str">
            <v>822-02</v>
          </cell>
          <cell r="D258">
            <v>1770000</v>
          </cell>
          <cell r="E258" t="str">
            <v>BRUDER</v>
          </cell>
        </row>
        <row r="259">
          <cell r="C259" t="str">
            <v>110-02</v>
          </cell>
          <cell r="D259">
            <v>1750000</v>
          </cell>
          <cell r="E259" t="str">
            <v>REBOLETTI</v>
          </cell>
        </row>
        <row r="260">
          <cell r="C260" t="str">
            <v>825-02</v>
          </cell>
          <cell r="D260">
            <v>1770000</v>
          </cell>
          <cell r="E260" t="str">
            <v>BRUDER</v>
          </cell>
        </row>
        <row r="261">
          <cell r="C261" t="str">
            <v>113-02</v>
          </cell>
          <cell r="D261">
            <v>1360000</v>
          </cell>
          <cell r="E261" t="str">
            <v>SANTIZO</v>
          </cell>
        </row>
        <row r="262">
          <cell r="C262" t="str">
            <v>188-02</v>
          </cell>
          <cell r="D262">
            <v>1280000</v>
          </cell>
          <cell r="E262" t="str">
            <v>BARTLETT</v>
          </cell>
        </row>
        <row r="263">
          <cell r="C263" t="str">
            <v>107-02</v>
          </cell>
          <cell r="D263">
            <v>1090000</v>
          </cell>
          <cell r="E263" t="str">
            <v>SPECTOR</v>
          </cell>
        </row>
        <row r="264">
          <cell r="C264" t="str">
            <v>208-02</v>
          </cell>
          <cell r="D264">
            <v>940000</v>
          </cell>
          <cell r="E264" t="str">
            <v>BONDS</v>
          </cell>
        </row>
        <row r="265">
          <cell r="C265" t="str">
            <v>904-02</v>
          </cell>
          <cell r="D265">
            <v>1480000</v>
          </cell>
          <cell r="E265" t="str">
            <v>STURGEON</v>
          </cell>
        </row>
        <row r="266">
          <cell r="C266" t="str">
            <v>210-02</v>
          </cell>
          <cell r="D266">
            <v>2140000</v>
          </cell>
          <cell r="E266" t="str">
            <v>ROBINSON</v>
          </cell>
        </row>
        <row r="267">
          <cell r="C267" t="str">
            <v>182-02</v>
          </cell>
          <cell r="D267">
            <v>1140000</v>
          </cell>
          <cell r="E267" t="str">
            <v>YOUNG</v>
          </cell>
        </row>
        <row r="268">
          <cell r="C268" t="str">
            <v>836-02</v>
          </cell>
          <cell r="D268">
            <v>1480000</v>
          </cell>
          <cell r="E268" t="str">
            <v>STURGEON</v>
          </cell>
        </row>
        <row r="269">
          <cell r="C269" t="str">
            <v>183-02</v>
          </cell>
          <cell r="D269">
            <v>2110000</v>
          </cell>
          <cell r="E269" t="str">
            <v>OUN</v>
          </cell>
        </row>
        <row r="270">
          <cell r="C270" t="str">
            <v>906-02</v>
          </cell>
          <cell r="D270">
            <v>1480000</v>
          </cell>
          <cell r="E270" t="str">
            <v>STURGEON</v>
          </cell>
        </row>
        <row r="271">
          <cell r="C271" t="str">
            <v>172-02</v>
          </cell>
          <cell r="D271">
            <v>2150000</v>
          </cell>
          <cell r="E271" t="str">
            <v>SWANSON</v>
          </cell>
        </row>
        <row r="272">
          <cell r="C272" t="str">
            <v>307-02</v>
          </cell>
          <cell r="D272">
            <v>2150000</v>
          </cell>
          <cell r="E272" t="str">
            <v>SWANSON</v>
          </cell>
        </row>
        <row r="273">
          <cell r="C273" t="str">
            <v>170-02</v>
          </cell>
          <cell r="D273">
            <v>1520000</v>
          </cell>
          <cell r="E273" t="str">
            <v>MAYBERRY</v>
          </cell>
        </row>
        <row r="274">
          <cell r="C274" t="str">
            <v>845-02</v>
          </cell>
          <cell r="D274">
            <v>1480000</v>
          </cell>
          <cell r="E274" t="str">
            <v>STURGEON</v>
          </cell>
        </row>
        <row r="275">
          <cell r="C275" t="str">
            <v>140-02</v>
          </cell>
          <cell r="D275">
            <v>2100000</v>
          </cell>
          <cell r="E275" t="str">
            <v>ISHMAEL</v>
          </cell>
        </row>
        <row r="276">
          <cell r="C276" t="str">
            <v>233-02</v>
          </cell>
          <cell r="D276">
            <v>1230000</v>
          </cell>
          <cell r="E276" t="str">
            <v>YANAI</v>
          </cell>
        </row>
        <row r="277">
          <cell r="C277" t="str">
            <v>301-02</v>
          </cell>
          <cell r="D277">
            <v>540000</v>
          </cell>
          <cell r="E277" t="str">
            <v>MADLOM</v>
          </cell>
        </row>
        <row r="278">
          <cell r="C278" t="str">
            <v>234-02</v>
          </cell>
          <cell r="D278">
            <v>1230000</v>
          </cell>
          <cell r="E278" t="str">
            <v>YANAI</v>
          </cell>
        </row>
        <row r="279">
          <cell r="C279" t="str">
            <v>901-02</v>
          </cell>
          <cell r="D279">
            <v>1110000</v>
          </cell>
          <cell r="E279" t="str">
            <v>STARKS</v>
          </cell>
        </row>
        <row r="280">
          <cell r="C280" t="str">
            <v>239-02</v>
          </cell>
          <cell r="D280">
            <v>1290000</v>
          </cell>
          <cell r="E280" t="str">
            <v>COOLAHAN</v>
          </cell>
        </row>
        <row r="281">
          <cell r="C281" t="str">
            <v>901-02</v>
          </cell>
          <cell r="D281">
            <v>1110000</v>
          </cell>
          <cell r="E281" t="str">
            <v>STARKS</v>
          </cell>
        </row>
        <row r="282">
          <cell r="C282" t="str">
            <v>238-02</v>
          </cell>
          <cell r="D282">
            <v>2140000</v>
          </cell>
          <cell r="E282" t="str">
            <v>ROBINSON</v>
          </cell>
        </row>
        <row r="283">
          <cell r="C283" t="str">
            <v>242-01</v>
          </cell>
          <cell r="D283">
            <v>1800000</v>
          </cell>
          <cell r="E283" t="str">
            <v>CHANDLER</v>
          </cell>
        </row>
        <row r="284">
          <cell r="C284" t="str">
            <v>238-02</v>
          </cell>
          <cell r="D284">
            <v>2140000</v>
          </cell>
          <cell r="E284" t="str">
            <v>ROBINSON</v>
          </cell>
        </row>
        <row r="285">
          <cell r="C285" t="str">
            <v>241-01</v>
          </cell>
          <cell r="D285">
            <v>1800000</v>
          </cell>
          <cell r="E285" t="str">
            <v>CHANDLER</v>
          </cell>
        </row>
        <row r="286">
          <cell r="C286" t="str">
            <v>243-02</v>
          </cell>
          <cell r="D286">
            <v>1800000</v>
          </cell>
          <cell r="E286" t="str">
            <v>CHANDLER</v>
          </cell>
        </row>
        <row r="287">
          <cell r="C287" t="str">
            <v>239-01</v>
          </cell>
          <cell r="D287">
            <v>1810000</v>
          </cell>
          <cell r="E287" t="str">
            <v>NEWELL</v>
          </cell>
        </row>
        <row r="288">
          <cell r="C288" t="str">
            <v>310-03</v>
          </cell>
          <cell r="D288">
            <v>1540000</v>
          </cell>
          <cell r="E288" t="str">
            <v>HELVIE</v>
          </cell>
        </row>
        <row r="289">
          <cell r="C289" t="str">
            <v>237-01</v>
          </cell>
          <cell r="D289">
            <v>2140000</v>
          </cell>
          <cell r="E289" t="str">
            <v>ROBINSON</v>
          </cell>
        </row>
        <row r="290">
          <cell r="C290" t="str">
            <v>800-03</v>
          </cell>
          <cell r="D290">
            <v>1110000</v>
          </cell>
          <cell r="E290" t="str">
            <v>STARKS</v>
          </cell>
        </row>
        <row r="291">
          <cell r="C291" t="str">
            <v>235-01</v>
          </cell>
          <cell r="D291">
            <v>2090000</v>
          </cell>
          <cell r="E291" t="str">
            <v>HAITHCOX</v>
          </cell>
        </row>
        <row r="292">
          <cell r="C292" t="str">
            <v>114-03</v>
          </cell>
          <cell r="D292">
            <v>2010000</v>
          </cell>
          <cell r="E292" t="str">
            <v>MAELZER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101-03</v>
          </cell>
          <cell r="B13">
            <v>4038</v>
          </cell>
          <cell r="C13" t="str">
            <v>DE.1.0.7.0</v>
          </cell>
          <cell r="D13" t="str">
            <v>204:703</v>
          </cell>
          <cell r="E13">
            <v>42585.129236111112</v>
          </cell>
          <cell r="F13">
            <v>42585.130162037036</v>
          </cell>
          <cell r="G13">
            <v>1</v>
          </cell>
          <cell r="H13" t="str">
            <v>204:233324</v>
          </cell>
          <cell r="I13">
            <v>42585.161377314813</v>
          </cell>
          <cell r="J13">
            <v>0</v>
          </cell>
          <cell r="K13" t="str">
            <v>4037/4038</v>
          </cell>
          <cell r="L13" t="str">
            <v>MAELZER</v>
          </cell>
          <cell r="M13">
            <v>3.1215277776937E-2</v>
          </cell>
          <cell r="N13">
            <v>44.949999998789281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https://search-rtdc-monitor-bjffxe2xuh6vdkpspy63sjmuny.us-east-1.es.amazonaws.com/_plugin/kibana/#/discover/Steve-Slow-Train-Analysis-(2080s-and-2083s)?_g=(refreshInterval:(display:Off,section:0,value:0),time:(from:'2016-08-03 02:06:06-0600',mode:absolute,to:'2016-08-03 04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7.0300000000000001E-2</v>
          </cell>
          <cell r="Z13">
            <v>23.3324</v>
          </cell>
          <cell r="AA13">
            <v>23.2621</v>
          </cell>
          <cell r="AB13" t="e">
            <v>#N/A</v>
          </cell>
          <cell r="AC13" t="e">
            <v>#N/A</v>
          </cell>
          <cell r="AD13" t="str">
            <v>0101-03</v>
          </cell>
          <cell r="AE1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4">
          <cell r="A14" t="str">
            <v>102-03</v>
          </cell>
          <cell r="B14">
            <v>4017</v>
          </cell>
          <cell r="C14" t="str">
            <v>DE.1.0.7.0</v>
          </cell>
          <cell r="D14" t="str">
            <v>204:232687</v>
          </cell>
          <cell r="E14">
            <v>42585.168009259258</v>
          </cell>
          <cell r="F14">
            <v>42585.169039351851</v>
          </cell>
          <cell r="G14">
            <v>1</v>
          </cell>
          <cell r="H14" t="str">
            <v>204:88</v>
          </cell>
          <cell r="I14">
            <v>42585.201562499999</v>
          </cell>
          <cell r="J14">
            <v>0</v>
          </cell>
          <cell r="K14" t="str">
            <v>4017/4018</v>
          </cell>
          <cell r="L14" t="str">
            <v>MAELZER</v>
          </cell>
          <cell r="M14">
            <v>3.25231481474475E-2</v>
          </cell>
          <cell r="N14">
            <v>46.833333332324401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https://search-rtdc-monitor-bjffxe2xuh6vdkpspy63sjmuny.us-east-1.es.amazonaws.com/_plugin/kibana/#/discover/Steve-Slow-Train-Analysis-(2080s-and-2083s)?_g=(refreshInterval:(display:Off,section:0,value:0),time:(from:'2016-08-03 03:01:56-0600',mode:absolute,to:'2016-08-03 05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23.268699999999999</v>
          </cell>
          <cell r="Z14">
            <v>8.8000000000000005E-3</v>
          </cell>
          <cell r="AA14">
            <v>23.259899999999998</v>
          </cell>
          <cell r="AB14" t="e">
            <v>#N/A</v>
          </cell>
          <cell r="AC14" t="e">
            <v>#N/A</v>
          </cell>
          <cell r="AD14" t="str">
            <v>0102-03</v>
          </cell>
          <cell r="AE1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5">
          <cell r="A15" t="str">
            <v>103-03</v>
          </cell>
          <cell r="B15">
            <v>4014</v>
          </cell>
          <cell r="C15" t="str">
            <v>DE.1.0.7.0</v>
          </cell>
          <cell r="D15" t="str">
            <v>204:606</v>
          </cell>
          <cell r="E15">
            <v>42585.152129629627</v>
          </cell>
          <cell r="F15">
            <v>42585.152962962966</v>
          </cell>
          <cell r="G15">
            <v>1</v>
          </cell>
          <cell r="H15" t="str">
            <v>204:233387</v>
          </cell>
          <cell r="I15">
            <v>42585.182129629633</v>
          </cell>
          <cell r="J15">
            <v>0</v>
          </cell>
          <cell r="K15" t="str">
            <v>4013/4014</v>
          </cell>
          <cell r="L15" t="str">
            <v>ACKERMAN</v>
          </cell>
          <cell r="M15">
            <v>2.9166666667151731E-2</v>
          </cell>
          <cell r="N15">
            <v>42.000000000698492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https://search-rtdc-monitor-bjffxe2xuh6vdkpspy63sjmuny.us-east-1.es.amazonaws.com/_plugin/kibana/#/discover/Steve-Slow-Train-Analysis-(2080s-and-2083s)?_g=(refreshInterval:(display:Off,section:0,value:0),time:(from:'2016-08-03 02:39:04-0600',mode:absolute,to:'2016-08-03 05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" t="str">
            <v>N</v>
          </cell>
          <cell r="X15">
            <v>1</v>
          </cell>
          <cell r="Y15">
            <v>6.0600000000000001E-2</v>
          </cell>
          <cell r="Z15">
            <v>23.338699999999999</v>
          </cell>
          <cell r="AA15">
            <v>23.278099999999998</v>
          </cell>
          <cell r="AB15" t="e">
            <v>#N/A</v>
          </cell>
          <cell r="AC15" t="e">
            <v>#N/A</v>
          </cell>
          <cell r="AD15" t="str">
            <v>0103-03</v>
          </cell>
          <cell r="AE1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6">
          <cell r="A16" t="str">
            <v>104-03</v>
          </cell>
          <cell r="B16">
            <v>4012</v>
          </cell>
          <cell r="C16" t="str">
            <v>DE.1.0.7.0</v>
          </cell>
          <cell r="D16" t="str">
            <v>204:232733</v>
          </cell>
          <cell r="E16">
            <v>42585.190520833334</v>
          </cell>
          <cell r="F16">
            <v>42585.19153935185</v>
          </cell>
          <cell r="G16">
            <v>1</v>
          </cell>
          <cell r="H16" t="str">
            <v>204:123</v>
          </cell>
          <cell r="I16">
            <v>42585.224247685182</v>
          </cell>
          <cell r="J16">
            <v>0</v>
          </cell>
          <cell r="K16" t="str">
            <v>4011/4012</v>
          </cell>
          <cell r="L16" t="str">
            <v>ACKERMAN</v>
          </cell>
          <cell r="M16">
            <v>3.2708333332266193E-2</v>
          </cell>
          <cell r="N16">
            <v>47.099999998463318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https://search-rtdc-monitor-bjffxe2xuh6vdkpspy63sjmuny.us-east-1.es.amazonaws.com/_plugin/kibana/#/discover/Steve-Slow-Train-Analysis-(2080s-and-2083s)?_g=(refreshInterval:(display:Off,section:0,value:0),time:(from:'2016-08-03 03:34:21-0600',mode:absolute,to:'2016-08-03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1.23E-2</v>
          </cell>
          <cell r="AA16">
            <v>23.260999999999999</v>
          </cell>
          <cell r="AB16" t="e">
            <v>#N/A</v>
          </cell>
          <cell r="AC16" t="e">
            <v>#N/A</v>
          </cell>
          <cell r="AD16" t="str">
            <v>0104-03</v>
          </cell>
          <cell r="AE1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7">
          <cell r="A17" t="str">
            <v>105-03</v>
          </cell>
          <cell r="B17">
            <v>4044</v>
          </cell>
          <cell r="C17" t="str">
            <v>DE.1.0.7.0</v>
          </cell>
          <cell r="D17" t="str">
            <v>204:774</v>
          </cell>
          <cell r="E17">
            <v>42585.171446759261</v>
          </cell>
          <cell r="F17">
            <v>42585.172650462962</v>
          </cell>
          <cell r="G17">
            <v>1</v>
          </cell>
          <cell r="H17" t="str">
            <v>204:233282</v>
          </cell>
          <cell r="I17">
            <v>42585.205474537041</v>
          </cell>
          <cell r="J17">
            <v>0</v>
          </cell>
          <cell r="K17" t="str">
            <v>4043/4044</v>
          </cell>
          <cell r="L17" t="str">
            <v>STRICKLAND</v>
          </cell>
          <cell r="M17">
            <v>3.2824074078234844E-2</v>
          </cell>
          <cell r="N17">
            <v>47.266666672658175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https://search-rtdc-monitor-bjffxe2xuh6vdkpspy63sjmuny.us-east-1.es.amazonaws.com/_plugin/kibana/#/discover/Steve-Slow-Train-Analysis-(2080s-and-2083s)?_g=(refreshInterval:(display:Off,section:0,value:0),time:(from:'2016-08-03 03:06:53-0600',mode:absolute,to:'2016-08-03 05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7.7399999999999997E-2</v>
          </cell>
          <cell r="Z17">
            <v>23.328199999999999</v>
          </cell>
          <cell r="AA17">
            <v>23.250799999999998</v>
          </cell>
          <cell r="AB17" t="e">
            <v>#N/A</v>
          </cell>
          <cell r="AC17" t="e">
            <v>#N/A</v>
          </cell>
          <cell r="AD17" t="str">
            <v>0105-03</v>
          </cell>
          <cell r="AE1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8">
          <cell r="A18" t="str">
            <v>106-03</v>
          </cell>
          <cell r="B18">
            <v>4039</v>
          </cell>
          <cell r="C18" t="str">
            <v>DE.1.0.7.0</v>
          </cell>
          <cell r="D18" t="str">
            <v>204:232660</v>
          </cell>
          <cell r="E18">
            <v>42585.209687499999</v>
          </cell>
          <cell r="F18">
            <v>42585.211319444446</v>
          </cell>
          <cell r="G18">
            <v>2</v>
          </cell>
          <cell r="H18" t="str">
            <v>204:227</v>
          </cell>
          <cell r="I18">
            <v>42585.245196759257</v>
          </cell>
          <cell r="J18">
            <v>1</v>
          </cell>
          <cell r="K18" t="str">
            <v>4039/4040</v>
          </cell>
          <cell r="L18" t="str">
            <v>STRICKLAND</v>
          </cell>
          <cell r="M18">
            <v>3.3877314810524695E-2</v>
          </cell>
          <cell r="N18">
            <v>48.78333332715556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https://search-rtdc-monitor-bjffxe2xuh6vdkpspy63sjmuny.us-east-1.es.amazonaws.com/_plugin/kibana/#/discover/Steve-Slow-Train-Analysis-(2080s-and-2083s)?_g=(refreshInterval:(display:Off,section:0,value:0),time:(from:'2016-08-03 04:01:57-0600',mode:absolute,to:'2016-08-03 06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8" t="str">
            <v>N</v>
          </cell>
          <cell r="X18">
            <v>1</v>
          </cell>
          <cell r="Y18">
            <v>23.265999999999998</v>
          </cell>
          <cell r="Z18">
            <v>2.2700000000000001E-2</v>
          </cell>
          <cell r="AA18">
            <v>23.243299999999998</v>
          </cell>
          <cell r="AB18" t="e">
            <v>#N/A</v>
          </cell>
          <cell r="AC18" t="e">
            <v>#N/A</v>
          </cell>
          <cell r="AD18" t="str">
            <v>0106-03</v>
          </cell>
          <cell r="AE18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9">
          <cell r="A19" t="str">
            <v>107-03</v>
          </cell>
          <cell r="B19">
            <v>4042</v>
          </cell>
          <cell r="C19" t="str">
            <v>DE.1.0.7.0</v>
          </cell>
          <cell r="D19" t="str">
            <v>204:449</v>
          </cell>
          <cell r="E19">
            <v>42585.180312500001</v>
          </cell>
          <cell r="F19">
            <v>42585.181226851855</v>
          </cell>
          <cell r="G19">
            <v>1</v>
          </cell>
          <cell r="H19" t="str">
            <v>204:233312</v>
          </cell>
          <cell r="I19">
            <v>42585.213020833333</v>
          </cell>
          <cell r="J19">
            <v>0</v>
          </cell>
          <cell r="K19" t="str">
            <v>4041/4042</v>
          </cell>
          <cell r="L19" t="str">
            <v>SPECTOR</v>
          </cell>
          <cell r="M19">
            <v>3.1793981477676425E-2</v>
          </cell>
          <cell r="N19">
            <v>45.783333327854052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https://search-rtdc-monitor-bjffxe2xuh6vdkpspy63sjmuny.us-east-1.es.amazonaws.com/_plugin/kibana/#/discover/Steve-Slow-Train-Analysis-(2080s-and-2083s)?_g=(refreshInterval:(display:Off,section:0,value:0),time:(from:'2016-08-03 03:19:39-0600',mode:absolute,to:'2016-08-03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" t="str">
            <v>N</v>
          </cell>
          <cell r="X19">
            <v>1</v>
          </cell>
          <cell r="Y19">
            <v>4.4900000000000002E-2</v>
          </cell>
          <cell r="Z19">
            <v>23.331199999999999</v>
          </cell>
          <cell r="AA19">
            <v>23.286300000000001</v>
          </cell>
          <cell r="AB19" t="e">
            <v>#N/A</v>
          </cell>
          <cell r="AC19" t="e">
            <v>#N/A</v>
          </cell>
          <cell r="AD19" t="str">
            <v>0107-03</v>
          </cell>
          <cell r="AE1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0">
          <cell r="A20" t="str">
            <v>108-03</v>
          </cell>
          <cell r="B20">
            <v>4041</v>
          </cell>
          <cell r="C20" t="str">
            <v>DE.1.0.7.0</v>
          </cell>
          <cell r="D20" t="str">
            <v>204:233002</v>
          </cell>
          <cell r="E20">
            <v>42585.226458333331</v>
          </cell>
          <cell r="F20">
            <v>42585.227581018517</v>
          </cell>
          <cell r="G20">
            <v>1</v>
          </cell>
          <cell r="H20" t="str">
            <v>204:149</v>
          </cell>
          <cell r="I20">
            <v>42585.253298611111</v>
          </cell>
          <cell r="J20">
            <v>0</v>
          </cell>
          <cell r="K20" t="str">
            <v>4041/4042</v>
          </cell>
          <cell r="L20" t="str">
            <v>SPECTOR</v>
          </cell>
          <cell r="M20">
            <v>2.5717592594446614E-2</v>
          </cell>
          <cell r="N20">
            <v>37.033333336003125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https://search-rtdc-monitor-bjffxe2xuh6vdkpspy63sjmuny.us-east-1.es.amazonaws.com/_plugin/kibana/#/discover/Steve-Slow-Train-Analysis-(2080s-and-2083s)?_g=(refreshInterval:(display:Off,section:0,value:0),time:(from:'2016-08-03 04:26:06-0600',mode:absolute,to:'2016-08-03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" t="str">
            <v>N</v>
          </cell>
          <cell r="X20">
            <v>1</v>
          </cell>
          <cell r="Y20">
            <v>23.3002</v>
          </cell>
          <cell r="Z20">
            <v>1.49E-2</v>
          </cell>
          <cell r="AA20">
            <v>23.285299999999999</v>
          </cell>
          <cell r="AB20" t="e">
            <v>#N/A</v>
          </cell>
          <cell r="AC20" t="e">
            <v>#N/A</v>
          </cell>
          <cell r="AD20" t="str">
            <v>0108-03</v>
          </cell>
          <cell r="AE2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21">
          <cell r="A21" t="str">
            <v>109-03</v>
          </cell>
          <cell r="B21">
            <v>4025</v>
          </cell>
          <cell r="C21" t="str">
            <v>DE.1.0.7.0</v>
          </cell>
          <cell r="D21" t="str">
            <v>204:458</v>
          </cell>
          <cell r="E21">
            <v>42585.192604166667</v>
          </cell>
          <cell r="F21">
            <v>42585.194085648145</v>
          </cell>
          <cell r="G21">
            <v>2</v>
          </cell>
          <cell r="H21" t="str">
            <v>204:233309</v>
          </cell>
          <cell r="I21">
            <v>42585.223912037036</v>
          </cell>
          <cell r="J21">
            <v>1</v>
          </cell>
          <cell r="K21" t="str">
            <v>4025/4026</v>
          </cell>
          <cell r="L21" t="str">
            <v>HELVIE</v>
          </cell>
          <cell r="M21">
            <v>2.9826388890796807E-2</v>
          </cell>
          <cell r="N21">
            <v>42.950000002747402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https://search-rtdc-monitor-bjffxe2xuh6vdkpspy63sjmuny.us-east-1.es.amazonaws.com/_plugin/kibana/#/discover/Steve-Slow-Train-Analysis-(2080s-and-2083s)?_g=(refreshInterval:(display:Off,section:0,value:0),time:(from:'2016-08-03 03:37:21-0600',mode:absolute,to:'2016-08-03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4.58E-2</v>
          </cell>
          <cell r="Z21">
            <v>23.3309</v>
          </cell>
          <cell r="AA21">
            <v>23.2851</v>
          </cell>
          <cell r="AB21" t="e">
            <v>#N/A</v>
          </cell>
          <cell r="AC21" t="e">
            <v>#N/A</v>
          </cell>
          <cell r="AD21" t="str">
            <v>0109-03</v>
          </cell>
          <cell r="AE21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22">
          <cell r="A22" t="str">
            <v>110-03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42585.231631944444</v>
          </cell>
          <cell r="F22">
            <v>42585.232465277775</v>
          </cell>
          <cell r="G22">
            <v>1</v>
          </cell>
          <cell r="H22" t="str">
            <v>204:150</v>
          </cell>
          <cell r="I22">
            <v>42585.263726851852</v>
          </cell>
          <cell r="J22">
            <v>0</v>
          </cell>
          <cell r="K22" t="str">
            <v>4025/4026</v>
          </cell>
          <cell r="L22" t="str">
            <v>HELVIE</v>
          </cell>
          <cell r="M22">
            <v>3.1261574076779652E-2</v>
          </cell>
          <cell r="N22">
            <v>45.016666670562699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https://search-rtdc-monitor-bjffxe2xuh6vdkpspy63sjmuny.us-east-1.es.amazonaws.com/_plugin/kibana/#/discover/Steve-Slow-Train-Analysis-(2080s-and-2083s)?_g=(refreshInterval:(display:Off,section:0,value:0),time:(from:'2016-08-03 04:33:33-0600',mode:absolute,to:'2016-08-03 07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1.4999999999999999E-2</v>
          </cell>
          <cell r="AA22">
            <v>23.282799999999998</v>
          </cell>
          <cell r="AB22" t="e">
            <v>#N/A</v>
          </cell>
          <cell r="AC22" t="e">
            <v>#N/A</v>
          </cell>
          <cell r="AD22" t="str">
            <v>0110-03</v>
          </cell>
          <cell r="AE22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3">
          <cell r="A23" t="str">
            <v>111-03</v>
          </cell>
          <cell r="B23">
            <v>4038</v>
          </cell>
          <cell r="C23" t="str">
            <v>DE.1.0.7.0</v>
          </cell>
          <cell r="D23" t="str">
            <v>204:697</v>
          </cell>
          <cell r="E23">
            <v>42585.205972222226</v>
          </cell>
          <cell r="F23">
            <v>42585.207245370373</v>
          </cell>
          <cell r="G23">
            <v>1</v>
          </cell>
          <cell r="H23" t="str">
            <v>204:233310</v>
          </cell>
          <cell r="I23">
            <v>42585.233541666668</v>
          </cell>
          <cell r="J23">
            <v>0</v>
          </cell>
          <cell r="K23" t="str">
            <v>4037/4038</v>
          </cell>
          <cell r="L23" t="str">
            <v>ROCHA</v>
          </cell>
          <cell r="M23">
            <v>2.6296296295186039E-2</v>
          </cell>
          <cell r="N23">
            <v>37.866666665067896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https://search-rtdc-monitor-bjffxe2xuh6vdkpspy63sjmuny.us-east-1.es.amazonaws.com/_plugin/kibana/#/discover/Steve-Slow-Train-Analysis-(2080s-and-2083s)?_g=(refreshInterval:(display:Off,section:0,value:0),time:(from:'2016-08-03 03:56:36-0600',mode:absolute,to:'2016-08-03 06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N</v>
          </cell>
          <cell r="X23">
            <v>1</v>
          </cell>
          <cell r="Y23">
            <v>6.9699999999999998E-2</v>
          </cell>
          <cell r="Z23">
            <v>23.331</v>
          </cell>
          <cell r="AA23">
            <v>23.261299999999999</v>
          </cell>
          <cell r="AB23" t="e">
            <v>#N/A</v>
          </cell>
          <cell r="AC23" t="e">
            <v>#N/A</v>
          </cell>
          <cell r="AD23" t="str">
            <v>0111-03</v>
          </cell>
          <cell r="AE2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24">
          <cell r="A24" t="str">
            <v>112-03</v>
          </cell>
          <cell r="B24">
            <v>4037</v>
          </cell>
          <cell r="C24" t="str">
            <v>DE.1.0.7.0</v>
          </cell>
          <cell r="D24" t="str">
            <v>204:232989</v>
          </cell>
          <cell r="E24">
            <v>42585.243344907409</v>
          </cell>
          <cell r="F24">
            <v>42585.244375000002</v>
          </cell>
          <cell r="G24">
            <v>1</v>
          </cell>
          <cell r="H24" t="str">
            <v>204:152</v>
          </cell>
          <cell r="I24">
            <v>42585.2731712963</v>
          </cell>
          <cell r="J24">
            <v>0</v>
          </cell>
          <cell r="K24" t="str">
            <v>4037/4038</v>
          </cell>
          <cell r="L24" t="str">
            <v>ROCHA</v>
          </cell>
          <cell r="M24">
            <v>2.8796296297514345E-2</v>
          </cell>
          <cell r="N24">
            <v>41.466666668420658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https://search-rtdc-monitor-bjffxe2xuh6vdkpspy63sjmuny.us-east-1.es.amazonaws.com/_plugin/kibana/#/discover/Steve-Slow-Train-Analysis-(2080s-and-2083s)?_g=(refreshInterval:(display:Off,section:0,value:0),time:(from:'2016-08-03 04:50:25-0600',mode:absolute,to:'2016-08-03 07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N</v>
          </cell>
          <cell r="X24">
            <v>1</v>
          </cell>
          <cell r="Y24">
            <v>23.2989</v>
          </cell>
          <cell r="Z24">
            <v>1.52E-2</v>
          </cell>
          <cell r="AA24">
            <v>23.2837</v>
          </cell>
          <cell r="AB24" t="e">
            <v>#N/A</v>
          </cell>
          <cell r="AC24" t="e">
            <v>#N/A</v>
          </cell>
          <cell r="AD24" t="str">
            <v>0112-03</v>
          </cell>
          <cell r="AE24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25">
          <cell r="A25" t="str">
            <v>113-03</v>
          </cell>
          <cell r="B25">
            <v>4018</v>
          </cell>
          <cell r="C25" t="str">
            <v>DE.1.0.7.0</v>
          </cell>
          <cell r="D25" t="str">
            <v>204:409</v>
          </cell>
          <cell r="E25">
            <v>42585.214780092596</v>
          </cell>
          <cell r="F25">
            <v>42585.216354166667</v>
          </cell>
          <cell r="G25">
            <v>2</v>
          </cell>
          <cell r="H25" t="str">
            <v>204:233311</v>
          </cell>
          <cell r="I25">
            <v>42585.245173611111</v>
          </cell>
          <cell r="J25">
            <v>0</v>
          </cell>
          <cell r="K25" t="str">
            <v>4017/4018</v>
          </cell>
          <cell r="L25" t="str">
            <v>MAELZER</v>
          </cell>
          <cell r="M25">
            <v>2.8819444443797693E-2</v>
          </cell>
          <cell r="N25">
            <v>41.499999999068677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https://search-rtdc-monitor-bjffxe2xuh6vdkpspy63sjmuny.us-east-1.es.amazonaws.com/_plugin/kibana/#/discover/Steve-Slow-Train-Analysis-(2080s-and-2083s)?_g=(refreshInterval:(display:Off,section:0,value:0),time:(from:'2016-08-03 04:09:17-0600',mode:absolute,to:'2016-08-03 06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4.0899999999999999E-2</v>
          </cell>
          <cell r="Z25">
            <v>23.331099999999999</v>
          </cell>
          <cell r="AA25">
            <v>23.290199999999999</v>
          </cell>
          <cell r="AB25" t="e">
            <v>#N/A</v>
          </cell>
          <cell r="AC25" t="e">
            <v>#N/A</v>
          </cell>
          <cell r="AD25" t="str">
            <v>0113-03</v>
          </cell>
          <cell r="AE25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26">
          <cell r="A26" t="str">
            <v>114-03</v>
          </cell>
          <cell r="B26">
            <v>4017</v>
          </cell>
          <cell r="C26" t="str">
            <v>DE.1.0.7.0</v>
          </cell>
          <cell r="D26" t="str">
            <v>204:232994</v>
          </cell>
          <cell r="E26">
            <v>42585.249479166669</v>
          </cell>
          <cell r="F26">
            <v>42585.250289351854</v>
          </cell>
          <cell r="G26">
            <v>1</v>
          </cell>
          <cell r="H26" t="str">
            <v>204:132</v>
          </cell>
          <cell r="I26">
            <v>42585.286006944443</v>
          </cell>
          <cell r="J26">
            <v>0</v>
          </cell>
          <cell r="K26" t="str">
            <v>4017/4018</v>
          </cell>
          <cell r="L26" t="str">
            <v>MAELZER</v>
          </cell>
          <cell r="M26">
            <v>3.5717592589207925E-2</v>
          </cell>
          <cell r="N26">
            <v>51.433333328459412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https://search-rtdc-monitor-bjffxe2xuh6vdkpspy63sjmuny.us-east-1.es.amazonaws.com/_plugin/kibana/#/discover/Steve-Slow-Train-Analysis-(2080s-and-2083s)?_g=(refreshInterval:(display:Off,section:0,value:0),time:(from:'2016-08-03 04:59:15-0600',mode:absolute,to:'2016-08-03 07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23.299399999999999</v>
          </cell>
          <cell r="Z26">
            <v>1.32E-2</v>
          </cell>
          <cell r="AA26">
            <v>23.286199999999997</v>
          </cell>
          <cell r="AB26" t="e">
            <v>#N/A</v>
          </cell>
          <cell r="AC26" t="e">
            <v>#N/A</v>
          </cell>
          <cell r="AD26" t="str">
            <v>0114-03</v>
          </cell>
          <cell r="AE26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27">
          <cell r="A27" t="str">
            <v>115-03</v>
          </cell>
          <cell r="B27">
            <v>4014</v>
          </cell>
          <cell r="C27" t="str">
            <v>DE.1.0.7.0</v>
          </cell>
          <cell r="D27" t="str">
            <v>204:724</v>
          </cell>
          <cell r="E27">
            <v>42585.226851851854</v>
          </cell>
          <cell r="F27">
            <v>42585.227939814817</v>
          </cell>
          <cell r="G27">
            <v>1</v>
          </cell>
          <cell r="H27" t="str">
            <v>204:233298</v>
          </cell>
          <cell r="I27">
            <v>42585.25509259259</v>
          </cell>
          <cell r="J27">
            <v>0</v>
          </cell>
          <cell r="K27" t="str">
            <v>4013/4014</v>
          </cell>
          <cell r="L27" t="str">
            <v>BRANNON</v>
          </cell>
          <cell r="M27">
            <v>2.7152777773153502E-2</v>
          </cell>
          <cell r="N27">
            <v>39.099999993341044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https://search-rtdc-monitor-bjffxe2xuh6vdkpspy63sjmuny.us-east-1.es.amazonaws.com/_plugin/kibana/#/discover/Steve-Slow-Train-Analysis-(2080s-and-2083s)?_g=(refreshInterval:(display:Off,section:0,value:0),time:(from:'2016-08-03 04:26:40-0600',mode:absolute,to:'2016-08-03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7" t="str">
            <v>N</v>
          </cell>
          <cell r="X27">
            <v>1</v>
          </cell>
          <cell r="Y27">
            <v>7.2400000000000006E-2</v>
          </cell>
          <cell r="Z27">
            <v>23.329799999999999</v>
          </cell>
          <cell r="AA27">
            <v>23.257400000000001</v>
          </cell>
          <cell r="AB27" t="e">
            <v>#N/A</v>
          </cell>
          <cell r="AC27" t="e">
            <v>#N/A</v>
          </cell>
          <cell r="AD27" t="str">
            <v>0115-03</v>
          </cell>
          <cell r="AE2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28">
          <cell r="A28" t="str">
            <v>116-03</v>
          </cell>
          <cell r="B28">
            <v>4013</v>
          </cell>
          <cell r="C28" t="str">
            <v>DE.1.0.7.0</v>
          </cell>
          <cell r="D28" t="str">
            <v>204:232977</v>
          </cell>
          <cell r="E28">
            <v>42585.262326388889</v>
          </cell>
          <cell r="F28">
            <v>42585.26321759259</v>
          </cell>
          <cell r="G28">
            <v>1</v>
          </cell>
          <cell r="H28" t="str">
            <v>204:136</v>
          </cell>
          <cell r="I28">
            <v>42585.296805555554</v>
          </cell>
          <cell r="J28">
            <v>0</v>
          </cell>
          <cell r="K28" t="str">
            <v>4013/4014</v>
          </cell>
          <cell r="L28" t="str">
            <v>BRANNON</v>
          </cell>
          <cell r="M28">
            <v>3.3587962963792961E-2</v>
          </cell>
          <cell r="N28">
            <v>48.366666667861864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https://search-rtdc-monitor-bjffxe2xuh6vdkpspy63sjmuny.us-east-1.es.amazonaws.com/_plugin/kibana/#/discover/Steve-Slow-Train-Analysis-(2080s-and-2083s)?_g=(refreshInterval:(display:Off,section:0,value:0),time:(from:'2016-08-03 05:17:45-0600',mode:absolute,to:'2016-08-03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1.3599999999999999E-2</v>
          </cell>
          <cell r="AA28">
            <v>23.284099999999999</v>
          </cell>
          <cell r="AB28" t="e">
            <v>#N/A</v>
          </cell>
          <cell r="AC28" t="e">
            <v>#N/A</v>
          </cell>
          <cell r="AD28" t="str">
            <v>0116-03</v>
          </cell>
          <cell r="AE2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29">
          <cell r="A29" t="str">
            <v>117-03</v>
          </cell>
          <cell r="B29">
            <v>4011</v>
          </cell>
          <cell r="C29" t="str">
            <v>DE.1.0.7.0</v>
          </cell>
          <cell r="D29" t="str">
            <v>204:402</v>
          </cell>
          <cell r="E29">
            <v>42585.233530092592</v>
          </cell>
          <cell r="F29">
            <v>42585.234710648147</v>
          </cell>
          <cell r="G29">
            <v>1</v>
          </cell>
          <cell r="H29" t="str">
            <v>204:233324</v>
          </cell>
          <cell r="I29">
            <v>42585.265451388892</v>
          </cell>
          <cell r="J29">
            <v>0</v>
          </cell>
          <cell r="K29" t="str">
            <v>4011/4012</v>
          </cell>
          <cell r="L29" t="str">
            <v>ACKERMAN</v>
          </cell>
          <cell r="M29">
            <v>3.0740740745386574E-2</v>
          </cell>
          <cell r="N29">
            <v>44.266666673356667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https://search-rtdc-monitor-bjffxe2xuh6vdkpspy63sjmuny.us-east-1.es.amazonaws.com/_plugin/kibana/#/discover/Steve-Slow-Train-Analysis-(2080s-and-2083s)?_g=(refreshInterval:(display:Off,section:0,value:0),time:(from:'2016-08-03 04:36:17-0600',mode:absolute,to:'2016-08-03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9" t="str">
            <v>N</v>
          </cell>
          <cell r="X29">
            <v>1</v>
          </cell>
          <cell r="Y29">
            <v>4.02E-2</v>
          </cell>
          <cell r="Z29">
            <v>23.3324</v>
          </cell>
          <cell r="AA29">
            <v>23.292200000000001</v>
          </cell>
          <cell r="AB29" t="e">
            <v>#N/A</v>
          </cell>
          <cell r="AC29" t="e">
            <v>#N/A</v>
          </cell>
          <cell r="AD29" t="str">
            <v>0117-03</v>
          </cell>
          <cell r="AE29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30">
          <cell r="A30" t="str">
            <v>118-03</v>
          </cell>
          <cell r="B30">
            <v>4012</v>
          </cell>
          <cell r="C30" t="str">
            <v>DE.1.0.7.0</v>
          </cell>
          <cell r="D30" t="str">
            <v>204:232994</v>
          </cell>
          <cell r="E30">
            <v>42585.272523148145</v>
          </cell>
          <cell r="F30">
            <v>42585.273518518516</v>
          </cell>
          <cell r="G30">
            <v>1</v>
          </cell>
          <cell r="H30" t="str">
            <v>204:127</v>
          </cell>
          <cell r="I30">
            <v>42585.305231481485</v>
          </cell>
          <cell r="J30">
            <v>0</v>
          </cell>
          <cell r="K30" t="str">
            <v>4011/4012</v>
          </cell>
          <cell r="L30" t="str">
            <v>ACKERMAN</v>
          </cell>
          <cell r="M30">
            <v>3.1712962969322689E-2</v>
          </cell>
          <cell r="N30">
            <v>45.666666675824672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https://search-rtdc-monitor-bjffxe2xuh6vdkpspy63sjmuny.us-east-1.es.amazonaws.com/_plugin/kibana/#/discover/Steve-Slow-Train-Analysis-(2080s-and-2083s)?_g=(refreshInterval:(display:Off,section:0,value:0),time:(from:'2016-08-03 05:32:26-0600',mode:absolute,to:'2016-08-03 08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0" t="str">
            <v>N</v>
          </cell>
          <cell r="X30">
            <v>1</v>
          </cell>
          <cell r="Y30">
            <v>23.299399999999999</v>
          </cell>
          <cell r="Z30">
            <v>1.2699999999999999E-2</v>
          </cell>
          <cell r="AA30">
            <v>23.2867</v>
          </cell>
          <cell r="AB30" t="e">
            <v>#N/A</v>
          </cell>
          <cell r="AC30" t="e">
            <v>#N/A</v>
          </cell>
          <cell r="AD30" t="str">
            <v>0118-03</v>
          </cell>
          <cell r="AE30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31">
          <cell r="A31" t="str">
            <v>119-03</v>
          </cell>
          <cell r="B31">
            <v>4044</v>
          </cell>
          <cell r="C31" t="str">
            <v>DE.1.0.7.0</v>
          </cell>
          <cell r="D31" t="str">
            <v>204:887</v>
          </cell>
          <cell r="E31">
            <v>42585.24832175926</v>
          </cell>
          <cell r="F31">
            <v>42585.249398148146</v>
          </cell>
          <cell r="G31">
            <v>1</v>
          </cell>
          <cell r="H31" t="str">
            <v>204:233327</v>
          </cell>
          <cell r="I31">
            <v>42585.285740740743</v>
          </cell>
          <cell r="J31">
            <v>1</v>
          </cell>
          <cell r="K31" t="str">
            <v>4043/4044</v>
          </cell>
          <cell r="L31" t="str">
            <v>STRICKLAND</v>
          </cell>
          <cell r="M31">
            <v>3.6342592597065959E-2</v>
          </cell>
          <cell r="N31">
            <v>52.333333339774981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https://search-rtdc-monitor-bjffxe2xuh6vdkpspy63sjmuny.us-east-1.es.amazonaws.com/_plugin/kibana/#/discover/Steve-Slow-Train-Analysis-(2080s-and-2083s)?_g=(refreshInterval:(display:Off,section:0,value:0),time:(from:'2016-08-03 04:57:35-0600',mode:absolute,to:'2016-08-03 07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8.8700000000000001E-2</v>
          </cell>
          <cell r="Z31">
            <v>23.332699999999999</v>
          </cell>
          <cell r="AA31">
            <v>23.244</v>
          </cell>
          <cell r="AB31" t="e">
            <v>#N/A</v>
          </cell>
          <cell r="AC31" t="e">
            <v>#N/A</v>
          </cell>
          <cell r="AD31" t="str">
            <v>0119-03</v>
          </cell>
          <cell r="AE3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32">
          <cell r="A32" t="str">
            <v>120-03</v>
          </cell>
          <cell r="B32">
            <v>4043</v>
          </cell>
          <cell r="C32" t="str">
            <v>DE.1.0.7.0</v>
          </cell>
          <cell r="D32" t="str">
            <v>204:233004</v>
          </cell>
          <cell r="E32">
            <v>42585.285428240742</v>
          </cell>
          <cell r="F32">
            <v>42585.286736111113</v>
          </cell>
          <cell r="G32">
            <v>1</v>
          </cell>
          <cell r="H32" t="str">
            <v>204:170</v>
          </cell>
          <cell r="I32">
            <v>42585.318101851852</v>
          </cell>
          <cell r="J32">
            <v>0</v>
          </cell>
          <cell r="K32" t="str">
            <v>4043/4044</v>
          </cell>
          <cell r="L32" t="str">
            <v>STRICKLAND</v>
          </cell>
          <cell r="M32">
            <v>3.1365740738692693E-2</v>
          </cell>
          <cell r="N32">
            <v>45.166666663717479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https://search-rtdc-monitor-bjffxe2xuh6vdkpspy63sjmuny.us-east-1.es.amazonaws.com/_plugin/kibana/#/discover/Steve-Slow-Train-Analysis-(2080s-and-2083s)?_g=(refreshInterval:(display:Off,section:0,value:0),time:(from:'2016-08-03 05:51:01-0600',mode:absolute,to:'2016-08-03 08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23.3004</v>
          </cell>
          <cell r="Z32">
            <v>1.7000000000000001E-2</v>
          </cell>
          <cell r="AA32">
            <v>23.2834</v>
          </cell>
          <cell r="AB32" t="e">
            <v>#N/A</v>
          </cell>
          <cell r="AC32" t="e">
            <v>#N/A</v>
          </cell>
          <cell r="AD32" t="str">
            <v>0120-03</v>
          </cell>
          <cell r="AE3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33">
          <cell r="A33" t="str">
            <v>121-03</v>
          </cell>
          <cell r="B33">
            <v>4042</v>
          </cell>
          <cell r="C33" t="str">
            <v>DE.1.0.7.0</v>
          </cell>
          <cell r="D33" t="str">
            <v>204:446</v>
          </cell>
          <cell r="E33">
            <v>42585.256180555552</v>
          </cell>
          <cell r="F33">
            <v>42585.257256944446</v>
          </cell>
          <cell r="G33">
            <v>1</v>
          </cell>
          <cell r="H33" t="str">
            <v>204:233324</v>
          </cell>
          <cell r="I33">
            <v>42585.285405092596</v>
          </cell>
          <cell r="J33">
            <v>0</v>
          </cell>
          <cell r="K33" t="str">
            <v>4041/4042</v>
          </cell>
          <cell r="L33" t="str">
            <v>SPECTOR</v>
          </cell>
          <cell r="M33">
            <v>2.8148148150648922E-2</v>
          </cell>
          <cell r="N33">
            <v>40.533333336934447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https://search-rtdc-monitor-bjffxe2xuh6vdkpspy63sjmuny.us-east-1.es.amazonaws.com/_plugin/kibana/#/discover/Steve-Slow-Train-Analysis-(2080s-and-2083s)?_g=(refreshInterval:(display:Off,section:0,value:0),time:(from:'2016-08-03 05:08:54-0600',mode:absolute,to:'2016-08-03 07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3" t="str">
            <v>N</v>
          </cell>
          <cell r="X33">
            <v>1</v>
          </cell>
          <cell r="Y33">
            <v>4.4600000000000001E-2</v>
          </cell>
          <cell r="Z33">
            <v>23.3324</v>
          </cell>
          <cell r="AA33">
            <v>23.287800000000001</v>
          </cell>
          <cell r="AB33" t="e">
            <v>#N/A</v>
          </cell>
          <cell r="AC33" t="e">
            <v>#N/A</v>
          </cell>
          <cell r="AD33" t="str">
            <v>0121-03</v>
          </cell>
          <cell r="AE33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34">
          <cell r="A34" t="str">
            <v>122-03</v>
          </cell>
          <cell r="B34">
            <v>4041</v>
          </cell>
          <cell r="C34" t="str">
            <v>DE.1.0.7.0</v>
          </cell>
          <cell r="D34" t="str">
            <v>204:233007</v>
          </cell>
          <cell r="E34">
            <v>42585.291192129633</v>
          </cell>
          <cell r="F34">
            <v>42585.292314814818</v>
          </cell>
          <cell r="G34">
            <v>1</v>
          </cell>
          <cell r="H34" t="str">
            <v>204:154</v>
          </cell>
          <cell r="I34">
            <v>42585.325694444444</v>
          </cell>
          <cell r="J34">
            <v>0</v>
          </cell>
          <cell r="K34" t="str">
            <v>4041/4042</v>
          </cell>
          <cell r="L34" t="str">
            <v>SPECTOR</v>
          </cell>
          <cell r="M34">
            <v>3.3379629625414964E-2</v>
          </cell>
          <cell r="N34">
            <v>48.066666660597548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https://search-rtdc-monitor-bjffxe2xuh6vdkpspy63sjmuny.us-east-1.es.amazonaws.com/_plugin/kibana/#/discover/Steve-Slow-Train-Analysis-(2080s-and-2083s)?_g=(refreshInterval:(display:Off,section:0,value:0),time:(from:'2016-08-03 05:59:19-0600',mode:absolute,to:'2016-08-03 08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4" t="str">
            <v>N</v>
          </cell>
          <cell r="X34">
            <v>1</v>
          </cell>
          <cell r="Y34">
            <v>23.300699999999999</v>
          </cell>
          <cell r="Z34">
            <v>1.54E-2</v>
          </cell>
          <cell r="AA34">
            <v>23.285299999999999</v>
          </cell>
          <cell r="AB34" t="e">
            <v>#N/A</v>
          </cell>
          <cell r="AC34" t="e">
            <v>#N/A</v>
          </cell>
          <cell r="AD34" t="str">
            <v>0122-03</v>
          </cell>
          <cell r="AE34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35">
          <cell r="A35" t="str">
            <v>123-03</v>
          </cell>
          <cell r="B35">
            <v>4025</v>
          </cell>
          <cell r="C35" t="str">
            <v>DE.1.0.7.0</v>
          </cell>
          <cell r="D35" t="str">
            <v>204:455</v>
          </cell>
          <cell r="E35">
            <v>42585.268391203703</v>
          </cell>
          <cell r="F35">
            <v>42585.269502314812</v>
          </cell>
          <cell r="G35">
            <v>1</v>
          </cell>
          <cell r="H35" t="str">
            <v>204:233304</v>
          </cell>
          <cell r="I35">
            <v>42585.295740740738</v>
          </cell>
          <cell r="J35">
            <v>0</v>
          </cell>
          <cell r="K35" t="str">
            <v>4025/4026</v>
          </cell>
          <cell r="L35" t="str">
            <v>HELVIE</v>
          </cell>
          <cell r="M35">
            <v>2.6238425925839692E-2</v>
          </cell>
          <cell r="N35">
            <v>37.783333333209157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https://search-rtdc-monitor-bjffxe2xuh6vdkpspy63sjmuny.us-east-1.es.amazonaws.com/_plugin/kibana/#/discover/Steve-Slow-Train-Analysis-(2080s-and-2083s)?_g=(refreshInterval:(display:Off,section:0,value:0),time:(from:'2016-08-03 05:26:29-0600',mode:absolute,to:'2016-08-03 08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4.5499999999999999E-2</v>
          </cell>
          <cell r="Z35">
            <v>23.330400000000001</v>
          </cell>
          <cell r="AA35">
            <v>23.2849</v>
          </cell>
          <cell r="AB35" t="e">
            <v>#N/A</v>
          </cell>
          <cell r="AC35" t="e">
            <v>#N/A</v>
          </cell>
          <cell r="AD35" t="str">
            <v>0123-03</v>
          </cell>
          <cell r="AE3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36">
          <cell r="A36" t="str">
            <v>124-03</v>
          </cell>
          <cell r="B36">
            <v>4026</v>
          </cell>
          <cell r="C36" t="str">
            <v>DE.1.0.7.0</v>
          </cell>
          <cell r="D36" t="str">
            <v>204:233006</v>
          </cell>
          <cell r="E36">
            <v>42585.305844907409</v>
          </cell>
          <cell r="F36">
            <v>42585.306550925925</v>
          </cell>
          <cell r="G36">
            <v>1</v>
          </cell>
          <cell r="H36" t="str">
            <v>204:149</v>
          </cell>
          <cell r="I36">
            <v>42585.336574074077</v>
          </cell>
          <cell r="J36">
            <v>0</v>
          </cell>
          <cell r="K36" t="str">
            <v>4025/4026</v>
          </cell>
          <cell r="L36" t="str">
            <v>HELVIE</v>
          </cell>
          <cell r="M36">
            <v>3.0023148152395152E-2</v>
          </cell>
          <cell r="N36">
            <v>43.233333339449018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https://search-rtdc-monitor-bjffxe2xuh6vdkpspy63sjmuny.us-east-1.es.amazonaws.com/_plugin/kibana/#/discover/Steve-Slow-Train-Analysis-(2080s-and-2083s)?_g=(refreshInterval:(display:Off,section:0,value:0),time:(from:'2016-08-03 06:20:25-0600',mode:absolute,to:'2016-08-03 09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23.300599999999999</v>
          </cell>
          <cell r="Z36">
            <v>1.49E-2</v>
          </cell>
          <cell r="AA36">
            <v>23.285699999999999</v>
          </cell>
          <cell r="AB36" t="e">
            <v>#N/A</v>
          </cell>
          <cell r="AC36" t="e">
            <v>#N/A</v>
          </cell>
          <cell r="AD36" t="str">
            <v>0124-03</v>
          </cell>
          <cell r="AE3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37">
          <cell r="A37" t="str">
            <v>125-03</v>
          </cell>
          <cell r="B37">
            <v>4038</v>
          </cell>
          <cell r="C37" t="str">
            <v>DE.1.0.7.0</v>
          </cell>
          <cell r="D37" t="str">
            <v>204:444</v>
          </cell>
          <cell r="E37">
            <v>42585.277395833335</v>
          </cell>
          <cell r="F37">
            <v>42585.278437499997</v>
          </cell>
          <cell r="G37">
            <v>1</v>
          </cell>
          <cell r="H37" t="str">
            <v>204:233301</v>
          </cell>
          <cell r="I37">
            <v>42585.305763888886</v>
          </cell>
          <cell r="J37">
            <v>0</v>
          </cell>
          <cell r="K37" t="str">
            <v>4037/4038</v>
          </cell>
          <cell r="L37" t="str">
            <v>ROCHA</v>
          </cell>
          <cell r="M37">
            <v>2.73263888884685E-2</v>
          </cell>
          <cell r="N37">
            <v>39.34999999939464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https://search-rtdc-monitor-bjffxe2xuh6vdkpspy63sjmuny.us-east-1.es.amazonaws.com/_plugin/kibana/#/discover/Steve-Slow-Train-Analysis-(2080s-and-2083s)?_g=(refreshInterval:(display:Off,section:0,value:0),time:(from:'2016-08-03 05:39:27-0600',mode:absolute,to:'2016-08-03 08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4.4400000000000002E-2</v>
          </cell>
          <cell r="Z37">
            <v>23.330100000000002</v>
          </cell>
          <cell r="AA37">
            <v>23.285700000000002</v>
          </cell>
          <cell r="AB37" t="e">
            <v>#N/A</v>
          </cell>
          <cell r="AC37" t="e">
            <v>#N/A</v>
          </cell>
          <cell r="AD37" t="str">
            <v>0125-03</v>
          </cell>
          <cell r="AE37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38">
          <cell r="A38" t="str">
            <v>126-03</v>
          </cell>
          <cell r="B38">
            <v>4037</v>
          </cell>
          <cell r="C38" t="str">
            <v>DE.1.0.7.0</v>
          </cell>
          <cell r="D38" t="str">
            <v>204:232973</v>
          </cell>
          <cell r="E38">
            <v>42585.319039351853</v>
          </cell>
          <cell r="F38">
            <v>42585.319988425923</v>
          </cell>
          <cell r="G38">
            <v>1</v>
          </cell>
          <cell r="H38" t="str">
            <v>204:156</v>
          </cell>
          <cell r="I38">
            <v>42585.350162037037</v>
          </cell>
          <cell r="J38">
            <v>1</v>
          </cell>
          <cell r="K38" t="str">
            <v>4037/4038</v>
          </cell>
          <cell r="L38" t="str">
            <v>ROCHA</v>
          </cell>
          <cell r="M38">
            <v>3.0173611114150845E-2</v>
          </cell>
          <cell r="N38">
            <v>43.450000004377216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https://search-rtdc-monitor-bjffxe2xuh6vdkpspy63sjmuny.us-east-1.es.amazonaws.com/_plugin/kibana/#/discover/Steve-Slow-Train-Analysis-(2080s-and-2083s)?_g=(refreshInterval:(display:Off,section:0,value:0),time:(from:'2016-08-03 06:39:25-0600',mode:absolute,to:'2016-08-03 09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23.2973</v>
          </cell>
          <cell r="Z38">
            <v>1.5599999999999999E-2</v>
          </cell>
          <cell r="AA38">
            <v>23.281700000000001</v>
          </cell>
          <cell r="AB38" t="e">
            <v>#N/A</v>
          </cell>
          <cell r="AC38" t="e">
            <v>#N/A</v>
          </cell>
          <cell r="AD38" t="str">
            <v>0126-03</v>
          </cell>
          <cell r="AE38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39">
          <cell r="A39" t="str">
            <v>127-03</v>
          </cell>
          <cell r="B39">
            <v>4018</v>
          </cell>
          <cell r="C39" t="str">
            <v>DE.1.0.7.0</v>
          </cell>
          <cell r="D39" t="str">
            <v>204:429</v>
          </cell>
          <cell r="E39">
            <v>42585.288090277776</v>
          </cell>
          <cell r="F39">
            <v>42585.289039351854</v>
          </cell>
          <cell r="G39">
            <v>1</v>
          </cell>
          <cell r="H39" t="str">
            <v>204:233300</v>
          </cell>
          <cell r="I39">
            <v>42585.318032407406</v>
          </cell>
          <cell r="J39">
            <v>0</v>
          </cell>
          <cell r="K39" t="str">
            <v>4017/4018</v>
          </cell>
          <cell r="L39" t="str">
            <v>MAELZER</v>
          </cell>
          <cell r="M39">
            <v>2.8993055551836733E-2</v>
          </cell>
          <cell r="N39">
            <v>41.749999994644895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https://search-rtdc-monitor-bjffxe2xuh6vdkpspy63sjmuny.us-east-1.es.amazonaws.com/_plugin/kibana/#/discover/Steve-Slow-Train-Analysis-(2080s-and-2083s)?_g=(refreshInterval:(display:Off,section:0,value:0),time:(from:'2016-08-03 05:54:51-0600',mode:absolute,to:'2016-08-03 08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4.2900000000000001E-2</v>
          </cell>
          <cell r="Z39">
            <v>23.33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0127-03</v>
          </cell>
          <cell r="AE39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40">
          <cell r="A40" t="str">
            <v>128-03</v>
          </cell>
          <cell r="B40">
            <v>4017</v>
          </cell>
          <cell r="C40" t="str">
            <v>DE.1.0.7.0</v>
          </cell>
          <cell r="D40" t="str">
            <v>204:232991</v>
          </cell>
          <cell r="E40">
            <v>42585.322743055556</v>
          </cell>
          <cell r="F40">
            <v>42585.323472222219</v>
          </cell>
          <cell r="G40">
            <v>1</v>
          </cell>
          <cell r="H40" t="str">
            <v>204:134</v>
          </cell>
          <cell r="I40">
            <v>42585.357465277775</v>
          </cell>
          <cell r="J40">
            <v>0</v>
          </cell>
          <cell r="K40" t="str">
            <v>4017/4018</v>
          </cell>
          <cell r="L40" t="str">
            <v>MAELZER</v>
          </cell>
          <cell r="M40">
            <v>3.3993055556493346E-2</v>
          </cell>
          <cell r="N40">
            <v>48.950000001350418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https://search-rtdc-monitor-bjffxe2xuh6vdkpspy63sjmuny.us-east-1.es.amazonaws.com/_plugin/kibana/#/discover/Steve-Slow-Train-Analysis-(2080s-and-2083s)?_g=(refreshInterval:(display:Off,section:0,value:0),time:(from:'2016-08-03 06:44:45-0600',mode:absolute,to:'2016-08-03 09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23.299099999999999</v>
          </cell>
          <cell r="Z40">
            <v>1.34E-2</v>
          </cell>
          <cell r="AA40">
            <v>23.285699999999999</v>
          </cell>
          <cell r="AB40" t="e">
            <v>#N/A</v>
          </cell>
          <cell r="AC40" t="e">
            <v>#N/A</v>
          </cell>
          <cell r="AD40" t="str">
            <v>0128-03</v>
          </cell>
          <cell r="AE40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41">
          <cell r="A41" t="str">
            <v>129-03</v>
          </cell>
          <cell r="B41">
            <v>4014</v>
          </cell>
          <cell r="C41" t="str">
            <v>DE.1.0.7.0</v>
          </cell>
          <cell r="D41" t="str">
            <v>204:435</v>
          </cell>
          <cell r="E41">
            <v>42585.297962962963</v>
          </cell>
          <cell r="F41">
            <v>42585.298935185187</v>
          </cell>
          <cell r="G41">
            <v>1</v>
          </cell>
          <cell r="H41" t="str">
            <v>204:233311</v>
          </cell>
          <cell r="I41">
            <v>42585.32744212963</v>
          </cell>
          <cell r="J41">
            <v>0</v>
          </cell>
          <cell r="K41" t="str">
            <v>4013/4014</v>
          </cell>
          <cell r="L41" t="str">
            <v>BRANNON</v>
          </cell>
          <cell r="M41">
            <v>2.8506944443506654E-2</v>
          </cell>
          <cell r="N41">
            <v>41.049999998649582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https://search-rtdc-monitor-bjffxe2xuh6vdkpspy63sjmuny.us-east-1.es.amazonaws.com/_plugin/kibana/#/discover/Steve-Slow-Train-Analysis-(2080s-and-2083s)?_g=(refreshInterval:(display:Off,section:0,value:0),time:(from:'2016-08-03 06:09:04-0600',mode:absolute,to:'2016-08-03 08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1" t="str">
            <v>N</v>
          </cell>
          <cell r="X41">
            <v>1</v>
          </cell>
          <cell r="Y41">
            <v>4.3499999999999997E-2</v>
          </cell>
          <cell r="Z41">
            <v>23.331099999999999</v>
          </cell>
          <cell r="AA41">
            <v>23.287599999999998</v>
          </cell>
          <cell r="AB41" t="e">
            <v>#N/A</v>
          </cell>
          <cell r="AC41" t="e">
            <v>#N/A</v>
          </cell>
          <cell r="AD41" t="str">
            <v>0129-03</v>
          </cell>
          <cell r="AE41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42">
          <cell r="A42" t="str">
            <v>130-03</v>
          </cell>
          <cell r="B42">
            <v>4013</v>
          </cell>
          <cell r="C42" t="str">
            <v>DE.1.0.7.0</v>
          </cell>
          <cell r="D42" t="str">
            <v>204:232978</v>
          </cell>
          <cell r="E42">
            <v>42585.333379629628</v>
          </cell>
          <cell r="F42">
            <v>42585.334699074076</v>
          </cell>
          <cell r="G42">
            <v>1</v>
          </cell>
          <cell r="H42" t="str">
            <v>204:207</v>
          </cell>
          <cell r="I42">
            <v>42585.368935185186</v>
          </cell>
          <cell r="J42">
            <v>1</v>
          </cell>
          <cell r="K42" t="str">
            <v>4013/4014</v>
          </cell>
          <cell r="L42" t="str">
            <v>BRANNON</v>
          </cell>
          <cell r="M42">
            <v>3.4236111110658385E-2</v>
          </cell>
          <cell r="N42">
            <v>49.299999999348074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https://search-rtdc-monitor-bjffxe2xuh6vdkpspy63sjmuny.us-east-1.es.amazonaws.com/_plugin/kibana/#/discover/Steve-Slow-Train-Analysis-(2080s-and-2083s)?_g=(refreshInterval:(display:Off,section:0,value:0),time:(from:'2016-08-03 07:00:04-0600',mode:absolute,to:'2016-08-03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2" t="str">
            <v>N</v>
          </cell>
          <cell r="X42">
            <v>1</v>
          </cell>
          <cell r="Y42">
            <v>23.297799999999999</v>
          </cell>
          <cell r="Z42">
            <v>2.07E-2</v>
          </cell>
          <cell r="AA42">
            <v>23.277099999999997</v>
          </cell>
          <cell r="AB42" t="e">
            <v>#N/A</v>
          </cell>
          <cell r="AC42" t="e">
            <v>#N/A</v>
          </cell>
          <cell r="AD42" t="str">
            <v>0130-03</v>
          </cell>
          <cell r="AE42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43">
          <cell r="A43" t="str">
            <v>131-03</v>
          </cell>
          <cell r="B43">
            <v>4011</v>
          </cell>
          <cell r="C43" t="str">
            <v>DE.1.0.7.0</v>
          </cell>
          <cell r="D43" t="str">
            <v>204:433</v>
          </cell>
          <cell r="E43">
            <v>42585.307743055557</v>
          </cell>
          <cell r="F43">
            <v>42585.308831018519</v>
          </cell>
          <cell r="G43">
            <v>1</v>
          </cell>
          <cell r="H43" t="str">
            <v>204:233280</v>
          </cell>
          <cell r="I43">
            <v>42585.337916666664</v>
          </cell>
          <cell r="J43">
            <v>0</v>
          </cell>
          <cell r="K43" t="str">
            <v>4011/4012</v>
          </cell>
          <cell r="L43" t="str">
            <v>ACKERMAN</v>
          </cell>
          <cell r="M43">
            <v>2.9085648144246079E-2</v>
          </cell>
          <cell r="N43">
            <v>41.883333327714354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https://search-rtdc-monitor-bjffxe2xuh6vdkpspy63sjmuny.us-east-1.es.amazonaws.com/_plugin/kibana/#/discover/Steve-Slow-Train-Analysis-(2080s-and-2083s)?_g=(refreshInterval:(display:Off,section:0,value:0),time:(from:'2016-08-03 06:23:09-0600',mode:absolute,to:'2016-08-03 09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3" t="str">
            <v>N</v>
          </cell>
          <cell r="X43">
            <v>1</v>
          </cell>
          <cell r="Y43">
            <v>4.3299999999999998E-2</v>
          </cell>
          <cell r="Z43">
            <v>23.327999999999999</v>
          </cell>
          <cell r="AA43">
            <v>23.284700000000001</v>
          </cell>
          <cell r="AB43" t="e">
            <v>#N/A</v>
          </cell>
          <cell r="AC43" t="e">
            <v>#N/A</v>
          </cell>
          <cell r="AD43" t="str">
            <v>0131-03</v>
          </cell>
          <cell r="AE43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44">
          <cell r="A44" t="str">
            <v>132-03</v>
          </cell>
          <cell r="B44">
            <v>4012</v>
          </cell>
          <cell r="C44" t="str">
            <v>DE.1.0.7.0</v>
          </cell>
          <cell r="D44" t="str">
            <v>204:232996</v>
          </cell>
          <cell r="E44">
            <v>42585.344085648147</v>
          </cell>
          <cell r="F44">
            <v>42585.345243055555</v>
          </cell>
          <cell r="G44">
            <v>1</v>
          </cell>
          <cell r="H44" t="str">
            <v>204:130</v>
          </cell>
          <cell r="I44">
            <v>42585.378923611112</v>
          </cell>
          <cell r="J44">
            <v>0</v>
          </cell>
          <cell r="K44" t="str">
            <v>4011/4012</v>
          </cell>
          <cell r="L44" t="str">
            <v>ACKERMAN</v>
          </cell>
          <cell r="M44">
            <v>3.3680555556202307E-2</v>
          </cell>
          <cell r="N44">
            <v>48.500000000931323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https://search-rtdc-monitor-bjffxe2xuh6vdkpspy63sjmuny.us-east-1.es.amazonaws.com/_plugin/kibana/#/discover/Steve-Slow-Train-Analysis-(2080s-and-2083s)?_g=(refreshInterval:(display:Off,section:0,value:0),time:(from:'2016-08-03 07:15:29-0600',mode:absolute,to:'2016-08-03 10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4" t="str">
            <v>N</v>
          </cell>
          <cell r="X44">
            <v>1</v>
          </cell>
          <cell r="Y44">
            <v>23.299600000000002</v>
          </cell>
          <cell r="Z44">
            <v>1.2999999999999999E-2</v>
          </cell>
          <cell r="AA44">
            <v>23.2866</v>
          </cell>
          <cell r="AB44" t="e">
            <v>#N/A</v>
          </cell>
          <cell r="AC44" t="e">
            <v>#N/A</v>
          </cell>
          <cell r="AD44" t="str">
            <v>0132-03</v>
          </cell>
          <cell r="AE44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45">
          <cell r="A45" t="str">
            <v>133-03</v>
          </cell>
          <cell r="B45">
            <v>4044</v>
          </cell>
          <cell r="C45" t="str">
            <v>DE.1.0.7.0</v>
          </cell>
          <cell r="D45" t="str">
            <v>204:453</v>
          </cell>
          <cell r="E45">
            <v>42585.319363425922</v>
          </cell>
          <cell r="F45">
            <v>42585.323275462964</v>
          </cell>
          <cell r="G45">
            <v>5</v>
          </cell>
          <cell r="H45" t="str">
            <v>204:233289</v>
          </cell>
          <cell r="I45">
            <v>42585.351087962961</v>
          </cell>
          <cell r="J45">
            <v>0</v>
          </cell>
          <cell r="K45" t="str">
            <v>4043/4044</v>
          </cell>
          <cell r="L45" t="str">
            <v>STRICKLAND</v>
          </cell>
          <cell r="M45">
            <v>2.7812499996798579E-2</v>
          </cell>
          <cell r="N45">
            <v>40.049999995389953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https://search-rtdc-monitor-bjffxe2xuh6vdkpspy63sjmuny.us-east-1.es.amazonaws.com/_plugin/kibana/#/discover/Steve-Slow-Train-Analysis-(2080s-and-2083s)?_g=(refreshInterval:(display:Off,section:0,value:0),time:(from:'2016-08-03 06:39:53-0600',mode:absolute,to:'2016-08-03 09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5" t="str">
            <v>N</v>
          </cell>
          <cell r="X45">
            <v>1</v>
          </cell>
          <cell r="Y45">
            <v>4.53E-2</v>
          </cell>
          <cell r="Z45">
            <v>23.328900000000001</v>
          </cell>
          <cell r="AA45">
            <v>23.2836</v>
          </cell>
          <cell r="AB45" t="e">
            <v>#N/A</v>
          </cell>
          <cell r="AC45" t="e">
            <v>#N/A</v>
          </cell>
          <cell r="AD45" t="str">
            <v>0133-03</v>
          </cell>
          <cell r="AE45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46">
          <cell r="A46" t="str">
            <v>134-03</v>
          </cell>
          <cell r="B46">
            <v>4043</v>
          </cell>
          <cell r="C46" t="str">
            <v>DE.1.0.7.0</v>
          </cell>
          <cell r="D46" t="str">
            <v>204:232982</v>
          </cell>
          <cell r="E46">
            <v>42585.359872685185</v>
          </cell>
          <cell r="F46">
            <v>42585.36078703704</v>
          </cell>
          <cell r="G46">
            <v>1</v>
          </cell>
          <cell r="H46" t="str">
            <v>204:187</v>
          </cell>
          <cell r="I46">
            <v>42585.394074074073</v>
          </cell>
          <cell r="J46">
            <v>1</v>
          </cell>
          <cell r="K46" t="str">
            <v>4043/4044</v>
          </cell>
          <cell r="L46" t="str">
            <v>STRICKLAND</v>
          </cell>
          <cell r="M46">
            <v>3.3287037033005618E-2</v>
          </cell>
          <cell r="N46">
            <v>47.933333327528089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https://search-rtdc-monitor-bjffxe2xuh6vdkpspy63sjmuny.us-east-1.es.amazonaws.com/_plugin/kibana/#/discover/Steve-Slow-Train-Analysis-(2080s-and-2083s)?_g=(refreshInterval:(display:Off,section:0,value:0),time:(from:'2016-08-03 07:38:13-0600',mode:absolute,to:'2016-08-03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6" t="str">
            <v>N</v>
          </cell>
          <cell r="X46">
            <v>1</v>
          </cell>
          <cell r="Y46">
            <v>23.298200000000001</v>
          </cell>
          <cell r="Z46">
            <v>1.8700000000000001E-2</v>
          </cell>
          <cell r="AA46">
            <v>23.279500000000002</v>
          </cell>
          <cell r="AB46" t="e">
            <v>#N/A</v>
          </cell>
          <cell r="AC46" t="e">
            <v>#N/A</v>
          </cell>
          <cell r="AD46" t="str">
            <v>0134-03</v>
          </cell>
          <cell r="AE46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47">
          <cell r="A47" t="str">
            <v>135-03</v>
          </cell>
          <cell r="B47">
            <v>4042</v>
          </cell>
          <cell r="C47" t="str">
            <v>DE.1.0.7.0</v>
          </cell>
          <cell r="D47" t="str">
            <v>204:480</v>
          </cell>
          <cell r="E47">
            <v>42585.328611111108</v>
          </cell>
          <cell r="F47">
            <v>42585.329826388886</v>
          </cell>
          <cell r="G47">
            <v>1</v>
          </cell>
          <cell r="H47" t="str">
            <v>204:233300</v>
          </cell>
          <cell r="I47">
            <v>42585.359120370369</v>
          </cell>
          <cell r="J47">
            <v>0</v>
          </cell>
          <cell r="K47" t="str">
            <v>4041/4042</v>
          </cell>
          <cell r="L47" t="str">
            <v>SPECTOR</v>
          </cell>
          <cell r="M47">
            <v>2.9293981482624076E-2</v>
          </cell>
          <cell r="N47">
            <v>42.18333333497867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https://search-rtdc-monitor-bjffxe2xuh6vdkpspy63sjmuny.us-east-1.es.amazonaws.com/_plugin/kibana/#/discover/Steve-Slow-Train-Analysis-(2080s-and-2083s)?_g=(refreshInterval:(display:Off,section:0,value:0),time:(from:'2016-08-03 06:53:12-0600',mode:absolute,to:'2016-08-03 09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7" t="str">
            <v>N</v>
          </cell>
          <cell r="X47">
            <v>1</v>
          </cell>
          <cell r="Y47">
            <v>4.8000000000000001E-2</v>
          </cell>
          <cell r="Z47">
            <v>23.33</v>
          </cell>
          <cell r="AA47">
            <v>23.282</v>
          </cell>
          <cell r="AB47" t="e">
            <v>#N/A</v>
          </cell>
          <cell r="AC47" t="e">
            <v>#N/A</v>
          </cell>
          <cell r="AD47" t="str">
            <v>0135-03</v>
          </cell>
          <cell r="AE47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48">
          <cell r="A48" t="str">
            <v>136-03</v>
          </cell>
          <cell r="B48">
            <v>4041</v>
          </cell>
          <cell r="C48" t="str">
            <v>DE.1.0.7.0</v>
          </cell>
          <cell r="D48" t="str">
            <v>204:232994</v>
          </cell>
          <cell r="E48">
            <v>42585.365752314814</v>
          </cell>
          <cell r="F48">
            <v>42585.366608796299</v>
          </cell>
          <cell r="G48">
            <v>1</v>
          </cell>
          <cell r="H48" t="str">
            <v>204:198</v>
          </cell>
          <cell r="I48">
            <v>42585.400312500002</v>
          </cell>
          <cell r="J48">
            <v>1</v>
          </cell>
          <cell r="K48" t="str">
            <v>4041/4042</v>
          </cell>
          <cell r="L48" t="str">
            <v>SPECTOR</v>
          </cell>
          <cell r="M48">
            <v>3.3703703702485655E-2</v>
          </cell>
          <cell r="N48">
            <v>48.533333331579342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https://search-rtdc-monitor-bjffxe2xuh6vdkpspy63sjmuny.us-east-1.es.amazonaws.com/_plugin/kibana/#/discover/Steve-Slow-Train-Analysis-(2080s-and-2083s)?_g=(refreshInterval:(display:Off,section:0,value:0),time:(from:'2016-08-03 07:46:41-0600',mode:absolute,to:'2016-08-03 10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8" t="str">
            <v>N</v>
          </cell>
          <cell r="X48">
            <v>1</v>
          </cell>
          <cell r="Y48">
            <v>23.299399999999999</v>
          </cell>
          <cell r="Z48">
            <v>1.9800000000000002E-2</v>
          </cell>
          <cell r="AA48">
            <v>23.279599999999999</v>
          </cell>
          <cell r="AB48" t="e">
            <v>#N/A</v>
          </cell>
          <cell r="AC48" t="e">
            <v>#N/A</v>
          </cell>
          <cell r="AD48" t="str">
            <v>0136-03</v>
          </cell>
          <cell r="AE48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49">
          <cell r="A49" t="str">
            <v>137-03</v>
          </cell>
          <cell r="B49">
            <v>4025</v>
          </cell>
          <cell r="C49" t="str">
            <v>DE.1.0.7.0</v>
          </cell>
          <cell r="D49" t="str">
            <v>204:19125</v>
          </cell>
          <cell r="E49">
            <v>42585.348263888889</v>
          </cell>
          <cell r="F49">
            <v>42585.348946759259</v>
          </cell>
          <cell r="G49">
            <v>0</v>
          </cell>
          <cell r="H49" t="str">
            <v>204:233286</v>
          </cell>
          <cell r="I49">
            <v>42585.370393518519</v>
          </cell>
          <cell r="J49">
            <v>0</v>
          </cell>
          <cell r="K49" t="str">
            <v>4025/4026</v>
          </cell>
          <cell r="L49" t="str">
            <v>HELVIE</v>
          </cell>
          <cell r="M49">
            <v>2.1446759259561077E-2</v>
          </cell>
          <cell r="P49">
            <v>30.883333333767951</v>
          </cell>
          <cell r="R49" t="str">
            <v>Repeated consist updates from TMDS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https://search-rtdc-monitor-bjffxe2xuh6vdkpspy63sjmuny.us-east-1.es.amazonaws.com/_plugin/kibana/#/discover/Steve-Slow-Train-Analysis-(2080s-and-2083s)?_g=(refreshInterval:(display:Off,section:0,value:0),time:(from:'2016-08-03 07:21:30-0600',mode:absolute,to:'2016-08-03 09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Y</v>
          </cell>
          <cell r="X49">
            <v>1</v>
          </cell>
          <cell r="Y49">
            <v>1.9125000000000001</v>
          </cell>
          <cell r="Z49">
            <v>23.328600000000002</v>
          </cell>
          <cell r="AA49">
            <v>21.4161</v>
          </cell>
          <cell r="AB49" t="e">
            <v>#N/A</v>
          </cell>
          <cell r="AC49" t="e">
            <v>#N/A</v>
          </cell>
          <cell r="AD49" t="str">
            <v>0137-03</v>
          </cell>
          <cell r="AE49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50">
          <cell r="A50" t="str">
            <v>138-03</v>
          </cell>
          <cell r="B50">
            <v>4026</v>
          </cell>
          <cell r="C50" t="str">
            <v>DE.1.0.7.0</v>
          </cell>
          <cell r="D50" t="str">
            <v>204:232986</v>
          </cell>
          <cell r="E50">
            <v>42585.377997685187</v>
          </cell>
          <cell r="F50">
            <v>42585.379120370373</v>
          </cell>
          <cell r="G50">
            <v>1</v>
          </cell>
          <cell r="H50" t="str">
            <v>204:143</v>
          </cell>
          <cell r="I50">
            <v>42585.412581018521</v>
          </cell>
          <cell r="J50">
            <v>0</v>
          </cell>
          <cell r="K50" t="str">
            <v>4025/4026</v>
          </cell>
          <cell r="L50" t="str">
            <v>HELVIE</v>
          </cell>
          <cell r="M50">
            <v>3.3460648148320615E-2</v>
          </cell>
          <cell r="N50">
            <v>48.183333333581686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https://search-rtdc-monitor-bjffxe2xuh6vdkpspy63sjmuny.us-east-1.es.amazonaws.com/_plugin/kibana/#/discover/Steve-Slow-Train-Analysis-(2080s-and-2083s)?_g=(refreshInterval:(display:Off,section:0,value:0),time:(from:'2016-08-03 08:04:19-0600',mode:absolute,to:'2016-08-03 10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1.43E-2</v>
          </cell>
          <cell r="AA50">
            <v>23.284300000000002</v>
          </cell>
          <cell r="AB50" t="e">
            <v>#N/A</v>
          </cell>
          <cell r="AC50" t="e">
            <v>#N/A</v>
          </cell>
          <cell r="AD50" t="str">
            <v>0138-03</v>
          </cell>
          <cell r="AE50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51">
          <cell r="A51" t="str">
            <v>139-03</v>
          </cell>
          <cell r="B51">
            <v>4038</v>
          </cell>
          <cell r="C51" t="str">
            <v>DE.1.0.7.0</v>
          </cell>
          <cell r="D51" t="str">
            <v>204:453</v>
          </cell>
          <cell r="E51">
            <v>42585.351990740739</v>
          </cell>
          <cell r="F51">
            <v>42585.352986111109</v>
          </cell>
          <cell r="G51">
            <v>1</v>
          </cell>
          <cell r="H51" t="str">
            <v>204:233310</v>
          </cell>
          <cell r="I51">
            <v>42585.381643518522</v>
          </cell>
          <cell r="J51">
            <v>0</v>
          </cell>
          <cell r="K51" t="str">
            <v>4037/4038</v>
          </cell>
          <cell r="L51" t="str">
            <v>ROCHA</v>
          </cell>
          <cell r="M51">
            <v>2.8657407412538305E-2</v>
          </cell>
          <cell r="N51">
            <v>41.266666674055159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https://search-rtdc-monitor-bjffxe2xuh6vdkpspy63sjmuny.us-east-1.es.amazonaws.com/_plugin/kibana/#/discover/Steve-Slow-Train-Analysis-(2080s-and-2083s)?_g=(refreshInterval:(display:Off,section:0,value:0),time:(from:'2016-08-03 07:26:52-0600',mode:absolute,to:'2016-08-03 10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4.53E-2</v>
          </cell>
          <cell r="Z51">
            <v>23.331</v>
          </cell>
          <cell r="AA51">
            <v>23.285699999999999</v>
          </cell>
          <cell r="AB51" t="e">
            <v>#N/A</v>
          </cell>
          <cell r="AC51" t="e">
            <v>#N/A</v>
          </cell>
          <cell r="AD51" t="str">
            <v>0139-03</v>
          </cell>
          <cell r="AE51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52">
          <cell r="A52" t="str">
            <v>140-03</v>
          </cell>
          <cell r="B52">
            <v>4037</v>
          </cell>
          <cell r="C52" t="str">
            <v>DE.1.0.7.0</v>
          </cell>
          <cell r="D52" t="str">
            <v>204:232987</v>
          </cell>
          <cell r="E52">
            <v>42585.391562500001</v>
          </cell>
          <cell r="F52">
            <v>42585.392453703702</v>
          </cell>
          <cell r="G52">
            <v>1</v>
          </cell>
          <cell r="H52" t="str">
            <v>204:149</v>
          </cell>
          <cell r="I52">
            <v>42585.420405092591</v>
          </cell>
          <cell r="J52">
            <v>0</v>
          </cell>
          <cell r="K52" t="str">
            <v>4037/4038</v>
          </cell>
          <cell r="L52" t="str">
            <v>ROCHA</v>
          </cell>
          <cell r="M52">
            <v>2.7951388889050577E-2</v>
          </cell>
          <cell r="N52">
            <v>40.250000000232831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https://search-rtdc-monitor-bjffxe2xuh6vdkpspy63sjmuny.us-east-1.es.amazonaws.com/_plugin/kibana/#/discover/Steve-Slow-Train-Analysis-(2080s-and-2083s)?_g=(refreshInterval:(display:Off,section:0,value:0),time:(from:'2016-08-03 08:23:51-0600',mode:absolute,to:'2016-08-03 11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23.2987</v>
          </cell>
          <cell r="Z52">
            <v>1.49E-2</v>
          </cell>
          <cell r="AA52">
            <v>23.283799999999999</v>
          </cell>
          <cell r="AB52" t="e">
            <v>#N/A</v>
          </cell>
          <cell r="AC52" t="e">
            <v>#N/A</v>
          </cell>
          <cell r="AD52" t="str">
            <v>0140-03</v>
          </cell>
          <cell r="AE52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53">
          <cell r="A53" t="str">
            <v>141-03</v>
          </cell>
          <cell r="B53">
            <v>4018</v>
          </cell>
          <cell r="C53" t="str">
            <v>DE.1.0.7.0</v>
          </cell>
          <cell r="D53" t="str">
            <v>204:462</v>
          </cell>
          <cell r="E53">
            <v>42585.361770833333</v>
          </cell>
          <cell r="F53">
            <v>42585.362766203703</v>
          </cell>
          <cell r="G53">
            <v>1</v>
          </cell>
          <cell r="H53" t="str">
            <v>204:233301</v>
          </cell>
          <cell r="I53">
            <v>42585.389189814814</v>
          </cell>
          <cell r="J53">
            <v>0</v>
          </cell>
          <cell r="K53" t="str">
            <v>4017/4018</v>
          </cell>
          <cell r="L53" t="str">
            <v>MAELZER</v>
          </cell>
          <cell r="M53">
            <v>2.6423611110658385E-2</v>
          </cell>
          <cell r="N53">
            <v>38.049999999348074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https://search-rtdc-monitor-bjffxe2xuh6vdkpspy63sjmuny.us-east-1.es.amazonaws.com/_plugin/kibana/#/discover/Steve-Slow-Train-Analysis-(2080s-and-2083s)?_g=(refreshInterval:(display:Off,section:0,value:0),time:(from:'2016-08-03 07:40:57-0600',mode:absolute,to:'2016-08-03 10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4.6199999999999998E-2</v>
          </cell>
          <cell r="Z53">
            <v>23.330100000000002</v>
          </cell>
          <cell r="AA53">
            <v>23.283900000000003</v>
          </cell>
          <cell r="AB53" t="e">
            <v>#N/A</v>
          </cell>
          <cell r="AC53" t="e">
            <v>#N/A</v>
          </cell>
          <cell r="AD53" t="str">
            <v>0141-03</v>
          </cell>
          <cell r="AE53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54">
          <cell r="A54" t="str">
            <v>142-03</v>
          </cell>
          <cell r="B54">
            <v>4017</v>
          </cell>
          <cell r="C54" t="str">
            <v>DE.1.0.7.0</v>
          </cell>
          <cell r="D54" t="str">
            <v>204:232975</v>
          </cell>
          <cell r="E54">
            <v>42585.399259259262</v>
          </cell>
          <cell r="F54">
            <v>42585.400682870371</v>
          </cell>
          <cell r="G54">
            <v>2</v>
          </cell>
          <cell r="H54" t="str">
            <v>204:143</v>
          </cell>
          <cell r="I54">
            <v>42585.433807870373</v>
          </cell>
          <cell r="J54">
            <v>0</v>
          </cell>
          <cell r="K54" t="str">
            <v>4017/4018</v>
          </cell>
          <cell r="L54" t="str">
            <v>MAELZER</v>
          </cell>
          <cell r="M54">
            <v>3.312500000174623E-2</v>
          </cell>
          <cell r="N54">
            <v>47.700000002514571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https://search-rtdc-monitor-bjffxe2xuh6vdkpspy63sjmuny.us-east-1.es.amazonaws.com/_plugin/kibana/#/discover/Steve-Slow-Train-Analysis-(2080s-and-2083s)?_g=(refreshInterval:(display:Off,section:0,value:0),time:(from:'2016-08-03 08:34:56-0600',mode:absolute,to:'2016-08-03 11:24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23.297499999999999</v>
          </cell>
          <cell r="Z54">
            <v>1.43E-2</v>
          </cell>
          <cell r="AA54">
            <v>23.283200000000001</v>
          </cell>
          <cell r="AB54" t="e">
            <v>#N/A</v>
          </cell>
          <cell r="AC54" t="e">
            <v>#N/A</v>
          </cell>
          <cell r="AD54" t="str">
            <v>0142-03</v>
          </cell>
          <cell r="AE5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55">
          <cell r="A55" t="str">
            <v>143-03</v>
          </cell>
          <cell r="B55">
            <v>4014</v>
          </cell>
          <cell r="C55" t="str">
            <v>DE.1.0.7.0</v>
          </cell>
          <cell r="D55" t="str">
            <v>204:500</v>
          </cell>
          <cell r="E55">
            <v>42585.371990740743</v>
          </cell>
          <cell r="F55">
            <v>42585.372812499998</v>
          </cell>
          <cell r="G55">
            <v>1</v>
          </cell>
          <cell r="H55" t="str">
            <v>204:233312</v>
          </cell>
          <cell r="I55">
            <v>42585.39984953704</v>
          </cell>
          <cell r="J55">
            <v>0</v>
          </cell>
          <cell r="K55" t="str">
            <v>4013/4014</v>
          </cell>
          <cell r="L55" t="str">
            <v>BRANNON</v>
          </cell>
          <cell r="M55">
            <v>2.7037037041736767E-2</v>
          </cell>
          <cell r="N55">
            <v>38.933333340100944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https://search-rtdc-monitor-bjffxe2xuh6vdkpspy63sjmuny.us-east-1.es.amazonaws.com/_plugin/kibana/#/discover/Steve-Slow-Train-Analysis-(2080s-and-2083s)?_g=(refreshInterval:(display:Off,section:0,value:0),time:(from:'2016-08-03 07:55:40-0600',mode:absolute,to:'2016-08-03 10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5" t="str">
            <v>N</v>
          </cell>
          <cell r="X55">
            <v>1</v>
          </cell>
          <cell r="Y55">
            <v>0.05</v>
          </cell>
          <cell r="Z55">
            <v>23.331199999999999</v>
          </cell>
          <cell r="AA55">
            <v>23.281199999999998</v>
          </cell>
          <cell r="AB55" t="e">
            <v>#N/A</v>
          </cell>
          <cell r="AC55" t="e">
            <v>#N/A</v>
          </cell>
          <cell r="AD55" t="str">
            <v>0143-03</v>
          </cell>
          <cell r="AE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56">
          <cell r="A56" t="str">
            <v>144-03</v>
          </cell>
          <cell r="B56">
            <v>4013</v>
          </cell>
          <cell r="C56" t="str">
            <v>DE.1.0.7.0</v>
          </cell>
          <cell r="D56" t="str">
            <v>204:232985</v>
          </cell>
          <cell r="E56">
            <v>42585.408912037034</v>
          </cell>
          <cell r="F56">
            <v>42585.410312499997</v>
          </cell>
          <cell r="G56">
            <v>2</v>
          </cell>
          <cell r="H56" t="str">
            <v>204:128444</v>
          </cell>
          <cell r="I56">
            <v>42585.423217592594</v>
          </cell>
          <cell r="J56">
            <v>1</v>
          </cell>
          <cell r="K56" t="str">
            <v>4013/4014</v>
          </cell>
          <cell r="L56" t="str">
            <v>BRANNON</v>
          </cell>
          <cell r="M56">
            <v>1.2905092597065959E-2</v>
          </cell>
          <cell r="N56">
            <v>18.583333339774981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https://search-rtdc-monitor-bjffxe2xuh6vdkpspy63sjmuny.us-east-1.es.amazonaws.com/_plugin/kibana/#/discover/Steve-Slow-Train-Analysis-(2080s-and-2083s)?_g=(refreshInterval:(display:Off,section:0,value:0),time:(from:'2016-08-03 08:48:50-0600',mode:absolute,to:'2016-08-03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6" t="str">
            <v>N</v>
          </cell>
          <cell r="X56">
            <v>1</v>
          </cell>
          <cell r="Y56">
            <v>23.298500000000001</v>
          </cell>
          <cell r="Z56">
            <v>0.01</v>
          </cell>
          <cell r="AA56">
            <v>23.288499999999999</v>
          </cell>
          <cell r="AB56" t="e">
            <v>#N/A</v>
          </cell>
          <cell r="AC56" t="e">
            <v>#N/A</v>
          </cell>
          <cell r="AD56" t="str">
            <v>0144-03</v>
          </cell>
          <cell r="AE56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57">
          <cell r="A57" t="str">
            <v>145-03</v>
          </cell>
          <cell r="B57">
            <v>4011</v>
          </cell>
          <cell r="C57" t="str">
            <v>DE.1.0.7.0</v>
          </cell>
          <cell r="D57" t="str">
            <v>204:444</v>
          </cell>
          <cell r="E57">
            <v>42585.381111111114</v>
          </cell>
          <cell r="F57">
            <v>42585.382337962961</v>
          </cell>
          <cell r="G57">
            <v>1</v>
          </cell>
          <cell r="H57" t="str">
            <v>204:233312</v>
          </cell>
          <cell r="I57">
            <v>42585.410381944443</v>
          </cell>
          <cell r="J57">
            <v>0</v>
          </cell>
          <cell r="K57" t="str">
            <v>4011/4012</v>
          </cell>
          <cell r="L57" t="str">
            <v>ACKERMAN</v>
          </cell>
          <cell r="M57">
            <v>2.8043981481459923E-2</v>
          </cell>
          <cell r="N57">
            <v>40.383333333302289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https://search-rtdc-monitor-bjffxe2xuh6vdkpspy63sjmuny.us-east-1.es.amazonaws.com/_plugin/kibana/#/discover/Steve-Slow-Train-Analysis-(2080s-and-2083s)?_g=(refreshInterval:(display:Off,section:0,value:0),time:(from:'2016-08-03 08:08:48-0600',mode:absolute,to:'2016-08-03 10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7" t="str">
            <v>N</v>
          </cell>
          <cell r="X57">
            <v>1</v>
          </cell>
          <cell r="Y57">
            <v>4.4400000000000002E-2</v>
          </cell>
          <cell r="Z57">
            <v>23.331199999999999</v>
          </cell>
          <cell r="AA57">
            <v>23.286799999999999</v>
          </cell>
          <cell r="AB57" t="e">
            <v>#N/A</v>
          </cell>
          <cell r="AC57" t="e">
            <v>#N/A</v>
          </cell>
          <cell r="AD57" t="str">
            <v>0145-03</v>
          </cell>
          <cell r="AE5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58">
          <cell r="A58" t="str">
            <v>146-03</v>
          </cell>
          <cell r="B58">
            <v>4012</v>
          </cell>
          <cell r="C58" t="str">
            <v>DE.1.0.7.0</v>
          </cell>
          <cell r="D58" t="str">
            <v>204:232982</v>
          </cell>
          <cell r="E58">
            <v>42585.417013888888</v>
          </cell>
          <cell r="F58">
            <v>42585.418078703704</v>
          </cell>
          <cell r="G58">
            <v>1</v>
          </cell>
          <cell r="H58" t="str">
            <v>204:134</v>
          </cell>
          <cell r="I58">
            <v>42585.454340277778</v>
          </cell>
          <cell r="J58">
            <v>0</v>
          </cell>
          <cell r="K58" t="str">
            <v>4011/4012</v>
          </cell>
          <cell r="L58" t="str">
            <v>ACKERMAN</v>
          </cell>
          <cell r="M58">
            <v>3.6261574074160308E-2</v>
          </cell>
          <cell r="N58">
            <v>52.216666666790843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https://search-rtdc-monitor-bjffxe2xuh6vdkpspy63sjmuny.us-east-1.es.amazonaws.com/_plugin/kibana/#/discover/Steve-Slow-Train-Analysis-(2080s-and-2083s)?_g=(refreshInterval:(display:Off,section:0,value:0),time:(from:'2016-08-03 09:00:30-0600',mode:absolute,to:'2016-08-03 11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1.34E-2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0146-03</v>
          </cell>
          <cell r="AE58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59">
          <cell r="A59" t="str">
            <v>147-03</v>
          </cell>
          <cell r="B59">
            <v>4044</v>
          </cell>
          <cell r="C59" t="str">
            <v>DE.1.0.7.0</v>
          </cell>
          <cell r="D59" t="str">
            <v>204:478</v>
          </cell>
          <cell r="E59">
            <v>42585.393460648149</v>
          </cell>
          <cell r="F59">
            <v>42585.394375000003</v>
          </cell>
          <cell r="G59">
            <v>1</v>
          </cell>
          <cell r="H59" t="str">
            <v>204:233293</v>
          </cell>
          <cell r="I59">
            <v>42585.428703703707</v>
          </cell>
          <cell r="J59">
            <v>0</v>
          </cell>
          <cell r="K59" t="str">
            <v>4043/4044</v>
          </cell>
          <cell r="L59" t="str">
            <v>STRICKLAND</v>
          </cell>
          <cell r="M59">
            <v>3.4328703703067731E-2</v>
          </cell>
          <cell r="N59">
            <v>49.433333332417533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https://search-rtdc-monitor-bjffxe2xuh6vdkpspy63sjmuny.us-east-1.es.amazonaws.com/_plugin/kibana/#/discover/Steve-Slow-Train-Analysis-(2080s-and-2083s)?_g=(refreshInterval:(display:Off,section:0,value:0),time:(from:'2016-08-03 08:26:35-0600',mode:absolute,to:'2016-08-03 11:17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9" t="str">
            <v>N</v>
          </cell>
          <cell r="X59">
            <v>1</v>
          </cell>
          <cell r="Y59">
            <v>4.7800000000000002E-2</v>
          </cell>
          <cell r="Z59">
            <v>23.3293</v>
          </cell>
          <cell r="AA59">
            <v>23.281500000000001</v>
          </cell>
          <cell r="AB59" t="e">
            <v>#N/A</v>
          </cell>
          <cell r="AC59" t="e">
            <v>#N/A</v>
          </cell>
          <cell r="AD59" t="str">
            <v>0147-03</v>
          </cell>
          <cell r="AE5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60">
          <cell r="A60" t="str">
            <v>148-03</v>
          </cell>
          <cell r="B60">
            <v>4043</v>
          </cell>
          <cell r="C60" t="str">
            <v>DE.1.0.7.0</v>
          </cell>
          <cell r="D60" t="str">
            <v>204:232979</v>
          </cell>
          <cell r="E60">
            <v>42585.432129629633</v>
          </cell>
          <cell r="F60">
            <v>42585.433298611111</v>
          </cell>
          <cell r="G60">
            <v>1</v>
          </cell>
          <cell r="H60" t="str">
            <v>204:132</v>
          </cell>
          <cell r="I60">
            <v>42585.464305555557</v>
          </cell>
          <cell r="J60">
            <v>2</v>
          </cell>
          <cell r="K60" t="str">
            <v>4043/4044</v>
          </cell>
          <cell r="L60" t="str">
            <v>STRICKLAND</v>
          </cell>
          <cell r="M60">
            <v>3.1006944445834961E-2</v>
          </cell>
          <cell r="N60">
            <v>44.650000002002344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1.32E-2</v>
          </cell>
          <cell r="AA60">
            <v>23.284699999999997</v>
          </cell>
          <cell r="AB60" t="e">
            <v>#N/A</v>
          </cell>
          <cell r="AC60" t="e">
            <v>#N/A</v>
          </cell>
          <cell r="AD60" t="str">
            <v>0148-03</v>
          </cell>
          <cell r="AE6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61">
          <cell r="A61" t="str">
            <v>149-03</v>
          </cell>
          <cell r="B61">
            <v>4042</v>
          </cell>
          <cell r="C61" t="str">
            <v>DE.1.0.7.0</v>
          </cell>
          <cell r="D61" t="str">
            <v>204:497</v>
          </cell>
          <cell r="E61">
            <v>42585.403090277781</v>
          </cell>
          <cell r="F61">
            <v>42585.404236111113</v>
          </cell>
          <cell r="G61">
            <v>1</v>
          </cell>
          <cell r="H61" t="str">
            <v>204:233320</v>
          </cell>
          <cell r="I61">
            <v>42585.433854166666</v>
          </cell>
          <cell r="J61">
            <v>0</v>
          </cell>
          <cell r="K61" t="str">
            <v>4041/4042</v>
          </cell>
          <cell r="L61" t="str">
            <v>SPECTOR</v>
          </cell>
          <cell r="M61">
            <v>2.9618055552418809E-2</v>
          </cell>
          <cell r="N61">
            <v>42.649999995483086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https://search-rtdc-monitor-bjffxe2xuh6vdkpspy63sjmuny.us-east-1.es.amazonaws.com/_plugin/kibana/#/discover/Steve-Slow-Train-Analysis-(2080s-and-2083s)?_g=(refreshInterval:(display:Off,section:0,value:0),time:(from:'2016-08-03 08:40:27-0600',mode:absolute,to:'2016-08-03 11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1" t="str">
            <v>N</v>
          </cell>
          <cell r="X61">
            <v>1</v>
          </cell>
          <cell r="Y61">
            <v>4.9700000000000001E-2</v>
          </cell>
          <cell r="Z61">
            <v>23.332000000000001</v>
          </cell>
          <cell r="AA61">
            <v>23.282299999999999</v>
          </cell>
          <cell r="AB61" t="e">
            <v>#N/A</v>
          </cell>
          <cell r="AC61" t="e">
            <v>#N/A</v>
          </cell>
          <cell r="AD61" t="str">
            <v>0149-03</v>
          </cell>
          <cell r="AE61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62">
          <cell r="A62" t="str">
            <v>150-03</v>
          </cell>
          <cell r="B62">
            <v>4041</v>
          </cell>
          <cell r="C62" t="str">
            <v>DE.1.0.7.0</v>
          </cell>
          <cell r="D62" t="str">
            <v>204:232984</v>
          </cell>
          <cell r="E62">
            <v>42585.442893518521</v>
          </cell>
          <cell r="F62">
            <v>42585.443877314814</v>
          </cell>
          <cell r="G62">
            <v>1</v>
          </cell>
          <cell r="H62" t="str">
            <v>204:156</v>
          </cell>
          <cell r="I62">
            <v>42585.472650462965</v>
          </cell>
          <cell r="J62">
            <v>0</v>
          </cell>
          <cell r="K62" t="str">
            <v>4041/4042</v>
          </cell>
          <cell r="L62" t="str">
            <v>SPECTOR</v>
          </cell>
          <cell r="M62">
            <v>2.8773148151230998E-2</v>
          </cell>
          <cell r="N62">
            <v>41.433333337772638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https://search-rtdc-monitor-bjffxe2xuh6vdkpspy63sjmuny.us-east-1.es.amazonaws.com/_plugin/kibana/#/discover/Steve-Slow-Train-Analysis-(2080s-and-2083s)?_g=(refreshInterval:(display:Off,section:0,value:0),time:(from:'2016-08-03 09:37:46-0600',mode:absolute,to:'2016-08-03 12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2" t="str">
            <v>N</v>
          </cell>
          <cell r="X62">
            <v>1</v>
          </cell>
          <cell r="Y62">
            <v>23.298400000000001</v>
          </cell>
          <cell r="Z62">
            <v>1.5599999999999999E-2</v>
          </cell>
          <cell r="AA62">
            <v>23.282800000000002</v>
          </cell>
          <cell r="AB62" t="e">
            <v>#N/A</v>
          </cell>
          <cell r="AC62" t="e">
            <v>#N/A</v>
          </cell>
          <cell r="AD62" t="str">
            <v>0150-03</v>
          </cell>
          <cell r="AE62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63">
          <cell r="A63" t="str">
            <v>151-03</v>
          </cell>
          <cell r="B63">
            <v>4025</v>
          </cell>
          <cell r="C63" t="str">
            <v>DE.1.0.7.0</v>
          </cell>
          <cell r="D63" t="str">
            <v>204:447</v>
          </cell>
          <cell r="E63">
            <v>42585.41369212963</v>
          </cell>
          <cell r="F63">
            <v>42585.414895833332</v>
          </cell>
          <cell r="G63">
            <v>1</v>
          </cell>
          <cell r="H63" t="str">
            <v>204:233332</v>
          </cell>
          <cell r="I63">
            <v>42585.442835648151</v>
          </cell>
          <cell r="J63">
            <v>0</v>
          </cell>
          <cell r="K63" t="str">
            <v>4025/4026</v>
          </cell>
          <cell r="L63" t="str">
            <v>HELVIE</v>
          </cell>
          <cell r="M63">
            <v>2.7939814819546882E-2</v>
          </cell>
          <cell r="N63">
            <v>40.23333334014751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https://search-rtdc-monitor-bjffxe2xuh6vdkpspy63sjmuny.us-east-1.es.amazonaws.com/_plugin/kibana/#/discover/Steve-Slow-Train-Analysis-(2080s-and-2083s)?_g=(refreshInterval:(display:Off,section:0,value:0),time:(from:'2016-08-03 08:55:43-0600',mode:absolute,to:'2016-08-03 11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4.4699999999999997E-2</v>
          </cell>
          <cell r="Z63">
            <v>23.333200000000001</v>
          </cell>
          <cell r="AA63">
            <v>23.288500000000003</v>
          </cell>
          <cell r="AB63" t="e">
            <v>#N/A</v>
          </cell>
          <cell r="AC63" t="e">
            <v>#N/A</v>
          </cell>
          <cell r="AD63" t="str">
            <v>0151-03</v>
          </cell>
          <cell r="AE6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64">
          <cell r="A64" t="str">
            <v>152-03</v>
          </cell>
          <cell r="B64">
            <v>4026</v>
          </cell>
          <cell r="C64" t="str">
            <v>DE.1.0.7.0</v>
          </cell>
          <cell r="D64" t="str">
            <v>204:233000</v>
          </cell>
          <cell r="E64">
            <v>42585.449143518519</v>
          </cell>
          <cell r="F64">
            <v>42585.449988425928</v>
          </cell>
          <cell r="G64">
            <v>1</v>
          </cell>
          <cell r="H64" t="str">
            <v>204:158</v>
          </cell>
          <cell r="I64">
            <v>42585.481550925928</v>
          </cell>
          <cell r="J64">
            <v>0</v>
          </cell>
          <cell r="K64" t="str">
            <v>4025/4026</v>
          </cell>
          <cell r="L64" t="str">
            <v>HELVIE</v>
          </cell>
          <cell r="M64">
            <v>3.1562500000291038E-2</v>
          </cell>
          <cell r="N64">
            <v>45.450000000419095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https://search-rtdc-monitor-bjffxe2xuh6vdkpspy63sjmuny.us-east-1.es.amazonaws.com/_plugin/kibana/#/discover/Steve-Slow-Train-Analysis-(2080s-and-2083s)?_g=(refreshInterval:(display:Off,section:0,value:0),time:(from:'2016-08-03 09:46:46-0600',mode:absolute,to:'2016-08-03 12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23.3</v>
          </cell>
          <cell r="Z64">
            <v>1.5800000000000002E-2</v>
          </cell>
          <cell r="AA64">
            <v>23.284200000000002</v>
          </cell>
          <cell r="AB64" t="e">
            <v>#N/A</v>
          </cell>
          <cell r="AC64" t="e">
            <v>#N/A</v>
          </cell>
          <cell r="AD64" t="str">
            <v>0152-03</v>
          </cell>
          <cell r="AE6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65">
          <cell r="A65" t="str">
            <v>153-03</v>
          </cell>
          <cell r="B65">
            <v>4038</v>
          </cell>
          <cell r="C65" t="str">
            <v>DE.1.0.7.0</v>
          </cell>
          <cell r="D65" t="str">
            <v>204:458</v>
          </cell>
          <cell r="E65">
            <v>42585.42560185185</v>
          </cell>
          <cell r="F65">
            <v>42585.426469907405</v>
          </cell>
          <cell r="G65">
            <v>1</v>
          </cell>
          <cell r="H65" t="str">
            <v>204:233303</v>
          </cell>
          <cell r="I65">
            <v>42585.451932870368</v>
          </cell>
          <cell r="J65">
            <v>0</v>
          </cell>
          <cell r="K65" t="str">
            <v>4037/4038</v>
          </cell>
          <cell r="L65" t="str">
            <v>ROCHA</v>
          </cell>
          <cell r="M65">
            <v>2.5462962963501923E-2</v>
          </cell>
          <cell r="N65">
            <v>36.666666667442769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https://search-rtdc-monitor-bjffxe2xuh6vdkpspy63sjmuny.us-east-1.es.amazonaws.com/_plugin/kibana/#/discover/Steve-Slow-Train-Analysis-(2080s-and-2083s)?_g=(refreshInterval:(display:Off,section:0,value:0),time:(from:'2016-08-03 09:12:52-0600',mode:absolute,to:'2016-08-03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4.58E-2</v>
          </cell>
          <cell r="Z65">
            <v>23.330300000000001</v>
          </cell>
          <cell r="AA65">
            <v>23.284500000000001</v>
          </cell>
          <cell r="AB65" t="e">
            <v>#N/A</v>
          </cell>
          <cell r="AC65" t="e">
            <v>#N/A</v>
          </cell>
          <cell r="AD65" t="str">
            <v>0153-03</v>
          </cell>
          <cell r="AE6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66">
          <cell r="A66" t="str">
            <v>154-03</v>
          </cell>
          <cell r="B66">
            <v>4037</v>
          </cell>
          <cell r="C66" t="str">
            <v>DE.1.0.7.0</v>
          </cell>
          <cell r="D66" t="str">
            <v>204:232978</v>
          </cell>
          <cell r="E66">
            <v>42585.463379629633</v>
          </cell>
          <cell r="F66">
            <v>42585.464641203704</v>
          </cell>
          <cell r="G66">
            <v>1</v>
          </cell>
          <cell r="H66" t="str">
            <v>204:154</v>
          </cell>
          <cell r="I66">
            <v>42585.4921875</v>
          </cell>
          <cell r="J66">
            <v>0</v>
          </cell>
          <cell r="K66" t="str">
            <v>4037/4038</v>
          </cell>
          <cell r="L66" t="str">
            <v>ROCHA</v>
          </cell>
          <cell r="M66">
            <v>2.7546296296350192E-2</v>
          </cell>
          <cell r="N66">
            <v>39.666666666744277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https://search-rtdc-monitor-bjffxe2xuh6vdkpspy63sjmuny.us-east-1.es.amazonaws.com/_plugin/kibana/#/discover/Steve-Slow-Train-Analysis-(2080s-and-2083s)?_g=(refreshInterval:(display:Off,section:0,value:0),time:(from:'2016-08-03 10:07:16-0600',mode:absolute,to:'2016-08-03 12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23.297799999999999</v>
          </cell>
          <cell r="Z66">
            <v>1.54E-2</v>
          </cell>
          <cell r="AA66">
            <v>23.282399999999999</v>
          </cell>
          <cell r="AB66" t="e">
            <v>#N/A</v>
          </cell>
          <cell r="AC66" t="e">
            <v>#N/A</v>
          </cell>
          <cell r="AD66" t="str">
            <v>0154-03</v>
          </cell>
          <cell r="AE6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67">
          <cell r="A67" t="str">
            <v>155-03</v>
          </cell>
          <cell r="B67">
            <v>4018</v>
          </cell>
          <cell r="C67" t="str">
            <v>DE.1.0.7.0</v>
          </cell>
          <cell r="D67" t="str">
            <v>204:460</v>
          </cell>
          <cell r="E67">
            <v>42585.436712962961</v>
          </cell>
          <cell r="F67">
            <v>42585.438449074078</v>
          </cell>
          <cell r="G67">
            <v>2</v>
          </cell>
          <cell r="H67" t="str">
            <v>204:233304</v>
          </cell>
          <cell r="I67">
            <v>42585.463333333333</v>
          </cell>
          <cell r="J67">
            <v>0</v>
          </cell>
          <cell r="K67" t="str">
            <v>4017/4018</v>
          </cell>
          <cell r="L67" t="str">
            <v>STARKS</v>
          </cell>
          <cell r="M67">
            <v>2.488425925548654E-2</v>
          </cell>
          <cell r="N67">
            <v>35.833333327900618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https://search-rtdc-monitor-bjffxe2xuh6vdkpspy63sjmuny.us-east-1.es.amazonaws.com/_plugin/kibana/#/discover/Steve-Slow-Train-Analysis-(2080s-and-2083s)?_g=(refreshInterval:(display:Off,section:0,value:0),time:(from:'2016-08-03 09:28:52-0600',mode:absolute,to:'2016-08-03 12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7" t="str">
            <v>N</v>
          </cell>
          <cell r="X67">
            <v>1</v>
          </cell>
          <cell r="Y67">
            <v>4.5999999999999999E-2</v>
          </cell>
          <cell r="Z67">
            <v>23.330400000000001</v>
          </cell>
          <cell r="AA67">
            <v>23.284400000000002</v>
          </cell>
          <cell r="AB67" t="e">
            <v>#N/A</v>
          </cell>
          <cell r="AC67" t="e">
            <v>#N/A</v>
          </cell>
          <cell r="AD67" t="str">
            <v>0155-03</v>
          </cell>
          <cell r="AE6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68">
          <cell r="A68" t="str">
            <v>156-03</v>
          </cell>
          <cell r="B68">
            <v>4017</v>
          </cell>
          <cell r="C68" t="str">
            <v>DE.1.0.7.0</v>
          </cell>
          <cell r="D68" t="str">
            <v>204:232977</v>
          </cell>
          <cell r="E68">
            <v>42585.474861111114</v>
          </cell>
          <cell r="F68">
            <v>42585.476041666669</v>
          </cell>
          <cell r="G68">
            <v>1</v>
          </cell>
          <cell r="H68" t="str">
            <v>204:154</v>
          </cell>
          <cell r="I68">
            <v>42585.503159722219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2.7118055550090503E-2</v>
          </cell>
          <cell r="N68">
            <v>39.049999992130324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https://search-rtdc-monitor-bjffxe2xuh6vdkpspy63sjmuny.us-east-1.es.amazonaws.com/_plugin/kibana/#/discover/Steve-Slow-Train-Analysis-(2080s-and-2083s)?_g=(refreshInterval:(display:Off,section:0,value:0),time:(from:'2016-08-03 10:23:48-0600',mode:absolute,to:'2016-08-03 13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1.54E-2</v>
          </cell>
          <cell r="AA68">
            <v>23.282299999999999</v>
          </cell>
          <cell r="AB68" t="e">
            <v>#N/A</v>
          </cell>
          <cell r="AC68" t="e">
            <v>#N/A</v>
          </cell>
          <cell r="AD68" t="str">
            <v>0156-03</v>
          </cell>
          <cell r="AE6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69">
          <cell r="A69" t="str">
            <v>157-03</v>
          </cell>
          <cell r="B69">
            <v>4014</v>
          </cell>
          <cell r="C69" t="str">
            <v>DE.1.0.7.0</v>
          </cell>
          <cell r="D69" t="str">
            <v>204:446</v>
          </cell>
          <cell r="E69">
            <v>42585.445034722223</v>
          </cell>
          <cell r="F69">
            <v>42585.446122685185</v>
          </cell>
          <cell r="G69">
            <v>1</v>
          </cell>
          <cell r="H69" t="str">
            <v>204:233293</v>
          </cell>
          <cell r="I69">
            <v>42585.472685185188</v>
          </cell>
          <cell r="J69">
            <v>0</v>
          </cell>
          <cell r="K69" t="str">
            <v>4013/4014</v>
          </cell>
          <cell r="L69" t="str">
            <v>BRANNON</v>
          </cell>
          <cell r="M69">
            <v>2.6562500002910383E-2</v>
          </cell>
          <cell r="N69">
            <v>38.250000004190952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https://search-rtdc-monitor-bjffxe2xuh6vdkpspy63sjmuny.us-east-1.es.amazonaws.com/_plugin/kibana/#/discover/Steve-Slow-Train-Analysis-(2080s-and-2083s)?_g=(refreshInterval:(display:Off,section:0,value:0),time:(from:'2016-08-03 09:40:51-0600',mode:absolute,to:'2016-08-03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23.3293</v>
          </cell>
          <cell r="AA69">
            <v>23.284700000000001</v>
          </cell>
          <cell r="AB69" t="e">
            <v>#N/A</v>
          </cell>
          <cell r="AC69" t="e">
            <v>#N/A</v>
          </cell>
          <cell r="AD69" t="str">
            <v>0157-03</v>
          </cell>
          <cell r="AE6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70">
          <cell r="A70" t="str">
            <v>158-03</v>
          </cell>
          <cell r="B70">
            <v>4013</v>
          </cell>
          <cell r="C70" t="str">
            <v>DE.1.0.7.0</v>
          </cell>
          <cell r="D70" t="str">
            <v>204:232977</v>
          </cell>
          <cell r="E70">
            <v>42585.479560185187</v>
          </cell>
          <cell r="F70">
            <v>42585.480740740742</v>
          </cell>
          <cell r="G70">
            <v>1</v>
          </cell>
          <cell r="H70" t="str">
            <v>204:167</v>
          </cell>
          <cell r="I70">
            <v>42585.514999999999</v>
          </cell>
          <cell r="J70">
            <v>0</v>
          </cell>
          <cell r="K70" t="str">
            <v>4013/4014</v>
          </cell>
          <cell r="L70" t="str">
            <v>BRANNON</v>
          </cell>
          <cell r="M70">
            <v>3.4259259256941732E-2</v>
          </cell>
          <cell r="N70">
            <v>49.333333329996094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https://search-rtdc-monitor-bjffxe2xuh6vdkpspy63sjmuny.us-east-1.es.amazonaws.com/_plugin/kibana/#/discover/Steve-Slow-Train-Analysis-(2080s-and-2083s)?_g=(refreshInterval:(display:Off,section:0,value:0),time:(from:'2016-08-03 10:30:34-0600',mode:absolute,to:'2016-08-03 13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0" t="str">
            <v>N</v>
          </cell>
          <cell r="X70">
            <v>1</v>
          </cell>
          <cell r="Y70">
            <v>23.297699999999999</v>
          </cell>
          <cell r="Z70">
            <v>1.67E-2</v>
          </cell>
          <cell r="AA70">
            <v>23.280999999999999</v>
          </cell>
          <cell r="AB70" t="e">
            <v>#N/A</v>
          </cell>
          <cell r="AC70" t="e">
            <v>#N/A</v>
          </cell>
          <cell r="AD70" t="str">
            <v>0158-03</v>
          </cell>
          <cell r="AE7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71">
          <cell r="A71" t="str">
            <v>159-03</v>
          </cell>
          <cell r="B71">
            <v>4011</v>
          </cell>
          <cell r="C71" t="str">
            <v>DE.1.0.7.0</v>
          </cell>
          <cell r="D71" t="str">
            <v>204:437</v>
          </cell>
          <cell r="E71">
            <v>42585.455833333333</v>
          </cell>
          <cell r="F71">
            <v>42585.456932870373</v>
          </cell>
          <cell r="G71">
            <v>1</v>
          </cell>
          <cell r="H71" t="str">
            <v>204:233270</v>
          </cell>
          <cell r="I71">
            <v>42585.484918981485</v>
          </cell>
          <cell r="J71">
            <v>0</v>
          </cell>
          <cell r="K71" t="str">
            <v>4011/4012</v>
          </cell>
          <cell r="L71" t="str">
            <v>OUN</v>
          </cell>
          <cell r="M71">
            <v>2.7986111112113576E-2</v>
          </cell>
          <cell r="N71">
            <v>40.30000000144355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https://search-rtdc-monitor-bjffxe2xuh6vdkpspy63sjmuny.us-east-1.es.amazonaws.com/_plugin/kibana/#/discover/Steve-Slow-Train-Analysis-(2080s-and-2083s)?_g=(refreshInterval:(display:Off,section:0,value:0),time:(from:'2016-08-03 09:56:24-0600',mode:absolute,to:'2016-08-03 12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1" t="str">
            <v>N</v>
          </cell>
          <cell r="X71">
            <v>1</v>
          </cell>
          <cell r="Y71">
            <v>4.3700000000000003E-2</v>
          </cell>
          <cell r="Z71">
            <v>23.327000000000002</v>
          </cell>
          <cell r="AA71">
            <v>23.283300000000001</v>
          </cell>
          <cell r="AB71" t="e">
            <v>#N/A</v>
          </cell>
          <cell r="AC71" t="e">
            <v>#N/A</v>
          </cell>
          <cell r="AD71" t="str">
            <v>0159-03</v>
          </cell>
          <cell r="AE7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72">
          <cell r="A72" t="str">
            <v>160-03</v>
          </cell>
          <cell r="B72">
            <v>4012</v>
          </cell>
          <cell r="C72" t="str">
            <v>DE.1.0.7.0</v>
          </cell>
          <cell r="D72" t="str">
            <v>204:232985</v>
          </cell>
          <cell r="E72">
            <v>42585.490416666667</v>
          </cell>
          <cell r="F72">
            <v>42585.491342592592</v>
          </cell>
          <cell r="G72">
            <v>1</v>
          </cell>
          <cell r="H72" t="str">
            <v>204:132</v>
          </cell>
          <cell r="I72">
            <v>42585.523958333331</v>
          </cell>
          <cell r="J72">
            <v>0</v>
          </cell>
          <cell r="K72" t="str">
            <v>4011/4012</v>
          </cell>
          <cell r="L72" t="str">
            <v>OUN</v>
          </cell>
          <cell r="M72">
            <v>3.2615740739856847E-2</v>
          </cell>
          <cell r="N72">
            <v>46.966666665393859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https://search-rtdc-monitor-bjffxe2xuh6vdkpspy63sjmuny.us-east-1.es.amazonaws.com/_plugin/kibana/#/discover/Steve-Slow-Train-Analysis-(2080s-and-2083s)?_g=(refreshInterval:(display:Off,section:0,value:0),time:(from:'2016-08-03 10:46:12-0600',mode:absolute,to:'2016-08-03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2" t="str">
            <v>N</v>
          </cell>
          <cell r="X72">
            <v>1</v>
          </cell>
          <cell r="Y72">
            <v>23.298500000000001</v>
          </cell>
          <cell r="Z72">
            <v>1.32E-2</v>
          </cell>
          <cell r="AA72">
            <v>23.285299999999999</v>
          </cell>
          <cell r="AB72" t="e">
            <v>#N/A</v>
          </cell>
          <cell r="AC72" t="e">
            <v>#N/A</v>
          </cell>
          <cell r="AD72" t="str">
            <v>0160-03</v>
          </cell>
          <cell r="AE7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73">
          <cell r="A73" t="str">
            <v>161-03</v>
          </cell>
          <cell r="B73">
            <v>4044</v>
          </cell>
          <cell r="C73" t="str">
            <v>DE.1.0.7.0</v>
          </cell>
          <cell r="D73" t="str">
            <v>204:455</v>
          </cell>
          <cell r="E73">
            <v>42585.465717592589</v>
          </cell>
          <cell r="F73">
            <v>42585.466585648152</v>
          </cell>
          <cell r="G73">
            <v>1</v>
          </cell>
          <cell r="H73" t="str">
            <v>204:233303</v>
          </cell>
          <cell r="I73">
            <v>42585.494756944441</v>
          </cell>
          <cell r="J73">
            <v>0</v>
          </cell>
          <cell r="K73" t="str">
            <v>4043/4044</v>
          </cell>
          <cell r="L73" t="str">
            <v>BARTLETT</v>
          </cell>
          <cell r="M73">
            <v>2.8171296289656311E-2</v>
          </cell>
          <cell r="N73">
            <v>40.566666657105088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https://search-rtdc-monitor-bjffxe2xuh6vdkpspy63sjmuny.us-east-1.es.amazonaws.com/_plugin/kibana/#/discover/Steve-Slow-Train-Analysis-(2080s-and-2083s)?_g=(refreshInterval:(display:Off,section:0,value:0),time:(from:'2016-08-03 10:10:38-0600',mode:absolute,to:'2016-08-03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3" t="str">
            <v>N</v>
          </cell>
          <cell r="X73">
            <v>1</v>
          </cell>
          <cell r="Y73">
            <v>4.5499999999999999E-2</v>
          </cell>
          <cell r="Z73">
            <v>23.330300000000001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0161-03</v>
          </cell>
          <cell r="AE7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74">
          <cell r="A74" t="str">
            <v>162-03</v>
          </cell>
          <cell r="B74">
            <v>4043</v>
          </cell>
          <cell r="C74" t="str">
            <v>DE.1.0.7.0</v>
          </cell>
          <cell r="D74" t="str">
            <v>204:232977</v>
          </cell>
          <cell r="E74">
            <v>42585.501192129632</v>
          </cell>
          <cell r="F74">
            <v>42585.503391203703</v>
          </cell>
          <cell r="G74">
            <v>3</v>
          </cell>
          <cell r="H74" t="str">
            <v>204:141</v>
          </cell>
          <cell r="I74">
            <v>42585.535416666666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3.202546296233777E-2</v>
          </cell>
          <cell r="N74">
            <v>46.116666665766388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https://search-rtdc-monitor-bjffxe2xuh6vdkpspy63sjmuny.us-east-1.es.amazonaws.com/_plugin/kibana/#/discover/Steve-Slow-Train-Analysis-(2080s-and-2083s)?_g=(refreshInterval:(display:Off,section:0,value:0),time:(from:'2016-08-03 11:01:43-0600',mode:absolute,to:'2016-08-03 13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1.41E-2</v>
          </cell>
          <cell r="AA74">
            <v>23.2836</v>
          </cell>
          <cell r="AB74" t="e">
            <v>#N/A</v>
          </cell>
          <cell r="AC74" t="e">
            <v>#N/A</v>
          </cell>
          <cell r="AD74" t="str">
            <v>0162-03</v>
          </cell>
          <cell r="AE7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75">
          <cell r="A75" t="str">
            <v>163-03</v>
          </cell>
          <cell r="B75">
            <v>4042</v>
          </cell>
          <cell r="C75" t="str">
            <v>DE.1.0.7.0</v>
          </cell>
          <cell r="D75" t="str">
            <v>204:440</v>
          </cell>
          <cell r="E75">
            <v>42585.474560185183</v>
          </cell>
          <cell r="F75">
            <v>42585.475787037038</v>
          </cell>
          <cell r="G75">
            <v>1</v>
          </cell>
          <cell r="H75" t="str">
            <v>204:233302</v>
          </cell>
          <cell r="I75">
            <v>42585.504907407405</v>
          </cell>
          <cell r="J75">
            <v>1</v>
          </cell>
          <cell r="K75" t="str">
            <v>4041/4042</v>
          </cell>
          <cell r="L75" t="str">
            <v>KILLION</v>
          </cell>
          <cell r="M75">
            <v>2.9120370367309079E-2</v>
          </cell>
          <cell r="N75">
            <v>41.933333328925073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https://search-rtdc-monitor-bjffxe2xuh6vdkpspy63sjmuny.us-east-1.es.amazonaws.com/_plugin/kibana/#/discover/Steve-Slow-Train-Analysis-(2080s-and-2083s)?_g=(refreshInterval:(display:Off,section:0,value:0),time:(from:'2016-08-03 10:23:22-0600',mode:absolute,to:'2016-08-03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5" t="str">
            <v>N</v>
          </cell>
          <cell r="X75">
            <v>1</v>
          </cell>
          <cell r="Y75">
            <v>4.3999999999999997E-2</v>
          </cell>
          <cell r="Z75">
            <v>23.330200000000001</v>
          </cell>
          <cell r="AA75">
            <v>23.286200000000001</v>
          </cell>
          <cell r="AB75" t="e">
            <v>#N/A</v>
          </cell>
          <cell r="AC75" t="e">
            <v>#N/A</v>
          </cell>
          <cell r="AD75" t="str">
            <v>0163-03</v>
          </cell>
          <cell r="AE7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76">
          <cell r="A76" t="str">
            <v>164-03</v>
          </cell>
          <cell r="B76">
            <v>4041</v>
          </cell>
          <cell r="C76" t="str">
            <v>DE.1.0.7.0</v>
          </cell>
          <cell r="D76" t="str">
            <v>204:232979</v>
          </cell>
          <cell r="E76">
            <v>42585.511273148149</v>
          </cell>
          <cell r="F76">
            <v>42585.512615740743</v>
          </cell>
          <cell r="G76">
            <v>1</v>
          </cell>
          <cell r="H76" t="str">
            <v>204:4634</v>
          </cell>
          <cell r="I76">
            <v>42585.545358796298</v>
          </cell>
          <cell r="J76">
            <v>3</v>
          </cell>
          <cell r="K76" t="str">
            <v>4041/4042</v>
          </cell>
          <cell r="L76" t="str">
            <v>KILLION</v>
          </cell>
          <cell r="M76">
            <v>3.2743055555329192E-2</v>
          </cell>
          <cell r="N76">
            <v>47.149999999674037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6" t="str">
            <v>Y</v>
          </cell>
          <cell r="X76">
            <v>1</v>
          </cell>
          <cell r="Y76">
            <v>23.297899999999998</v>
          </cell>
          <cell r="Z76">
            <v>0.46339999999999998</v>
          </cell>
          <cell r="AA76">
            <v>22.834499999999998</v>
          </cell>
          <cell r="AB76" t="e">
            <v>#N/A</v>
          </cell>
          <cell r="AC76" t="e">
            <v>#N/A</v>
          </cell>
          <cell r="AD76" t="str">
            <v>0164-03</v>
          </cell>
          <cell r="AE7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77">
          <cell r="A77" t="str">
            <v>165-03</v>
          </cell>
          <cell r="B77">
            <v>4025</v>
          </cell>
          <cell r="C77" t="str">
            <v>DE.1.0.7.0</v>
          </cell>
          <cell r="D77" t="str">
            <v>204:462</v>
          </cell>
          <cell r="E77">
            <v>42585.486157407409</v>
          </cell>
          <cell r="F77">
            <v>42585.487210648149</v>
          </cell>
          <cell r="G77">
            <v>1</v>
          </cell>
          <cell r="H77" t="str">
            <v>204:233301</v>
          </cell>
          <cell r="I77">
            <v>42585.514525462961</v>
          </cell>
          <cell r="J77">
            <v>0</v>
          </cell>
          <cell r="K77" t="str">
            <v>4025/4026</v>
          </cell>
          <cell r="L77" t="str">
            <v>REBOLETTI</v>
          </cell>
          <cell r="M77">
            <v>2.7314814811688848E-2</v>
          </cell>
          <cell r="N77">
            <v>39.333333328831941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https://search-rtdc-monitor-bjffxe2xuh6vdkpspy63sjmuny.us-east-1.es.amazonaws.com/_plugin/kibana/#/discover/Steve-Slow-Train-Analysis-(2080s-and-2083s)?_g=(refreshInterval:(display:Off,section:0,value:0),time:(from:'2016-08-03 10:40:04-0600',mode:absolute,to:'2016-08-03 13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23.330100000000002</v>
          </cell>
          <cell r="AA77">
            <v>23.283900000000003</v>
          </cell>
          <cell r="AB77" t="e">
            <v>#N/A</v>
          </cell>
          <cell r="AC77" t="e">
            <v>#N/A</v>
          </cell>
          <cell r="AD77" t="str">
            <v>0165-03</v>
          </cell>
          <cell r="AE7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78">
          <cell r="A78" t="str">
            <v>166-03</v>
          </cell>
          <cell r="B78">
            <v>4026</v>
          </cell>
          <cell r="C78" t="str">
            <v>DE.1.0.7.0</v>
          </cell>
          <cell r="D78" t="str">
            <v>204:232988</v>
          </cell>
          <cell r="E78">
            <v>42585.523668981485</v>
          </cell>
          <cell r="F78">
            <v>42585.524606481478</v>
          </cell>
          <cell r="G78">
            <v>1</v>
          </cell>
          <cell r="H78" t="str">
            <v>204:2969</v>
          </cell>
          <cell r="I78">
            <v>42585.555949074071</v>
          </cell>
          <cell r="J78">
            <v>1</v>
          </cell>
          <cell r="K78" t="str">
            <v>4025/4026</v>
          </cell>
          <cell r="L78" t="str">
            <v>REBOLETTI</v>
          </cell>
          <cell r="M78">
            <v>3.1342592592409346E-2</v>
          </cell>
          <cell r="N78">
            <v>45.133333333069459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https://search-rtdc-monitor-bjffxe2xuh6vdkpspy63sjmuny.us-east-1.es.amazonaws.com/_plugin/kibana/#/discover/Steve-Slow-Train-Analysis-(2080s-and-2083s)?_g=(refreshInterval:(display:Off,section:0,value:0),time:(from:'2016-08-03 11:34:05-0600',mode:absolute,to:'2016-08-03 14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23.2988</v>
          </cell>
          <cell r="Z78">
            <v>0.2969</v>
          </cell>
          <cell r="AA78">
            <v>23.001899999999999</v>
          </cell>
          <cell r="AB78" t="e">
            <v>#N/A</v>
          </cell>
          <cell r="AC78" t="e">
            <v>#N/A</v>
          </cell>
          <cell r="AD78" t="str">
            <v>0166-03</v>
          </cell>
          <cell r="AE7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79">
          <cell r="A79" t="str">
            <v>167-03</v>
          </cell>
          <cell r="B79">
            <v>4038</v>
          </cell>
          <cell r="C79" t="str">
            <v>DE.1.0.7.0</v>
          </cell>
          <cell r="D79" t="str">
            <v>204:477</v>
          </cell>
          <cell r="E79">
            <v>42585.495243055557</v>
          </cell>
          <cell r="F79">
            <v>42585.496967592589</v>
          </cell>
          <cell r="G79">
            <v>2</v>
          </cell>
          <cell r="H79" t="str">
            <v>204:233366</v>
          </cell>
          <cell r="I79">
            <v>42585.525787037041</v>
          </cell>
          <cell r="J79">
            <v>1</v>
          </cell>
          <cell r="K79" t="str">
            <v>4037/4038</v>
          </cell>
          <cell r="L79" t="str">
            <v>STORY</v>
          </cell>
          <cell r="M79">
            <v>2.881944445107365E-2</v>
          </cell>
          <cell r="N79">
            <v>41.500000009546056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https://search-rtdc-monitor-bjffxe2xuh6vdkpspy63sjmuny.us-east-1.es.amazonaws.com/_plugin/kibana/#/discover/Steve-Slow-Train-Analysis-(2080s-and-2083s)?_g=(refreshInterval:(display:Off,section:0,value:0),time:(from:'2016-08-03 10:53:09-0600',mode:absolute,to:'2016-08-03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4.7699999999999999E-2</v>
          </cell>
          <cell r="Z79">
            <v>23.336600000000001</v>
          </cell>
          <cell r="AA79">
            <v>23.288900000000002</v>
          </cell>
          <cell r="AB79" t="e">
            <v>#N/A</v>
          </cell>
          <cell r="AC79" t="e">
            <v>#N/A</v>
          </cell>
          <cell r="AD79" t="str">
            <v>0167-03</v>
          </cell>
          <cell r="AE7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80">
          <cell r="A80" t="str">
            <v>168-03</v>
          </cell>
          <cell r="B80">
            <v>4037</v>
          </cell>
          <cell r="C80" t="str">
            <v>DE.1.0.7.0</v>
          </cell>
          <cell r="D80" t="str">
            <v>204:233047</v>
          </cell>
          <cell r="E80">
            <v>42585.5309837963</v>
          </cell>
          <cell r="F80">
            <v>42585.532418981478</v>
          </cell>
          <cell r="G80">
            <v>2</v>
          </cell>
          <cell r="H80" t="str">
            <v>204:242</v>
          </cell>
          <cell r="I80">
            <v>42585.566817129627</v>
          </cell>
          <cell r="J80">
            <v>2</v>
          </cell>
          <cell r="K80" t="str">
            <v>4037/4038</v>
          </cell>
          <cell r="L80" t="str">
            <v>STORY</v>
          </cell>
          <cell r="M80">
            <v>3.439814814919373E-2</v>
          </cell>
          <cell r="N80">
            <v>49.533333334838971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23.3047</v>
          </cell>
          <cell r="Z80">
            <v>2.4199999999999999E-2</v>
          </cell>
          <cell r="AA80">
            <v>23.2805</v>
          </cell>
          <cell r="AB80">
            <v>63309</v>
          </cell>
          <cell r="AC80" t="str">
            <v>GRADE CROSSING</v>
          </cell>
          <cell r="AD80" t="str">
            <v>0168-03</v>
          </cell>
          <cell r="AE8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81">
          <cell r="A81" t="str">
            <v>169-03</v>
          </cell>
          <cell r="B81">
            <v>4018</v>
          </cell>
          <cell r="C81" t="str">
            <v>DE.1.0.7.0</v>
          </cell>
          <cell r="D81" t="str">
            <v>204:457</v>
          </cell>
          <cell r="E81">
            <v>42585.509837962964</v>
          </cell>
          <cell r="F81">
            <v>42585.510821759257</v>
          </cell>
          <cell r="G81">
            <v>1</v>
          </cell>
          <cell r="H81" t="str">
            <v>204:233301</v>
          </cell>
          <cell r="I81">
            <v>42585.536238425928</v>
          </cell>
          <cell r="J81">
            <v>0</v>
          </cell>
          <cell r="K81" t="str">
            <v>4017/4018</v>
          </cell>
          <cell r="L81" t="str">
            <v>BRUDER</v>
          </cell>
          <cell r="M81">
            <v>2.5416666670935228E-2</v>
          </cell>
          <cell r="N81">
            <v>36.600000006146729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https://search-rtdc-monitor-bjffxe2xuh6vdkpspy63sjmuny.us-east-1.es.amazonaws.com/_plugin/kibana/#/discover/Steve-Slow-Train-Analysis-(2080s-and-2083s)?_g=(refreshInterval:(display:Off,section:0,value:0),time:(from:'2016-08-03 11:14:10-0600',mode:absolute,to:'2016-08-03 13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4.5699999999999998E-2</v>
          </cell>
          <cell r="Z81">
            <v>23.330100000000002</v>
          </cell>
          <cell r="AA81">
            <v>23.284400000000002</v>
          </cell>
          <cell r="AB81" t="e">
            <v>#N/A</v>
          </cell>
          <cell r="AC81" t="e">
            <v>#N/A</v>
          </cell>
          <cell r="AD81" t="str">
            <v>0169-03</v>
          </cell>
          <cell r="AE8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82">
          <cell r="A82" t="str">
            <v>170-03</v>
          </cell>
          <cell r="B82">
            <v>4017</v>
          </cell>
          <cell r="C82" t="str">
            <v>DE.1.0.7.0</v>
          </cell>
          <cell r="D82" t="str">
            <v>204:232975</v>
          </cell>
          <cell r="E82">
            <v>42585.54420138889</v>
          </cell>
          <cell r="F82">
            <v>42585.545300925929</v>
          </cell>
          <cell r="G82">
            <v>1</v>
          </cell>
          <cell r="H82" t="str">
            <v>204:145</v>
          </cell>
          <cell r="I82">
            <v>42585.577708333331</v>
          </cell>
          <cell r="J82">
            <v>1</v>
          </cell>
          <cell r="K82" t="str">
            <v>4017/4018</v>
          </cell>
          <cell r="L82" t="str">
            <v>BRUDER</v>
          </cell>
          <cell r="M82">
            <v>3.2407407401478849E-2</v>
          </cell>
          <cell r="N82">
            <v>46.666666658129543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https://search-rtdc-monitor-bjffxe2xuh6vdkpspy63sjmuny.us-east-1.es.amazonaws.com/_plugin/kibana/#/discover/Steve-Slow-Train-Analysis-(2080s-and-2083s)?_g=(refreshInterval:(display:Off,section:0,value:0),time:(from:'2016-08-03 12:03:39-0600',mode:absolute,to:'2016-08-03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23.297499999999999</v>
          </cell>
          <cell r="Z82">
            <v>1.4500000000000001E-2</v>
          </cell>
          <cell r="AA82">
            <v>23.282999999999998</v>
          </cell>
          <cell r="AB82" t="e">
            <v>#N/A</v>
          </cell>
          <cell r="AC82" t="e">
            <v>#N/A</v>
          </cell>
          <cell r="AD82" t="str">
            <v>0170-03</v>
          </cell>
          <cell r="AE8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83">
          <cell r="A83" t="str">
            <v>171-03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42585.519155092596</v>
          </cell>
          <cell r="F83">
            <v>42585.520289351851</v>
          </cell>
          <cell r="G83">
            <v>1</v>
          </cell>
          <cell r="H83" t="str">
            <v>204:233289</v>
          </cell>
          <cell r="I83">
            <v>42585.547708333332</v>
          </cell>
          <cell r="J83">
            <v>0</v>
          </cell>
          <cell r="K83" t="str">
            <v>4013/4014</v>
          </cell>
          <cell r="L83" t="str">
            <v>SWANSON</v>
          </cell>
          <cell r="M83">
            <v>2.7418981480877846E-2</v>
          </cell>
          <cell r="N83">
            <v>39.483333332464099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https://search-rtdc-monitor-bjffxe2xuh6vdkpspy63sjmuny.us-east-1.es.amazonaws.com/_plugin/kibana/#/discover/Steve-Slow-Train-Analysis-(2080s-and-2083s)?_g=(refreshInterval:(display:Off,section:0,value:0),time:(from:'2016-08-03 11:27:35-0600',mode:absolute,to:'2016-08-03 14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23.328900000000001</v>
          </cell>
          <cell r="AA83">
            <v>23.282700000000002</v>
          </cell>
          <cell r="AB83" t="e">
            <v>#N/A</v>
          </cell>
          <cell r="AC83" t="e">
            <v>#N/A</v>
          </cell>
          <cell r="AD83" t="str">
            <v>0171-03</v>
          </cell>
          <cell r="AE83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84">
          <cell r="A84" t="str">
            <v>172-03</v>
          </cell>
          <cell r="B84">
            <v>4013</v>
          </cell>
          <cell r="C84" t="str">
            <v>DE.1.0.7.0</v>
          </cell>
          <cell r="D84" t="str">
            <v>204:232972</v>
          </cell>
          <cell r="E84">
            <v>42585.549490740741</v>
          </cell>
          <cell r="F84">
            <v>42585.55064814815</v>
          </cell>
          <cell r="G84">
            <v>1</v>
          </cell>
          <cell r="H84" t="str">
            <v>204:149</v>
          </cell>
          <cell r="I84">
            <v>42585.593391203707</v>
          </cell>
          <cell r="J84">
            <v>0</v>
          </cell>
          <cell r="K84" t="str">
            <v>4013/4014</v>
          </cell>
          <cell r="L84" t="str">
            <v>SWANSON</v>
          </cell>
          <cell r="M84">
            <v>4.2743055557366461E-2</v>
          </cell>
          <cell r="N84">
            <v>61.550000002607703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https://search-rtdc-monitor-bjffxe2xuh6vdkpspy63sjmuny.us-east-1.es.amazonaws.com/_plugin/kibana/#/discover/Steve-Slow-Train-Analysis-(2080s-and-2083s)?_g=(refreshInterval:(display:Off,section:0,value:0),time:(from:'2016-08-03 12:11:16-0600',mode:absolute,to:'2016-08-03 15:14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23.2972</v>
          </cell>
          <cell r="Z84">
            <v>1.49E-2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0172-03</v>
          </cell>
          <cell r="AE84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85">
          <cell r="A85" t="str">
            <v>173-03</v>
          </cell>
          <cell r="B85">
            <v>4011</v>
          </cell>
          <cell r="C85" t="str">
            <v>DE.1.0.7.0</v>
          </cell>
          <cell r="D85" t="str">
            <v>204:435</v>
          </cell>
          <cell r="E85">
            <v>42585.525509259256</v>
          </cell>
          <cell r="F85">
            <v>42585.526446759257</v>
          </cell>
          <cell r="G85">
            <v>1</v>
          </cell>
          <cell r="H85" t="str">
            <v>204:233309</v>
          </cell>
          <cell r="I85">
            <v>42585.557650462964</v>
          </cell>
          <cell r="J85">
            <v>0</v>
          </cell>
          <cell r="K85" t="str">
            <v>4011/4012</v>
          </cell>
          <cell r="L85" t="str">
            <v>OUN</v>
          </cell>
          <cell r="M85">
            <v>3.1203703707433306E-2</v>
          </cell>
          <cell r="N85">
            <v>44.93333333870396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https://search-rtdc-monitor-bjffxe2xuh6vdkpspy63sjmuny.us-east-1.es.amazonaws.com/_plugin/kibana/#/discover/Steve-Slow-Train-Analysis-(2080s-and-2083s)?_g=(refreshInterval:(display:Off,section:0,value:0),time:(from:'2016-08-03 11:36:44-0600',mode:absolute,to:'2016-08-03 14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5" t="str">
            <v>N</v>
          </cell>
          <cell r="X85">
            <v>1</v>
          </cell>
          <cell r="Y85">
            <v>4.3499999999999997E-2</v>
          </cell>
          <cell r="Z85">
            <v>23.3309</v>
          </cell>
          <cell r="AA85">
            <v>23.287399999999998</v>
          </cell>
          <cell r="AB85" t="e">
            <v>#N/A</v>
          </cell>
          <cell r="AC85" t="e">
            <v>#N/A</v>
          </cell>
          <cell r="AD85" t="str">
            <v>0173-03</v>
          </cell>
          <cell r="AE85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86">
          <cell r="A86" t="str">
            <v>174-03</v>
          </cell>
          <cell r="B86">
            <v>4012</v>
          </cell>
          <cell r="C86" t="str">
            <v>DE.1.0.7.0</v>
          </cell>
          <cell r="D86" t="str">
            <v>204:232988</v>
          </cell>
          <cell r="E86">
            <v>42585.562719907408</v>
          </cell>
          <cell r="F86">
            <v>42585.563680555555</v>
          </cell>
          <cell r="G86">
            <v>1</v>
          </cell>
          <cell r="H86" t="str">
            <v>204:145</v>
          </cell>
          <cell r="I86">
            <v>42585.602106481485</v>
          </cell>
          <cell r="J86">
            <v>0</v>
          </cell>
          <cell r="K86" t="str">
            <v>4011/4012</v>
          </cell>
          <cell r="L86" t="str">
            <v>OUN</v>
          </cell>
          <cell r="M86">
            <v>3.8425925929914229E-2</v>
          </cell>
          <cell r="N86">
            <v>55.333333339076489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https://search-rtdc-monitor-bjffxe2xuh6vdkpspy63sjmuny.us-east-1.es.amazonaws.com/_plugin/kibana/#/discover/Steve-Slow-Train-Analysis-(2080s-and-2083s)?_g=(refreshInterval:(display:Off,section:0,value:0),time:(from:'2016-08-03 12:30:19-0600',mode:absolute,to:'2016-08-03 15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6" t="str">
            <v>N</v>
          </cell>
          <cell r="X86">
            <v>1</v>
          </cell>
          <cell r="Y86">
            <v>23.2988</v>
          </cell>
          <cell r="Z86">
            <v>1.4500000000000001E-2</v>
          </cell>
          <cell r="AA86">
            <v>23.284299999999998</v>
          </cell>
          <cell r="AB86" t="e">
            <v>#N/A</v>
          </cell>
          <cell r="AC86" t="e">
            <v>#N/A</v>
          </cell>
          <cell r="AD86" t="str">
            <v>0174-03</v>
          </cell>
          <cell r="AE8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87">
          <cell r="A87" t="str">
            <v>175-03</v>
          </cell>
          <cell r="B87">
            <v>4044</v>
          </cell>
          <cell r="C87" t="str">
            <v>DE.1.0.7.0</v>
          </cell>
          <cell r="D87" t="str">
            <v>204:451</v>
          </cell>
          <cell r="E87">
            <v>42585.536956018521</v>
          </cell>
          <cell r="F87">
            <v>42585.538101851853</v>
          </cell>
          <cell r="G87">
            <v>1</v>
          </cell>
          <cell r="H87" t="str">
            <v>204:233304</v>
          </cell>
          <cell r="I87">
            <v>42585.568460648145</v>
          </cell>
          <cell r="J87">
            <v>0</v>
          </cell>
          <cell r="K87" t="str">
            <v>4043/4044</v>
          </cell>
          <cell r="L87" t="str">
            <v>BARTLETT</v>
          </cell>
          <cell r="M87">
            <v>3.0358796291693579E-2</v>
          </cell>
          <cell r="N87">
            <v>43.716666660038754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https://search-rtdc-monitor-bjffxe2xuh6vdkpspy63sjmuny.us-east-1.es.amazonaws.com/_plugin/kibana/#/discover/Steve-Slow-Train-Analysis-(2080s-and-2083s)?_g=(refreshInterval:(display:Off,section:0,value:0),time:(from:'2016-08-03 11:53:13-0600',mode:absolute,to:'2016-08-03 14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23.330400000000001</v>
          </cell>
          <cell r="AA87">
            <v>23.285299999999999</v>
          </cell>
          <cell r="AB87" t="e">
            <v>#N/A</v>
          </cell>
          <cell r="AC87" t="e">
            <v>#N/A</v>
          </cell>
          <cell r="AD87" t="str">
            <v>0175-03</v>
          </cell>
          <cell r="AE8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88">
          <cell r="A88" t="str">
            <v>176-03</v>
          </cell>
          <cell r="B88">
            <v>4043</v>
          </cell>
          <cell r="C88" t="str">
            <v>DE.1.0.7.0</v>
          </cell>
          <cell r="D88" t="str">
            <v>204:232993</v>
          </cell>
          <cell r="E88">
            <v>42585.571747685186</v>
          </cell>
          <cell r="F88">
            <v>42585.572615740741</v>
          </cell>
          <cell r="G88">
            <v>1</v>
          </cell>
          <cell r="H88" t="str">
            <v>204:165</v>
          </cell>
          <cell r="I88">
            <v>42585.61136574074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3.8749999999708962E-2</v>
          </cell>
          <cell r="N88">
            <v>55.799999999580905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https://search-rtdc-monitor-bjffxe2xuh6vdkpspy63sjmuny.us-east-1.es.amazonaws.com/_plugin/kibana/#/discover/Steve-Slow-Train-Analysis-(2080s-and-2083s)?_g=(refreshInterval:(display:Off,section:0,value:0),time:(from:'2016-08-03 12:43:19-0600',mode:absolute,to:'2016-08-03 15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8" t="str">
            <v>N</v>
          </cell>
          <cell r="X88">
            <v>1</v>
          </cell>
          <cell r="Y88">
            <v>23.299299999999999</v>
          </cell>
          <cell r="Z88">
            <v>1.6500000000000001E-2</v>
          </cell>
          <cell r="AA88">
            <v>23.282799999999998</v>
          </cell>
          <cell r="AB88" t="e">
            <v>#N/A</v>
          </cell>
          <cell r="AC88" t="e">
            <v>#N/A</v>
          </cell>
          <cell r="AD88" t="str">
            <v>0176-03</v>
          </cell>
          <cell r="AE88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89">
          <cell r="A89" t="str">
            <v>177-03</v>
          </cell>
          <cell r="B89">
            <v>4042</v>
          </cell>
          <cell r="C89" t="str">
            <v>DE.1.0.7.0</v>
          </cell>
          <cell r="D89" t="str">
            <v>204:19152</v>
          </cell>
          <cell r="E89">
            <v>42585.557511574072</v>
          </cell>
          <cell r="F89">
            <v>42585.558252314811</v>
          </cell>
          <cell r="G89">
            <v>1</v>
          </cell>
          <cell r="H89" t="str">
            <v>204:233282</v>
          </cell>
          <cell r="I89">
            <v>42585.585092592592</v>
          </cell>
          <cell r="J89">
            <v>0</v>
          </cell>
          <cell r="K89" t="str">
            <v>4041/4042</v>
          </cell>
          <cell r="L89" t="str">
            <v>KILLION</v>
          </cell>
          <cell r="M89">
            <v>2.6840277780138422E-2</v>
          </cell>
          <cell r="P89">
            <v>47.416666676290333</v>
          </cell>
          <cell r="R89" t="str">
            <v>Wi-MAX outage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9" t="str">
            <v>Y</v>
          </cell>
          <cell r="X89">
            <v>1</v>
          </cell>
          <cell r="Y89">
            <v>1.9152</v>
          </cell>
          <cell r="Z89">
            <v>23.328199999999999</v>
          </cell>
          <cell r="AA89">
            <v>21.413</v>
          </cell>
          <cell r="AB89" t="e">
            <v>#N/A</v>
          </cell>
          <cell r="AC89" t="e">
            <v>#N/A</v>
          </cell>
          <cell r="AD89" t="str">
            <v>0177-03</v>
          </cell>
          <cell r="AE8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0">
          <cell r="A90" t="str">
            <v>177-03</v>
          </cell>
          <cell r="B90">
            <v>4042</v>
          </cell>
          <cell r="C90" t="str">
            <v>DE.1.0.7.0</v>
          </cell>
          <cell r="D90" t="str">
            <v>204:462</v>
          </cell>
          <cell r="E90">
            <v>42585.548576388886</v>
          </cell>
          <cell r="F90">
            <v>42585.54960648148</v>
          </cell>
          <cell r="G90">
            <v>1</v>
          </cell>
          <cell r="H90" t="str">
            <v>204:5817</v>
          </cell>
          <cell r="I90">
            <v>42585.555694444447</v>
          </cell>
          <cell r="J90">
            <v>2</v>
          </cell>
          <cell r="K90" t="str">
            <v>4041/4042</v>
          </cell>
          <cell r="L90" t="str">
            <v>KILLION</v>
          </cell>
          <cell r="M90">
            <v>6.0879629672854207E-3</v>
          </cell>
          <cell r="T90" t="str">
            <v>NorthBound</v>
          </cell>
          <cell r="U90">
            <v>0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https://search-rtdc-monitor-bjffxe2xuh6vdkpspy63sjmuny.us-east-1.es.amazonaws.com/_plugin/kibana/#/discover/Steve-Slow-Train-Analysis-(2080s-and-2083s)?_g=(refreshInterval:(display:Off,section:0,value:0),time:(from:'2016-08-03 12:09:57-0600',mode:absolute,to:'2016-08-03 14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0" t="str">
            <v>Y</v>
          </cell>
          <cell r="X90">
            <v>0</v>
          </cell>
          <cell r="Y90">
            <v>4.6199999999999998E-2</v>
          </cell>
          <cell r="Z90">
            <v>0.58169999999999999</v>
          </cell>
          <cell r="AA90">
            <v>0.53549999999999998</v>
          </cell>
          <cell r="AB90" t="e">
            <v>#N/A</v>
          </cell>
          <cell r="AC90" t="e">
            <v>#N/A</v>
          </cell>
          <cell r="AD90" t="str">
            <v>0177-03</v>
          </cell>
          <cell r="AE90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1">
          <cell r="A91" t="str">
            <v>178-03</v>
          </cell>
          <cell r="B91">
            <v>4041</v>
          </cell>
          <cell r="C91" t="str">
            <v>DE.1.0.7.0</v>
          </cell>
          <cell r="D91" t="str">
            <v>204:232973</v>
          </cell>
          <cell r="E91">
            <v>42585.58871527778</v>
          </cell>
          <cell r="F91">
            <v>42585.589641203704</v>
          </cell>
          <cell r="G91">
            <v>1</v>
          </cell>
          <cell r="H91" t="str">
            <v>204:149</v>
          </cell>
          <cell r="I91">
            <v>42585.622141203705</v>
          </cell>
          <cell r="J91">
            <v>0</v>
          </cell>
          <cell r="K91" t="str">
            <v>4041/4042</v>
          </cell>
          <cell r="L91" t="str">
            <v>KILLION</v>
          </cell>
          <cell r="M91">
            <v>3.2500000001164153E-2</v>
          </cell>
          <cell r="N91">
            <v>46.800000001676381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https://search-rtdc-monitor-bjffxe2xuh6vdkpspy63sjmuny.us-east-1.es.amazonaws.com/_plugin/kibana/#/discover/Steve-Slow-Train-Analysis-(2080s-and-2083s)?_g=(refreshInterval:(display:Off,section:0,value:0),time:(from:'2016-08-03 13:07:45-0600',mode:absolute,to:'2016-08-03 15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1" t="str">
            <v>N</v>
          </cell>
          <cell r="X91">
            <v>1</v>
          </cell>
          <cell r="Y91">
            <v>23.2973</v>
          </cell>
          <cell r="Z91">
            <v>1.49E-2</v>
          </cell>
          <cell r="AA91">
            <v>23.282399999999999</v>
          </cell>
          <cell r="AB91" t="e">
            <v>#N/A</v>
          </cell>
          <cell r="AC91" t="e">
            <v>#N/A</v>
          </cell>
          <cell r="AD91" t="str">
            <v>0178-03</v>
          </cell>
          <cell r="AE91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92">
          <cell r="A92" t="str">
            <v>179-03</v>
          </cell>
          <cell r="B92">
            <v>4025</v>
          </cell>
          <cell r="C92" t="str">
            <v>DE.1.0.7.0</v>
          </cell>
          <cell r="D92" t="str">
            <v>204:19137</v>
          </cell>
          <cell r="E92">
            <v>42585.566655092596</v>
          </cell>
          <cell r="F92">
            <v>42585.567615740743</v>
          </cell>
          <cell r="G92">
            <v>1</v>
          </cell>
          <cell r="H92" t="str">
            <v>204:233304</v>
          </cell>
          <cell r="I92">
            <v>42585.595277777778</v>
          </cell>
          <cell r="J92">
            <v>1</v>
          </cell>
          <cell r="K92" t="str">
            <v>4025/4026</v>
          </cell>
          <cell r="L92" t="str">
            <v>REBOLETTI</v>
          </cell>
          <cell r="M92">
            <v>2.7662037035042886E-2</v>
          </cell>
          <cell r="P92">
            <v>48.650000004563481</v>
          </cell>
          <cell r="R92" t="str">
            <v>Wi-MAX outage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https://search-rtdc-monitor-bjffxe2xuh6vdkpspy63sjmuny.us-east-1.es.amazonaws.com/_plugin/kibana/#/discover/Steve-Slow-Train-Analysis-(2080s-and-2083s)?_g=(refreshInterval:(display:Off,section:0,value:0),time:(from:'2016-08-03 12:35:59-0600',mode:absolute,to:'2016-08-03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2" t="str">
            <v>Y</v>
          </cell>
          <cell r="X92">
            <v>1</v>
          </cell>
          <cell r="Y92">
            <v>1.9137</v>
          </cell>
          <cell r="Z92">
            <v>23.330400000000001</v>
          </cell>
          <cell r="AA92">
            <v>21.416700000000002</v>
          </cell>
          <cell r="AB92">
            <v>127562</v>
          </cell>
          <cell r="AC92" t="str">
            <v>GRADE CROSSING</v>
          </cell>
          <cell r="AD92" t="str">
            <v>0179-03</v>
          </cell>
          <cell r="AE92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3">
          <cell r="A93" t="str">
            <v>179-03</v>
          </cell>
          <cell r="B93">
            <v>4025</v>
          </cell>
          <cell r="C93" t="str">
            <v>DE.1.0.7.0</v>
          </cell>
          <cell r="D93" t="str">
            <v>204:446</v>
          </cell>
          <cell r="E93">
            <v>42585.558275462965</v>
          </cell>
          <cell r="F93">
            <v>42585.559189814812</v>
          </cell>
          <cell r="G93">
            <v>1</v>
          </cell>
          <cell r="H93" t="str">
            <v>204:7807</v>
          </cell>
          <cell r="I93">
            <v>42585.565312500003</v>
          </cell>
          <cell r="J93">
            <v>0</v>
          </cell>
          <cell r="K93" t="str">
            <v>4025/4026</v>
          </cell>
          <cell r="L93" t="str">
            <v>REBOLETTI</v>
          </cell>
          <cell r="M93">
            <v>6.1226851903484203E-3</v>
          </cell>
          <cell r="T93" t="str">
            <v>NorthBound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https://search-rtdc-monitor-bjffxe2xuh6vdkpspy63sjmuny.us-east-1.es.amazonaws.com/_plugin/kibana/#/discover/Steve-Slow-Train-Analysis-(2080s-and-2083s)?_g=(refreshInterval:(display:Off,section:0,value:0),time:(from:'2016-08-03 12:23:55-0600',mode:absolute,to:'2016-08-03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3" t="str">
            <v>Y</v>
          </cell>
          <cell r="X93">
            <v>0</v>
          </cell>
          <cell r="Y93">
            <v>4.4600000000000001E-2</v>
          </cell>
          <cell r="Z93">
            <v>0.78069999999999995</v>
          </cell>
          <cell r="AA93">
            <v>0.73609999999999998</v>
          </cell>
          <cell r="AB93">
            <v>127562</v>
          </cell>
          <cell r="AC93" t="str">
            <v>GRADE CROSSING</v>
          </cell>
          <cell r="AD93" t="str">
            <v>0179-03</v>
          </cell>
          <cell r="AE9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4">
          <cell r="A94" t="str">
            <v>180-03</v>
          </cell>
          <cell r="B94">
            <v>4026</v>
          </cell>
          <cell r="C94" t="str">
            <v>DE.1.0.7.0</v>
          </cell>
          <cell r="D94" t="str">
            <v>204:232989</v>
          </cell>
          <cell r="E94">
            <v>42585.59710648148</v>
          </cell>
          <cell r="F94">
            <v>42585.598402777781</v>
          </cell>
          <cell r="G94">
            <v>1</v>
          </cell>
          <cell r="H94" t="str">
            <v>204:134</v>
          </cell>
          <cell r="I94">
            <v>42585.6330787037</v>
          </cell>
          <cell r="J94">
            <v>1</v>
          </cell>
          <cell r="K94" t="str">
            <v>4025/4026</v>
          </cell>
          <cell r="L94" t="str">
            <v>REBOLETTI</v>
          </cell>
          <cell r="M94">
            <v>3.4675925919145811E-2</v>
          </cell>
          <cell r="N94">
            <v>49.933333323569968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https://search-rtdc-monitor-bjffxe2xuh6vdkpspy63sjmuny.us-east-1.es.amazonaws.com/_plugin/kibana/#/discover/Steve-Slow-Train-Analysis-(2080s-and-2083s)?_g=(refreshInterval:(display:Off,section:0,value:0),time:(from:'2016-08-03 13:19:50-0600',mode:absolute,to:'2016-08-03 16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4" t="str">
            <v>N</v>
          </cell>
          <cell r="X94">
            <v>1</v>
          </cell>
          <cell r="Y94">
            <v>23.2989</v>
          </cell>
          <cell r="Z94">
            <v>1.34E-2</v>
          </cell>
          <cell r="AA94">
            <v>23.285499999999999</v>
          </cell>
          <cell r="AB94" t="e">
            <v>#N/A</v>
          </cell>
          <cell r="AC94" t="e">
            <v>#N/A</v>
          </cell>
          <cell r="AD94" t="str">
            <v>0180-03</v>
          </cell>
          <cell r="AE9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95">
          <cell r="A95" t="str">
            <v>181-03</v>
          </cell>
          <cell r="B95">
            <v>4038</v>
          </cell>
          <cell r="C95" t="str">
            <v>DE.1.0.7.0</v>
          </cell>
          <cell r="D95" t="str">
            <v>204:19119</v>
          </cell>
          <cell r="E95">
            <v>42585.576828703706</v>
          </cell>
          <cell r="F95">
            <v>42585.577615740738</v>
          </cell>
          <cell r="G95">
            <v>1</v>
          </cell>
          <cell r="H95" t="str">
            <v>204:233311</v>
          </cell>
          <cell r="I95">
            <v>42585.601053240738</v>
          </cell>
          <cell r="J95">
            <v>0</v>
          </cell>
          <cell r="K95" t="str">
            <v>4037/4038</v>
          </cell>
          <cell r="L95" t="str">
            <v>STORY</v>
          </cell>
          <cell r="M95">
            <v>2.34375E-2</v>
          </cell>
          <cell r="P95">
            <v>33.75</v>
          </cell>
          <cell r="R95" t="str">
            <v>Wi-MAX outage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https://search-rtdc-monitor-bjffxe2xuh6vdkpspy63sjmuny.us-east-1.es.amazonaws.com/_plugin/kibana/#/discover/Steve-Slow-Train-Analysis-(2080s-and-2083s)?_g=(refreshInterval:(display:Off,section:0,value:0),time:(from:'2016-08-03 12:50:38-0600',mode:absolute,to:'2016-08-03 15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5" t="str">
            <v>Y</v>
          </cell>
          <cell r="X95">
            <v>1</v>
          </cell>
          <cell r="Y95">
            <v>1.9118999999999999</v>
          </cell>
          <cell r="Z95">
            <v>23.331099999999999</v>
          </cell>
          <cell r="AA95">
            <v>21.4192</v>
          </cell>
          <cell r="AB95" t="e">
            <v>#N/A</v>
          </cell>
          <cell r="AC95" t="e">
            <v>#N/A</v>
          </cell>
          <cell r="AD95" t="str">
            <v>0181-03</v>
          </cell>
          <cell r="AE9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96">
          <cell r="A96" t="str">
            <v>182-03</v>
          </cell>
          <cell r="B96">
            <v>4037</v>
          </cell>
          <cell r="C96" t="str">
            <v>DE.1.0.7.0</v>
          </cell>
          <cell r="D96" t="str">
            <v>204:232990</v>
          </cell>
          <cell r="E96">
            <v>42585.608113425929</v>
          </cell>
          <cell r="F96">
            <v>42585.608969907407</v>
          </cell>
          <cell r="G96">
            <v>1</v>
          </cell>
          <cell r="H96" t="str">
            <v>204:160</v>
          </cell>
          <cell r="I96">
            <v>42585.642685185187</v>
          </cell>
          <cell r="J96">
            <v>3</v>
          </cell>
          <cell r="K96" t="str">
            <v>4037/4038</v>
          </cell>
          <cell r="L96" t="str">
            <v>STORY</v>
          </cell>
          <cell r="M96">
            <v>3.3715277779265307E-2</v>
          </cell>
          <cell r="N96">
            <v>48.550000002142042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1.6E-2</v>
          </cell>
          <cell r="AA96">
            <v>23.283000000000001</v>
          </cell>
          <cell r="AB96" t="e">
            <v>#N/A</v>
          </cell>
          <cell r="AC96" t="e">
            <v>#N/A</v>
          </cell>
          <cell r="AD96" t="str">
            <v>0182-03</v>
          </cell>
          <cell r="AE9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97">
          <cell r="A97" t="str">
            <v>183-03</v>
          </cell>
          <cell r="B97">
            <v>4018</v>
          </cell>
          <cell r="C97" t="str">
            <v>DE.1.0.7.0</v>
          </cell>
          <cell r="D97" t="str">
            <v>204:467</v>
          </cell>
          <cell r="E97">
            <v>42585.580428240741</v>
          </cell>
          <cell r="F97">
            <v>42585.581782407404</v>
          </cell>
          <cell r="G97">
            <v>1</v>
          </cell>
          <cell r="H97" t="str">
            <v>204:233314</v>
          </cell>
          <cell r="I97">
            <v>42585.611516203702</v>
          </cell>
          <cell r="J97">
            <v>0</v>
          </cell>
          <cell r="K97" t="str">
            <v>4017/4018</v>
          </cell>
          <cell r="L97" t="str">
            <v>BRUDER</v>
          </cell>
          <cell r="M97">
            <v>2.973379629838746E-2</v>
          </cell>
          <cell r="N97">
            <v>42.816666669677943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https://search-rtdc-monitor-bjffxe2xuh6vdkpspy63sjmuny.us-east-1.es.amazonaws.com/_plugin/kibana/#/discover/Steve-Slow-Train-Analysis-(2080s-and-2083s)?_g=(refreshInterval:(display:Off,section:0,value:0),time:(from:'2016-08-03 12:55:49-0600',mode:absolute,to:'2016-08-03 15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4.6699999999999998E-2</v>
          </cell>
          <cell r="Z97">
            <v>23.331399999999999</v>
          </cell>
          <cell r="AA97">
            <v>23.284699999999997</v>
          </cell>
          <cell r="AB97" t="e">
            <v>#N/A</v>
          </cell>
          <cell r="AC97" t="e">
            <v>#N/A</v>
          </cell>
          <cell r="AD97" t="str">
            <v>0183-03</v>
          </cell>
          <cell r="AE9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98">
          <cell r="A98" t="str">
            <v>184-03</v>
          </cell>
          <cell r="B98">
            <v>4017</v>
          </cell>
          <cell r="C98" t="str">
            <v>DE.1.0.7.0</v>
          </cell>
          <cell r="D98" t="str">
            <v>204:233000</v>
          </cell>
          <cell r="E98">
            <v>42585.616111111114</v>
          </cell>
          <cell r="F98">
            <v>42585.616863425923</v>
          </cell>
          <cell r="G98">
            <v>1</v>
          </cell>
          <cell r="H98" t="str">
            <v>204:145</v>
          </cell>
          <cell r="I98">
            <v>42585.657939814817</v>
          </cell>
          <cell r="J98">
            <v>0</v>
          </cell>
          <cell r="K98" t="str">
            <v>4017/4018</v>
          </cell>
          <cell r="L98" t="str">
            <v>BRUDER</v>
          </cell>
          <cell r="M98">
            <v>4.1076388893998228E-2</v>
          </cell>
          <cell r="N98">
            <v>59.150000007357448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https://search-rtdc-monitor-bjffxe2xuh6vdkpspy63sjmuny.us-east-1.es.amazonaws.com/_plugin/kibana/#/discover/Steve-Slow-Train-Analysis-(2080s-and-2083s)?_g=(refreshInterval:(display:Off,section:0,value:0),time:(from:'2016-08-03 13:47:12-0600',mode:absolute,to:'2016-08-03 16:47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23.3</v>
          </cell>
          <cell r="Z98">
            <v>1.4500000000000001E-2</v>
          </cell>
          <cell r="AA98">
            <v>23.285499999999999</v>
          </cell>
          <cell r="AB98" t="e">
            <v>#N/A</v>
          </cell>
          <cell r="AC98" t="e">
            <v>#N/A</v>
          </cell>
          <cell r="AD98" t="str">
            <v>0184-03</v>
          </cell>
          <cell r="AE9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99">
          <cell r="A99" t="str">
            <v>185-03</v>
          </cell>
          <cell r="B99">
            <v>4014</v>
          </cell>
          <cell r="C99" t="str">
            <v>DE.1.0.7.0</v>
          </cell>
          <cell r="D99" t="str">
            <v>204:458</v>
          </cell>
          <cell r="E99">
            <v>42585.594953703701</v>
          </cell>
          <cell r="F99">
            <v>42585.595995370371</v>
          </cell>
          <cell r="G99">
            <v>1</v>
          </cell>
          <cell r="H99" t="str">
            <v>204:233288</v>
          </cell>
          <cell r="I99">
            <v>42585.626932870371</v>
          </cell>
          <cell r="J99">
            <v>0</v>
          </cell>
          <cell r="K99" t="str">
            <v>4013/4014</v>
          </cell>
          <cell r="L99" t="str">
            <v>SWANSON</v>
          </cell>
          <cell r="M99">
            <v>3.0937499999708962E-2</v>
          </cell>
          <cell r="N99">
            <v>44.549999999580905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https://search-rtdc-monitor-bjffxe2xuh6vdkpspy63sjmuny.us-east-1.es.amazonaws.com/_plugin/kibana/#/discover/Steve-Slow-Train-Analysis-(2080s-and-2083s)?_g=(refreshInterval:(display:Off,section:0,value:0),time:(from:'2016-08-03 13:16:44-0600',mode:absolute,to:'2016-08-03 16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23.328800000000001</v>
          </cell>
          <cell r="AA99">
            <v>23.283000000000001</v>
          </cell>
          <cell r="AB99" t="e">
            <v>#N/A</v>
          </cell>
          <cell r="AC99" t="e">
            <v>#N/A</v>
          </cell>
          <cell r="AD99" t="str">
            <v>0185-03</v>
          </cell>
          <cell r="AE9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00">
          <cell r="A100" t="str">
            <v>186-03</v>
          </cell>
          <cell r="B100">
            <v>4013</v>
          </cell>
          <cell r="C100" t="str">
            <v>DE.1.0.7.0</v>
          </cell>
          <cell r="D100" t="str">
            <v>204:232975</v>
          </cell>
          <cell r="E100">
            <v>42585.628888888888</v>
          </cell>
          <cell r="F100">
            <v>42585.629918981482</v>
          </cell>
          <cell r="G100">
            <v>1</v>
          </cell>
          <cell r="H100" t="str">
            <v>204:150</v>
          </cell>
          <cell r="I100">
            <v>42585.666759259257</v>
          </cell>
          <cell r="J100">
            <v>0</v>
          </cell>
          <cell r="K100" t="str">
            <v>4013/4014</v>
          </cell>
          <cell r="L100" t="str">
            <v>SWANSON</v>
          </cell>
          <cell r="M100">
            <v>3.6840277774899732E-2</v>
          </cell>
          <cell r="N100">
            <v>53.049999995855615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https://search-rtdc-monitor-bjffxe2xuh6vdkpspy63sjmuny.us-east-1.es.amazonaws.com/_plugin/kibana/#/discover/Steve-Slow-Train-Analysis-(2080s-and-2083s)?_g=(refreshInterval:(display:Off,section:0,value:0),time:(from:'2016-08-03 14:05:36-0600',mode:absolute,to:'2016-08-03 17:00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0" t="str">
            <v>N</v>
          </cell>
          <cell r="X100">
            <v>1</v>
          </cell>
          <cell r="Y100">
            <v>23.297499999999999</v>
          </cell>
          <cell r="Z100">
            <v>1.4999999999999999E-2</v>
          </cell>
          <cell r="AA100">
            <v>23.282499999999999</v>
          </cell>
          <cell r="AB100" t="e">
            <v>#N/A</v>
          </cell>
          <cell r="AC100" t="e">
            <v>#N/A</v>
          </cell>
          <cell r="AD100" t="str">
            <v>0186-03</v>
          </cell>
          <cell r="AE10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01">
          <cell r="A101" t="str">
            <v>187-03</v>
          </cell>
          <cell r="B101">
            <v>4011</v>
          </cell>
          <cell r="C101" t="str">
            <v>DE.1.0.7.0</v>
          </cell>
          <cell r="D101" t="str">
            <v>204:455</v>
          </cell>
          <cell r="E101">
            <v>42585.603136574071</v>
          </cell>
          <cell r="F101">
            <v>42585.60392361111</v>
          </cell>
          <cell r="G101">
            <v>1</v>
          </cell>
          <cell r="H101" t="str">
            <v>204:233285</v>
          </cell>
          <cell r="I101">
            <v>42585.634247685186</v>
          </cell>
          <cell r="J101">
            <v>1</v>
          </cell>
          <cell r="K101" t="str">
            <v>4011/4012</v>
          </cell>
          <cell r="L101" t="str">
            <v>OUN</v>
          </cell>
          <cell r="M101">
            <v>3.0324074075906537E-2</v>
          </cell>
          <cell r="N101">
            <v>43.666666669305414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https://search-rtdc-monitor-bjffxe2xuh6vdkpspy63sjmuny.us-east-1.es.amazonaws.com/_plugin/kibana/#/discover/Steve-Slow-Train-Analysis-(2080s-and-2083s)?_g=(refreshInterval:(display:Off,section:0,value:0),time:(from:'2016-08-03 13:28:31-0600',mode:absolute,to:'2016-08-03 16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4.5499999999999999E-2</v>
          </cell>
          <cell r="Z101">
            <v>23.328499999999998</v>
          </cell>
          <cell r="AA101">
            <v>23.282999999999998</v>
          </cell>
          <cell r="AB101">
            <v>108954</v>
          </cell>
          <cell r="AC101" t="str">
            <v>GRADE CROSSING</v>
          </cell>
          <cell r="AD101" t="str">
            <v>0187-03</v>
          </cell>
          <cell r="AE10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02">
          <cell r="A102" t="str">
            <v>188-03</v>
          </cell>
          <cell r="B102">
            <v>4012</v>
          </cell>
          <cell r="C102" t="str">
            <v>DE.1.0.7.0</v>
          </cell>
          <cell r="D102" t="str">
            <v>204:232996</v>
          </cell>
          <cell r="E102">
            <v>42585.640057870369</v>
          </cell>
          <cell r="F102">
            <v>42585.642141203702</v>
          </cell>
          <cell r="G102">
            <v>2</v>
          </cell>
          <cell r="H102" t="str">
            <v>204:176</v>
          </cell>
          <cell r="I102">
            <v>42585.676921296297</v>
          </cell>
          <cell r="J102">
            <v>0</v>
          </cell>
          <cell r="K102" t="str">
            <v>4011/4012</v>
          </cell>
          <cell r="L102" t="str">
            <v>OUN</v>
          </cell>
          <cell r="M102">
            <v>3.4780092595610768E-2</v>
          </cell>
          <cell r="N102">
            <v>50.083333337679505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https://search-rtdc-monitor-bjffxe2xuh6vdkpspy63sjmuny.us-east-1.es.amazonaws.com/_plugin/kibana/#/discover/Steve-Slow-Train-Analysis-(2080s-and-2083s)?_g=(refreshInterval:(display:Off,section:0,value:0),time:(from:'2016-08-03 14:21:41-0600',mode:absolute,to:'2016-08-03 17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23.299600000000002</v>
          </cell>
          <cell r="Z102">
            <v>1.7600000000000001E-2</v>
          </cell>
          <cell r="AA102">
            <v>23.282</v>
          </cell>
          <cell r="AB102" t="e">
            <v>#N/A</v>
          </cell>
          <cell r="AC102" t="e">
            <v>#N/A</v>
          </cell>
          <cell r="AD102" t="str">
            <v>0188-03</v>
          </cell>
          <cell r="AE10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03">
          <cell r="A103" t="str">
            <v>189-03</v>
          </cell>
          <cell r="B103">
            <v>4044</v>
          </cell>
          <cell r="C103" t="str">
            <v>DE.1.0.7.0</v>
          </cell>
          <cell r="D103" t="str">
            <v>204:484</v>
          </cell>
          <cell r="E103">
            <v>42585.612210648149</v>
          </cell>
          <cell r="F103">
            <v>42585.612974537034</v>
          </cell>
          <cell r="G103">
            <v>1</v>
          </cell>
          <cell r="H103" t="str">
            <v>204:233289</v>
          </cell>
          <cell r="I103">
            <v>42585.641770833332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2.8796296297514345E-2</v>
          </cell>
          <cell r="N103">
            <v>41.466666668420658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https://search-rtdc-monitor-bjffxe2xuh6vdkpspy63sjmuny.us-east-1.es.amazonaws.com/_plugin/kibana/#/discover/Steve-Slow-Train-Analysis-(2080s-and-2083s)?_g=(refreshInterval:(display:Off,section:0,value:0),time:(from:'2016-08-03 13:41:35-0600',mode:absolute,to:'2016-08-03 16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4.8399999999999999E-2</v>
          </cell>
          <cell r="Z103">
            <v>23.328900000000001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0189-03</v>
          </cell>
          <cell r="AE10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04">
          <cell r="A104" t="str">
            <v>190-03</v>
          </cell>
          <cell r="B104">
            <v>4043</v>
          </cell>
          <cell r="C104" t="str">
            <v>DE.1.0.7.0</v>
          </cell>
          <cell r="D104" t="str">
            <v>204:232990</v>
          </cell>
          <cell r="E104">
            <v>42585.648425925923</v>
          </cell>
          <cell r="F104">
            <v>42585.649317129632</v>
          </cell>
          <cell r="G104">
            <v>1</v>
          </cell>
          <cell r="H104" t="str">
            <v>204:163</v>
          </cell>
          <cell r="I104">
            <v>42585.690081018518</v>
          </cell>
          <cell r="J104">
            <v>0</v>
          </cell>
          <cell r="K104" t="str">
            <v>4043/4044</v>
          </cell>
          <cell r="L104" t="str">
            <v>BARTLETT</v>
          </cell>
          <cell r="M104">
            <v>4.0763888886431232E-2</v>
          </cell>
          <cell r="N104">
            <v>58.699999996460974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https://search-rtdc-monitor-bjffxe2xuh6vdkpspy63sjmuny.us-east-1.es.amazonaws.com/_plugin/kibana/#/discover/Steve-Slow-Train-Analysis-(2080s-and-2083s)?_g=(refreshInterval:(display:Off,section:0,value:0),time:(from:'2016-08-03 14:33:44-0600',mode:absolute,to:'2016-08-03 17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1.6299999999999999E-2</v>
          </cell>
          <cell r="AA104">
            <v>23.282699999999998</v>
          </cell>
          <cell r="AB104" t="e">
            <v>#N/A</v>
          </cell>
          <cell r="AC104" t="e">
            <v>#N/A</v>
          </cell>
          <cell r="AD104" t="str">
            <v>0190-03</v>
          </cell>
          <cell r="AE10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05">
          <cell r="A105" t="str">
            <v>191-03</v>
          </cell>
          <cell r="B105">
            <v>4042</v>
          </cell>
          <cell r="C105" t="str">
            <v>DE.1.0.7.0</v>
          </cell>
          <cell r="D105" t="str">
            <v>204:467</v>
          </cell>
          <cell r="E105">
            <v>42585.624212962961</v>
          </cell>
          <cell r="F105">
            <v>42585.633402777778</v>
          </cell>
          <cell r="G105">
            <v>1</v>
          </cell>
          <cell r="H105" t="str">
            <v>204:233238</v>
          </cell>
          <cell r="I105">
            <v>42585.664282407408</v>
          </cell>
          <cell r="J105">
            <v>0</v>
          </cell>
          <cell r="K105" t="str">
            <v>4041/4042</v>
          </cell>
          <cell r="L105" t="str">
            <v>KILLION</v>
          </cell>
          <cell r="M105">
            <v>3.0879629630362615E-2</v>
          </cell>
          <cell r="N105">
            <v>44.466666667722166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https://search-rtdc-monitor-bjffxe2xuh6vdkpspy63sjmuny.us-east-1.es.amazonaws.com/_plugin/kibana/#/discover/Steve-Slow-Train-Analysis-(2080s-and-2083s)?_g=(refreshInterval:(display:Off,section:0,value:0),time:(from:'2016-08-03 13:58:52-0600',mode:absolute,to:'2016-08-03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5" t="str">
            <v>N</v>
          </cell>
          <cell r="X105">
            <v>1</v>
          </cell>
          <cell r="Y105">
            <v>4.6699999999999998E-2</v>
          </cell>
          <cell r="Z105">
            <v>23.323799999999999</v>
          </cell>
          <cell r="AA105">
            <v>23.277099999999997</v>
          </cell>
          <cell r="AB105" t="e">
            <v>#N/A</v>
          </cell>
          <cell r="AC105" t="e">
            <v>#N/A</v>
          </cell>
          <cell r="AD105" t="str">
            <v>0191-03</v>
          </cell>
          <cell r="AE10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06">
          <cell r="A106" t="str">
            <v>192-03</v>
          </cell>
          <cell r="B106">
            <v>4041</v>
          </cell>
          <cell r="C106" t="str">
            <v>DE.1.0.7.0</v>
          </cell>
          <cell r="D106" t="str">
            <v>204:232928</v>
          </cell>
          <cell r="E106">
            <v>42585.670046296298</v>
          </cell>
          <cell r="F106">
            <v>42585.670995370368</v>
          </cell>
          <cell r="G106">
            <v>1</v>
          </cell>
          <cell r="H106" t="str">
            <v>204:143</v>
          </cell>
          <cell r="I106">
            <v>42585.704930555556</v>
          </cell>
          <cell r="J106">
            <v>3</v>
          </cell>
          <cell r="K106" t="str">
            <v>4041/4042</v>
          </cell>
          <cell r="L106" t="str">
            <v>KILLION</v>
          </cell>
          <cell r="M106">
            <v>3.3935185187146999E-2</v>
          </cell>
          <cell r="N106">
            <v>48.866666669491678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6" t="str">
            <v>N</v>
          </cell>
          <cell r="X106">
            <v>1</v>
          </cell>
          <cell r="Y106">
            <v>23.2928</v>
          </cell>
          <cell r="Z106">
            <v>1.43E-2</v>
          </cell>
          <cell r="AA106">
            <v>23.278500000000001</v>
          </cell>
          <cell r="AB106">
            <v>109135</v>
          </cell>
          <cell r="AC106" t="str">
            <v>GRADE CROSSING</v>
          </cell>
          <cell r="AD106" t="str">
            <v>0192-03</v>
          </cell>
          <cell r="AE10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07">
          <cell r="A107" t="str">
            <v>193-03</v>
          </cell>
          <cell r="B107">
            <v>4025</v>
          </cell>
          <cell r="C107" t="str">
            <v>DE.1.0.7.0</v>
          </cell>
          <cell r="D107" t="str">
            <v>204:449</v>
          </cell>
          <cell r="E107">
            <v>42585.634108796294</v>
          </cell>
          <cell r="F107">
            <v>42585.635162037041</v>
          </cell>
          <cell r="G107">
            <v>1</v>
          </cell>
          <cell r="H107" t="str">
            <v>204:233301</v>
          </cell>
          <cell r="I107">
            <v>42585.671863425923</v>
          </cell>
          <cell r="J107">
            <v>0</v>
          </cell>
          <cell r="K107" t="str">
            <v>4025/4026</v>
          </cell>
          <cell r="L107" t="str">
            <v>REBOLETTI</v>
          </cell>
          <cell r="M107">
            <v>3.6701388882647734E-2</v>
          </cell>
          <cell r="N107">
            <v>52.849999991012737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https://search-rtdc-monitor-bjffxe2xuh6vdkpspy63sjmuny.us-east-1.es.amazonaws.com/_plugin/kibana/#/discover/Steve-Slow-Train-Analysis-(2080s-and-2083s)?_g=(refreshInterval:(display:Off,section:0,value:0),time:(from:'2016-08-03 14:13:07-0600',mode:absolute,to:'2016-08-03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7" t="str">
            <v>N</v>
          </cell>
          <cell r="X107">
            <v>1</v>
          </cell>
          <cell r="Y107">
            <v>4.4900000000000002E-2</v>
          </cell>
          <cell r="Z107">
            <v>23.330100000000002</v>
          </cell>
          <cell r="AA107">
            <v>23.285200000000003</v>
          </cell>
          <cell r="AB107" t="e">
            <v>#N/A</v>
          </cell>
          <cell r="AC107" t="e">
            <v>#N/A</v>
          </cell>
          <cell r="AD107" t="str">
            <v>0193-03</v>
          </cell>
          <cell r="AE10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08">
          <cell r="A108" t="str">
            <v>194-03</v>
          </cell>
          <cell r="B108">
            <v>4026</v>
          </cell>
          <cell r="C108" t="str">
            <v>DE.1.0.7.0</v>
          </cell>
          <cell r="D108" t="str">
            <v>204:232990</v>
          </cell>
          <cell r="E108">
            <v>42585.675694444442</v>
          </cell>
          <cell r="F108">
            <v>42585.676747685182</v>
          </cell>
          <cell r="G108">
            <v>1</v>
          </cell>
          <cell r="H108" t="str">
            <v>204:129</v>
          </cell>
          <cell r="I108">
            <v>42585.713148148148</v>
          </cell>
          <cell r="J108">
            <v>0</v>
          </cell>
          <cell r="K108" t="str">
            <v>4025/4026</v>
          </cell>
          <cell r="L108" t="str">
            <v>REBOLETTI</v>
          </cell>
          <cell r="M108">
            <v>3.6400462966412306E-2</v>
          </cell>
          <cell r="N108">
            <v>52.41666667163372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https://search-rtdc-monitor-bjffxe2xuh6vdkpspy63sjmuny.us-east-1.es.amazonaws.com/_plugin/kibana/#/discover/Steve-Slow-Train-Analysis-(2080s-and-2083s)?_g=(refreshInterval:(display:Off,section:0,value:0),time:(from:'2016-08-03 15:13:00-0600',mode:absolute,to:'2016-08-03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8" t="str">
            <v>N</v>
          </cell>
          <cell r="X108">
            <v>1</v>
          </cell>
          <cell r="Y108">
            <v>23.298999999999999</v>
          </cell>
          <cell r="Z108">
            <v>1.29E-2</v>
          </cell>
          <cell r="AA108">
            <v>23.286100000000001</v>
          </cell>
          <cell r="AB108" t="e">
            <v>#N/A</v>
          </cell>
          <cell r="AC108" t="e">
            <v>#N/A</v>
          </cell>
          <cell r="AD108" t="str">
            <v>0194-03</v>
          </cell>
          <cell r="AE10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09">
          <cell r="A109" t="str">
            <v>195-03</v>
          </cell>
          <cell r="B109">
            <v>4038</v>
          </cell>
          <cell r="C109" t="str">
            <v>DE.1.0.7.0</v>
          </cell>
          <cell r="D109" t="str">
            <v>204:475</v>
          </cell>
          <cell r="E109">
            <v>42585.645162037035</v>
          </cell>
          <cell r="F109">
            <v>42585.646469907406</v>
          </cell>
          <cell r="G109">
            <v>1</v>
          </cell>
          <cell r="H109" t="str">
            <v>204:233278</v>
          </cell>
          <cell r="I109">
            <v>42585.678298611114</v>
          </cell>
          <cell r="J109">
            <v>2</v>
          </cell>
          <cell r="K109" t="str">
            <v>4037/4038</v>
          </cell>
          <cell r="L109" t="str">
            <v>STORY</v>
          </cell>
          <cell r="M109">
            <v>3.1828703708015382E-2</v>
          </cell>
          <cell r="N109">
            <v>45.83333333954215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9" t="str">
            <v>N</v>
          </cell>
          <cell r="X109">
            <v>1</v>
          </cell>
          <cell r="Y109">
            <v>4.7500000000000001E-2</v>
          </cell>
          <cell r="Z109">
            <v>23.3278</v>
          </cell>
          <cell r="AA109">
            <v>23.2803</v>
          </cell>
          <cell r="AB109">
            <v>108954</v>
          </cell>
          <cell r="AC109" t="str">
            <v>GRADE CROSSING</v>
          </cell>
          <cell r="AD109" t="str">
            <v>0195-03</v>
          </cell>
          <cell r="AE10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10">
          <cell r="A110" t="str">
            <v>196-03</v>
          </cell>
          <cell r="B110">
            <v>4037</v>
          </cell>
          <cell r="C110" t="str">
            <v>DE.1.0.7.0</v>
          </cell>
          <cell r="D110" t="str">
            <v>204:232943</v>
          </cell>
          <cell r="E110">
            <v>42585.680069444446</v>
          </cell>
          <cell r="F110">
            <v>42585.681550925925</v>
          </cell>
          <cell r="G110">
            <v>2</v>
          </cell>
          <cell r="H110" t="str">
            <v>204:1164</v>
          </cell>
          <cell r="I110">
            <v>42585.72415509259</v>
          </cell>
          <cell r="J110">
            <v>3</v>
          </cell>
          <cell r="K110" t="str">
            <v>4037/4038</v>
          </cell>
          <cell r="L110" t="str">
            <v>STORY</v>
          </cell>
          <cell r="M110">
            <v>4.2604166665114462E-2</v>
          </cell>
          <cell r="N110">
            <v>61.349999997764826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0" t="str">
            <v>N</v>
          </cell>
          <cell r="X110">
            <v>1</v>
          </cell>
          <cell r="Y110">
            <v>23.2943</v>
          </cell>
          <cell r="Z110">
            <v>0.1164</v>
          </cell>
          <cell r="AA110">
            <v>23.177900000000001</v>
          </cell>
          <cell r="AB110">
            <v>33257</v>
          </cell>
          <cell r="AC110" t="str">
            <v>GRADE CROSSING</v>
          </cell>
          <cell r="AD110" t="str">
            <v>0196-03</v>
          </cell>
          <cell r="AE11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111">
          <cell r="A111" t="str">
            <v>197-03</v>
          </cell>
          <cell r="B111">
            <v>4018</v>
          </cell>
          <cell r="C111" t="str">
            <v>DE.1.0.7.0</v>
          </cell>
          <cell r="D111" t="str">
            <v>204:462</v>
          </cell>
          <cell r="E111">
            <v>42585.659467592595</v>
          </cell>
          <cell r="F111">
            <v>42585.66070601852</v>
          </cell>
          <cell r="G111">
            <v>1</v>
          </cell>
          <cell r="H111" t="str">
            <v>204:233316</v>
          </cell>
          <cell r="I111">
            <v>42585.689074074071</v>
          </cell>
          <cell r="J111">
            <v>0</v>
          </cell>
          <cell r="K111" t="str">
            <v>4017/4018</v>
          </cell>
          <cell r="L111" t="str">
            <v>BRUDER</v>
          </cell>
          <cell r="M111">
            <v>2.8368055551254656E-2</v>
          </cell>
          <cell r="N111">
            <v>40.849999993806705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https://search-rtdc-monitor-bjffxe2xuh6vdkpspy63sjmuny.us-east-1.es.amazonaws.com/_plugin/kibana/#/discover/Steve-Slow-Train-Analysis-(2080s-and-2083s)?_g=(refreshInterval:(display:Off,section:0,value:0),time:(from:'2016-08-03 14:49:38-0600',mode:absolute,to:'2016-08-03 17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1" t="str">
            <v>N</v>
          </cell>
          <cell r="X111">
            <v>1</v>
          </cell>
          <cell r="Y111">
            <v>4.6199999999999998E-2</v>
          </cell>
          <cell r="Z111">
            <v>23.331600000000002</v>
          </cell>
          <cell r="AA111">
            <v>23.285400000000003</v>
          </cell>
          <cell r="AB111" t="e">
            <v>#N/A</v>
          </cell>
          <cell r="AC111" t="e">
            <v>#N/A</v>
          </cell>
          <cell r="AD111" t="str">
            <v>0197-03</v>
          </cell>
          <cell r="AE11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12">
          <cell r="A112" t="str">
            <v>198-03</v>
          </cell>
          <cell r="B112">
            <v>4017</v>
          </cell>
          <cell r="C112" t="str">
            <v>DE.1.0.7.0</v>
          </cell>
          <cell r="D112" t="str">
            <v>204:232980</v>
          </cell>
          <cell r="E112">
            <v>42585.690613425926</v>
          </cell>
          <cell r="F112">
            <v>42585.692314814813</v>
          </cell>
          <cell r="G112">
            <v>2</v>
          </cell>
          <cell r="H112" t="str">
            <v>204:57972</v>
          </cell>
          <cell r="I112">
            <v>42585.720648148148</v>
          </cell>
          <cell r="J112">
            <v>3</v>
          </cell>
          <cell r="K112" t="str">
            <v>4017/4018</v>
          </cell>
          <cell r="L112" t="str">
            <v>BRUDER</v>
          </cell>
          <cell r="M112">
            <v>2.8333333335467614E-2</v>
          </cell>
          <cell r="P112">
            <v>50.63333333004266</v>
          </cell>
          <cell r="R112" t="str">
            <v>Quebec 4S stuck at STOP, seems to be track circuit issue</v>
          </cell>
          <cell r="S112">
            <v>0.75</v>
          </cell>
          <cell r="T112" t="str">
            <v>Southbound</v>
          </cell>
          <cell r="U112">
            <v>6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2" t="str">
            <v>Y</v>
          </cell>
          <cell r="X112">
            <v>1</v>
          </cell>
          <cell r="Y112">
            <v>23.297999999999998</v>
          </cell>
          <cell r="Z112">
            <v>5.7972000000000001</v>
          </cell>
          <cell r="AA112">
            <v>17.500799999999998</v>
          </cell>
          <cell r="AB112">
            <v>109135</v>
          </cell>
          <cell r="AC112" t="str">
            <v>GRADE CROSSING</v>
          </cell>
          <cell r="AD112" t="str">
            <v>0198-03</v>
          </cell>
          <cell r="AE11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3">
          <cell r="A113" t="str">
            <v>198-03</v>
          </cell>
          <cell r="B113">
            <v>4017</v>
          </cell>
          <cell r="C113" t="str">
            <v>DE.1.0.7.0</v>
          </cell>
          <cell r="D113" t="str">
            <v>204:36791</v>
          </cell>
          <cell r="E113">
            <v>42585.722870370373</v>
          </cell>
          <cell r="F113">
            <v>42585.723703703705</v>
          </cell>
          <cell r="G113">
            <v>1</v>
          </cell>
          <cell r="H113" t="str">
            <v>204:145</v>
          </cell>
          <cell r="I113">
            <v>42585.730532407404</v>
          </cell>
          <cell r="J113">
            <v>0</v>
          </cell>
          <cell r="K113" t="str">
            <v>4017/4018</v>
          </cell>
          <cell r="L113" t="str">
            <v>BRUDER</v>
          </cell>
          <cell r="M113">
            <v>6.8287036992842332E-3</v>
          </cell>
          <cell r="T113" t="str">
            <v>Southbound</v>
          </cell>
          <cell r="U113">
            <v>3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https://search-rtdc-monitor-bjffxe2xuh6vdkpspy63sjmuny.us-east-1.es.amazonaws.com/_plugin/kibana/#/discover/Steve-Slow-Train-Analysis-(2080s-and-2083s)?_g=(refreshInterval:(display:Off,section:0,value:0),time:(from:'2016-08-03 16:20:56-0600',mode:absolute,to:'2016-08-03 18:31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3" t="str">
            <v>Y</v>
          </cell>
          <cell r="X113">
            <v>0</v>
          </cell>
          <cell r="Y113">
            <v>3.6791</v>
          </cell>
          <cell r="Z113">
            <v>1.4500000000000001E-2</v>
          </cell>
          <cell r="AA113">
            <v>3.6646000000000001</v>
          </cell>
          <cell r="AB113">
            <v>109135</v>
          </cell>
          <cell r="AC113" t="str">
            <v>GRADE CROSSING</v>
          </cell>
          <cell r="AD113" t="str">
            <v>0198-03</v>
          </cell>
          <cell r="AE113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4">
          <cell r="A114" t="str">
            <v>199-03</v>
          </cell>
          <cell r="B114">
            <v>4014</v>
          </cell>
          <cell r="C114" t="str">
            <v>DE.1.0.7.0</v>
          </cell>
          <cell r="D114" t="str">
            <v>204:464</v>
          </cell>
          <cell r="E114">
            <v>42585.668090277781</v>
          </cell>
          <cell r="F114">
            <v>42585.668958333335</v>
          </cell>
          <cell r="G114">
            <v>1</v>
          </cell>
          <cell r="H114" t="str">
            <v>204:233304</v>
          </cell>
          <cell r="I114">
            <v>42585.702094907407</v>
          </cell>
          <cell r="J114">
            <v>1</v>
          </cell>
          <cell r="K114" t="str">
            <v>4013/4014</v>
          </cell>
          <cell r="L114" t="str">
            <v>SWANSON</v>
          </cell>
          <cell r="M114">
            <v>3.3136574071249925E-2</v>
          </cell>
          <cell r="N114">
            <v>47.716666662599891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https://search-rtdc-monitor-bjffxe2xuh6vdkpspy63sjmuny.us-east-1.es.amazonaws.com/_plugin/kibana/#/discover/Steve-Slow-Train-Analysis-(2080s-and-2083s)?_g=(refreshInterval:(display:Off,section:0,value:0),time:(from:'2016-08-03 15:02:03-0600',mode:absolute,to:'2016-08-03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4" t="str">
            <v>N</v>
          </cell>
          <cell r="X114">
            <v>1</v>
          </cell>
          <cell r="Y114">
            <v>4.6399999999999997E-2</v>
          </cell>
          <cell r="Z114">
            <v>23.330400000000001</v>
          </cell>
          <cell r="AA114">
            <v>23.284000000000002</v>
          </cell>
          <cell r="AB114">
            <v>78349</v>
          </cell>
          <cell r="AC114" t="str">
            <v>GRADE CROSSING</v>
          </cell>
          <cell r="AD114" t="str">
            <v>0199-03</v>
          </cell>
          <cell r="AE114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15">
          <cell r="A115" t="str">
            <v>200-03</v>
          </cell>
          <cell r="B115">
            <v>4013</v>
          </cell>
          <cell r="C115" t="str">
            <v>DE.1.0.7.0</v>
          </cell>
          <cell r="D115" t="str">
            <v>204:232974</v>
          </cell>
          <cell r="E115">
            <v>42585.704722222225</v>
          </cell>
          <cell r="F115">
            <v>42585.706030092595</v>
          </cell>
          <cell r="G115">
            <v>1</v>
          </cell>
          <cell r="H115" t="str">
            <v>204:150</v>
          </cell>
          <cell r="I115">
            <v>42585.73814814815</v>
          </cell>
          <cell r="J115">
            <v>0</v>
          </cell>
          <cell r="K115" t="str">
            <v>4013/4014</v>
          </cell>
          <cell r="L115" t="str">
            <v>SWANSON</v>
          </cell>
          <cell r="M115">
            <v>3.2118055554747116E-2</v>
          </cell>
          <cell r="N115">
            <v>46.249999998835847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https://search-rtdc-monitor-bjffxe2xuh6vdkpspy63sjmuny.us-east-1.es.amazonaws.com/_plugin/kibana/#/discover/Steve-Slow-Train-Analysis-(2080s-and-2083s)?_g=(refreshInterval:(display:Off,section:0,value:0),time:(from:'2016-08-03 15:54:48-0600',mode:absolute,to:'2016-08-03 18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5" t="str">
            <v>N</v>
          </cell>
          <cell r="X115">
            <v>1</v>
          </cell>
          <cell r="Y115">
            <v>23.2974</v>
          </cell>
          <cell r="Z115">
            <v>1.4999999999999999E-2</v>
          </cell>
          <cell r="AA115">
            <v>23.282399999999999</v>
          </cell>
          <cell r="AB115" t="e">
            <v>#N/A</v>
          </cell>
          <cell r="AC115" t="e">
            <v>#N/A</v>
          </cell>
          <cell r="AD115" t="str">
            <v>0200-03</v>
          </cell>
          <cell r="AE115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16">
          <cell r="A116" t="str">
            <v>201-03</v>
          </cell>
          <cell r="B116">
            <v>4011</v>
          </cell>
          <cell r="C116" t="str">
            <v>DE.1.0.7.0</v>
          </cell>
          <cell r="D116" t="str">
            <v>204:475</v>
          </cell>
          <cell r="E116">
            <v>42585.677789351852</v>
          </cell>
          <cell r="F116">
            <v>42585.678842592592</v>
          </cell>
          <cell r="G116">
            <v>1</v>
          </cell>
          <cell r="H116" t="str">
            <v>204:233282</v>
          </cell>
          <cell r="I116">
            <v>42585.710081018522</v>
          </cell>
          <cell r="J116">
            <v>0</v>
          </cell>
          <cell r="K116" t="str">
            <v>4011/4012</v>
          </cell>
          <cell r="L116" t="str">
            <v>OUN</v>
          </cell>
          <cell r="M116">
            <v>3.1238425930496305E-2</v>
          </cell>
          <cell r="N116">
            <v>44.98333333991468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https://search-rtdc-monitor-bjffxe2xuh6vdkpspy63sjmuny.us-east-1.es.amazonaws.com/_plugin/kibana/#/discover/Steve-Slow-Train-Analysis-(2080s-and-2083s)?_g=(refreshInterval:(display:Off,section:0,value:0),time:(from:'2016-08-03 15:16:01-0600',mode:absolute,to:'2016-08-03 18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6" t="str">
            <v>N</v>
          </cell>
          <cell r="X116">
            <v>1</v>
          </cell>
          <cell r="Y116">
            <v>4.7500000000000001E-2</v>
          </cell>
          <cell r="Z116">
            <v>23.328199999999999</v>
          </cell>
          <cell r="AA116">
            <v>23.2807</v>
          </cell>
          <cell r="AB116" t="e">
            <v>#N/A</v>
          </cell>
          <cell r="AC116" t="e">
            <v>#N/A</v>
          </cell>
          <cell r="AD116" t="str">
            <v>0201-03</v>
          </cell>
          <cell r="AE116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17">
          <cell r="A117" t="str">
            <v>202-03</v>
          </cell>
          <cell r="B117">
            <v>4012</v>
          </cell>
          <cell r="C117" t="str">
            <v>DE.1.0.7.0</v>
          </cell>
          <cell r="D117" t="str">
            <v>204:232967</v>
          </cell>
          <cell r="E117">
            <v>42585.713229166664</v>
          </cell>
          <cell r="F117">
            <v>42585.714155092595</v>
          </cell>
          <cell r="G117">
            <v>1</v>
          </cell>
          <cell r="H117" t="str">
            <v>204:130</v>
          </cell>
          <cell r="I117">
            <v>42585.746874999997</v>
          </cell>
          <cell r="J117">
            <v>1</v>
          </cell>
          <cell r="K117" t="str">
            <v>4011/4012</v>
          </cell>
          <cell r="L117" t="str">
            <v>OUN</v>
          </cell>
          <cell r="M117">
            <v>3.2719907401769888E-2</v>
          </cell>
          <cell r="N117">
            <v>47.116666658548638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https://search-rtdc-monitor-bjffxe2xuh6vdkpspy63sjmuny.us-east-1.es.amazonaws.com/_plugin/kibana/#/discover/Steve-Slow-Train-Analysis-(2080s-and-2083s)?_g=(refreshInterval:(display:Off,section:0,value:0),time:(from:'2016-08-03 16:07:03-0600',mode:absolute,to:'2016-08-03 18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7" t="str">
            <v>N</v>
          </cell>
          <cell r="X117">
            <v>1</v>
          </cell>
          <cell r="Y117">
            <v>23.296700000000001</v>
          </cell>
          <cell r="Z117">
            <v>1.2999999999999999E-2</v>
          </cell>
          <cell r="AA117">
            <v>23.2837</v>
          </cell>
          <cell r="AB117">
            <v>109135</v>
          </cell>
          <cell r="AC117" t="str">
            <v>GRADE CROSSING</v>
          </cell>
          <cell r="AD117" t="str">
            <v>0202-03</v>
          </cell>
          <cell r="AE117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18">
          <cell r="A118" t="str">
            <v>203-03</v>
          </cell>
          <cell r="B118">
            <v>4044</v>
          </cell>
          <cell r="C118" t="str">
            <v>DE.1.0.7.0</v>
          </cell>
          <cell r="D118" t="str">
            <v>204:451</v>
          </cell>
          <cell r="E118">
            <v>42585.691053240742</v>
          </cell>
          <cell r="F118">
            <v>42585.691874999997</v>
          </cell>
          <cell r="G118">
            <v>1</v>
          </cell>
          <cell r="H118" t="str">
            <v>204:233297</v>
          </cell>
          <cell r="I118">
            <v>42585.722083333334</v>
          </cell>
          <cell r="J118">
            <v>0</v>
          </cell>
          <cell r="K118" t="str">
            <v>4043/4044</v>
          </cell>
          <cell r="L118" t="str">
            <v>BARTLETT</v>
          </cell>
          <cell r="M118">
            <v>3.0208333337213844E-2</v>
          </cell>
          <cell r="N118">
            <v>43.500000005587935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https://search-rtdc-monitor-bjffxe2xuh6vdkpspy63sjmuny.us-east-1.es.amazonaws.com/_plugin/kibana/#/discover/Steve-Slow-Train-Analysis-(2080s-and-2083s)?_g=(refreshInterval:(display:Off,section:0,value:0),time:(from:'2016-08-03 15:35:07-0600',mode:absolute,to:'2016-08-03 18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8" t="str">
            <v>N</v>
          </cell>
          <cell r="X118">
            <v>1</v>
          </cell>
          <cell r="Y118">
            <v>4.5100000000000001E-2</v>
          </cell>
          <cell r="Z118">
            <v>23.329699999999999</v>
          </cell>
          <cell r="AA118">
            <v>23.284599999999998</v>
          </cell>
          <cell r="AB118" t="e">
            <v>#N/A</v>
          </cell>
          <cell r="AC118" t="e">
            <v>#N/A</v>
          </cell>
          <cell r="AD118" t="str">
            <v>0203-03</v>
          </cell>
          <cell r="AE118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19">
          <cell r="A119" t="str">
            <v>204-03</v>
          </cell>
          <cell r="B119">
            <v>4043</v>
          </cell>
          <cell r="C119" t="str">
            <v>DE.1.0.7.0</v>
          </cell>
          <cell r="D119" t="str">
            <v>204:232979</v>
          </cell>
          <cell r="E119">
            <v>42585.723854166667</v>
          </cell>
          <cell r="F119">
            <v>42585.724918981483</v>
          </cell>
          <cell r="G119">
            <v>1</v>
          </cell>
          <cell r="H119" t="str">
            <v>204:158</v>
          </cell>
          <cell r="I119">
            <v>42585.759236111109</v>
          </cell>
          <cell r="J119">
            <v>0</v>
          </cell>
          <cell r="K119" t="str">
            <v>4043/4044</v>
          </cell>
          <cell r="L119" t="str">
            <v>BARTLETT</v>
          </cell>
          <cell r="M119">
            <v>3.4317129626288079E-2</v>
          </cell>
          <cell r="N119">
            <v>49.416666661854833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https://search-rtdc-monitor-bjffxe2xuh6vdkpspy63sjmuny.us-east-1.es.amazonaws.com/_plugin/kibana/#/discover/Steve-Slow-Train-Analysis-(2080s-and-2083s)?_g=(refreshInterval:(display:Off,section:0,value:0),time:(from:'2016-08-03 16:22:21-0600',mode:absolute,to:'2016-08-03 19:13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9" t="str">
            <v>N</v>
          </cell>
          <cell r="X119">
            <v>1</v>
          </cell>
          <cell r="Y119">
            <v>23.297899999999998</v>
          </cell>
          <cell r="Z119">
            <v>1.5800000000000002E-2</v>
          </cell>
          <cell r="AA119">
            <v>23.2821</v>
          </cell>
          <cell r="AB119" t="e">
            <v>#N/A</v>
          </cell>
          <cell r="AC119" t="e">
            <v>#N/A</v>
          </cell>
          <cell r="AD119" t="str">
            <v>0204-03</v>
          </cell>
          <cell r="AE119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20">
          <cell r="A120" t="str">
            <v>205-03</v>
          </cell>
          <cell r="B120">
            <v>4040</v>
          </cell>
          <cell r="C120" t="str">
            <v>DE.1.0.7.0</v>
          </cell>
          <cell r="D120" t="str">
            <v>204:460</v>
          </cell>
          <cell r="E120">
            <v>42585.69263888889</v>
          </cell>
          <cell r="F120">
            <v>42585.693425925929</v>
          </cell>
          <cell r="G120">
            <v>1</v>
          </cell>
          <cell r="H120" t="str">
            <v>204:233297</v>
          </cell>
          <cell r="I120">
            <v>42585.729641203703</v>
          </cell>
          <cell r="J120">
            <v>0</v>
          </cell>
          <cell r="K120" t="str">
            <v>4039/4040</v>
          </cell>
          <cell r="L120" t="str">
            <v>ARNOLD</v>
          </cell>
          <cell r="M120">
            <v>3.6215277774317656E-2</v>
          </cell>
          <cell r="N120">
            <v>52.149999995017424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https://search-rtdc-monitor-bjffxe2xuh6vdkpspy63sjmuny.us-east-1.es.amazonaws.com/_plugin/kibana/#/discover/Steve-Slow-Train-Analysis-(2080s-and-2083s)?_g=(refreshInterval:(display:Off,section:0,value:0),time:(from:'2016-08-03 15:37:24-0600',mode:absolute,to:'2016-08-03 18:30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0" t="str">
            <v>N</v>
          </cell>
          <cell r="X120">
            <v>1</v>
          </cell>
          <cell r="Y120">
            <v>4.5999999999999999E-2</v>
          </cell>
          <cell r="Z120">
            <v>23.329699999999999</v>
          </cell>
          <cell r="AA120">
            <v>23.2837</v>
          </cell>
          <cell r="AB120" t="e">
            <v>#N/A</v>
          </cell>
          <cell r="AC120" t="e">
            <v>#N/A</v>
          </cell>
          <cell r="AD120" t="str">
            <v>0205-03</v>
          </cell>
          <cell r="AE120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21">
          <cell r="A121" t="str">
            <v>206-03</v>
          </cell>
          <cell r="B121">
            <v>4039</v>
          </cell>
          <cell r="C121" t="str">
            <v>DE.1.0.7.0</v>
          </cell>
          <cell r="D121" t="str">
            <v>204:232982</v>
          </cell>
          <cell r="E121">
            <v>42585.73369212963</v>
          </cell>
          <cell r="F121">
            <v>42585.737233796295</v>
          </cell>
          <cell r="G121">
            <v>5</v>
          </cell>
          <cell r="H121" t="str">
            <v>204:149</v>
          </cell>
          <cell r="I121">
            <v>42585.768206018518</v>
          </cell>
          <cell r="J121">
            <v>4</v>
          </cell>
          <cell r="K121" t="str">
            <v>4039/4040</v>
          </cell>
          <cell r="L121" t="str">
            <v>ARNOLD</v>
          </cell>
          <cell r="M121">
            <v>3.0972222222771961E-2</v>
          </cell>
          <cell r="N121">
            <v>44.600000000791624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1" t="str">
            <v>N</v>
          </cell>
          <cell r="X121">
            <v>1</v>
          </cell>
          <cell r="Y121">
            <v>23.298200000000001</v>
          </cell>
          <cell r="Z121">
            <v>1.49E-2</v>
          </cell>
          <cell r="AA121">
            <v>23.283300000000001</v>
          </cell>
          <cell r="AB121">
            <v>63309</v>
          </cell>
          <cell r="AC121" t="str">
            <v>GRADE CROSSING</v>
          </cell>
          <cell r="AD121" t="str">
            <v>0206-03</v>
          </cell>
          <cell r="AE121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22">
          <cell r="A122" t="str">
            <v>207-03</v>
          </cell>
          <cell r="B122">
            <v>4042</v>
          </cell>
          <cell r="C122" t="str">
            <v>DE.1.0.7.0</v>
          </cell>
          <cell r="D122" t="str">
            <v>204:442</v>
          </cell>
          <cell r="E122">
            <v>42585.706990740742</v>
          </cell>
          <cell r="F122">
            <v>42585.708090277774</v>
          </cell>
          <cell r="G122">
            <v>1</v>
          </cell>
          <cell r="H122" t="str">
            <v>204:233319</v>
          </cell>
          <cell r="I122">
            <v>42585.73773148148</v>
          </cell>
          <cell r="J122">
            <v>0</v>
          </cell>
          <cell r="K122" t="str">
            <v>4041/4042</v>
          </cell>
          <cell r="L122" t="str">
            <v>KILLION</v>
          </cell>
          <cell r="M122">
            <v>2.9641203705978114E-2</v>
          </cell>
          <cell r="N122">
            <v>42.683333336608484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https://search-rtdc-monitor-bjffxe2xuh6vdkpspy63sjmuny.us-east-1.es.amazonaws.com/_plugin/kibana/#/discover/Steve-Slow-Train-Analysis-(2080s-and-2083s)?_g=(refreshInterval:(display:Off,section:0,value:0),time:(from:'2016-08-03 15:58:04-0600',mode:absolute,to:'2016-08-03 18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2" t="str">
            <v>N</v>
          </cell>
          <cell r="X122">
            <v>1</v>
          </cell>
          <cell r="Y122">
            <v>4.4200000000000003E-2</v>
          </cell>
          <cell r="Z122">
            <v>23.331900000000001</v>
          </cell>
          <cell r="AA122">
            <v>23.287700000000001</v>
          </cell>
          <cell r="AB122" t="e">
            <v>#N/A</v>
          </cell>
          <cell r="AC122" t="e">
            <v>#N/A</v>
          </cell>
          <cell r="AD122" t="str">
            <v>0207-03</v>
          </cell>
          <cell r="AE122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23">
          <cell r="A123" t="str">
            <v>208-03</v>
          </cell>
          <cell r="B123">
            <v>4041</v>
          </cell>
          <cell r="C123" t="str">
            <v>DE.1.0.7.0</v>
          </cell>
          <cell r="D123" t="str">
            <v>204:232983</v>
          </cell>
          <cell r="E123">
            <v>42585.744305555556</v>
          </cell>
          <cell r="F123">
            <v>42585.745104166665</v>
          </cell>
          <cell r="G123">
            <v>1</v>
          </cell>
          <cell r="H123" t="str">
            <v>204:94</v>
          </cell>
          <cell r="I123">
            <v>42585.782951388886</v>
          </cell>
          <cell r="J123">
            <v>1</v>
          </cell>
          <cell r="K123" t="str">
            <v>4041/4042</v>
          </cell>
          <cell r="L123" t="str">
            <v>KILLION</v>
          </cell>
          <cell r="M123">
            <v>3.7847222221898846E-2</v>
          </cell>
          <cell r="N123">
            <v>54.499999999534339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https://search-rtdc-monitor-bjffxe2xuh6vdkpspy63sjmuny.us-east-1.es.amazonaws.com/_plugin/kibana/#/discover/Steve-Slow-Train-Analysis-(2080s-and-2083s)?_g=(refreshInterval:(display:Off,section:0,value:0),time:(from:'2016-08-03 16:51:48-0600',mode:absolute,to:'2016-08-03 19:47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3" t="str">
            <v>N</v>
          </cell>
          <cell r="X123">
            <v>1</v>
          </cell>
          <cell r="Y123">
            <v>23.298300000000001</v>
          </cell>
          <cell r="Z123">
            <v>9.4000000000000004E-3</v>
          </cell>
          <cell r="AA123">
            <v>23.288900000000002</v>
          </cell>
          <cell r="AB123" t="e">
            <v>#N/A</v>
          </cell>
          <cell r="AC123" t="e">
            <v>#N/A</v>
          </cell>
          <cell r="AD123" t="str">
            <v>0208-03</v>
          </cell>
          <cell r="AE123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24">
          <cell r="A124" t="str">
            <v>209-03</v>
          </cell>
          <cell r="B124">
            <v>4025</v>
          </cell>
          <cell r="C124" t="str">
            <v>DE.1.0.7.0</v>
          </cell>
          <cell r="D124" t="str">
            <v>204:455</v>
          </cell>
          <cell r="E124">
            <v>42585.716469907406</v>
          </cell>
          <cell r="F124">
            <v>42585.717766203707</v>
          </cell>
          <cell r="G124">
            <v>1</v>
          </cell>
          <cell r="H124" t="str">
            <v>204:233289</v>
          </cell>
          <cell r="I124">
            <v>42585.746689814812</v>
          </cell>
          <cell r="J124">
            <v>0</v>
          </cell>
          <cell r="K124" t="str">
            <v>4025/4026</v>
          </cell>
          <cell r="L124" t="str">
            <v>STURGEON</v>
          </cell>
          <cell r="M124">
            <v>2.8923611105710734E-2</v>
          </cell>
          <cell r="N124">
            <v>41.649999992223457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https://search-rtdc-monitor-bjffxe2xuh6vdkpspy63sjmuny.us-east-1.es.amazonaws.com/_plugin/kibana/#/discover/Steve-Slow-Train-Analysis-(2080s-and-2083s)?_g=(refreshInterval:(display:Off,section:0,value:0),time:(from:'2016-08-03 16:11:43-0600',mode:absolute,to:'2016-08-03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4" t="str">
            <v>N</v>
          </cell>
          <cell r="X124">
            <v>1</v>
          </cell>
          <cell r="Y124">
            <v>4.5499999999999999E-2</v>
          </cell>
          <cell r="Z124">
            <v>23.328900000000001</v>
          </cell>
          <cell r="AA124">
            <v>23.2834</v>
          </cell>
          <cell r="AB124" t="e">
            <v>#N/A</v>
          </cell>
          <cell r="AC124" t="e">
            <v>#N/A</v>
          </cell>
          <cell r="AD124" t="str">
            <v>0209-03</v>
          </cell>
          <cell r="AE124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25">
          <cell r="A125" t="str">
            <v>210-03</v>
          </cell>
          <cell r="B125">
            <v>4026</v>
          </cell>
          <cell r="C125" t="str">
            <v>DE.1.0.7.0</v>
          </cell>
          <cell r="D125" t="str">
            <v>204:232957</v>
          </cell>
          <cell r="E125">
            <v>42585.752060185187</v>
          </cell>
          <cell r="F125">
            <v>42585.752997685187</v>
          </cell>
          <cell r="G125">
            <v>1</v>
          </cell>
          <cell r="H125" t="str">
            <v>204:170</v>
          </cell>
          <cell r="I125">
            <v>42585.791145833333</v>
          </cell>
          <cell r="J125">
            <v>1</v>
          </cell>
          <cell r="K125" t="str">
            <v>4025/4026</v>
          </cell>
          <cell r="L125" t="str">
            <v>STURGEON</v>
          </cell>
          <cell r="M125">
            <v>3.8148148145410232E-2</v>
          </cell>
          <cell r="N125">
            <v>54.933333329390734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https://search-rtdc-monitor-bjffxe2xuh6vdkpspy63sjmuny.us-east-1.es.amazonaws.com/_plugin/kibana/#/discover/Steve-Slow-Train-Analysis-(2080s-and-2083s)?_g=(refreshInterval:(display:Off,section:0,value:0),time:(from:'2016-08-03 17:02:58-0600',mode:absolute,to:'2016-08-03 19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5" t="str">
            <v>N</v>
          </cell>
          <cell r="X125">
            <v>1</v>
          </cell>
          <cell r="Y125">
            <v>23.2957</v>
          </cell>
          <cell r="Z125">
            <v>1.7000000000000001E-2</v>
          </cell>
          <cell r="AA125">
            <v>23.278700000000001</v>
          </cell>
          <cell r="AB125" t="e">
            <v>#N/A</v>
          </cell>
          <cell r="AC125" t="e">
            <v>#N/A</v>
          </cell>
          <cell r="AD125" t="str">
            <v>0210-03</v>
          </cell>
          <cell r="AE125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26">
          <cell r="A126" t="str">
            <v>211-03</v>
          </cell>
          <cell r="B126">
            <v>4018</v>
          </cell>
          <cell r="C126" t="str">
            <v>DE.1.0.7.0</v>
          </cell>
          <cell r="D126" t="str">
            <v>204:460</v>
          </cell>
          <cell r="E126">
            <v>42585.733148148145</v>
          </cell>
          <cell r="F126">
            <v>42585.734432870369</v>
          </cell>
          <cell r="G126">
            <v>1</v>
          </cell>
          <cell r="H126" t="str">
            <v>204:233336</v>
          </cell>
          <cell r="I126">
            <v>42585.765636574077</v>
          </cell>
          <cell r="J126">
            <v>1</v>
          </cell>
          <cell r="K126" t="str">
            <v>4017/4018</v>
          </cell>
          <cell r="L126" t="str">
            <v>STORY</v>
          </cell>
          <cell r="M126">
            <v>3.1203703707433306E-2</v>
          </cell>
          <cell r="N126">
            <v>44.93333333870396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https://search-rtdc-monitor-bjffxe2xuh6vdkpspy63sjmuny.us-east-1.es.amazonaws.com/_plugin/kibana/#/discover/Steve-Slow-Train-Analysis-(2080s-and-2083s)?_g=(refreshInterval:(display:Off,section:0,value:0),time:(from:'2016-08-03 16:35:44-0600',mode:absolute,to:'2016-08-03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6" t="str">
            <v>N</v>
          </cell>
          <cell r="X126">
            <v>1</v>
          </cell>
          <cell r="Y126">
            <v>4.5999999999999999E-2</v>
          </cell>
          <cell r="Z126">
            <v>23.333600000000001</v>
          </cell>
          <cell r="AA126">
            <v>23.287600000000001</v>
          </cell>
          <cell r="AB126" t="e">
            <v>#N/A</v>
          </cell>
          <cell r="AC126" t="e">
            <v>#N/A</v>
          </cell>
          <cell r="AD126" t="str">
            <v>0211-03</v>
          </cell>
          <cell r="AE126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27">
          <cell r="A127" t="str">
            <v>212-03</v>
          </cell>
          <cell r="B127">
            <v>4017</v>
          </cell>
          <cell r="C127" t="str">
            <v>DE.1.0.7.0</v>
          </cell>
          <cell r="D127" t="str">
            <v>204:233034</v>
          </cell>
          <cell r="E127">
            <v>42585.767094907409</v>
          </cell>
          <cell r="F127">
            <v>42585.769212962965</v>
          </cell>
          <cell r="G127">
            <v>3</v>
          </cell>
          <cell r="H127" t="str">
            <v>204:4081</v>
          </cell>
          <cell r="I127">
            <v>42585.79954861111</v>
          </cell>
          <cell r="J127">
            <v>2</v>
          </cell>
          <cell r="K127" t="str">
            <v>4017/4018</v>
          </cell>
          <cell r="L127" t="str">
            <v>STORY</v>
          </cell>
          <cell r="M127">
            <v>3.0335648145410232E-2</v>
          </cell>
          <cell r="N127">
            <v>43.683333329390734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23.3034</v>
          </cell>
          <cell r="Z127">
            <v>0.40810000000000002</v>
          </cell>
          <cell r="AA127">
            <v>22.895299999999999</v>
          </cell>
          <cell r="AB127">
            <v>33257</v>
          </cell>
          <cell r="AC127" t="str">
            <v>GRADE CROSSING</v>
          </cell>
          <cell r="AD127" t="str">
            <v>0212-03</v>
          </cell>
          <cell r="AE127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28">
          <cell r="A128" t="str">
            <v>213-03</v>
          </cell>
          <cell r="B128">
            <v>4014</v>
          </cell>
          <cell r="C128" t="str">
            <v>DE.1.0.7.0</v>
          </cell>
          <cell r="D128" t="str">
            <v>204:464</v>
          </cell>
          <cell r="E128">
            <v>42585.739675925928</v>
          </cell>
          <cell r="F128">
            <v>42585.741400462961</v>
          </cell>
          <cell r="G128">
            <v>2</v>
          </cell>
          <cell r="H128" t="str">
            <v>204:233295</v>
          </cell>
          <cell r="I128">
            <v>42585.772037037037</v>
          </cell>
          <cell r="J128">
            <v>0</v>
          </cell>
          <cell r="K128" t="str">
            <v>4013/4014</v>
          </cell>
          <cell r="L128" t="str">
            <v>HAITHCOX</v>
          </cell>
          <cell r="M128">
            <v>3.0636574076197576E-2</v>
          </cell>
          <cell r="N128">
            <v>44.116666669724509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https://search-rtdc-monitor-bjffxe2xuh6vdkpspy63sjmuny.us-east-1.es.amazonaws.com/_plugin/kibana/#/discover/Steve-Slow-Train-Analysis-(2080s-and-2083s)?_g=(refreshInterval:(display:Off,section:0,value:0),time:(from:'2016-08-03 16:45:08-0600',mode:absolute,to:'2016-08-03 19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8" t="str">
            <v>N</v>
          </cell>
          <cell r="X128">
            <v>1</v>
          </cell>
          <cell r="Y128">
            <v>4.6399999999999997E-2</v>
          </cell>
          <cell r="Z128">
            <v>23.329499999999999</v>
          </cell>
          <cell r="AA128">
            <v>23.283100000000001</v>
          </cell>
          <cell r="AB128" t="e">
            <v>#N/A</v>
          </cell>
          <cell r="AC128" t="e">
            <v>#N/A</v>
          </cell>
          <cell r="AD128" t="str">
            <v>0213-03</v>
          </cell>
          <cell r="AE128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29">
          <cell r="A129" t="str">
            <v>214-03</v>
          </cell>
          <cell r="B129">
            <v>4013</v>
          </cell>
          <cell r="C129" t="str">
            <v>DE.1.0.7.0</v>
          </cell>
          <cell r="D129" t="str">
            <v>204:232980</v>
          </cell>
          <cell r="E129">
            <v>42585.773877314816</v>
          </cell>
          <cell r="F129">
            <v>42585.775196759256</v>
          </cell>
          <cell r="G129">
            <v>1</v>
          </cell>
          <cell r="H129" t="str">
            <v>204:121425</v>
          </cell>
          <cell r="I129">
            <v>42585.793009259258</v>
          </cell>
          <cell r="J129">
            <v>0</v>
          </cell>
          <cell r="K129" t="str">
            <v>4013/4014</v>
          </cell>
          <cell r="L129" t="str">
            <v>HAITHCOX</v>
          </cell>
          <cell r="M129">
            <v>1.7812500002037268E-2</v>
          </cell>
          <cell r="P129">
            <v>40.549999997019768</v>
          </cell>
          <cell r="R129" t="str">
            <v>Onboard in-route failure</v>
          </cell>
          <cell r="S129">
            <v>0.75</v>
          </cell>
          <cell r="T129" t="str">
            <v>Southbound</v>
          </cell>
          <cell r="U129">
            <v>0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https://search-rtdc-monitor-bjffxe2xuh6vdkpspy63sjmuny.us-east-1.es.amazonaws.com/_plugin/kibana/#/discover/Steve-Slow-Train-Analysis-(2080s-and-2083s)?_g=(refreshInterval:(display:Off,section:0,value:0),time:(from:'2016-08-03 17:34:23-0600',mode:absolute,to:'2016-08-03 20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9" t="str">
            <v>Y</v>
          </cell>
          <cell r="X129">
            <v>1</v>
          </cell>
          <cell r="Y129">
            <v>23.297999999999998</v>
          </cell>
          <cell r="Z129">
            <v>12.1425</v>
          </cell>
          <cell r="AA129">
            <v>11.155499999999998</v>
          </cell>
          <cell r="AB129" t="e">
            <v>#N/A</v>
          </cell>
          <cell r="AC129" t="e">
            <v>#N/A</v>
          </cell>
          <cell r="AD129" t="str">
            <v>0214-03</v>
          </cell>
          <cell r="AE129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0">
          <cell r="A130" t="str">
            <v>214-03</v>
          </cell>
          <cell r="B130">
            <v>4013</v>
          </cell>
          <cell r="C130" t="str">
            <v>DE.1.0.7.0</v>
          </cell>
          <cell r="D130" t="str">
            <v>204:64174</v>
          </cell>
          <cell r="E130">
            <v>42585.80263888889</v>
          </cell>
          <cell r="F130">
            <v>42585.803391203706</v>
          </cell>
          <cell r="G130">
            <v>1</v>
          </cell>
          <cell r="H130" t="str">
            <v>204:139</v>
          </cell>
          <cell r="I130">
            <v>42585.813738425924</v>
          </cell>
          <cell r="J130">
            <v>0</v>
          </cell>
          <cell r="K130" t="str">
            <v>4013/4014</v>
          </cell>
          <cell r="L130" t="str">
            <v>HAITHCOX</v>
          </cell>
          <cell r="M130">
            <v>1.0347222218115348E-2</v>
          </cell>
          <cell r="T130" t="str">
            <v>Southbound</v>
          </cell>
          <cell r="U130">
            <v>9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https://search-rtdc-monitor-bjffxe2xuh6vdkpspy63sjmuny.us-east-1.es.amazonaws.com/_plugin/kibana/#/discover/Steve-Slow-Train-Analysis-(2080s-and-2083s)?_g=(refreshInterval:(display:Off,section:0,value:0),time:(from:'2016-08-03 18:15:48-0600',mode:absolute,to:'2016-08-03 20:31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Y</v>
          </cell>
          <cell r="X130">
            <v>0</v>
          </cell>
          <cell r="Y130">
            <v>6.4173999999999998</v>
          </cell>
          <cell r="Z130">
            <v>1.3899999999999999E-2</v>
          </cell>
          <cell r="AA130">
            <v>6.4035000000000002</v>
          </cell>
          <cell r="AB130" t="e">
            <v>#N/A</v>
          </cell>
          <cell r="AC130" t="e">
            <v>#N/A</v>
          </cell>
          <cell r="AD130" t="str">
            <v>0214-03</v>
          </cell>
          <cell r="AE13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1">
          <cell r="A131" t="str">
            <v>215-03</v>
          </cell>
          <cell r="B131">
            <v>4011</v>
          </cell>
          <cell r="C131" t="str">
            <v>DE.1.0.7.0</v>
          </cell>
          <cell r="D131" t="str">
            <v>204:444</v>
          </cell>
          <cell r="E131">
            <v>42585.751793981479</v>
          </cell>
          <cell r="F131">
            <v>42585.752858796295</v>
          </cell>
          <cell r="G131">
            <v>1</v>
          </cell>
          <cell r="H131" t="str">
            <v>204:233293</v>
          </cell>
          <cell r="I131">
            <v>42585.784328703703</v>
          </cell>
          <cell r="J131">
            <v>0</v>
          </cell>
          <cell r="K131" t="str">
            <v>4011/4012</v>
          </cell>
          <cell r="L131" t="str">
            <v>SWANSON</v>
          </cell>
          <cell r="M131">
            <v>3.1469907407881692E-2</v>
          </cell>
          <cell r="N131">
            <v>45.316666667349637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https://search-rtdc-monitor-bjffxe2xuh6vdkpspy63sjmuny.us-east-1.es.amazonaws.com/_plugin/kibana/#/discover/Steve-Slow-Train-Analysis-(2080s-and-2083s)?_g=(refreshInterval:(display:Off,section:0,value:0),time:(from:'2016-08-03 17:02:35-0600',mode:absolute,to:'2016-08-03 19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1" t="str">
            <v>N</v>
          </cell>
          <cell r="X131">
            <v>1</v>
          </cell>
          <cell r="Y131">
            <v>4.4400000000000002E-2</v>
          </cell>
          <cell r="Z131">
            <v>23.3293</v>
          </cell>
          <cell r="AA131">
            <v>23.2849</v>
          </cell>
          <cell r="AB131" t="e">
            <v>#N/A</v>
          </cell>
          <cell r="AC131" t="e">
            <v>#N/A</v>
          </cell>
          <cell r="AD131" t="str">
            <v>0215-03</v>
          </cell>
          <cell r="AE13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32">
          <cell r="A132" t="str">
            <v>216-03</v>
          </cell>
          <cell r="B132">
            <v>4012</v>
          </cell>
          <cell r="C132" t="str">
            <v>DE.1.0.7.0</v>
          </cell>
          <cell r="D132" t="str">
            <v>204:154005</v>
          </cell>
          <cell r="E132">
            <v>42585.798703703702</v>
          </cell>
          <cell r="F132">
            <v>42585.800138888888</v>
          </cell>
          <cell r="G132">
            <v>2</v>
          </cell>
          <cell r="H132" t="str">
            <v>204:127</v>
          </cell>
          <cell r="I132">
            <v>42585.824050925927</v>
          </cell>
          <cell r="J132">
            <v>0</v>
          </cell>
          <cell r="K132" t="str">
            <v>4011/4012</v>
          </cell>
          <cell r="L132" t="str">
            <v>SWANSON</v>
          </cell>
          <cell r="M132">
            <v>2.3912037038826384E-2</v>
          </cell>
          <cell r="P132">
            <v>34.433333335909992</v>
          </cell>
          <cell r="R132" t="str">
            <v>Onboard in-route failure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https://search-rtdc-monitor-bjffxe2xuh6vdkpspy63sjmuny.us-east-1.es.amazonaws.com/_plugin/kibana/#/discover/Steve-Slow-Train-Analysis-(2080s-and-2083s)?_g=(refreshInterval:(display:Off,section:0,value:0),time:(from:'2016-08-03 18:10:08-0600',mode:absolute,to:'2016-08-03 20:46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2" t="str">
            <v>Y</v>
          </cell>
          <cell r="X132">
            <v>1</v>
          </cell>
          <cell r="Y132">
            <v>15.400499999999999</v>
          </cell>
          <cell r="Z132">
            <v>1.2699999999999999E-2</v>
          </cell>
          <cell r="AA132">
            <v>15.387799999999999</v>
          </cell>
          <cell r="AB132" t="e">
            <v>#N/A</v>
          </cell>
          <cell r="AC132" t="e">
            <v>#N/A</v>
          </cell>
          <cell r="AD132" t="str">
            <v>0216-03</v>
          </cell>
          <cell r="AE13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33">
          <cell r="A133" t="str">
            <v>217-03</v>
          </cell>
          <cell r="B133">
            <v>4044</v>
          </cell>
          <cell r="C133" t="str">
            <v>DE.1.0.7.0</v>
          </cell>
          <cell r="D133" t="str">
            <v>204:467</v>
          </cell>
          <cell r="E133">
            <v>42585.760833333334</v>
          </cell>
          <cell r="F133">
            <v>42585.762025462966</v>
          </cell>
          <cell r="G133">
            <v>1</v>
          </cell>
          <cell r="H133" t="str">
            <v>204:233301</v>
          </cell>
          <cell r="I133">
            <v>42585.789652777778</v>
          </cell>
          <cell r="J133">
            <v>0</v>
          </cell>
          <cell r="K133" t="str">
            <v>4043/4044</v>
          </cell>
          <cell r="L133" t="str">
            <v>LEVIN</v>
          </cell>
          <cell r="M133">
            <v>2.7627314811979886E-2</v>
          </cell>
          <cell r="N133">
            <v>39.783333329251036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https://search-rtdc-monitor-bjffxe2xuh6vdkpspy63sjmuny.us-east-1.es.amazonaws.com/_plugin/kibana/#/discover/Steve-Slow-Train-Analysis-(2080s-and-2083s)?_g=(refreshInterval:(display:Off,section:0,value:0),time:(from:'2016-08-03 17:15:36-0600',mode:absolute,to:'2016-08-03 19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3" t="str">
            <v>N</v>
          </cell>
          <cell r="X133">
            <v>1</v>
          </cell>
          <cell r="Y133">
            <v>4.6699999999999998E-2</v>
          </cell>
          <cell r="Z133">
            <v>23.330100000000002</v>
          </cell>
          <cell r="AA133">
            <v>23.2834</v>
          </cell>
          <cell r="AB133" t="e">
            <v>#N/A</v>
          </cell>
          <cell r="AC133" t="e">
            <v>#N/A</v>
          </cell>
          <cell r="AD133" t="str">
            <v>0217-03</v>
          </cell>
          <cell r="AE13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34">
          <cell r="A134" t="str">
            <v>218-03</v>
          </cell>
          <cell r="B134">
            <v>4043</v>
          </cell>
          <cell r="C134" t="str">
            <v>DE.1.0.7.0</v>
          </cell>
          <cell r="D134" t="str">
            <v>204:232984</v>
          </cell>
          <cell r="E134">
            <v>42585.794131944444</v>
          </cell>
          <cell r="F134">
            <v>42585.795312499999</v>
          </cell>
          <cell r="G134">
            <v>1</v>
          </cell>
          <cell r="H134" t="str">
            <v>204:134</v>
          </cell>
          <cell r="I134">
            <v>42585.829895833333</v>
          </cell>
          <cell r="J134">
            <v>0</v>
          </cell>
          <cell r="K134" t="str">
            <v>4043/4044</v>
          </cell>
          <cell r="L134" t="str">
            <v>LEVIN</v>
          </cell>
          <cell r="M134">
            <v>3.4583333334012423E-2</v>
          </cell>
          <cell r="N134">
            <v>49.800000000977889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https://search-rtdc-monitor-bjffxe2xuh6vdkpspy63sjmuny.us-east-1.es.amazonaws.com/_plugin/kibana/#/discover/Steve-Slow-Train-Analysis-(2080s-and-2083s)?_g=(refreshInterval:(display:Off,section:0,value:0),time:(from:'2016-08-03 18:03:33-0600',mode:absolute,to:'2016-08-03 20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4" t="str">
            <v>N</v>
          </cell>
          <cell r="X134">
            <v>1</v>
          </cell>
          <cell r="Y134">
            <v>23.298400000000001</v>
          </cell>
          <cell r="Z134">
            <v>1.34E-2</v>
          </cell>
          <cell r="AA134">
            <v>23.285</v>
          </cell>
          <cell r="AB134" t="e">
            <v>#N/A</v>
          </cell>
          <cell r="AC134" t="e">
            <v>#N/A</v>
          </cell>
          <cell r="AD134" t="str">
            <v>0218-03</v>
          </cell>
          <cell r="AE13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35">
          <cell r="A135" t="str">
            <v>219-03</v>
          </cell>
          <cell r="B135">
            <v>4040</v>
          </cell>
          <cell r="C135" t="str">
            <v>DE.1.0.7.0</v>
          </cell>
          <cell r="D135" t="str">
            <v>204:466</v>
          </cell>
          <cell r="E135">
            <v>42585.769456018519</v>
          </cell>
          <cell r="F135">
            <v>42585.771215277775</v>
          </cell>
          <cell r="G135">
            <v>2</v>
          </cell>
          <cell r="H135" t="str">
            <v>204:233312</v>
          </cell>
          <cell r="I135">
            <v>42585.797766203701</v>
          </cell>
          <cell r="J135">
            <v>0</v>
          </cell>
          <cell r="K135" t="str">
            <v>4039/4040</v>
          </cell>
          <cell r="L135" t="str">
            <v>COOLAHAN</v>
          </cell>
          <cell r="M135">
            <v>2.6550925926130731E-2</v>
          </cell>
          <cell r="N135">
            <v>38.233333333628252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https://search-rtdc-monitor-bjffxe2xuh6vdkpspy63sjmuny.us-east-1.es.amazonaws.com/_plugin/kibana/#/discover/Steve-Slow-Train-Analysis-(2080s-and-2083s)?_g=(refreshInterval:(display:Off,section:0,value:0),time:(from:'2016-08-03 17:28:01-0600',mode:absolute,to:'2016-08-03 20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5" t="str">
            <v>N</v>
          </cell>
          <cell r="X135">
            <v>1</v>
          </cell>
          <cell r="Y135">
            <v>4.6600000000000003E-2</v>
          </cell>
          <cell r="Z135">
            <v>23.331199999999999</v>
          </cell>
          <cell r="AA135">
            <v>23.284599999999998</v>
          </cell>
          <cell r="AB135" t="e">
            <v>#N/A</v>
          </cell>
          <cell r="AC135" t="e">
            <v>#N/A</v>
          </cell>
          <cell r="AD135" t="str">
            <v>0219-03</v>
          </cell>
          <cell r="AE135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36">
          <cell r="A136" t="str">
            <v>220-03</v>
          </cell>
          <cell r="B136">
            <v>4039</v>
          </cell>
          <cell r="C136" t="str">
            <v>DE.1.0.7.0</v>
          </cell>
          <cell r="D136" t="str">
            <v>204:233004</v>
          </cell>
          <cell r="E136">
            <v>42585.806319444448</v>
          </cell>
          <cell r="F136">
            <v>42585.807824074072</v>
          </cell>
          <cell r="G136">
            <v>2</v>
          </cell>
          <cell r="H136" t="str">
            <v>204:103</v>
          </cell>
          <cell r="I136">
            <v>42585.83829861111</v>
          </cell>
          <cell r="J136">
            <v>2</v>
          </cell>
          <cell r="K136" t="str">
            <v>4039/4040</v>
          </cell>
          <cell r="L136" t="str">
            <v>COOLAHAN</v>
          </cell>
          <cell r="M136">
            <v>3.047453703766223E-2</v>
          </cell>
          <cell r="N136">
            <v>43.883333334233612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6" t="str">
            <v>N</v>
          </cell>
          <cell r="X136">
            <v>1</v>
          </cell>
          <cell r="Y136">
            <v>23.3004</v>
          </cell>
          <cell r="Z136">
            <v>1.03E-2</v>
          </cell>
          <cell r="AA136">
            <v>23.290099999999999</v>
          </cell>
          <cell r="AB136">
            <v>109135</v>
          </cell>
          <cell r="AC136" t="str">
            <v>GRADE CROSSING</v>
          </cell>
          <cell r="AD136" t="str">
            <v>0220-03</v>
          </cell>
          <cell r="AE136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37">
          <cell r="A137" t="str">
            <v>221-03</v>
          </cell>
          <cell r="B137">
            <v>4025</v>
          </cell>
          <cell r="C137" t="str">
            <v>DE.1.0.7.0</v>
          </cell>
          <cell r="D137" t="str">
            <v>204:467</v>
          </cell>
          <cell r="E137">
            <v>42585.792743055557</v>
          </cell>
          <cell r="F137">
            <v>42585.794652777775</v>
          </cell>
          <cell r="G137">
            <v>2</v>
          </cell>
          <cell r="H137" t="str">
            <v>204:233291</v>
          </cell>
          <cell r="I137">
            <v>42585.823842592596</v>
          </cell>
          <cell r="J137">
            <v>0</v>
          </cell>
          <cell r="K137" t="str">
            <v>4025/4026</v>
          </cell>
          <cell r="L137" t="str">
            <v>STURGEON</v>
          </cell>
          <cell r="M137">
            <v>2.9189814820711035E-2</v>
          </cell>
          <cell r="N137">
            <v>42.033333341823891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https://search-rtdc-monitor-bjffxe2xuh6vdkpspy63sjmuny.us-east-1.es.amazonaws.com/_plugin/kibana/#/discover/Steve-Slow-Train-Analysis-(2080s-and-2083s)?_g=(refreshInterval:(display:Off,section:0,value:0),time:(from:'2016-08-03 18:01:33-0600',mode:absolute,to:'2016-08-03 20:46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7" t="str">
            <v>N</v>
          </cell>
          <cell r="X137">
            <v>1</v>
          </cell>
          <cell r="Y137">
            <v>4.6699999999999998E-2</v>
          </cell>
          <cell r="Z137">
            <v>23.3291</v>
          </cell>
          <cell r="AA137">
            <v>23.282399999999999</v>
          </cell>
          <cell r="AB137" t="e">
            <v>#N/A</v>
          </cell>
          <cell r="AC137" t="e">
            <v>#N/A</v>
          </cell>
          <cell r="AD137" t="str">
            <v>0221-03</v>
          </cell>
          <cell r="AE13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38">
          <cell r="A138" t="str">
            <v>222-03</v>
          </cell>
          <cell r="B138">
            <v>4026</v>
          </cell>
          <cell r="C138" t="str">
            <v>DE.1.0.7.0</v>
          </cell>
          <cell r="D138" t="str">
            <v>204:232970</v>
          </cell>
          <cell r="E138">
            <v>42585.827881944446</v>
          </cell>
          <cell r="F138">
            <v>42585.828761574077</v>
          </cell>
          <cell r="G138">
            <v>1</v>
          </cell>
          <cell r="H138" t="str">
            <v>204:161</v>
          </cell>
          <cell r="I138">
            <v>42585.862488425926</v>
          </cell>
          <cell r="J138">
            <v>0</v>
          </cell>
          <cell r="K138" t="str">
            <v>4025/4026</v>
          </cell>
          <cell r="L138" t="str">
            <v>STURGEON</v>
          </cell>
          <cell r="M138">
            <v>3.3726851848769002E-2</v>
          </cell>
          <cell r="N138">
            <v>48.566666662227362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https://search-rtdc-monitor-bjffxe2xuh6vdkpspy63sjmuny.us-east-1.es.amazonaws.com/_plugin/kibana/#/discover/Steve-Slow-Train-Analysis-(2080s-and-2083s)?_g=(refreshInterval:(display:Off,section:0,value:0),time:(from:'2016-08-03 18:52:09-0600',mode:absolute,to:'2016-08-03 21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8" t="str">
            <v>N</v>
          </cell>
          <cell r="X138">
            <v>1</v>
          </cell>
          <cell r="Y138">
            <v>23.297000000000001</v>
          </cell>
          <cell r="Z138">
            <v>1.61E-2</v>
          </cell>
          <cell r="AA138">
            <v>23.280899999999999</v>
          </cell>
          <cell r="AB138" t="e">
            <v>#N/A</v>
          </cell>
          <cell r="AC138" t="e">
            <v>#N/A</v>
          </cell>
          <cell r="AD138" t="str">
            <v>0222-03</v>
          </cell>
          <cell r="AE13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39">
          <cell r="A139" t="str">
            <v>223-03</v>
          </cell>
          <cell r="B139">
            <v>4014</v>
          </cell>
          <cell r="C139" t="str">
            <v>DE.1.0.7.0</v>
          </cell>
          <cell r="D139" t="str">
            <v>204:455</v>
          </cell>
          <cell r="E139">
            <v>42585.814803240741</v>
          </cell>
          <cell r="F139">
            <v>42585.815625000003</v>
          </cell>
          <cell r="G139">
            <v>1</v>
          </cell>
          <cell r="H139" t="str">
            <v>204:233308</v>
          </cell>
          <cell r="I139">
            <v>42585.840729166666</v>
          </cell>
          <cell r="J139">
            <v>0</v>
          </cell>
          <cell r="K139" t="str">
            <v>4013/4014</v>
          </cell>
          <cell r="L139" t="str">
            <v>HAITHCOX</v>
          </cell>
          <cell r="M139">
            <v>2.5104166663368233E-2</v>
          </cell>
          <cell r="N139">
            <v>36.149999995250255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https://search-rtdc-monitor-bjffxe2xuh6vdkpspy63sjmuny.us-east-1.es.amazonaws.com/_plugin/kibana/#/discover/Steve-Slow-Train-Analysis-(2080s-and-2083s)?_g=(refreshInterval:(display:Off,section:0,value:0),time:(from:'2016-08-03 18:33:19-0600',mode:absolute,to:'2016-08-03 21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9" t="str">
            <v>N</v>
          </cell>
          <cell r="X139">
            <v>1</v>
          </cell>
          <cell r="Y139">
            <v>4.5499999999999999E-2</v>
          </cell>
          <cell r="Z139">
            <v>23.3308</v>
          </cell>
          <cell r="AA139">
            <v>23.285299999999999</v>
          </cell>
          <cell r="AB139" t="e">
            <v>#N/A</v>
          </cell>
          <cell r="AC139" t="e">
            <v>#N/A</v>
          </cell>
          <cell r="AD139" t="str">
            <v>0223-03</v>
          </cell>
          <cell r="AE13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0">
          <cell r="A140" t="str">
            <v>224-03</v>
          </cell>
          <cell r="B140">
            <v>4013</v>
          </cell>
          <cell r="C140" t="str">
            <v>DE.1.0.7.0</v>
          </cell>
          <cell r="D140" t="str">
            <v>204:232983</v>
          </cell>
          <cell r="E140">
            <v>42585.846689814818</v>
          </cell>
          <cell r="F140">
            <v>42585.847719907404</v>
          </cell>
          <cell r="G140">
            <v>1</v>
          </cell>
          <cell r="H140" t="str">
            <v>204:138</v>
          </cell>
          <cell r="I140">
            <v>42585.879189814812</v>
          </cell>
          <cell r="J140">
            <v>0</v>
          </cell>
          <cell r="K140" t="str">
            <v>4013/4014</v>
          </cell>
          <cell r="L140" t="str">
            <v>HAITHCOX</v>
          </cell>
          <cell r="M140">
            <v>3.1469907407881692E-2</v>
          </cell>
          <cell r="N140">
            <v>45.316666667349637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https://search-rtdc-monitor-bjffxe2xuh6vdkpspy63sjmuny.us-east-1.es.amazonaws.com/_plugin/kibana/#/discover/Steve-Slow-Train-Analysis-(2080s-and-2083s)?_g=(refreshInterval:(display:Off,section:0,value:0),time:(from:'2016-08-03 19:19:14-0600',mode:absolute,to:'2016-08-03 22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0" t="str">
            <v>N</v>
          </cell>
          <cell r="X140">
            <v>1</v>
          </cell>
          <cell r="Y140">
            <v>23.298300000000001</v>
          </cell>
          <cell r="Z140">
            <v>1.38E-2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0224-03</v>
          </cell>
          <cell r="AE14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1">
          <cell r="A141" t="str">
            <v>225-03</v>
          </cell>
          <cell r="B141">
            <v>4044</v>
          </cell>
          <cell r="C141" t="str">
            <v>DE.1.0.7.0</v>
          </cell>
          <cell r="D141" t="str">
            <v>204:460</v>
          </cell>
          <cell r="E141">
            <v>42585.831018518518</v>
          </cell>
          <cell r="F141">
            <v>42585.832268518519</v>
          </cell>
          <cell r="G141">
            <v>1</v>
          </cell>
          <cell r="H141" t="str">
            <v>204:233319</v>
          </cell>
          <cell r="I141">
            <v>42585.859039351853</v>
          </cell>
          <cell r="J141">
            <v>0</v>
          </cell>
          <cell r="K141" t="str">
            <v>4043/4044</v>
          </cell>
          <cell r="L141" t="str">
            <v>LEVIN</v>
          </cell>
          <cell r="M141">
            <v>2.6770833334012423E-2</v>
          </cell>
          <cell r="N141">
            <v>38.550000000977889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https://search-rtdc-monitor-bjffxe2xuh6vdkpspy63sjmuny.us-east-1.es.amazonaws.com/_plugin/kibana/#/discover/Steve-Slow-Train-Analysis-(2080s-and-2083s)?_g=(refreshInterval:(display:Off,section:0,value:0),time:(from:'2016-08-03 18:56:40-0600',mode:absolute,to:'2016-08-03 21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1" t="str">
            <v>N</v>
          </cell>
          <cell r="X141">
            <v>1</v>
          </cell>
          <cell r="Y141">
            <v>4.5999999999999999E-2</v>
          </cell>
          <cell r="Z141">
            <v>23.331900000000001</v>
          </cell>
          <cell r="AA141">
            <v>23.285900000000002</v>
          </cell>
          <cell r="AB141" t="e">
            <v>#N/A</v>
          </cell>
          <cell r="AC141" t="e">
            <v>#N/A</v>
          </cell>
          <cell r="AD141" t="str">
            <v>0225-03</v>
          </cell>
          <cell r="AE14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42">
          <cell r="A142" t="str">
            <v>226-03</v>
          </cell>
          <cell r="B142">
            <v>4043</v>
          </cell>
          <cell r="C142" t="str">
            <v>DE.1.0.7.0</v>
          </cell>
          <cell r="D142" t="str">
            <v>204:232989</v>
          </cell>
          <cell r="E142">
            <v>42585.864849537036</v>
          </cell>
          <cell r="F142">
            <v>42585.865578703706</v>
          </cell>
          <cell r="G142">
            <v>1</v>
          </cell>
          <cell r="H142" t="str">
            <v>204:134</v>
          </cell>
          <cell r="I142">
            <v>42585.899594907409</v>
          </cell>
          <cell r="J142">
            <v>0</v>
          </cell>
          <cell r="K142" t="str">
            <v>4043/4044</v>
          </cell>
          <cell r="L142" t="str">
            <v>LEVIN</v>
          </cell>
          <cell r="M142">
            <v>3.4016203702776693E-2</v>
          </cell>
          <cell r="N142">
            <v>48.983333331998438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https://search-rtdc-monitor-bjffxe2xuh6vdkpspy63sjmuny.us-east-1.es.amazonaws.com/_plugin/kibana/#/discover/Steve-Slow-Train-Analysis-(2080s-and-2083s)?_g=(refreshInterval:(display:Off,section:0,value:0),time:(from:'2016-08-03 19:45:23-0600',mode:absolute,to:'2016-08-03 22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2" t="str">
            <v>N</v>
          </cell>
          <cell r="X142">
            <v>1</v>
          </cell>
          <cell r="Y142">
            <v>23.2989</v>
          </cell>
          <cell r="Z142">
            <v>1.34E-2</v>
          </cell>
          <cell r="AA142">
            <v>23.285499999999999</v>
          </cell>
          <cell r="AB142" t="e">
            <v>#N/A</v>
          </cell>
          <cell r="AC142" t="e">
            <v>#N/A</v>
          </cell>
          <cell r="AD142" t="str">
            <v>0226-03</v>
          </cell>
          <cell r="AE14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43">
          <cell r="A143" t="str">
            <v>227-03</v>
          </cell>
          <cell r="B143">
            <v>4040</v>
          </cell>
          <cell r="C143" t="str">
            <v>DE.1.0.7.0</v>
          </cell>
          <cell r="D143" t="str">
            <v>204:413</v>
          </cell>
          <cell r="E143">
            <v>42585.85050925926</v>
          </cell>
          <cell r="F143">
            <v>42585.851689814815</v>
          </cell>
          <cell r="G143">
            <v>1</v>
          </cell>
          <cell r="H143" t="str">
            <v>204:233321</v>
          </cell>
          <cell r="I143">
            <v>42585.879363425927</v>
          </cell>
          <cell r="J143">
            <v>0</v>
          </cell>
          <cell r="K143" t="str">
            <v>4039/4040</v>
          </cell>
          <cell r="L143" t="str">
            <v>COOLAHAN</v>
          </cell>
          <cell r="M143">
            <v>2.7673611111822538E-2</v>
          </cell>
          <cell r="N143">
            <v>39.850000001024455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https://search-rtdc-monitor-bjffxe2xuh6vdkpspy63sjmuny.us-east-1.es.amazonaws.com/_plugin/kibana/#/discover/Steve-Slow-Train-Analysis-(2080s-and-2083s)?_g=(refreshInterval:(display:Off,section:0,value:0),time:(from:'2016-08-03 19:24:44-0600',mode:absolute,to:'2016-08-03 22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3" t="str">
            <v>N</v>
          </cell>
          <cell r="X143">
            <v>1</v>
          </cell>
          <cell r="Y143">
            <v>4.1300000000000003E-2</v>
          </cell>
          <cell r="Z143">
            <v>23.332100000000001</v>
          </cell>
          <cell r="AA143">
            <v>23.290800000000001</v>
          </cell>
          <cell r="AB143" t="e">
            <v>#N/A</v>
          </cell>
          <cell r="AC143" t="e">
            <v>#N/A</v>
          </cell>
          <cell r="AD143" t="str">
            <v>0227-03</v>
          </cell>
          <cell r="AE143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44">
          <cell r="A144" t="str">
            <v>228-03</v>
          </cell>
          <cell r="B144">
            <v>4039</v>
          </cell>
          <cell r="C144" t="str">
            <v>DE.1.0.7.0</v>
          </cell>
          <cell r="D144" t="str">
            <v>204:232989</v>
          </cell>
          <cell r="E144">
            <v>42585.888715277775</v>
          </cell>
          <cell r="F144">
            <v>42585.891203703701</v>
          </cell>
          <cell r="G144">
            <v>3</v>
          </cell>
          <cell r="H144" t="str">
            <v>204:136</v>
          </cell>
          <cell r="I144">
            <v>42585.920219907406</v>
          </cell>
          <cell r="J144">
            <v>0</v>
          </cell>
          <cell r="K144" t="str">
            <v>4039/4040</v>
          </cell>
          <cell r="L144" t="str">
            <v>COOLAHAN</v>
          </cell>
          <cell r="M144">
            <v>2.9016203705396038E-2</v>
          </cell>
          <cell r="N144">
            <v>41.783333335770294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https://search-rtdc-monitor-bjffxe2xuh6vdkpspy63sjmuny.us-east-1.es.amazonaws.com/_plugin/kibana/#/discover/Steve-Slow-Train-Analysis-(2080s-and-2083s)?_g=(refreshInterval:(display:Off,section:0,value:0),time:(from:'2016-08-03 20:19:45-0600',mode:absolute,to:'2016-08-03 23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1.3599999999999999E-2</v>
          </cell>
          <cell r="AA144">
            <v>23.285299999999999</v>
          </cell>
          <cell r="AB144" t="e">
            <v>#N/A</v>
          </cell>
          <cell r="AC144" t="e">
            <v>#N/A</v>
          </cell>
          <cell r="AD144" t="str">
            <v>0228-03</v>
          </cell>
          <cell r="AE144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45">
          <cell r="A145" t="str">
            <v>229-03</v>
          </cell>
          <cell r="B145">
            <v>4025</v>
          </cell>
          <cell r="C145" t="str">
            <v>DE.1.0.7.0</v>
          </cell>
          <cell r="D145" t="str">
            <v>204:462</v>
          </cell>
          <cell r="E145">
            <v>42585.869988425926</v>
          </cell>
          <cell r="F145">
            <v>42585.87122685185</v>
          </cell>
          <cell r="G145">
            <v>1</v>
          </cell>
          <cell r="H145" t="str">
            <v>204:233268</v>
          </cell>
          <cell r="I145">
            <v>42585.900972222225</v>
          </cell>
          <cell r="J145">
            <v>0</v>
          </cell>
          <cell r="K145" t="str">
            <v>4025/4026</v>
          </cell>
          <cell r="L145" t="str">
            <v>STURGEON</v>
          </cell>
          <cell r="M145">
            <v>2.9745370375167113E-2</v>
          </cell>
          <cell r="N145">
            <v>42.833333340240642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https://search-rtdc-monitor-bjffxe2xuh6vdkpspy63sjmuny.us-east-1.es.amazonaws.com/_plugin/kibana/#/discover/Steve-Slow-Train-Analysis-(2080s-and-2083s)?_g=(refreshInterval:(display:Off,section:0,value:0),time:(from:'2016-08-03 19:52:47-0600',mode:absolute,to:'2016-08-03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5" t="str">
            <v>N</v>
          </cell>
          <cell r="X145">
            <v>1</v>
          </cell>
          <cell r="Y145">
            <v>4.6199999999999998E-2</v>
          </cell>
          <cell r="Z145">
            <v>23.326799999999999</v>
          </cell>
          <cell r="AA145">
            <v>23.2806</v>
          </cell>
          <cell r="AB145" t="e">
            <v>#N/A</v>
          </cell>
          <cell r="AC145" t="e">
            <v>#N/A</v>
          </cell>
          <cell r="AD145" t="str">
            <v>0229-03</v>
          </cell>
          <cell r="AE14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46">
          <cell r="A146" t="str">
            <v>230-03</v>
          </cell>
          <cell r="B146">
            <v>4026</v>
          </cell>
          <cell r="C146" t="str">
            <v>DE.1.0.7.0</v>
          </cell>
          <cell r="D146" t="str">
            <v>204:232959</v>
          </cell>
          <cell r="E146">
            <v>42585.907731481479</v>
          </cell>
          <cell r="F146">
            <v>42585.909618055557</v>
          </cell>
          <cell r="G146">
            <v>2</v>
          </cell>
          <cell r="H146" t="str">
            <v>204:176</v>
          </cell>
          <cell r="I146">
            <v>42585.94253472222</v>
          </cell>
          <cell r="J146">
            <v>0</v>
          </cell>
          <cell r="K146" t="str">
            <v>4025/4026</v>
          </cell>
          <cell r="L146" t="str">
            <v>STURGEON</v>
          </cell>
          <cell r="M146">
            <v>3.2916666663368233E-2</v>
          </cell>
          <cell r="N146">
            <v>47.399999995250255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https://search-rtdc-monitor-bjffxe2xuh6vdkpspy63sjmuny.us-east-1.es.amazonaws.com/_plugin/kibana/#/discover/Steve-Slow-Train-Analysis-(2080s-and-2083s)?_g=(refreshInterval:(display:Off,section:0,value:0),time:(from:'2016-08-03 20:47:08-0600',mode:absolute,to:'2016-08-03 23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6" t="str">
            <v>N</v>
          </cell>
          <cell r="X146">
            <v>1</v>
          </cell>
          <cell r="Y146">
            <v>23.2959</v>
          </cell>
          <cell r="Z146">
            <v>1.7600000000000001E-2</v>
          </cell>
          <cell r="AA146">
            <v>23.278299999999998</v>
          </cell>
          <cell r="AB146" t="e">
            <v>#N/A</v>
          </cell>
          <cell r="AC146" t="e">
            <v>#N/A</v>
          </cell>
          <cell r="AD146" t="str">
            <v>0230-03</v>
          </cell>
          <cell r="AE14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47">
          <cell r="A147" t="str">
            <v>231-03</v>
          </cell>
          <cell r="B147">
            <v>4014</v>
          </cell>
          <cell r="C147" t="str">
            <v>DE.1.0.7.0</v>
          </cell>
          <cell r="D147" t="str">
            <v>204:433</v>
          </cell>
          <cell r="E147">
            <v>42585.892222222225</v>
          </cell>
          <cell r="F147">
            <v>42585.893194444441</v>
          </cell>
          <cell r="G147">
            <v>1</v>
          </cell>
          <cell r="H147" t="str">
            <v>204:233300</v>
          </cell>
          <cell r="I147">
            <v>42585.9221875</v>
          </cell>
          <cell r="J147">
            <v>0</v>
          </cell>
          <cell r="K147" t="str">
            <v>4013/4014</v>
          </cell>
          <cell r="L147" t="str">
            <v>HAITHCOX</v>
          </cell>
          <cell r="M147">
            <v>2.899305555911269E-2</v>
          </cell>
          <cell r="N147">
            <v>41.750000005122274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https://search-rtdc-monitor-bjffxe2xuh6vdkpspy63sjmuny.us-east-1.es.amazonaws.com/_plugin/kibana/#/discover/Steve-Slow-Train-Analysis-(2080s-and-2083s)?_g=(refreshInterval:(display:Off,section:0,value:0),time:(from:'2016-08-03 20:24:48-0600',mode:absolute,to:'2016-08-03 23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7" t="str">
            <v>N</v>
          </cell>
          <cell r="X147">
            <v>1</v>
          </cell>
          <cell r="Y147">
            <v>4.3299999999999998E-2</v>
          </cell>
          <cell r="Z147">
            <v>23.33</v>
          </cell>
          <cell r="AA147">
            <v>23.2867</v>
          </cell>
          <cell r="AB147" t="e">
            <v>#N/A</v>
          </cell>
          <cell r="AC147" t="e">
            <v>#N/A</v>
          </cell>
          <cell r="AD147" t="str">
            <v>0231-03</v>
          </cell>
          <cell r="AE14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8">
          <cell r="A148" t="str">
            <v>232-03</v>
          </cell>
          <cell r="B148">
            <v>4013</v>
          </cell>
          <cell r="C148" t="str">
            <v>DE.1.0.7.0</v>
          </cell>
          <cell r="D148" t="str">
            <v>204:232991</v>
          </cell>
          <cell r="E148">
            <v>42585.930277777778</v>
          </cell>
          <cell r="F148">
            <v>42585.931539351855</v>
          </cell>
          <cell r="G148">
            <v>1</v>
          </cell>
          <cell r="H148" t="str">
            <v>204:139</v>
          </cell>
          <cell r="I148">
            <v>42585.961504629631</v>
          </cell>
          <cell r="J148">
            <v>0</v>
          </cell>
          <cell r="K148" t="str">
            <v>4013/4014</v>
          </cell>
          <cell r="L148" t="str">
            <v>HAITHCOX</v>
          </cell>
          <cell r="M148">
            <v>2.9965277775772847E-2</v>
          </cell>
          <cell r="N148">
            <v>43.1499999971129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https://search-rtdc-monitor-bjffxe2xuh6vdkpspy63sjmuny.us-east-1.es.amazonaws.com/_plugin/kibana/#/discover/Steve-Slow-Train-Analysis-(2080s-and-2083s)?_g=(refreshInterval:(display:Off,section:0,value:0),time:(from:'2016-08-03 21:19:36-0600',mode:absolute,to:'2016-08-04 00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1</v>
          </cell>
          <cell r="Y148">
            <v>23.299099999999999</v>
          </cell>
          <cell r="Z148">
            <v>1.3899999999999999E-2</v>
          </cell>
          <cell r="AA148">
            <v>23.2852</v>
          </cell>
          <cell r="AB148" t="e">
            <v>#N/A</v>
          </cell>
          <cell r="AC148" t="e">
            <v>#N/A</v>
          </cell>
          <cell r="AD148" t="str">
            <v>0232-03</v>
          </cell>
          <cell r="AE14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9">
          <cell r="A149" t="str">
            <v>233-03</v>
          </cell>
          <cell r="B149">
            <v>4044</v>
          </cell>
          <cell r="C149" t="str">
            <v>DE.1.0.7.0</v>
          </cell>
          <cell r="D149" t="str">
            <v>204:422</v>
          </cell>
          <cell r="E149">
            <v>42585.906851851854</v>
          </cell>
          <cell r="F149">
            <v>42585.907951388886</v>
          </cell>
          <cell r="G149">
            <v>1</v>
          </cell>
          <cell r="H149" t="str">
            <v>204:233330</v>
          </cell>
          <cell r="I149">
            <v>42585.94153935185</v>
          </cell>
          <cell r="J149">
            <v>0</v>
          </cell>
          <cell r="K149" t="str">
            <v>4043/4044</v>
          </cell>
          <cell r="L149" t="str">
            <v>LEVIN</v>
          </cell>
          <cell r="M149">
            <v>3.3587962963792961E-2</v>
          </cell>
          <cell r="N149">
            <v>48.366666667861864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https://search-rtdc-monitor-bjffxe2xuh6vdkpspy63sjmuny.us-east-1.es.amazonaws.com/_plugin/kibana/#/discover/Steve-Slow-Train-Analysis-(2080s-and-2083s)?_g=(refreshInterval:(display:Off,section:0,value:0),time:(from:'2016-08-03 20:45:52-0600',mode:absolute,to:'2016-08-03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9" t="str">
            <v>N</v>
          </cell>
          <cell r="X149">
            <v>1</v>
          </cell>
          <cell r="Y149">
            <v>4.2200000000000001E-2</v>
          </cell>
          <cell r="Z149">
            <v>23.332999999999998</v>
          </cell>
          <cell r="AA149">
            <v>23.290799999999997</v>
          </cell>
          <cell r="AB149" t="e">
            <v>#N/A</v>
          </cell>
          <cell r="AC149" t="e">
            <v>#N/A</v>
          </cell>
          <cell r="AD149" t="str">
            <v>0233-03</v>
          </cell>
          <cell r="AE14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0">
          <cell r="A150" t="str">
            <v>234-03</v>
          </cell>
          <cell r="B150">
            <v>4043</v>
          </cell>
          <cell r="C150" t="str">
            <v>DE.1.0.7.0</v>
          </cell>
          <cell r="D150" t="str">
            <v>204:232982</v>
          </cell>
          <cell r="E150">
            <v>42585.949201388888</v>
          </cell>
          <cell r="F150">
            <v>42585.949872685182</v>
          </cell>
          <cell r="G150">
            <v>0</v>
          </cell>
          <cell r="H150" t="str">
            <v>204:26829</v>
          </cell>
          <cell r="I150">
            <v>42585.977141203701</v>
          </cell>
          <cell r="J150">
            <v>0</v>
          </cell>
          <cell r="K150" t="str">
            <v>4043/4044</v>
          </cell>
          <cell r="L150" t="str">
            <v>LEVIN</v>
          </cell>
          <cell r="M150">
            <v>2.7268518519122154E-2</v>
          </cell>
          <cell r="N150">
            <v>39.266666667535901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https://search-rtdc-monitor-bjffxe2xuh6vdkpspy63sjmuny.us-east-1.es.amazonaws.com/_plugin/kibana/#/discover/Steve-Slow-Train-Analysis-(2080s-and-2083s)?_g=(refreshInterval:(display:Off,section:0,value:0),time:(from:'2016-08-03 21:46:51-0600',mode:absolute,to:'2016-08-04 00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0" t="str">
            <v>N</v>
          </cell>
          <cell r="X150">
            <v>1</v>
          </cell>
          <cell r="Y150">
            <v>23.298200000000001</v>
          </cell>
          <cell r="Z150">
            <v>0.01</v>
          </cell>
          <cell r="AA150">
            <v>23.2882</v>
          </cell>
          <cell r="AB150" t="e">
            <v>#N/A</v>
          </cell>
          <cell r="AC150" t="e">
            <v>#N/A</v>
          </cell>
          <cell r="AD150" t="str">
            <v>0234-03</v>
          </cell>
          <cell r="AE15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51">
          <cell r="A151" t="str">
            <v>235-03</v>
          </cell>
          <cell r="B151">
            <v>4040</v>
          </cell>
          <cell r="C151" t="str">
            <v>DE.1.0.7.0</v>
          </cell>
          <cell r="D151" t="str">
            <v>204:460</v>
          </cell>
          <cell r="E151">
            <v>42585.934050925927</v>
          </cell>
          <cell r="F151">
            <v>42585.937673611108</v>
          </cell>
          <cell r="G151">
            <v>5</v>
          </cell>
          <cell r="H151" t="str">
            <v>204:233312</v>
          </cell>
          <cell r="I151">
            <v>42585.962326388886</v>
          </cell>
          <cell r="J151">
            <v>0</v>
          </cell>
          <cell r="K151" t="str">
            <v>4039/4040</v>
          </cell>
          <cell r="L151" t="str">
            <v>COOLAHAN</v>
          </cell>
          <cell r="M151">
            <v>2.4652777778101154E-2</v>
          </cell>
          <cell r="N151">
            <v>35.500000000465661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https://search-rtdc-monitor-bjffxe2xuh6vdkpspy63sjmuny.us-east-1.es.amazonaws.com/_plugin/kibana/#/discover/Steve-Slow-Train-Analysis-(2080s-and-2083s)?_g=(refreshInterval:(display:Off,section:0,value:0),time:(from:'2016-08-03 21:25:02-0600',mode:absolute,to:'2016-08-04 00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23.331199999999999</v>
          </cell>
          <cell r="AA151">
            <v>23.2852</v>
          </cell>
          <cell r="AB151" t="e">
            <v>#N/A</v>
          </cell>
          <cell r="AC151" t="e">
            <v>#N/A</v>
          </cell>
          <cell r="AD151" t="str">
            <v>0235-03</v>
          </cell>
          <cell r="AE151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52">
          <cell r="A152" t="str">
            <v>236-03</v>
          </cell>
          <cell r="B152">
            <v>4039</v>
          </cell>
          <cell r="C152" t="str">
            <v>DE.1.0.7.0</v>
          </cell>
          <cell r="D152" t="str">
            <v>204:232998</v>
          </cell>
          <cell r="E152">
            <v>42585.971828703703</v>
          </cell>
          <cell r="F152">
            <v>42585.97284722222</v>
          </cell>
          <cell r="G152">
            <v>1</v>
          </cell>
          <cell r="H152" t="str">
            <v>204:165</v>
          </cell>
          <cell r="I152">
            <v>42586.004976851851</v>
          </cell>
          <cell r="J152">
            <v>0</v>
          </cell>
          <cell r="K152" t="str">
            <v>4039/4040</v>
          </cell>
          <cell r="L152" t="str">
            <v>COOLAHAN</v>
          </cell>
          <cell r="M152">
            <v>3.2129629631526768E-2</v>
          </cell>
          <cell r="N152">
            <v>46.266666669398546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https://search-rtdc-monitor-bjffxe2xuh6vdkpspy63sjmuny.us-east-1.es.amazonaws.com/_plugin/kibana/#/discover/Steve-Slow-Train-Analysis-(2080s-and-2083s)?_g=(refreshInterval:(display:Off,section:0,value:0),time:(from:'2016-08-03 22:19:26-0600',mode:absolute,to:'2016-08-04 01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N</v>
          </cell>
          <cell r="X152">
            <v>1</v>
          </cell>
          <cell r="Y152">
            <v>23.299800000000001</v>
          </cell>
          <cell r="Z152">
            <v>1.6500000000000001E-2</v>
          </cell>
          <cell r="AA152">
            <v>23.283300000000001</v>
          </cell>
          <cell r="AB152" t="e">
            <v>#N/A</v>
          </cell>
          <cell r="AC152" t="e">
            <v>#N/A</v>
          </cell>
          <cell r="AD152" t="str">
            <v>0236-03</v>
          </cell>
          <cell r="AE152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53">
          <cell r="A153" t="str">
            <v>237-03</v>
          </cell>
          <cell r="B153">
            <v>4025</v>
          </cell>
          <cell r="C153" t="str">
            <v>DE.1.0.7.0</v>
          </cell>
          <cell r="D153" t="str">
            <v>204:473</v>
          </cell>
          <cell r="E153">
            <v>42585.950613425928</v>
          </cell>
          <cell r="F153">
            <v>42585.951550925929</v>
          </cell>
          <cell r="G153">
            <v>1</v>
          </cell>
          <cell r="H153" t="str">
            <v>204:233270</v>
          </cell>
          <cell r="I153">
            <v>42585.983715277776</v>
          </cell>
          <cell r="J153">
            <v>0</v>
          </cell>
          <cell r="K153" t="str">
            <v>4025/4026</v>
          </cell>
          <cell r="L153" t="str">
            <v>STURGEON</v>
          </cell>
          <cell r="M153">
            <v>3.216435184731381E-2</v>
          </cell>
          <cell r="N153">
            <v>46.316666660131887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https://search-rtdc-monitor-bjffxe2xuh6vdkpspy63sjmuny.us-east-1.es.amazonaws.com/_plugin/kibana/#/discover/Steve-Slow-Train-Analysis-(2080s-and-2083s)?_g=(refreshInterval:(display:Off,section:0,value:0),time:(from:'2016-08-03 21:48:53-0600',mode:absolute,to:'2016-08-04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3" t="str">
            <v>N</v>
          </cell>
          <cell r="X153">
            <v>1</v>
          </cell>
          <cell r="Y153">
            <v>4.7300000000000002E-2</v>
          </cell>
          <cell r="Z153">
            <v>23.327000000000002</v>
          </cell>
          <cell r="AA153">
            <v>23.279700000000002</v>
          </cell>
          <cell r="AB153" t="e">
            <v>#N/A</v>
          </cell>
          <cell r="AC153" t="e">
            <v>#N/A</v>
          </cell>
          <cell r="AD153" t="str">
            <v>0237-03</v>
          </cell>
          <cell r="AE15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54">
          <cell r="A154" t="str">
            <v>238-03</v>
          </cell>
          <cell r="B154">
            <v>4026</v>
          </cell>
          <cell r="C154" t="str">
            <v>DE.1.0.7.0</v>
          </cell>
          <cell r="D154" t="str">
            <v>204:232955</v>
          </cell>
          <cell r="E154">
            <v>42585.99113425926</v>
          </cell>
          <cell r="F154">
            <v>42585.992083333331</v>
          </cell>
          <cell r="G154">
            <v>1</v>
          </cell>
          <cell r="H154" t="str">
            <v>204:160</v>
          </cell>
          <cell r="I154">
            <v>42586.025011574071</v>
          </cell>
          <cell r="J154">
            <v>0</v>
          </cell>
          <cell r="K154" t="str">
            <v>4025/4026</v>
          </cell>
          <cell r="L154" t="str">
            <v>STURGEON</v>
          </cell>
          <cell r="M154">
            <v>3.2928240740147885E-2</v>
          </cell>
          <cell r="N154">
            <v>47.416666665812954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https://search-rtdc-monitor-bjffxe2xuh6vdkpspy63sjmuny.us-east-1.es.amazonaws.com/_plugin/kibana/#/discover/Steve-Slow-Train-Analysis-(2080s-and-2083s)?_g=(refreshInterval:(display:Off,section:0,value:0),time:(from:'2016-08-03 22:47:14-0600',mode:absolute,to:'2016-08-04 01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4" t="str">
            <v>N</v>
          </cell>
          <cell r="X154">
            <v>1</v>
          </cell>
          <cell r="Y154">
            <v>23.295500000000001</v>
          </cell>
          <cell r="Z154">
            <v>1.6E-2</v>
          </cell>
          <cell r="AA154">
            <v>23.279500000000002</v>
          </cell>
          <cell r="AB154" t="e">
            <v>#N/A</v>
          </cell>
          <cell r="AC154" t="e">
            <v>#N/A</v>
          </cell>
          <cell r="AD154" t="str">
            <v>0238-03</v>
          </cell>
          <cell r="AE15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5">
          <cell r="A155" t="str">
            <v>239-03</v>
          </cell>
          <cell r="B155">
            <v>4014</v>
          </cell>
          <cell r="C155" t="str">
            <v>DE.1.0.7.0</v>
          </cell>
          <cell r="D155" t="str">
            <v>204:427</v>
          </cell>
          <cell r="E155">
            <v>42585.976458333331</v>
          </cell>
          <cell r="F155">
            <v>42585.977870370371</v>
          </cell>
          <cell r="G155">
            <v>2</v>
          </cell>
          <cell r="H155" t="str">
            <v>204:233291</v>
          </cell>
          <cell r="I155">
            <v>42586.004050925927</v>
          </cell>
          <cell r="J155">
            <v>0</v>
          </cell>
          <cell r="K155" t="str">
            <v>4013/4014</v>
          </cell>
          <cell r="L155" t="str">
            <v>HAITHCOX</v>
          </cell>
          <cell r="M155">
            <v>2.6180555556493346E-2</v>
          </cell>
          <cell r="N155">
            <v>37.700000001350418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https://search-rtdc-monitor-bjffxe2xuh6vdkpspy63sjmuny.us-east-1.es.amazonaws.com/_plugin/kibana/#/discover/Steve-Slow-Train-Analysis-(2080s-and-2083s)?_g=(refreshInterval:(display:Off,section:0,value:0),time:(from:'2016-08-03 22:26:06-0600',mode:absolute,to:'2016-08-04 01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5" t="str">
            <v>N</v>
          </cell>
          <cell r="X155">
            <v>1</v>
          </cell>
          <cell r="Y155">
            <v>4.2700000000000002E-2</v>
          </cell>
          <cell r="Z155">
            <v>23.3291</v>
          </cell>
          <cell r="AA155">
            <v>23.2864</v>
          </cell>
          <cell r="AB155" t="e">
            <v>#N/A</v>
          </cell>
          <cell r="AC155" t="e">
            <v>#N/A</v>
          </cell>
          <cell r="AD155" t="str">
            <v>0239-03</v>
          </cell>
          <cell r="AE1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56">
          <cell r="A156" t="str">
            <v>240-03</v>
          </cell>
          <cell r="B156">
            <v>4013</v>
          </cell>
          <cell r="C156" t="str">
            <v>DE.1.0.7.0</v>
          </cell>
          <cell r="D156" t="str">
            <v>204:232971</v>
          </cell>
          <cell r="E156">
            <v>42586.01458333333</v>
          </cell>
          <cell r="F156">
            <v>42586.018136574072</v>
          </cell>
          <cell r="G156">
            <v>5</v>
          </cell>
          <cell r="H156" t="str">
            <v>204:147</v>
          </cell>
          <cell r="I156">
            <v>42586.044652777775</v>
          </cell>
          <cell r="J156">
            <v>0</v>
          </cell>
          <cell r="K156" t="str">
            <v>4013/4014</v>
          </cell>
          <cell r="L156" t="str">
            <v>HAITHCOX</v>
          </cell>
          <cell r="M156">
            <v>2.6516203703067731E-2</v>
          </cell>
          <cell r="N156">
            <v>38.183333332417533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https://search-rtdc-monitor-bjffxe2xuh6vdkpspy63sjmuny.us-east-1.es.amazonaws.com/_plugin/kibana/#/discover/Steve-Slow-Train-Analysis-(2080s-and-2083s)?_g=(refreshInterval:(display:Off,section:0,value:0),time:(from:'2016-08-03 23:21:00-0600',mode:absolute,to:'2016-08-04 02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6" t="str">
            <v>N</v>
          </cell>
          <cell r="X156">
            <v>1</v>
          </cell>
          <cell r="Y156">
            <v>23.2971</v>
          </cell>
          <cell r="Z156">
            <v>1.47E-2</v>
          </cell>
          <cell r="AA156">
            <v>23.282399999999999</v>
          </cell>
          <cell r="AB156" t="e">
            <v>#N/A</v>
          </cell>
          <cell r="AC156" t="e">
            <v>#N/A</v>
          </cell>
          <cell r="AD156" t="str">
            <v>0240-03</v>
          </cell>
          <cell r="AE156" t="str">
            <v>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 &amp; aws s3 cp s3://rtdc.mdm.uploadarchive/RTDC4013/2016-08-05/ "%USERPROFILE%\AppData\Local\Temp\OnboardLogs"\RTDC4013\2016-08-05 --recursive &amp; "%USERPROFILE%\Documents\GitHub\mrs-test-scripts\Headless Mode &amp; Sideloading\WalkAndUnGZ.bat" "%USERPROFILE%\AppData\Local\Temp\OnboardLogs"\RTDC4013\2016-08-05</v>
          </cell>
        </row>
        <row r="157">
          <cell r="A157" t="str">
            <v>241-03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42585.987627314818</v>
          </cell>
          <cell r="F157">
            <v>42585.988668981481</v>
          </cell>
          <cell r="G157">
            <v>1</v>
          </cell>
          <cell r="H157" t="str">
            <v>204:233263</v>
          </cell>
          <cell r="I157">
            <v>42586.024664351855</v>
          </cell>
          <cell r="J157">
            <v>0</v>
          </cell>
          <cell r="K157" t="str">
            <v>4043/4044</v>
          </cell>
          <cell r="L157" t="str">
            <v>LEVIN</v>
          </cell>
          <cell r="M157">
            <v>3.5995370373711921E-2</v>
          </cell>
          <cell r="N157">
            <v>51.833333338145167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22:42:11-0600',mode:absolute,to:'2016-08-04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23.3263</v>
          </cell>
          <cell r="AA157">
            <v>23.280799999999999</v>
          </cell>
          <cell r="AB157" t="e">
            <v>#N/A</v>
          </cell>
          <cell r="AC157" t="e">
            <v>#N/A</v>
          </cell>
          <cell r="AD157" t="str">
            <v>0241-03</v>
          </cell>
          <cell r="AE15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8">
          <cell r="A158" t="str">
            <v>242-03</v>
          </cell>
          <cell r="B158">
            <v>4043</v>
          </cell>
          <cell r="C158" t="str">
            <v>DE.1.0.7.0</v>
          </cell>
          <cell r="D158" t="str">
            <v>204:232975</v>
          </cell>
          <cell r="E158">
            <v>42586.030729166669</v>
          </cell>
          <cell r="F158">
            <v>42586.031574074077</v>
          </cell>
          <cell r="G158">
            <v>1</v>
          </cell>
          <cell r="H158" t="str">
            <v>204:161</v>
          </cell>
          <cell r="I158">
            <v>42586.065578703703</v>
          </cell>
          <cell r="J158">
            <v>0</v>
          </cell>
          <cell r="K158" t="str">
            <v>4043/4044</v>
          </cell>
          <cell r="L158" t="str">
            <v>LEVIN</v>
          </cell>
          <cell r="M158">
            <v>3.400462962599704E-2</v>
          </cell>
          <cell r="N158">
            <v>48.966666661435738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https://search-rtdc-monitor-bjffxe2xuh6vdkpspy63sjmuny.us-east-1.es.amazonaws.com/_plugin/kibana/#/discover/Steve-Slow-Train-Analysis-(2080s-and-2083s)?_g=(refreshInterval:(display:Off,section:0,value:0),time:(from:'2016-08-03 23:44:15-0600',mode:absolute,to:'2016-08-04 02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23.297499999999999</v>
          </cell>
          <cell r="Z158">
            <v>1.61E-2</v>
          </cell>
          <cell r="AA158">
            <v>23.281399999999998</v>
          </cell>
          <cell r="AB158" t="e">
            <v>#N/A</v>
          </cell>
          <cell r="AC158" t="e">
            <v>#N/A</v>
          </cell>
          <cell r="AD158" t="str">
            <v>0242-03</v>
          </cell>
          <cell r="AE158" t="str">
            <v>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 &amp; 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</v>
          </cell>
        </row>
        <row r="159">
          <cell r="A159" t="str">
            <v>243-03</v>
          </cell>
          <cell r="B159">
            <v>4040</v>
          </cell>
          <cell r="C159" t="str">
            <v>DE.1.0.7.0</v>
          </cell>
          <cell r="D159" t="str">
            <v>204:489</v>
          </cell>
          <cell r="E159">
            <v>42586.017256944448</v>
          </cell>
          <cell r="F159">
            <v>42586.018194444441</v>
          </cell>
          <cell r="G159">
            <v>1</v>
          </cell>
          <cell r="H159" t="str">
            <v>204:233293</v>
          </cell>
          <cell r="I159">
            <v>42586.045844907407</v>
          </cell>
          <cell r="J159">
            <v>0</v>
          </cell>
          <cell r="K159" t="str">
            <v>4039/4040</v>
          </cell>
          <cell r="L159" t="str">
            <v>COOLAHAN</v>
          </cell>
          <cell r="M159">
            <v>2.7650462965539191E-2</v>
          </cell>
          <cell r="N159">
            <v>39.816666670376435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https://search-rtdc-monitor-bjffxe2xuh6vdkpspy63sjmuny.us-east-1.es.amazonaws.com/_plugin/kibana/#/discover/Steve-Slow-Train-Analysis-(2080s-and-2083s)?_g=(refreshInterval:(display:Off,section:0,value:0),time:(from:'2016-08-03 23:24:51-0600',mode:absolute,to:'2016-08-04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9" t="str">
            <v>N</v>
          </cell>
          <cell r="X159">
            <v>1</v>
          </cell>
          <cell r="Y159">
            <v>4.8899999999999999E-2</v>
          </cell>
          <cell r="Z159">
            <v>23.3293</v>
          </cell>
          <cell r="AA159">
            <v>23.2804</v>
          </cell>
          <cell r="AB159" t="e">
            <v>#N/A</v>
          </cell>
          <cell r="AC159" t="e">
            <v>#N/A</v>
          </cell>
          <cell r="AD159" t="str">
            <v>0243-03</v>
          </cell>
          <cell r="AE159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160">
          <cell r="A160" t="str">
            <v>244-03</v>
          </cell>
          <cell r="B160">
            <v>4039</v>
          </cell>
          <cell r="C160" t="str">
            <v>DE.1.0.7.0</v>
          </cell>
          <cell r="D160" t="str">
            <v>204:232977</v>
          </cell>
          <cell r="E160">
            <v>42586.057175925926</v>
          </cell>
          <cell r="F160">
            <v>42586.058530092596</v>
          </cell>
          <cell r="G160">
            <v>1</v>
          </cell>
          <cell r="H160" t="str">
            <v>204:154</v>
          </cell>
          <cell r="I160">
            <v>42586.086261574077</v>
          </cell>
          <cell r="J160">
            <v>0</v>
          </cell>
          <cell r="K160" t="str">
            <v>4039/4040</v>
          </cell>
          <cell r="L160" t="str">
            <v>COOLAHAN</v>
          </cell>
          <cell r="M160">
            <v>2.7731481481168885E-2</v>
          </cell>
          <cell r="N160">
            <v>39.933333332883194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00:22:20-0600',mode:absolute,to:'2016-08-04 03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0" t="str">
            <v>N</v>
          </cell>
          <cell r="X160">
            <v>1</v>
          </cell>
          <cell r="Y160">
            <v>23.297699999999999</v>
          </cell>
          <cell r="Z160">
            <v>1.54E-2</v>
          </cell>
          <cell r="AA160">
            <v>23.282299999999999</v>
          </cell>
          <cell r="AB160" t="e">
            <v>#N/A</v>
          </cell>
          <cell r="AC160" t="e">
            <v>#N/A</v>
          </cell>
          <cell r="AD160" t="str">
            <v>0244-03</v>
          </cell>
          <cell r="AE160" t="str">
            <v>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 &amp; aws s3 cp s3://rtdc.mdm.uploadarchive/RTDC4039/2016-08-05/ "%USERPROFILE%\AppData\Local\Temp\OnboardLogs"\RTDC4039\2016-08-05 --recursive &amp; "%USERPROFILE%\Documents\GitHub\mrs-test-scripts\Headless Mode &amp; Sideloading\WalkAndUnGZ.bat" "%USERPROFILE%\AppData\Local\Temp\OnboardLogs"\RTDC4039\2016-08-05</v>
          </cell>
        </row>
        <row r="161">
          <cell r="A161" t="str">
            <v>800-03</v>
          </cell>
          <cell r="B161">
            <v>4015</v>
          </cell>
          <cell r="C161" t="str">
            <v>DE.1.0.7.0</v>
          </cell>
          <cell r="D161" t="str">
            <v>300:58608</v>
          </cell>
          <cell r="E161">
            <v>42585.217372685183</v>
          </cell>
          <cell r="F161">
            <v>42585.218333333331</v>
          </cell>
          <cell r="G161">
            <v>1</v>
          </cell>
          <cell r="H161" t="str">
            <v>204:657</v>
          </cell>
          <cell r="I161">
            <v>42585.231238425928</v>
          </cell>
          <cell r="J161">
            <v>0</v>
          </cell>
          <cell r="K161" t="str">
            <v>4015/4016</v>
          </cell>
          <cell r="L161" t="str">
            <v>STARKS</v>
          </cell>
          <cell r="M161">
            <v>1.2905092597065959E-2</v>
          </cell>
          <cell r="N161">
            <v>18.583333339774981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https://search-rtdc-monitor-bjffxe2xuh6vdkpspy63sjmuny.us-east-1.es.amazonaws.com/_plugin/kibana/#/discover/Steve-Slow-Train-Analysis-(2080s-and-2083s)?_g=(refreshInterval:(display:Off,section:0,value:0),time:(from:'2016-08-03 04:13:01-0600',mode:absolute,to:'2016-08-03 06:32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556</v>
          </cell>
          <cell r="Y161">
            <v>5.8608000000000002</v>
          </cell>
          <cell r="Z161">
            <v>6.5699999999999995E-2</v>
          </cell>
          <cell r="AA161">
            <v>5.7951000000000006</v>
          </cell>
          <cell r="AB161" t="e">
            <v>#N/A</v>
          </cell>
          <cell r="AC161" t="e">
            <v>#N/A</v>
          </cell>
          <cell r="AD161" t="str">
            <v>0800-03</v>
          </cell>
          <cell r="AE16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2">
          <cell r="A162" t="str">
            <v>801-03</v>
          </cell>
          <cell r="B162">
            <v>4016</v>
          </cell>
          <cell r="C162" t="str">
            <v>DE.1.0.7.0</v>
          </cell>
          <cell r="D162" t="str">
            <v>204:941</v>
          </cell>
          <cell r="E162">
            <v>42585.2424537037</v>
          </cell>
          <cell r="F162">
            <v>42585.243391203701</v>
          </cell>
          <cell r="G162">
            <v>1</v>
          </cell>
          <cell r="H162" t="str">
            <v>300:58922</v>
          </cell>
          <cell r="I162">
            <v>42585.254745370374</v>
          </cell>
          <cell r="J162">
            <v>1</v>
          </cell>
          <cell r="K162" t="str">
            <v>4015/4016</v>
          </cell>
          <cell r="L162" t="str">
            <v>STARKS</v>
          </cell>
          <cell r="M162">
            <v>1.135416667239042E-2</v>
          </cell>
          <cell r="N162">
            <v>16.350000008242205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https://search-rtdc-monitor-bjffxe2xuh6vdkpspy63sjmuny.us-east-1.es.amazonaws.com/_plugin/kibana/#/discover/Steve-Slow-Train-Analysis-(2080s-and-2083s)?_g=(refreshInterval:(display:Off,section:0,value:0),time:(from:'2016-08-03 04:49:08-0600',mode:absolute,to:'2016-08-03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2" t="str">
            <v>N</v>
          </cell>
          <cell r="X162">
            <v>1</v>
          </cell>
          <cell r="Y162">
            <v>9.4100000000000003E-2</v>
          </cell>
          <cell r="Z162">
            <v>5.8921999999999999</v>
          </cell>
          <cell r="AA162">
            <v>5.7980999999999998</v>
          </cell>
          <cell r="AB162" t="e">
            <v>#N/A</v>
          </cell>
          <cell r="AC162" t="e">
            <v>#N/A</v>
          </cell>
          <cell r="AD162" t="str">
            <v>0801-03</v>
          </cell>
          <cell r="AE16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3">
          <cell r="A163" t="str">
            <v>802-03</v>
          </cell>
          <cell r="B163">
            <v>4015</v>
          </cell>
          <cell r="C163" t="str">
            <v>DE.1.0.7.0</v>
          </cell>
          <cell r="D163" t="str">
            <v>300:58609</v>
          </cell>
          <cell r="E163">
            <v>42585.256944444445</v>
          </cell>
          <cell r="F163">
            <v>42585.258229166669</v>
          </cell>
          <cell r="G163">
            <v>1</v>
          </cell>
          <cell r="H163" t="str">
            <v>204:640</v>
          </cell>
          <cell r="I163">
            <v>42585.269456018519</v>
          </cell>
          <cell r="J163">
            <v>0</v>
          </cell>
          <cell r="K163" t="str">
            <v>4015/4016</v>
          </cell>
          <cell r="L163" t="str">
            <v>DAVIS</v>
          </cell>
          <cell r="M163">
            <v>1.1226851849642117E-2</v>
          </cell>
          <cell r="N163">
            <v>16.166666663484648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https://search-rtdc-monitor-bjffxe2xuh6vdkpspy63sjmuny.us-east-1.es.amazonaws.com/_plugin/kibana/#/discover/Steve-Slow-Train-Analysis-(2080s-and-2083s)?_g=(refreshInterval:(display:Off,section:0,value:0),time:(from:'2016-08-03 05:10:00-0600',mode:absolute,to:'2016-08-03 07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3" t="str">
            <v>N</v>
          </cell>
          <cell r="X163">
            <v>1</v>
          </cell>
          <cell r="Y163">
            <v>5.8609</v>
          </cell>
          <cell r="Z163">
            <v>6.4000000000000001E-2</v>
          </cell>
          <cell r="AA163">
            <v>5.7968999999999999</v>
          </cell>
          <cell r="AB163" t="e">
            <v>#N/A</v>
          </cell>
          <cell r="AC163" t="e">
            <v>#N/A</v>
          </cell>
          <cell r="AD163" t="str">
            <v>0802-03</v>
          </cell>
          <cell r="AE16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4">
          <cell r="A164" t="str">
            <v>803-03</v>
          </cell>
          <cell r="B164">
            <v>4007</v>
          </cell>
          <cell r="C164" t="str">
            <v>DE.1.0.7.0</v>
          </cell>
          <cell r="D164" t="str">
            <v>204:965</v>
          </cell>
          <cell r="E164">
            <v>42585.25644675926</v>
          </cell>
          <cell r="F164">
            <v>42585.257708333331</v>
          </cell>
          <cell r="G164">
            <v>1</v>
          </cell>
          <cell r="H164" t="str">
            <v>300:58973</v>
          </cell>
          <cell r="I164">
            <v>42585.275219907409</v>
          </cell>
          <cell r="J164">
            <v>0</v>
          </cell>
          <cell r="K164" t="str">
            <v>4007/4008</v>
          </cell>
          <cell r="L164" t="str">
            <v>ISHMAEL</v>
          </cell>
          <cell r="M164">
            <v>1.7511574078525882E-2</v>
          </cell>
          <cell r="N164">
            <v>25.21666667307727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https://search-rtdc-monitor-bjffxe2xuh6vdkpspy63sjmuny.us-east-1.es.amazonaws.com/_plugin/kibana/#/discover/Steve-Slow-Train-Analysis-(2080s-and-2083s)?_g=(refreshInterval:(display:Off,section:0,value:0),time:(from:'2016-08-03 05:09:17-0600',mode:absolute,to:'2016-08-03 07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4" t="str">
            <v>N</v>
          </cell>
          <cell r="X164">
            <v>1</v>
          </cell>
          <cell r="Y164">
            <v>9.6500000000000002E-2</v>
          </cell>
          <cell r="Z164">
            <v>5.8973000000000004</v>
          </cell>
          <cell r="AA164">
            <v>5.8008000000000006</v>
          </cell>
          <cell r="AB164" t="e">
            <v>#N/A</v>
          </cell>
          <cell r="AC164" t="e">
            <v>#N/A</v>
          </cell>
          <cell r="AD164" t="str">
            <v>0803-03</v>
          </cell>
          <cell r="AE16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5">
          <cell r="A165" t="str">
            <v>804-03</v>
          </cell>
          <cell r="B165">
            <v>4008</v>
          </cell>
          <cell r="C165" t="str">
            <v>DE.1.0.7.0</v>
          </cell>
          <cell r="D165" t="str">
            <v>300:58658</v>
          </cell>
          <cell r="E165">
            <v>42585.276145833333</v>
          </cell>
          <cell r="F165">
            <v>42585.277256944442</v>
          </cell>
          <cell r="G165">
            <v>1</v>
          </cell>
          <cell r="H165" t="str">
            <v>204:719</v>
          </cell>
          <cell r="I165">
            <v>42585.289826388886</v>
          </cell>
          <cell r="J165">
            <v>1</v>
          </cell>
          <cell r="K165" t="str">
            <v>4007/4008</v>
          </cell>
          <cell r="L165" t="str">
            <v>ISHMAEL</v>
          </cell>
          <cell r="M165">
            <v>1.2569444443215616E-2</v>
          </cell>
          <cell r="N165">
            <v>18.099999998230487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https://search-rtdc-monitor-bjffxe2xuh6vdkpspy63sjmuny.us-east-1.es.amazonaws.com/_plugin/kibana/#/discover/Steve-Slow-Train-Analysis-(2080s-and-2083s)?_g=(refreshInterval:(display:Off,section:0,value:0),time:(from:'2016-08-03 05:37:39-0600',mode:absolute,to:'2016-08-03 07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5" t="str">
            <v>N</v>
          </cell>
          <cell r="X165">
            <v>1</v>
          </cell>
          <cell r="Y165">
            <v>5.8658000000000001</v>
          </cell>
          <cell r="Z165">
            <v>7.1900000000000006E-2</v>
          </cell>
          <cell r="AA165">
            <v>5.7938999999999998</v>
          </cell>
          <cell r="AB165" t="e">
            <v>#N/A</v>
          </cell>
          <cell r="AC165" t="e">
            <v>#N/A</v>
          </cell>
          <cell r="AD165" t="str">
            <v>0804-03</v>
          </cell>
          <cell r="AE16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66">
          <cell r="A166" t="str">
            <v>805-03</v>
          </cell>
          <cell r="B166">
            <v>4016</v>
          </cell>
          <cell r="C166" t="str">
            <v>DE.1.0.7.0</v>
          </cell>
          <cell r="D166" t="str">
            <v>204:927</v>
          </cell>
          <cell r="E166">
            <v>42585.280231481483</v>
          </cell>
          <cell r="F166">
            <v>42585.281192129631</v>
          </cell>
          <cell r="G166">
            <v>1</v>
          </cell>
          <cell r="H166" t="str">
            <v>300:58943</v>
          </cell>
          <cell r="I166">
            <v>42585.296041666668</v>
          </cell>
          <cell r="J166">
            <v>0</v>
          </cell>
          <cell r="K166" t="str">
            <v>4015/4016</v>
          </cell>
          <cell r="L166" t="str">
            <v>DAVIS</v>
          </cell>
          <cell r="M166">
            <v>1.484953703766223E-2</v>
          </cell>
          <cell r="N166">
            <v>21.383333334233612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https://search-rtdc-monitor-bjffxe2xuh6vdkpspy63sjmuny.us-east-1.es.amazonaws.com/_plugin/kibana/#/discover/Steve-Slow-Train-Analysis-(2080s-and-2083s)?_g=(refreshInterval:(display:Off,section:0,value:0),time:(from:'2016-08-03 05:43:32-0600',mode:absolute,to:'2016-08-03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6" t="str">
            <v>N</v>
          </cell>
          <cell r="X166">
            <v>1</v>
          </cell>
          <cell r="Y166">
            <v>9.2700000000000005E-2</v>
          </cell>
          <cell r="Z166">
            <v>5.8943000000000003</v>
          </cell>
          <cell r="AA166">
            <v>5.8016000000000005</v>
          </cell>
          <cell r="AB166" t="e">
            <v>#N/A</v>
          </cell>
          <cell r="AC166" t="e">
            <v>#N/A</v>
          </cell>
          <cell r="AD166" t="str">
            <v>0805-03</v>
          </cell>
          <cell r="AE16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7">
          <cell r="A167" t="str">
            <v>806-03</v>
          </cell>
          <cell r="B167">
            <v>4015</v>
          </cell>
          <cell r="C167" t="str">
            <v>DE.1.0.7.0</v>
          </cell>
          <cell r="D167" t="str">
            <v>300:58626</v>
          </cell>
          <cell r="E167">
            <v>42585.297071759262</v>
          </cell>
          <cell r="F167">
            <v>42585.297858796293</v>
          </cell>
          <cell r="G167">
            <v>1</v>
          </cell>
          <cell r="H167" t="str">
            <v>204:661</v>
          </cell>
          <cell r="I167">
            <v>42585.310208333336</v>
          </cell>
          <cell r="J167">
            <v>0</v>
          </cell>
          <cell r="K167" t="str">
            <v>4015/4016</v>
          </cell>
          <cell r="L167" t="str">
            <v>DAVIS</v>
          </cell>
          <cell r="M167">
            <v>1.2349537042609882E-2</v>
          </cell>
          <cell r="N167">
            <v>17.78333334135823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https://search-rtdc-monitor-bjffxe2xuh6vdkpspy63sjmuny.us-east-1.es.amazonaws.com/_plugin/kibana/#/discover/Steve-Slow-Train-Analysis-(2080s-and-2083s)?_g=(refreshInterval:(display:Off,section:0,value:0),time:(from:'2016-08-03 06:07:47-0600',mode:absolute,to:'2016-08-03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7" t="str">
            <v>N</v>
          </cell>
          <cell r="X167">
            <v>1</v>
          </cell>
          <cell r="Y167">
            <v>5.8625999999999996</v>
          </cell>
          <cell r="Z167">
            <v>6.6100000000000006E-2</v>
          </cell>
          <cell r="AA167">
            <v>5.7965</v>
          </cell>
          <cell r="AB167" t="e">
            <v>#N/A</v>
          </cell>
          <cell r="AC167" t="e">
            <v>#N/A</v>
          </cell>
          <cell r="AD167" t="str">
            <v>0806-03</v>
          </cell>
          <cell r="AE16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8">
          <cell r="A168" t="str">
            <v>807-03</v>
          </cell>
          <cell r="B168">
            <v>4007</v>
          </cell>
          <cell r="C168" t="str">
            <v>DE.1.0.7.0</v>
          </cell>
          <cell r="D168" t="str">
            <v>204:1021</v>
          </cell>
          <cell r="E168">
            <v>42585.302928240744</v>
          </cell>
          <cell r="F168">
            <v>42585.304062499999</v>
          </cell>
          <cell r="G168">
            <v>1</v>
          </cell>
          <cell r="H168" t="str">
            <v>300:58984</v>
          </cell>
          <cell r="I168">
            <v>42585.31627314815</v>
          </cell>
          <cell r="J168">
            <v>0</v>
          </cell>
          <cell r="K168" t="str">
            <v>4007/4008</v>
          </cell>
          <cell r="L168" t="str">
            <v>ISHMAEL</v>
          </cell>
          <cell r="M168">
            <v>1.2210648150357883E-2</v>
          </cell>
          <cell r="N168">
            <v>17.583333336515352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https://search-rtdc-monitor-bjffxe2xuh6vdkpspy63sjmuny.us-east-1.es.amazonaws.com/_plugin/kibana/#/discover/Steve-Slow-Train-Analysis-(2080s-and-2083s)?_g=(refreshInterval:(display:Off,section:0,value:0),time:(from:'2016-08-03 06:16:13-0600',mode:absolute,to:'2016-08-03 08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8" t="str">
            <v>N</v>
          </cell>
          <cell r="X168">
            <v>1</v>
          </cell>
          <cell r="Y168">
            <v>0.1021</v>
          </cell>
          <cell r="Z168">
            <v>5.8983999999999996</v>
          </cell>
          <cell r="AA168">
            <v>5.7962999999999996</v>
          </cell>
          <cell r="AB168" t="e">
            <v>#N/A</v>
          </cell>
          <cell r="AC168" t="e">
            <v>#N/A</v>
          </cell>
          <cell r="AD168" t="str">
            <v>0807-03</v>
          </cell>
          <cell r="AE16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9">
          <cell r="A169" t="str">
            <v>808-03</v>
          </cell>
          <cell r="B169">
            <v>4008</v>
          </cell>
          <cell r="C169" t="str">
            <v>DE.1.0.7.0</v>
          </cell>
          <cell r="D169" t="str">
            <v>300:58668</v>
          </cell>
          <cell r="E169">
            <v>42585.317210648151</v>
          </cell>
          <cell r="F169">
            <v>42585.318773148145</v>
          </cell>
          <cell r="G169">
            <v>2</v>
          </cell>
          <cell r="H169" t="str">
            <v>204:682</v>
          </cell>
          <cell r="I169">
            <v>42585.330046296294</v>
          </cell>
          <cell r="J169">
            <v>0</v>
          </cell>
          <cell r="K169" t="str">
            <v>4007/4008</v>
          </cell>
          <cell r="L169" t="str">
            <v>ISHMAEL</v>
          </cell>
          <cell r="M169">
            <v>1.1273148149484769E-2</v>
          </cell>
          <cell r="N169">
            <v>16.233333335258067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https://search-rtdc-monitor-bjffxe2xuh6vdkpspy63sjmuny.us-east-1.es.amazonaws.com/_plugin/kibana/#/discover/Steve-Slow-Train-Analysis-(2080s-and-2083s)?_g=(refreshInterval:(display:Off,section:0,value:0),time:(from:'2016-08-03 06:36:47-0600',mode:absolute,to:'2016-08-03 08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9" t="str">
            <v>N</v>
          </cell>
          <cell r="X169">
            <v>1</v>
          </cell>
          <cell r="Y169">
            <v>5.8667999999999996</v>
          </cell>
          <cell r="Z169">
            <v>6.8199999999999997E-2</v>
          </cell>
          <cell r="AA169">
            <v>5.7985999999999995</v>
          </cell>
          <cell r="AB169" t="e">
            <v>#N/A</v>
          </cell>
          <cell r="AC169" t="e">
            <v>#N/A</v>
          </cell>
          <cell r="AD169" t="str">
            <v>0808-03</v>
          </cell>
          <cell r="AE16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0">
          <cell r="A170" t="str">
            <v>809-03</v>
          </cell>
          <cell r="B170">
            <v>4016</v>
          </cell>
          <cell r="C170" t="str">
            <v>DE.1.0.7.0</v>
          </cell>
          <cell r="D170" t="str">
            <v>204:943</v>
          </cell>
          <cell r="E170">
            <v>42585.322581018518</v>
          </cell>
          <cell r="F170">
            <v>42585.323449074072</v>
          </cell>
          <cell r="G170">
            <v>1</v>
          </cell>
          <cell r="H170" t="str">
            <v>300:58924</v>
          </cell>
          <cell r="I170">
            <v>42585.338321759256</v>
          </cell>
          <cell r="J170">
            <v>0</v>
          </cell>
          <cell r="K170" t="str">
            <v>4015/4016</v>
          </cell>
          <cell r="L170" t="str">
            <v>DAVIS</v>
          </cell>
          <cell r="M170">
            <v>1.4872685183945578E-2</v>
          </cell>
          <cell r="N170">
            <v>21.416666664881632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https://search-rtdc-monitor-bjffxe2xuh6vdkpspy63sjmuny.us-east-1.es.amazonaws.com/_plugin/kibana/#/discover/Steve-Slow-Train-Analysis-(2080s-and-2083s)?_g=(refreshInterval:(display:Off,section:0,value:0),time:(from:'2016-08-03 06:44:31-0600',mode:absolute,to:'2016-08-03 09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0" t="str">
            <v>N</v>
          </cell>
          <cell r="X170">
            <v>1</v>
          </cell>
          <cell r="Y170">
            <v>9.4299999999999995E-2</v>
          </cell>
          <cell r="Z170">
            <v>5.8924000000000003</v>
          </cell>
          <cell r="AA170">
            <v>5.7981000000000007</v>
          </cell>
          <cell r="AB170" t="e">
            <v>#N/A</v>
          </cell>
          <cell r="AC170" t="e">
            <v>#N/A</v>
          </cell>
          <cell r="AD170" t="str">
            <v>0809-03</v>
          </cell>
          <cell r="AE170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71">
          <cell r="A171" t="str">
            <v>810-03</v>
          </cell>
          <cell r="B171">
            <v>4015</v>
          </cell>
          <cell r="C171" t="str">
            <v>DE.1.0.7.0</v>
          </cell>
          <cell r="D171" t="str">
            <v>300:58617</v>
          </cell>
          <cell r="E171">
            <v>42585.339259259257</v>
          </cell>
          <cell r="F171">
            <v>42585.34003472222</v>
          </cell>
          <cell r="G171">
            <v>1</v>
          </cell>
          <cell r="H171" t="str">
            <v>204:680</v>
          </cell>
          <cell r="I171">
            <v>42585.352442129632</v>
          </cell>
          <cell r="J171">
            <v>0</v>
          </cell>
          <cell r="K171" t="str">
            <v>4015/4016</v>
          </cell>
          <cell r="L171" t="str">
            <v>DAVIS</v>
          </cell>
          <cell r="M171">
            <v>1.2407407411956228E-2</v>
          </cell>
          <cell r="N171">
            <v>17.866666673216969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https://search-rtdc-monitor-bjffxe2xuh6vdkpspy63sjmuny.us-east-1.es.amazonaws.com/_plugin/kibana/#/discover/Steve-Slow-Train-Analysis-(2080s-and-2083s)?_g=(refreshInterval:(display:Off,section:0,value:0),time:(from:'2016-08-03 07:08:32-0600',mode:absolute,to:'2016-08-03 09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6.8000000000000005E-2</v>
          </cell>
          <cell r="AA171">
            <v>5.7937000000000003</v>
          </cell>
          <cell r="AB171" t="e">
            <v>#N/A</v>
          </cell>
          <cell r="AC171" t="e">
            <v>#N/A</v>
          </cell>
          <cell r="AD171" t="str">
            <v>0810-03</v>
          </cell>
          <cell r="AE17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72">
          <cell r="A172" t="str">
            <v>811-03</v>
          </cell>
          <cell r="B172">
            <v>4007</v>
          </cell>
          <cell r="C172" t="str">
            <v>DE.1.0.7.0</v>
          </cell>
          <cell r="D172" t="str">
            <v>204:981</v>
          </cell>
          <cell r="E172">
            <v>42585.343553240738</v>
          </cell>
          <cell r="F172">
            <v>42585.344363425924</v>
          </cell>
          <cell r="G172">
            <v>1</v>
          </cell>
          <cell r="H172" t="str">
            <v>300:58950</v>
          </cell>
          <cell r="I172">
            <v>42585.359618055554</v>
          </cell>
          <cell r="J172">
            <v>0</v>
          </cell>
          <cell r="K172" t="str">
            <v>4007/4008</v>
          </cell>
          <cell r="L172" t="str">
            <v>ISHMAEL</v>
          </cell>
          <cell r="M172">
            <v>1.5254629630362615E-2</v>
          </cell>
          <cell r="N172">
            <v>21.966666667722166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https://search-rtdc-monitor-bjffxe2xuh6vdkpspy63sjmuny.us-east-1.es.amazonaws.com/_plugin/kibana/#/discover/Steve-Slow-Train-Analysis-(2080s-and-2083s)?_g=(refreshInterval:(display:Off,section:0,value:0),time:(from:'2016-08-03 07:14:43-0600',mode:absolute,to:'2016-08-03 09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9.8100000000000007E-2</v>
          </cell>
          <cell r="Z172">
            <v>5.8949999999999996</v>
          </cell>
          <cell r="AA172">
            <v>5.7968999999999999</v>
          </cell>
          <cell r="AB172" t="e">
            <v>#N/A</v>
          </cell>
          <cell r="AC172" t="e">
            <v>#N/A</v>
          </cell>
          <cell r="AD172" t="str">
            <v>0811-03</v>
          </cell>
          <cell r="AE17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3">
          <cell r="A173" t="str">
            <v>812-03</v>
          </cell>
          <cell r="B173">
            <v>4008</v>
          </cell>
          <cell r="C173" t="str">
            <v>DE.1.0.7.0</v>
          </cell>
          <cell r="D173" t="str">
            <v>300:58619</v>
          </cell>
          <cell r="E173">
            <v>42585.360590277778</v>
          </cell>
          <cell r="F173">
            <v>42585.361585648148</v>
          </cell>
          <cell r="G173">
            <v>1</v>
          </cell>
          <cell r="H173" t="str">
            <v>204:685</v>
          </cell>
          <cell r="I173">
            <v>42585.371967592589</v>
          </cell>
          <cell r="J173">
            <v>0</v>
          </cell>
          <cell r="K173" t="str">
            <v>4007/4008</v>
          </cell>
          <cell r="L173" t="str">
            <v>ISHMAEL</v>
          </cell>
          <cell r="M173">
            <v>1.0381944441178348E-2</v>
          </cell>
          <cell r="N173">
            <v>14.949999995296821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https://search-rtdc-monitor-bjffxe2xuh6vdkpspy63sjmuny.us-east-1.es.amazonaws.com/_plugin/kibana/#/discover/Steve-Slow-Train-Analysis-(2080s-and-2083s)?_g=(refreshInterval:(display:Off,section:0,value:0),time:(from:'2016-08-03 07:39:15-0600',mode:absolute,to:'2016-08-03 09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5.8619000000000003</v>
          </cell>
          <cell r="Z173">
            <v>6.8500000000000005E-2</v>
          </cell>
          <cell r="AA173">
            <v>5.7934000000000001</v>
          </cell>
          <cell r="AB173" t="e">
            <v>#N/A</v>
          </cell>
          <cell r="AC173" t="e">
            <v>#N/A</v>
          </cell>
          <cell r="AD173" t="str">
            <v>0812-03</v>
          </cell>
          <cell r="AE17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4">
          <cell r="A174" t="str">
            <v>813-03</v>
          </cell>
          <cell r="B174">
            <v>4007</v>
          </cell>
          <cell r="C174" t="str">
            <v>DE.1.0.7.0</v>
          </cell>
          <cell r="D174" t="str">
            <v>204:983</v>
          </cell>
          <cell r="E174">
            <v>42585.386087962965</v>
          </cell>
          <cell r="F174">
            <v>42585.387118055558</v>
          </cell>
          <cell r="G174">
            <v>1</v>
          </cell>
          <cell r="H174" t="str">
            <v>300:58914</v>
          </cell>
          <cell r="I174">
            <v>42585.400752314818</v>
          </cell>
          <cell r="J174">
            <v>1</v>
          </cell>
          <cell r="K174" t="str">
            <v>4007/4008</v>
          </cell>
          <cell r="L174" t="str">
            <v>ISHMAEL</v>
          </cell>
          <cell r="M174">
            <v>1.3634259259561077E-2</v>
          </cell>
          <cell r="N174">
            <v>19.633333333767951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https://search-rtdc-monitor-bjffxe2xuh6vdkpspy63sjmuny.us-east-1.es.amazonaws.com/_plugin/kibana/#/discover/Steve-Slow-Train-Analysis-(2080s-and-2083s)?_g=(refreshInterval:(display:Off,section:0,value:0),time:(from:'2016-08-03 08:15:58-0600',mode:absolute,to:'2016-08-03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9.8299999999999998E-2</v>
          </cell>
          <cell r="Z174">
            <v>5.8914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0813-03</v>
          </cell>
          <cell r="AE17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5">
          <cell r="A175" t="str">
            <v>814-03</v>
          </cell>
          <cell r="B175">
            <v>4008</v>
          </cell>
          <cell r="C175" t="str">
            <v>DE.1.0.7.0</v>
          </cell>
          <cell r="D175" t="str">
            <v>300:58589</v>
          </cell>
          <cell r="E175">
            <v>42585.401979166665</v>
          </cell>
          <cell r="F175">
            <v>42585.402766203704</v>
          </cell>
          <cell r="G175">
            <v>1</v>
          </cell>
          <cell r="H175" t="str">
            <v>204:692</v>
          </cell>
          <cell r="I175">
            <v>42585.41443287037</v>
          </cell>
          <cell r="J175">
            <v>1</v>
          </cell>
          <cell r="K175" t="str">
            <v>4007/4008</v>
          </cell>
          <cell r="L175" t="str">
            <v>ISHMAEL</v>
          </cell>
          <cell r="M175">
            <v>1.1666666665405501E-2</v>
          </cell>
          <cell r="N175">
            <v>16.799999998183921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https://search-rtdc-monitor-bjffxe2xuh6vdkpspy63sjmuny.us-east-1.es.amazonaws.com/_plugin/kibana/#/discover/Steve-Slow-Train-Analysis-(2080s-and-2083s)?_g=(refreshInterval:(display:Off,section:0,value:0),time:(from:'2016-08-03 08:38:51-0600',mode:absolute,to:'2016-08-03 10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5.8589000000000002</v>
          </cell>
          <cell r="Z175">
            <v>6.9199999999999998E-2</v>
          </cell>
          <cell r="AA175">
            <v>5.7896999999999998</v>
          </cell>
          <cell r="AB175" t="e">
            <v>#N/A</v>
          </cell>
          <cell r="AC175" t="e">
            <v>#N/A</v>
          </cell>
          <cell r="AD175" t="str">
            <v>0814-03</v>
          </cell>
          <cell r="AE17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6">
          <cell r="A176" t="str">
            <v>815-03</v>
          </cell>
          <cell r="B176">
            <v>4007</v>
          </cell>
          <cell r="C176" t="str">
            <v>DE.1.0.7.0</v>
          </cell>
          <cell r="D176" t="str">
            <v>204:986</v>
          </cell>
          <cell r="E176">
            <v>42585.424687500003</v>
          </cell>
          <cell r="F176">
            <v>42585.425555555557</v>
          </cell>
          <cell r="G176">
            <v>1</v>
          </cell>
          <cell r="H176" t="str">
            <v>300:58914</v>
          </cell>
          <cell r="I176">
            <v>42585.443368055552</v>
          </cell>
          <cell r="J176">
            <v>0</v>
          </cell>
          <cell r="K176" t="str">
            <v>4007/4008</v>
          </cell>
          <cell r="L176" t="str">
            <v>ISHMAEL</v>
          </cell>
          <cell r="M176">
            <v>1.7812499994761311E-2</v>
          </cell>
          <cell r="N176">
            <v>25.649999992456287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https://search-rtdc-monitor-bjffxe2xuh6vdkpspy63sjmuny.us-east-1.es.amazonaws.com/_plugin/kibana/#/discover/Steve-Slow-Train-Analysis-(2080s-and-2083s)?_g=(refreshInterval:(display:Off,section:0,value:0),time:(from:'2016-08-03 09:11:33-0600',mode:absolute,to:'2016-08-03 11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9.8599999999999993E-2</v>
          </cell>
          <cell r="Z176">
            <v>5.8914</v>
          </cell>
          <cell r="AA176">
            <v>5.7927999999999997</v>
          </cell>
          <cell r="AB176" t="e">
            <v>#N/A</v>
          </cell>
          <cell r="AC176" t="e">
            <v>#N/A</v>
          </cell>
          <cell r="AD176" t="str">
            <v>0815-03</v>
          </cell>
          <cell r="AE17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7">
          <cell r="A177" t="str">
            <v>816-03</v>
          </cell>
          <cell r="B177">
            <v>4008</v>
          </cell>
          <cell r="C177" t="str">
            <v>DE.1.0.7.0</v>
          </cell>
          <cell r="D177" t="str">
            <v>300:58598</v>
          </cell>
          <cell r="E177">
            <v>42585.44431712963</v>
          </cell>
          <cell r="F177">
            <v>42585.445231481484</v>
          </cell>
          <cell r="G177">
            <v>1</v>
          </cell>
          <cell r="H177" t="str">
            <v>204:640</v>
          </cell>
          <cell r="I177">
            <v>42585.457384259258</v>
          </cell>
          <cell r="J177">
            <v>0</v>
          </cell>
          <cell r="K177" t="str">
            <v>4007/4008</v>
          </cell>
          <cell r="L177" t="str">
            <v>ISHMAEL</v>
          </cell>
          <cell r="M177">
            <v>1.2152777773735579E-2</v>
          </cell>
          <cell r="N177">
            <v>17.499999994179234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https://search-rtdc-monitor-bjffxe2xuh6vdkpspy63sjmuny.us-east-1.es.amazonaws.com/_plugin/kibana/#/discover/Steve-Slow-Train-Analysis-(2080s-and-2083s)?_g=(refreshInterval:(display:Off,section:0,value:0),time:(from:'2016-08-03 09:39:49-0600',mode:absolute,to:'2016-08-03 11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5.8597999999999999</v>
          </cell>
          <cell r="Z177">
            <v>6.4000000000000001E-2</v>
          </cell>
          <cell r="AA177">
            <v>5.7957999999999998</v>
          </cell>
          <cell r="AB177" t="e">
            <v>#N/A</v>
          </cell>
          <cell r="AC177" t="e">
            <v>#N/A</v>
          </cell>
          <cell r="AD177" t="str">
            <v>0816-03</v>
          </cell>
          <cell r="AE17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8">
          <cell r="A178" t="str">
            <v>817-03</v>
          </cell>
          <cell r="B178">
            <v>4007</v>
          </cell>
          <cell r="C178" t="str">
            <v>DE.1.0.7.0</v>
          </cell>
          <cell r="D178" t="str">
            <v>204:941</v>
          </cell>
          <cell r="E178">
            <v>42585.462939814817</v>
          </cell>
          <cell r="F178">
            <v>42585.463946759257</v>
          </cell>
          <cell r="G178">
            <v>1</v>
          </cell>
          <cell r="H178" t="str">
            <v>300:58950</v>
          </cell>
          <cell r="I178">
            <v>42585.483425925922</v>
          </cell>
          <cell r="J178">
            <v>0</v>
          </cell>
          <cell r="K178" t="str">
            <v>4007/4008</v>
          </cell>
          <cell r="L178" t="str">
            <v>ISHMAEL</v>
          </cell>
          <cell r="M178">
            <v>1.9479166665405501E-2</v>
          </cell>
          <cell r="N178">
            <v>28.049999998183921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https://search-rtdc-monitor-bjffxe2xuh6vdkpspy63sjmuny.us-east-1.es.amazonaws.com/_plugin/kibana/#/discover/Steve-Slow-Train-Analysis-(2080s-and-2083s)?_g=(refreshInterval:(display:Off,section:0,value:0),time:(from:'2016-08-03 10:06:38-0600',mode:absolute,to:'2016-08-03 12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9.4100000000000003E-2</v>
          </cell>
          <cell r="Z178">
            <v>5.8949999999999996</v>
          </cell>
          <cell r="AA178">
            <v>5.8008999999999995</v>
          </cell>
          <cell r="AB178" t="e">
            <v>#N/A</v>
          </cell>
          <cell r="AC178" t="e">
            <v>#N/A</v>
          </cell>
          <cell r="AD178" t="str">
            <v>0817-03</v>
          </cell>
          <cell r="AE17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9">
          <cell r="A179" t="str">
            <v>818-03</v>
          </cell>
          <cell r="B179">
            <v>4008</v>
          </cell>
          <cell r="C179" t="str">
            <v>DE.1.0.7.0</v>
          </cell>
          <cell r="D179" t="str">
            <v>300:58634</v>
          </cell>
          <cell r="E179">
            <v>42585.484467592592</v>
          </cell>
          <cell r="F179">
            <v>42585.485300925924</v>
          </cell>
          <cell r="G179">
            <v>1</v>
          </cell>
          <cell r="H179" t="str">
            <v>204:701</v>
          </cell>
          <cell r="I179">
            <v>42585.497349537036</v>
          </cell>
          <cell r="J179">
            <v>0</v>
          </cell>
          <cell r="K179" t="str">
            <v>4007/4008</v>
          </cell>
          <cell r="L179" t="str">
            <v>ISHMAEL</v>
          </cell>
          <cell r="M179">
            <v>1.2048611111822538E-2</v>
          </cell>
          <cell r="N179">
            <v>17.350000001024455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https://search-rtdc-monitor-bjffxe2xuh6vdkpspy63sjmuny.us-east-1.es.amazonaws.com/_plugin/kibana/#/discover/Steve-Slow-Train-Analysis-(2080s-and-2083s)?_g=(refreshInterval:(display:Off,section:0,value:0),time:(from:'2016-08-03 10:37:38-0600',mode:absolute,to:'2016-08-03 12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5.8634000000000004</v>
          </cell>
          <cell r="Z179">
            <v>7.0099999999999996E-2</v>
          </cell>
          <cell r="AA179">
            <v>5.7933000000000003</v>
          </cell>
          <cell r="AB179" t="e">
            <v>#N/A</v>
          </cell>
          <cell r="AC179" t="e">
            <v>#N/A</v>
          </cell>
          <cell r="AD179" t="str">
            <v>0818-03</v>
          </cell>
          <cell r="AE17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0">
          <cell r="A180" t="str">
            <v>819-03</v>
          </cell>
          <cell r="B180">
            <v>4007</v>
          </cell>
          <cell r="C180" t="str">
            <v>DE.1.0.7.0</v>
          </cell>
          <cell r="D180" t="str">
            <v>204:979</v>
          </cell>
          <cell r="E180">
            <v>42585.50984953704</v>
          </cell>
          <cell r="F180">
            <v>42585.510648148149</v>
          </cell>
          <cell r="G180">
            <v>1</v>
          </cell>
          <cell r="H180" t="str">
            <v>300:58907</v>
          </cell>
          <cell r="I180">
            <v>42585.526192129626</v>
          </cell>
          <cell r="J180">
            <v>0</v>
          </cell>
          <cell r="K180" t="str">
            <v>4007/4008</v>
          </cell>
          <cell r="L180" t="str">
            <v>ISHMAEL</v>
          </cell>
          <cell r="M180">
            <v>1.5543981477094349E-2</v>
          </cell>
          <cell r="N180">
            <v>22.383333327015862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https://search-rtdc-monitor-bjffxe2xuh6vdkpspy63sjmuny.us-east-1.es.amazonaws.com/_plugin/kibana/#/discover/Steve-Slow-Train-Analysis-(2080s-and-2083s)?_g=(refreshInterval:(display:Off,section:0,value:0),time:(from:'2016-08-03 11:14:11-0600',mode:absolute,to:'2016-08-03 13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9.7900000000000001E-2</v>
          </cell>
          <cell r="Z180">
            <v>5.8906999999999998</v>
          </cell>
          <cell r="AA180">
            <v>5.7927999999999997</v>
          </cell>
          <cell r="AB180" t="e">
            <v>#N/A</v>
          </cell>
          <cell r="AC180" t="e">
            <v>#N/A</v>
          </cell>
          <cell r="AD180" t="str">
            <v>0819-03</v>
          </cell>
          <cell r="AE18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1">
          <cell r="A181" t="str">
            <v>820-03</v>
          </cell>
          <cell r="B181">
            <v>4008</v>
          </cell>
          <cell r="C181" t="str">
            <v>DE.1.0.7.0</v>
          </cell>
          <cell r="D181" t="str">
            <v>300:58594</v>
          </cell>
          <cell r="E181">
            <v>42585.527499999997</v>
          </cell>
          <cell r="F181">
            <v>42585.528379629628</v>
          </cell>
          <cell r="G181">
            <v>1</v>
          </cell>
          <cell r="H181" t="str">
            <v>204:691</v>
          </cell>
          <cell r="I181">
            <v>42585.539166666669</v>
          </cell>
          <cell r="J181">
            <v>0</v>
          </cell>
          <cell r="K181" t="str">
            <v>4007/4008</v>
          </cell>
          <cell r="L181" t="str">
            <v>ISHMAEL</v>
          </cell>
          <cell r="M181">
            <v>1.078703704115469E-2</v>
          </cell>
          <cell r="N181">
            <v>15.533333339262754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https://search-rtdc-monitor-bjffxe2xuh6vdkpspy63sjmuny.us-east-1.es.amazonaws.com/_plugin/kibana/#/discover/Steve-Slow-Train-Analysis-(2080s-and-2083s)?_g=(refreshInterval:(display:Off,section:0,value:0),time:(from:'2016-08-03 11:39:36-0600',mode:absolute,to:'2016-08-03 13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N</v>
          </cell>
          <cell r="X181">
            <v>1</v>
          </cell>
          <cell r="Y181">
            <v>5.8593999999999999</v>
          </cell>
          <cell r="Z181">
            <v>6.9099999999999995E-2</v>
          </cell>
          <cell r="AA181">
            <v>5.7903000000000002</v>
          </cell>
          <cell r="AB181" t="e">
            <v>#N/A</v>
          </cell>
          <cell r="AC181" t="e">
            <v>#N/A</v>
          </cell>
          <cell r="AD181" t="str">
            <v>0820-03</v>
          </cell>
          <cell r="AE18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2">
          <cell r="A182" t="str">
            <v>821-03</v>
          </cell>
          <cell r="B182">
            <v>4007</v>
          </cell>
          <cell r="C182" t="str">
            <v>DE.1.0.7.0</v>
          </cell>
          <cell r="D182" t="str">
            <v>204:995</v>
          </cell>
          <cell r="E182">
            <v>42585.544942129629</v>
          </cell>
          <cell r="F182">
            <v>42585.546273148146</v>
          </cell>
          <cell r="G182">
            <v>1</v>
          </cell>
          <cell r="H182" t="str">
            <v>300:58924</v>
          </cell>
          <cell r="I182">
            <v>42585.56894675926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2.2673611114441883E-2</v>
          </cell>
          <cell r="N182">
            <v>32.650000004796311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https://search-rtdc-monitor-bjffxe2xuh6vdkpspy63sjmuny.us-east-1.es.amazonaws.com/_plugin/kibana/#/discover/Steve-Slow-Train-Analysis-(2080s-and-2083s)?_g=(refreshInterval:(display:Off,section:0,value:0),time:(from:'2016-08-03 12:04:43-0600',mode:absolute,to:'2016-08-03 14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9.9500000000000005E-2</v>
          </cell>
          <cell r="Z182">
            <v>5.8924000000000003</v>
          </cell>
          <cell r="AA182">
            <v>5.7929000000000004</v>
          </cell>
          <cell r="AB182" t="e">
            <v>#N/A</v>
          </cell>
          <cell r="AC182" t="e">
            <v>#N/A</v>
          </cell>
          <cell r="AD182" t="str">
            <v>0821-03</v>
          </cell>
          <cell r="AE18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3">
          <cell r="A183" t="str">
            <v>822-03</v>
          </cell>
          <cell r="B183">
            <v>4008</v>
          </cell>
          <cell r="C183" t="str">
            <v>DE.1.0.7.0</v>
          </cell>
          <cell r="D183" t="str">
            <v>300:58619</v>
          </cell>
          <cell r="E183">
            <v>42585.569872685184</v>
          </cell>
          <cell r="F183">
            <v>42585.570960648147</v>
          </cell>
          <cell r="G183">
            <v>1</v>
          </cell>
          <cell r="H183" t="str">
            <v>204:661</v>
          </cell>
          <cell r="I183">
            <v>42585.582453703704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1.1493055557366461E-2</v>
          </cell>
          <cell r="N183">
            <v>16.550000002607703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https://search-rtdc-monitor-bjffxe2xuh6vdkpspy63sjmuny.us-east-1.es.amazonaws.com/_plugin/kibana/#/discover/Steve-Slow-Train-Analysis-(2080s-and-2083s)?_g=(refreshInterval:(display:Off,section:0,value:0),time:(from:'2016-08-03 12:40:37-0600',mode:absolute,to:'2016-08-03 14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5.8619000000000003</v>
          </cell>
          <cell r="Z183">
            <v>6.6100000000000006E-2</v>
          </cell>
          <cell r="AA183">
            <v>5.7958000000000007</v>
          </cell>
          <cell r="AB183" t="e">
            <v>#N/A</v>
          </cell>
          <cell r="AC183" t="e">
            <v>#N/A</v>
          </cell>
          <cell r="AD183" t="str">
            <v>0822-03</v>
          </cell>
          <cell r="AE18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4">
          <cell r="A184" t="str">
            <v>823-03</v>
          </cell>
          <cell r="B184">
            <v>4007</v>
          </cell>
          <cell r="C184" t="str">
            <v>DE.1.0.7.0</v>
          </cell>
          <cell r="D184" t="str">
            <v>204:955</v>
          </cell>
          <cell r="E184">
            <v>42585.593113425923</v>
          </cell>
          <cell r="F184">
            <v>42585.593981481485</v>
          </cell>
          <cell r="G184">
            <v>1</v>
          </cell>
          <cell r="H184" t="str">
            <v>204:2883</v>
          </cell>
          <cell r="I184">
            <v>42585.604317129626</v>
          </cell>
          <cell r="J184">
            <v>8</v>
          </cell>
          <cell r="K184" t="str">
            <v>4007/4008</v>
          </cell>
          <cell r="L184" t="str">
            <v>MOSES</v>
          </cell>
          <cell r="M184">
            <v>1.0335648141335696E-2</v>
          </cell>
          <cell r="P184">
            <v>14.883333323523402</v>
          </cell>
          <cell r="R184" t="str">
            <v>DUS 28N premature downgrade</v>
          </cell>
          <cell r="S184">
            <v>0</v>
          </cell>
          <cell r="T184" t="str">
            <v>NorthBound</v>
          </cell>
          <cell r="U184">
            <v>0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Y</v>
          </cell>
          <cell r="X184">
            <v>1</v>
          </cell>
          <cell r="Y184">
            <v>9.5500000000000002E-2</v>
          </cell>
          <cell r="Z184">
            <v>0.2883</v>
          </cell>
          <cell r="AA184">
            <v>0.1928</v>
          </cell>
          <cell r="AB184" t="e">
            <v>#N/A</v>
          </cell>
          <cell r="AC184" t="e">
            <v>#N/A</v>
          </cell>
          <cell r="AD184" t="str">
            <v>0823-03</v>
          </cell>
          <cell r="AE18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5">
          <cell r="A185" t="str">
            <v>824-03</v>
          </cell>
          <cell r="B185">
            <v>4008</v>
          </cell>
          <cell r="C185" t="str">
            <v>DE.1.0.7.0</v>
          </cell>
          <cell r="D185" t="str">
            <v>300:58634</v>
          </cell>
          <cell r="E185">
            <v>42585.617199074077</v>
          </cell>
          <cell r="F185">
            <v>42585.617986111109</v>
          </cell>
          <cell r="G185">
            <v>1</v>
          </cell>
          <cell r="H185" t="str">
            <v>204:657</v>
          </cell>
          <cell r="I185">
            <v>42585.628750000003</v>
          </cell>
          <cell r="J185">
            <v>0</v>
          </cell>
          <cell r="K185" t="str">
            <v>4007/4008</v>
          </cell>
          <cell r="L185" t="str">
            <v>MOSES</v>
          </cell>
          <cell r="M185">
            <v>1.0763888894871343E-2</v>
          </cell>
          <cell r="N185">
            <v>15.500000008614734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https://search-rtdc-monitor-bjffxe2xuh6vdkpspy63sjmuny.us-east-1.es.amazonaws.com/_plugin/kibana/#/discover/Steve-Slow-Train-Analysis-(2080s-and-2083s)?_g=(refreshInterval:(display:Off,section:0,value:0),time:(from:'2016-08-03 13:48:46-0600',mode:absolute,to:'2016-08-03 16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5.8634000000000004</v>
          </cell>
          <cell r="Z185">
            <v>6.5699999999999995E-2</v>
          </cell>
          <cell r="AA185">
            <v>5.7977000000000007</v>
          </cell>
          <cell r="AB185" t="e">
            <v>#N/A</v>
          </cell>
          <cell r="AC185" t="e">
            <v>#N/A</v>
          </cell>
          <cell r="AD185" t="str">
            <v>0824-03</v>
          </cell>
          <cell r="AE18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6">
          <cell r="A186" t="str">
            <v>825-03</v>
          </cell>
          <cell r="B186">
            <v>4007</v>
          </cell>
          <cell r="C186" t="str">
            <v>DE.1.0.7.0</v>
          </cell>
          <cell r="D186" t="str">
            <v>204:946</v>
          </cell>
          <cell r="E186">
            <v>42585.631747685184</v>
          </cell>
          <cell r="F186">
            <v>42585.632789351854</v>
          </cell>
          <cell r="G186">
            <v>1</v>
          </cell>
          <cell r="H186" t="str">
            <v>300:58939</v>
          </cell>
          <cell r="I186">
            <v>42585.654293981483</v>
          </cell>
          <cell r="J186">
            <v>2</v>
          </cell>
          <cell r="K186" t="str">
            <v>4007/4008</v>
          </cell>
          <cell r="L186" t="str">
            <v>MOSES</v>
          </cell>
          <cell r="M186">
            <v>2.1504629628907423E-2</v>
          </cell>
          <cell r="N186">
            <v>30.96666666562669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6" t="str">
            <v>N</v>
          </cell>
          <cell r="X186">
            <v>1</v>
          </cell>
          <cell r="Y186">
            <v>9.4600000000000004E-2</v>
          </cell>
          <cell r="Z186">
            <v>5.8939000000000004</v>
          </cell>
          <cell r="AA186">
            <v>5.7993000000000006</v>
          </cell>
          <cell r="AB186" t="e">
            <v>#N/A</v>
          </cell>
          <cell r="AC186" t="e">
            <v>#N/A</v>
          </cell>
          <cell r="AD186" t="str">
            <v>0825-03</v>
          </cell>
          <cell r="AE18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7">
          <cell r="A187" t="str">
            <v>826-03</v>
          </cell>
          <cell r="B187">
            <v>4008</v>
          </cell>
          <cell r="C187" t="str">
            <v>DE.1.0.7.0</v>
          </cell>
          <cell r="D187" t="str">
            <v>300:58623</v>
          </cell>
          <cell r="E187">
            <v>42585.655543981484</v>
          </cell>
          <cell r="F187">
            <v>42585.656631944446</v>
          </cell>
          <cell r="G187">
            <v>1</v>
          </cell>
          <cell r="H187" t="str">
            <v>204:675</v>
          </cell>
          <cell r="I187">
            <v>42585.667881944442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1.1249999995925464E-2</v>
          </cell>
          <cell r="N187">
            <v>16.199999994132668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https://search-rtdc-monitor-bjffxe2xuh6vdkpspy63sjmuny.us-east-1.es.amazonaws.com/_plugin/kibana/#/discover/Steve-Slow-Train-Analysis-(2080s-and-2083s)?_g=(refreshInterval:(display:Off,section:0,value:0),time:(from:'2016-08-03 14:43:59-0600',mode:absolute,to:'2016-08-03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7" t="str">
            <v>N</v>
          </cell>
          <cell r="X187">
            <v>1</v>
          </cell>
          <cell r="Y187">
            <v>5.8623000000000003</v>
          </cell>
          <cell r="Z187">
            <v>6.7500000000000004E-2</v>
          </cell>
          <cell r="AA187">
            <v>5.7948000000000004</v>
          </cell>
          <cell r="AB187" t="e">
            <v>#N/A</v>
          </cell>
          <cell r="AC187" t="e">
            <v>#N/A</v>
          </cell>
          <cell r="AD187" t="str">
            <v>0826-03</v>
          </cell>
          <cell r="AE18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8">
          <cell r="A188" t="str">
            <v>827-03</v>
          </cell>
          <cell r="B188">
            <v>4016</v>
          </cell>
          <cell r="C188" t="str">
            <v>DE.1.0.7.0</v>
          </cell>
          <cell r="D188" t="str">
            <v>204:902</v>
          </cell>
          <cell r="E188">
            <v>42585.657488425924</v>
          </cell>
          <cell r="F188">
            <v>42585.658414351848</v>
          </cell>
          <cell r="G188">
            <v>1</v>
          </cell>
          <cell r="H188" t="str">
            <v>300:58924</v>
          </cell>
          <cell r="I188">
            <v>42585.673564814817</v>
          </cell>
          <cell r="J188">
            <v>0</v>
          </cell>
          <cell r="K188" t="str">
            <v>4015/4016</v>
          </cell>
          <cell r="L188" t="str">
            <v>ROBINSON</v>
          </cell>
          <cell r="M188">
            <v>1.5150462968449574E-2</v>
          </cell>
          <cell r="N188">
            <v>21.816666674567387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https://search-rtdc-monitor-bjffxe2xuh6vdkpspy63sjmuny.us-east-1.es.amazonaws.com/_plugin/kibana/#/discover/Steve-Slow-Train-Analysis-(2080s-and-2083s)?_g=(refreshInterval:(display:Off,section:0,value:0),time:(from:'2016-08-03 14:46:47-0600',mode:absolute,to:'2016-08-03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9.0200000000000002E-2</v>
          </cell>
          <cell r="Z188">
            <v>5.8924000000000003</v>
          </cell>
          <cell r="AA188">
            <v>5.8022</v>
          </cell>
          <cell r="AB188" t="e">
            <v>#N/A</v>
          </cell>
          <cell r="AC188" t="e">
            <v>#N/A</v>
          </cell>
          <cell r="AD188" t="str">
            <v>0827-03</v>
          </cell>
          <cell r="AE188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89">
          <cell r="A189" t="str">
            <v>828-03</v>
          </cell>
          <cell r="B189">
            <v>4015</v>
          </cell>
          <cell r="C189" t="str">
            <v>DE.1.0.7.0</v>
          </cell>
          <cell r="D189" t="str">
            <v>300:58598</v>
          </cell>
          <cell r="E189">
            <v>42585.674803240741</v>
          </cell>
          <cell r="F189">
            <v>42585.675555555557</v>
          </cell>
          <cell r="G189">
            <v>1</v>
          </cell>
          <cell r="H189" t="str">
            <v>204:680</v>
          </cell>
          <cell r="I189">
            <v>42585.686701388891</v>
          </cell>
          <cell r="J189">
            <v>1</v>
          </cell>
          <cell r="K189" t="str">
            <v>4015/4016</v>
          </cell>
          <cell r="L189" t="str">
            <v>ROBINSON</v>
          </cell>
          <cell r="M189">
            <v>1.1145833334012423E-2</v>
          </cell>
          <cell r="N189">
            <v>16.050000000977889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https://search-rtdc-monitor-bjffxe2xuh6vdkpspy63sjmuny.us-east-1.es.amazonaws.com/_plugin/kibana/#/discover/Steve-Slow-Train-Analysis-(2080s-and-2083s)?_g=(refreshInterval:(display:Off,section:0,value:0),time:(from:'2016-08-03 15:11:43-0600',mode:absolute,to:'2016-08-03 17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5.8597999999999999</v>
          </cell>
          <cell r="Z189">
            <v>6.8000000000000005E-2</v>
          </cell>
          <cell r="AA189">
            <v>5.7918000000000003</v>
          </cell>
          <cell r="AB189" t="e">
            <v>#N/A</v>
          </cell>
          <cell r="AC189" t="e">
            <v>#N/A</v>
          </cell>
          <cell r="AD189" t="str">
            <v>0828-03</v>
          </cell>
          <cell r="AE189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0">
          <cell r="A190" t="str">
            <v>829-03</v>
          </cell>
          <cell r="B190">
            <v>4007</v>
          </cell>
          <cell r="C190" t="str">
            <v>DE.1.0.7.0</v>
          </cell>
          <cell r="D190" t="str">
            <v>204:951</v>
          </cell>
          <cell r="E190">
            <v>42585.677569444444</v>
          </cell>
          <cell r="F190">
            <v>42585.678495370368</v>
          </cell>
          <cell r="G190">
            <v>1</v>
          </cell>
          <cell r="H190" t="str">
            <v>300:58854</v>
          </cell>
          <cell r="I190">
            <v>42585.693333333336</v>
          </cell>
          <cell r="J190">
            <v>1</v>
          </cell>
          <cell r="K190" t="str">
            <v>4007/4008</v>
          </cell>
          <cell r="L190" t="str">
            <v>MOSES</v>
          </cell>
          <cell r="M190">
            <v>1.4837962968158536E-2</v>
          </cell>
          <cell r="N190">
            <v>21.366666674148291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https://search-rtdc-monitor-bjffxe2xuh6vdkpspy63sjmuny.us-east-1.es.amazonaws.com/_plugin/kibana/#/discover/Steve-Slow-Train-Analysis-(2080s-and-2083s)?_g=(refreshInterval:(display:Off,section:0,value:0),time:(from:'2016-08-03 15:15:42-0600',mode:absolute,to:'2016-08-03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0" t="str">
            <v>N</v>
          </cell>
          <cell r="X190">
            <v>1</v>
          </cell>
          <cell r="Y190">
            <v>9.5100000000000004E-2</v>
          </cell>
          <cell r="Z190">
            <v>5.8853999999999997</v>
          </cell>
          <cell r="AA190">
            <v>5.7902999999999993</v>
          </cell>
          <cell r="AB190" t="e">
            <v>#N/A</v>
          </cell>
          <cell r="AC190" t="e">
            <v>#N/A</v>
          </cell>
          <cell r="AD190" t="str">
            <v>0829-03</v>
          </cell>
          <cell r="AE19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1">
          <cell r="A191" t="str">
            <v>830-03</v>
          </cell>
          <cell r="B191">
            <v>4008</v>
          </cell>
          <cell r="C191" t="str">
            <v>DE.1.0.7.0</v>
          </cell>
          <cell r="D191" t="str">
            <v>300:58634</v>
          </cell>
          <cell r="E191">
            <v>42585.694641203707</v>
          </cell>
          <cell r="F191">
            <v>42585.695706018516</v>
          </cell>
          <cell r="G191">
            <v>1</v>
          </cell>
          <cell r="H191" t="str">
            <v>204:650</v>
          </cell>
          <cell r="I191">
            <v>42585.706828703704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1.1122685187729076E-2</v>
          </cell>
          <cell r="N191">
            <v>16.016666670329869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https://search-rtdc-monitor-bjffxe2xuh6vdkpspy63sjmuny.us-east-1.es.amazonaws.com/_plugin/kibana/#/discover/Steve-Slow-Train-Analysis-(2080s-and-2083s)?_g=(refreshInterval:(display:Off,section:0,value:0),time:(from:'2016-08-03 15:40:17-0600',mode:absolute,to:'2016-08-03 17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1" t="str">
            <v>N</v>
          </cell>
          <cell r="X191">
            <v>1</v>
          </cell>
          <cell r="Y191">
            <v>5.8634000000000004</v>
          </cell>
          <cell r="Z191">
            <v>6.5000000000000002E-2</v>
          </cell>
          <cell r="AA191">
            <v>5.7984</v>
          </cell>
          <cell r="AB191" t="e">
            <v>#N/A</v>
          </cell>
          <cell r="AC191" t="e">
            <v>#N/A</v>
          </cell>
          <cell r="AD191" t="str">
            <v>0830-03</v>
          </cell>
          <cell r="AE19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2">
          <cell r="A192" t="str">
            <v>831-03</v>
          </cell>
          <cell r="B192">
            <v>4016</v>
          </cell>
          <cell r="C192" t="str">
            <v>DE.1.0.7.0</v>
          </cell>
          <cell r="D192" t="str">
            <v>204:978</v>
          </cell>
          <cell r="E192">
            <v>42585.693842592591</v>
          </cell>
          <cell r="F192">
            <v>42585.694664351853</v>
          </cell>
          <cell r="G192">
            <v>1</v>
          </cell>
          <cell r="H192" t="str">
            <v>300:58916</v>
          </cell>
          <cell r="I192">
            <v>42585.714988425927</v>
          </cell>
          <cell r="J192">
            <v>0</v>
          </cell>
          <cell r="K192" t="str">
            <v>4015/4016</v>
          </cell>
          <cell r="L192" t="str">
            <v>ROBINSON</v>
          </cell>
          <cell r="M192">
            <v>2.0324074073869269E-2</v>
          </cell>
          <cell r="N192">
            <v>29.266666666371748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https://search-rtdc-monitor-bjffxe2xuh6vdkpspy63sjmuny.us-east-1.es.amazonaws.com/_plugin/kibana/#/discover/Steve-Slow-Train-Analysis-(2080s-and-2083s)?_g=(refreshInterval:(display:Off,section:0,value:0),time:(from:'2016-08-03 15:39:08-0600',mode:absolute,to:'2016-08-03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2" t="str">
            <v>N</v>
          </cell>
          <cell r="X192">
            <v>1</v>
          </cell>
          <cell r="Y192">
            <v>9.7799999999999998E-2</v>
          </cell>
          <cell r="Z192">
            <v>5.8916000000000004</v>
          </cell>
          <cell r="AA192">
            <v>5.7938000000000001</v>
          </cell>
          <cell r="AB192" t="e">
            <v>#N/A</v>
          </cell>
          <cell r="AC192" t="e">
            <v>#N/A</v>
          </cell>
          <cell r="AD192" t="str">
            <v>0831-03</v>
          </cell>
          <cell r="AE19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3">
          <cell r="A193" t="str">
            <v>832-03</v>
          </cell>
          <cell r="B193">
            <v>4015</v>
          </cell>
          <cell r="C193" t="str">
            <v>DE.1.0.7.0</v>
          </cell>
          <cell r="D193" t="str">
            <v>300:58598</v>
          </cell>
          <cell r="E193">
            <v>42585.715648148151</v>
          </cell>
          <cell r="F193">
            <v>42585.716689814813</v>
          </cell>
          <cell r="G193">
            <v>1</v>
          </cell>
          <cell r="H193" t="str">
            <v>204:701</v>
          </cell>
          <cell r="I193">
            <v>42585.728067129632</v>
          </cell>
          <cell r="J193">
            <v>1</v>
          </cell>
          <cell r="K193" t="str">
            <v>4015/4016</v>
          </cell>
          <cell r="L193" t="str">
            <v>ROBINSON</v>
          </cell>
          <cell r="M193">
            <v>1.1377314818673767E-2</v>
          </cell>
          <cell r="N193">
            <v>16.383333338890225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https://search-rtdc-monitor-bjffxe2xuh6vdkpspy63sjmuny.us-east-1.es.amazonaws.com/_plugin/kibana/#/discover/Steve-Slow-Train-Analysis-(2080s-and-2083s)?_g=(refreshInterval:(display:Off,section:0,value:0),time:(from:'2016-08-03 16:10:32-0600',mode:absolute,to:'2016-08-03 18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7.0099999999999996E-2</v>
          </cell>
          <cell r="AA193">
            <v>5.7896999999999998</v>
          </cell>
          <cell r="AB193" t="e">
            <v>#N/A</v>
          </cell>
          <cell r="AC193" t="e">
            <v>#N/A</v>
          </cell>
          <cell r="AD193" t="str">
            <v>0832-03</v>
          </cell>
          <cell r="AE19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4">
          <cell r="A194" t="str">
            <v>833-03</v>
          </cell>
          <cell r="B194">
            <v>4007</v>
          </cell>
          <cell r="C194" t="str">
            <v>DE.1.0.7.0</v>
          </cell>
          <cell r="D194" t="str">
            <v>204:941</v>
          </cell>
          <cell r="E194">
            <v>42585.719155092593</v>
          </cell>
          <cell r="F194">
            <v>42585.720057870371</v>
          </cell>
          <cell r="G194">
            <v>1</v>
          </cell>
          <cell r="H194" t="str">
            <v>300:58935</v>
          </cell>
          <cell r="I194">
            <v>42585.734675925924</v>
          </cell>
          <cell r="J194">
            <v>1</v>
          </cell>
          <cell r="K194" t="str">
            <v>4007/4008</v>
          </cell>
          <cell r="L194" t="str">
            <v>MOSES</v>
          </cell>
          <cell r="M194">
            <v>1.4618055553000886E-2</v>
          </cell>
          <cell r="N194">
            <v>21.049999996321276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4" t="str">
            <v>N</v>
          </cell>
          <cell r="X194">
            <v>1</v>
          </cell>
          <cell r="Y194">
            <v>9.4100000000000003E-2</v>
          </cell>
          <cell r="Z194">
            <v>5.8935000000000004</v>
          </cell>
          <cell r="AA194">
            <v>5.7994000000000003</v>
          </cell>
          <cell r="AB194" t="e">
            <v>#N/A</v>
          </cell>
          <cell r="AC194" t="e">
            <v>#N/A</v>
          </cell>
          <cell r="AD194" t="str">
            <v>0833-03</v>
          </cell>
          <cell r="AE19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5">
          <cell r="A195" t="str">
            <v>834-03</v>
          </cell>
          <cell r="B195">
            <v>4008</v>
          </cell>
          <cell r="C195" t="str">
            <v>DE.1.0.7.0</v>
          </cell>
          <cell r="D195" t="str">
            <v>300:58624</v>
          </cell>
          <cell r="E195">
            <v>42585.736018518517</v>
          </cell>
          <cell r="F195">
            <v>42585.736956018518</v>
          </cell>
          <cell r="G195">
            <v>1</v>
          </cell>
          <cell r="H195" t="str">
            <v>204:146</v>
          </cell>
          <cell r="I195">
            <v>42585.782002314816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4.5046296298096422E-2</v>
          </cell>
          <cell r="N195">
            <v>64.866666669258848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https://search-rtdc-monitor-bjffxe2xuh6vdkpspy63sjmuny.us-east-1.es.amazonaws.com/_plugin/kibana/#/discover/Steve-Slow-Train-Analysis-(2080s-and-2083s)?_g=(refreshInterval:(display:Off,section:0,value:0),time:(from:'2016-08-03 16:39:52-0600',mode:absolute,to:'2016-08-03 19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5" t="str">
            <v>N</v>
          </cell>
          <cell r="X195">
            <v>1</v>
          </cell>
          <cell r="Y195">
            <v>5.8624000000000001</v>
          </cell>
          <cell r="Z195">
            <v>1.46E-2</v>
          </cell>
          <cell r="AA195">
            <v>5.8478000000000003</v>
          </cell>
          <cell r="AB195" t="e">
            <v>#N/A</v>
          </cell>
          <cell r="AC195" t="e">
            <v>#N/A</v>
          </cell>
          <cell r="AD195" t="str">
            <v>0834-03</v>
          </cell>
          <cell r="AE19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6">
          <cell r="A196" t="str">
            <v>835-03</v>
          </cell>
          <cell r="B196">
            <v>4016</v>
          </cell>
          <cell r="C196" t="str">
            <v>DE.1.0.7.0</v>
          </cell>
          <cell r="D196" t="str">
            <v>204:983</v>
          </cell>
          <cell r="E196">
            <v>42585.737893518519</v>
          </cell>
          <cell r="F196">
            <v>42585.738796296297</v>
          </cell>
          <cell r="G196">
            <v>1</v>
          </cell>
          <cell r="H196" t="str">
            <v>300:58907</v>
          </cell>
          <cell r="I196">
            <v>42585.796527777777</v>
          </cell>
          <cell r="J196">
            <v>0</v>
          </cell>
          <cell r="K196" t="str">
            <v>4015/4016</v>
          </cell>
          <cell r="L196" t="str">
            <v>ROBINSON</v>
          </cell>
          <cell r="M196">
            <v>5.7731481480004732E-2</v>
          </cell>
          <cell r="N196">
            <v>83.133333331206813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https://search-rtdc-monitor-bjffxe2xuh6vdkpspy63sjmuny.us-east-1.es.amazonaws.com/_plugin/kibana/#/discover/Steve-Slow-Train-Analysis-(2080s-and-2083s)?_g=(refreshInterval:(display:Off,section:0,value:0),time:(from:'2016-08-03 16:42:34-0600',mode:absolute,to:'2016-08-03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6" t="str">
            <v>N</v>
          </cell>
          <cell r="X196">
            <v>1</v>
          </cell>
          <cell r="Y196">
            <v>9.8299999999999998E-2</v>
          </cell>
          <cell r="Z196">
            <v>5.8906999999999998</v>
          </cell>
          <cell r="AA196">
            <v>5.7923999999999998</v>
          </cell>
          <cell r="AB196" t="e">
            <v>#N/A</v>
          </cell>
          <cell r="AC196" t="e">
            <v>#N/A</v>
          </cell>
          <cell r="AD196" t="str">
            <v>0835-03</v>
          </cell>
          <cell r="AE19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7">
          <cell r="A197" t="str">
            <v>836-03</v>
          </cell>
          <cell r="B197">
            <v>4015</v>
          </cell>
          <cell r="C197" t="str">
            <v>DE.1.0.7.0</v>
          </cell>
          <cell r="D197" t="str">
            <v>300:58594</v>
          </cell>
          <cell r="E197">
            <v>42585.797407407408</v>
          </cell>
          <cell r="F197">
            <v>42585.798229166663</v>
          </cell>
          <cell r="G197">
            <v>1</v>
          </cell>
          <cell r="H197" t="str">
            <v>204:892</v>
          </cell>
          <cell r="I197">
            <v>42585.81</v>
          </cell>
          <cell r="J197">
            <v>0</v>
          </cell>
          <cell r="K197" t="str">
            <v>4015/4016</v>
          </cell>
          <cell r="L197" t="str">
            <v>ROBINSON</v>
          </cell>
          <cell r="M197">
            <v>1.1770833334594499E-2</v>
          </cell>
          <cell r="N197">
            <v>16.950000001816079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18:08:16-0600',mode:absolute,to:'2016-08-03 20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7" t="str">
            <v>N</v>
          </cell>
          <cell r="X197">
            <v>1</v>
          </cell>
          <cell r="Y197">
            <v>5.8593999999999999</v>
          </cell>
          <cell r="Z197">
            <v>8.9200000000000002E-2</v>
          </cell>
          <cell r="AA197">
            <v>5.7702</v>
          </cell>
          <cell r="AB197" t="e">
            <v>#N/A</v>
          </cell>
          <cell r="AC197" t="e">
            <v>#N/A</v>
          </cell>
          <cell r="AD197" t="str">
            <v>0836-03</v>
          </cell>
          <cell r="AE19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8">
          <cell r="A198" t="str">
            <v>838-03</v>
          </cell>
          <cell r="B198">
            <v>4007</v>
          </cell>
          <cell r="C198" t="str">
            <v>DE.1.0.7.0</v>
          </cell>
          <cell r="D198" t="str">
            <v>300:58594</v>
          </cell>
          <cell r="E198">
            <v>42585.797407407408</v>
          </cell>
          <cell r="K198" t="str">
            <v>4007/4008</v>
          </cell>
          <cell r="L198" t="str">
            <v>-</v>
          </cell>
          <cell r="M198">
            <v>0</v>
          </cell>
          <cell r="N198">
            <v>0</v>
          </cell>
          <cell r="P198">
            <v>1</v>
          </cell>
          <cell r="R198" t="str">
            <v>Did not initialize</v>
          </cell>
          <cell r="S198">
            <v>0</v>
          </cell>
          <cell r="T198" t="str">
            <v>Southbound</v>
          </cell>
          <cell r="U198">
            <v>0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8" t="e">
            <v>#VALUE!</v>
          </cell>
          <cell r="X198" t="e">
            <v>#REF!</v>
          </cell>
          <cell r="Y198">
            <v>5.8593999999999999</v>
          </cell>
          <cell r="Z198" t="e">
            <v>#VALUE!</v>
          </cell>
          <cell r="AA198" t="e">
            <v>#VALUE!</v>
          </cell>
          <cell r="AB198" t="e">
            <v>#N/A</v>
          </cell>
          <cell r="AC198" t="e">
            <v>#N/A</v>
          </cell>
          <cell r="AD198" t="str">
            <v>0838-03</v>
          </cell>
          <cell r="AE198" t="str">
            <v>aws s3 cp s3://rtdc.mdm.uploadarchive/RTDC4007/1900-01-00/ "%USERPROFILE%\AppData\Local\Temp\OnboardLogs"\RTDC4007\1900-01-00 --recursive &amp; "%USERPROFILE%\Documents\GitHub\mrs-test-scripts\Headless Mode &amp; Sideloading\WalkAndUnGZ.bat" "%USERPROFILE%\AppData\Local\Temp\OnboardLogs"\RTDC4007\1900-01-00 &amp; aws s3 cp s3://rtdc.mdm.uploadarchive/RTDC4007/1900-01-01/ "%USERPROFILE%\AppData\Local\Temp\OnboardLogs"\RTDC4007\1900-01-01 --recursive &amp; "%USERPROFILE%\Documents\GitHub\mrs-test-scripts\Headless Mode &amp; Sideloading\WalkAndUnGZ.bat" "%USERPROFILE%\AppData\Local\Temp\OnboardLogs"\RTDC4007\1900-01-01</v>
          </cell>
        </row>
        <row r="199">
          <cell r="A199" t="str">
            <v>839-03</v>
          </cell>
          <cell r="B199">
            <v>4016</v>
          </cell>
          <cell r="C199" t="str">
            <v>DE.1.0.7.0</v>
          </cell>
          <cell r="D199" t="str">
            <v>300:58594</v>
          </cell>
          <cell r="E199">
            <v>42585.797407407408</v>
          </cell>
          <cell r="K199" t="str">
            <v>4015/4016</v>
          </cell>
          <cell r="L199" t="str">
            <v>-</v>
          </cell>
          <cell r="M199">
            <v>0</v>
          </cell>
          <cell r="N199">
            <v>0</v>
          </cell>
          <cell r="P199">
            <v>1</v>
          </cell>
          <cell r="R199" t="str">
            <v>Did not initialize… or was it annulled?</v>
          </cell>
          <cell r="S199">
            <v>0</v>
          </cell>
          <cell r="T199" t="str">
            <v>NorthBound</v>
          </cell>
          <cell r="U199">
            <v>0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9" t="e">
            <v>#VALUE!</v>
          </cell>
          <cell r="X199">
            <v>1</v>
          </cell>
          <cell r="Y199">
            <v>5.8593999999999999</v>
          </cell>
          <cell r="Z199" t="e">
            <v>#VALUE!</v>
          </cell>
          <cell r="AA199" t="e">
            <v>#VALUE!</v>
          </cell>
          <cell r="AB199" t="e">
            <v>#N/A</v>
          </cell>
          <cell r="AC199" t="e">
            <v>#N/A</v>
          </cell>
          <cell r="AD199" t="str">
            <v>0839-03</v>
          </cell>
          <cell r="AE199" t="str">
            <v>aws s3 cp s3://rtdc.mdm.uploadarchive/RTDC4016/1900-01-00/ "%USERPROFILE%\AppData\Local\Temp\OnboardLogs"\RTDC4016\1900-01-00 --recursive &amp; "%USERPROFILE%\Documents\GitHub\mrs-test-scripts\Headless Mode &amp; Sideloading\WalkAndUnGZ.bat" "%USERPROFILE%\AppData\Local\Temp\OnboardLogs"\RTDC4016\1900-01-00 &amp; aws s3 cp s3://rtdc.mdm.uploadarchive/RTDC4016/1900-01-01/ "%USERPROFILE%\AppData\Local\Temp\OnboardLogs"\RTDC4016\1900-01-01 --recursive &amp; "%USERPROFILE%\Documents\GitHub\mrs-test-scripts\Headless Mode &amp; Sideloading\WalkAndUnGZ.bat" "%USERPROFILE%\AppData\Local\Temp\OnboardLogs"\RTDC4016\1900-01-01</v>
          </cell>
        </row>
        <row r="200">
          <cell r="A200" t="str">
            <v>840-03</v>
          </cell>
          <cell r="B200">
            <v>4008</v>
          </cell>
          <cell r="C200" t="str">
            <v>DE.1.0.7.0</v>
          </cell>
          <cell r="D200" t="str">
            <v>300:58624</v>
          </cell>
          <cell r="E200">
            <v>42585.81858796296</v>
          </cell>
          <cell r="F200">
            <v>42585.81962962963</v>
          </cell>
          <cell r="G200">
            <v>1</v>
          </cell>
          <cell r="H200" t="str">
            <v>204:155</v>
          </cell>
          <cell r="I200">
            <v>42585.830717592595</v>
          </cell>
          <cell r="J200">
            <v>1</v>
          </cell>
          <cell r="K200" t="str">
            <v>4007/4008</v>
          </cell>
          <cell r="L200" t="str">
            <v>MOSES</v>
          </cell>
          <cell r="M200">
            <v>1.1087962964666076E-2</v>
          </cell>
          <cell r="N200">
            <v>15.966666669119149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https://search-rtdc-monitor-bjffxe2xuh6vdkpspy63sjmuny.us-east-1.es.amazonaws.com/_plugin/kibana/#/discover/Steve-Slow-Train-Analysis-(2080s-and-2083s)?_g=(refreshInterval:(display:Off,section:0,value:0),time:(from:'2016-08-03 18:38:46-0600',mode:absolute,to:'2016-08-03 20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0" t="str">
            <v>N</v>
          </cell>
          <cell r="X200">
            <v>1</v>
          </cell>
          <cell r="Y200">
            <v>5.8624000000000001</v>
          </cell>
          <cell r="Z200">
            <v>1.55E-2</v>
          </cell>
          <cell r="AA200">
            <v>5.8468999999999998</v>
          </cell>
          <cell r="AB200" t="e">
            <v>#N/A</v>
          </cell>
          <cell r="AC200" t="e">
            <v>#N/A</v>
          </cell>
          <cell r="AD200" t="str">
            <v>0840-03</v>
          </cell>
          <cell r="AE200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1">
          <cell r="A201" t="str">
            <v>841-03</v>
          </cell>
          <cell r="B201">
            <v>4007</v>
          </cell>
          <cell r="C201" t="str">
            <v>DE.1.0.7.0</v>
          </cell>
          <cell r="D201" t="str">
            <v>204:442</v>
          </cell>
          <cell r="E201">
            <v>42585.800162037034</v>
          </cell>
          <cell r="F201">
            <v>42585.801157407404</v>
          </cell>
          <cell r="G201">
            <v>1</v>
          </cell>
          <cell r="H201" t="str">
            <v>300:58931</v>
          </cell>
          <cell r="I201">
            <v>42585.817303240743</v>
          </cell>
          <cell r="J201">
            <v>0</v>
          </cell>
          <cell r="K201" t="str">
            <v>4007/4008</v>
          </cell>
          <cell r="L201" t="str">
            <v>MOSES</v>
          </cell>
          <cell r="M201">
            <v>1.6145833338669036E-2</v>
          </cell>
          <cell r="N201">
            <v>23.250000007683411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https://search-rtdc-monitor-bjffxe2xuh6vdkpspy63sjmuny.us-east-1.es.amazonaws.com/_plugin/kibana/#/discover/Steve-Slow-Train-Analysis-(2080s-and-2083s)?_g=(refreshInterval:(display:Off,section:0,value:0),time:(from:'2016-08-03 18:12:14-0600',mode:absolute,to:'2016-08-03 20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1" t="str">
            <v>N</v>
          </cell>
          <cell r="X201">
            <v>1</v>
          </cell>
          <cell r="Y201">
            <v>4.4200000000000003E-2</v>
          </cell>
          <cell r="Z201">
            <v>5.8930999999999996</v>
          </cell>
          <cell r="AA201">
            <v>5.8488999999999995</v>
          </cell>
          <cell r="AB201" t="e">
            <v>#N/A</v>
          </cell>
          <cell r="AC201" t="e">
            <v>#N/A</v>
          </cell>
          <cell r="AD201" t="str">
            <v>0841-03</v>
          </cell>
          <cell r="AE201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2">
          <cell r="A202" t="str">
            <v>842-03</v>
          </cell>
          <cell r="B202">
            <v>4008</v>
          </cell>
          <cell r="C202" t="str">
            <v>DE.1.0.7.0</v>
          </cell>
          <cell r="D202" t="str">
            <v>300:58621</v>
          </cell>
          <cell r="E202">
            <v>42585.861226851855</v>
          </cell>
          <cell r="F202">
            <v>42585.862060185187</v>
          </cell>
          <cell r="G202">
            <v>1</v>
          </cell>
          <cell r="H202" t="str">
            <v>204:680</v>
          </cell>
          <cell r="I202">
            <v>42585.872662037036</v>
          </cell>
          <cell r="J202">
            <v>1</v>
          </cell>
          <cell r="K202" t="str">
            <v>4007/4008</v>
          </cell>
          <cell r="L202" t="str">
            <v>MOSES</v>
          </cell>
          <cell r="M202">
            <v>1.060185184906004E-2</v>
          </cell>
          <cell r="N202">
            <v>15.266666662646458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https://search-rtdc-monitor-bjffxe2xuh6vdkpspy63sjmuny.us-east-1.es.amazonaws.com/_plugin/kibana/#/discover/Steve-Slow-Train-Analysis-(2080s-and-2083s)?_g=(refreshInterval:(display:Off,section:0,value:0),time:(from:'2016-08-03 19:40:10-0600',mode:absolute,to:'2016-08-03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2" t="str">
            <v>N</v>
          </cell>
          <cell r="X202">
            <v>1</v>
          </cell>
          <cell r="Y202">
            <v>5.8620999999999999</v>
          </cell>
          <cell r="Z202">
            <v>6.8000000000000005E-2</v>
          </cell>
          <cell r="AA202">
            <v>5.7941000000000003</v>
          </cell>
          <cell r="AB202" t="e">
            <v>#N/A</v>
          </cell>
          <cell r="AC202" t="e">
            <v>#N/A</v>
          </cell>
          <cell r="AD202" t="str">
            <v>0842-03</v>
          </cell>
          <cell r="AE202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3">
          <cell r="A203" t="str">
            <v>843-03</v>
          </cell>
          <cell r="B203">
            <v>4007</v>
          </cell>
          <cell r="C203" t="str">
            <v>DE.1.0.7.0</v>
          </cell>
          <cell r="D203" t="str">
            <v>204:439</v>
          </cell>
          <cell r="E203">
            <v>42585.845613425925</v>
          </cell>
          <cell r="F203">
            <v>42585.846724537034</v>
          </cell>
          <cell r="G203">
            <v>1</v>
          </cell>
          <cell r="H203" t="str">
            <v>300:58941</v>
          </cell>
          <cell r="I203">
            <v>42585.859606481485</v>
          </cell>
          <cell r="J203">
            <v>0</v>
          </cell>
          <cell r="K203" t="str">
            <v>4007/4008</v>
          </cell>
          <cell r="L203" t="str">
            <v>MOSES</v>
          </cell>
          <cell r="M203">
            <v>1.2881944450782612E-2</v>
          </cell>
          <cell r="N203">
            <v>18.550000009126961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https://search-rtdc-monitor-bjffxe2xuh6vdkpspy63sjmuny.us-east-1.es.amazonaws.com/_plugin/kibana/#/discover/Steve-Slow-Train-Analysis-(2080s-and-2083s)?_g=(refreshInterval:(display:Off,section:0,value:0),time:(from:'2016-08-03 19:17:41-0600',mode:absolute,to:'2016-08-03 21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3" t="str">
            <v>N</v>
          </cell>
          <cell r="X203">
            <v>1</v>
          </cell>
          <cell r="Y203">
            <v>4.3900000000000002E-2</v>
          </cell>
          <cell r="Z203">
            <v>5.8940999999999999</v>
          </cell>
          <cell r="AA203">
            <v>5.8502000000000001</v>
          </cell>
          <cell r="AB203" t="e">
            <v>#N/A</v>
          </cell>
          <cell r="AC203" t="e">
            <v>#N/A</v>
          </cell>
          <cell r="AD203" t="str">
            <v>0843-03</v>
          </cell>
          <cell r="AE203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4">
          <cell r="A204" t="str">
            <v>844-03</v>
          </cell>
          <cell r="B204">
            <v>4008</v>
          </cell>
          <cell r="C204" t="str">
            <v>DE.1.0.7.0</v>
          </cell>
          <cell r="D204" t="str">
            <v>300:58585</v>
          </cell>
          <cell r="E204">
            <v>42585.902037037034</v>
          </cell>
          <cell r="F204">
            <v>42585.903078703705</v>
          </cell>
          <cell r="G204">
            <v>1</v>
          </cell>
          <cell r="H204" t="str">
            <v>204:720</v>
          </cell>
          <cell r="I204">
            <v>42585.916041666664</v>
          </cell>
          <cell r="J204">
            <v>0</v>
          </cell>
          <cell r="K204" t="str">
            <v>4007/4008</v>
          </cell>
          <cell r="L204" t="str">
            <v>ROBINSON</v>
          </cell>
          <cell r="M204">
            <v>1.2962962959136348E-2</v>
          </cell>
          <cell r="N204">
            <v>18.666666661156341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https://search-rtdc-monitor-bjffxe2xuh6vdkpspy63sjmuny.us-east-1.es.amazonaws.com/_plugin/kibana/#/discover/Steve-Slow-Train-Analysis-(2080s-and-2083s)?_g=(refreshInterval:(display:Off,section:0,value:0),time:(from:'2016-08-03 20:38:56-0600',mode:absolute,to:'2016-08-03 22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4" t="str">
            <v>N</v>
          </cell>
          <cell r="X204">
            <v>1</v>
          </cell>
          <cell r="Y204">
            <v>5.8585000000000003</v>
          </cell>
          <cell r="Z204">
            <v>7.1999999999999995E-2</v>
          </cell>
          <cell r="AA204">
            <v>5.7865000000000002</v>
          </cell>
          <cell r="AB204" t="e">
            <v>#N/A</v>
          </cell>
          <cell r="AC204" t="e">
            <v>#N/A</v>
          </cell>
          <cell r="AD204" t="str">
            <v>0844-03</v>
          </cell>
          <cell r="AE204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5">
          <cell r="A205" t="str">
            <v>845-03</v>
          </cell>
          <cell r="B205">
            <v>4007</v>
          </cell>
          <cell r="C205" t="str">
            <v>DE.1.0.7.0</v>
          </cell>
          <cell r="D205" t="str">
            <v>204:976</v>
          </cell>
          <cell r="E205">
            <v>42585.878935185188</v>
          </cell>
          <cell r="F205">
            <v>42585.880115740743</v>
          </cell>
          <cell r="G205">
            <v>1</v>
          </cell>
          <cell r="H205" t="str">
            <v>300:58905</v>
          </cell>
          <cell r="I205">
            <v>42585.901087962964</v>
          </cell>
          <cell r="J205">
            <v>0</v>
          </cell>
          <cell r="K205" t="str">
            <v>4007/4008</v>
          </cell>
          <cell r="L205" t="str">
            <v>ROBINSON</v>
          </cell>
          <cell r="M205">
            <v>2.0972222220734693E-2</v>
          </cell>
          <cell r="N205">
            <v>30.199999997857958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https://search-rtdc-monitor-bjffxe2xuh6vdkpspy63sjmuny.us-east-1.es.amazonaws.com/_plugin/kibana/#/discover/Steve-Slow-Train-Analysis-(2080s-and-2083s)?_g=(refreshInterval:(display:Off,section:0,value:0),time:(from:'2016-08-03 20:05:40-0600',mode:absolute,to:'2016-08-03 22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5" t="str">
            <v>N</v>
          </cell>
          <cell r="X205">
            <v>1</v>
          </cell>
          <cell r="Y205">
            <v>9.7600000000000006E-2</v>
          </cell>
          <cell r="Z205">
            <v>5.8905000000000003</v>
          </cell>
          <cell r="AA205">
            <v>5.7929000000000004</v>
          </cell>
          <cell r="AB205" t="e">
            <v>#N/A</v>
          </cell>
          <cell r="AC205" t="e">
            <v>#N/A</v>
          </cell>
          <cell r="AD205" t="str">
            <v>0845-03</v>
          </cell>
          <cell r="AE205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6">
          <cell r="A206" t="str">
            <v>847-03</v>
          </cell>
          <cell r="B206">
            <v>4007</v>
          </cell>
          <cell r="C206" t="str">
            <v>DE.1.0.7.0</v>
          </cell>
          <cell r="D206" t="str">
            <v>204:1020</v>
          </cell>
          <cell r="E206">
            <v>42585.924097222225</v>
          </cell>
          <cell r="F206">
            <v>42585.925370370373</v>
          </cell>
          <cell r="G206">
            <v>1</v>
          </cell>
          <cell r="H206" t="str">
            <v>300:58912</v>
          </cell>
          <cell r="I206">
            <v>42585.943009259259</v>
          </cell>
          <cell r="J206">
            <v>0</v>
          </cell>
          <cell r="K206" t="str">
            <v>4007/4008</v>
          </cell>
          <cell r="L206" t="str">
            <v>ROBINSON</v>
          </cell>
          <cell r="M206">
            <v>1.763888888672227E-2</v>
          </cell>
          <cell r="N206">
            <v>25.399999996880069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https://search-rtdc-monitor-bjffxe2xuh6vdkpspy63sjmuny.us-east-1.es.amazonaws.com/_plugin/kibana/#/discover/Steve-Slow-Train-Analysis-(2080s-and-2083s)?_g=(refreshInterval:(display:Off,section:0,value:0),time:(from:'2016-08-03 21:10:42-0600',mode:absolute,to:'2016-08-03 23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6" t="str">
            <v>N</v>
          </cell>
          <cell r="X206">
            <v>2</v>
          </cell>
          <cell r="Y206">
            <v>0.10199999999999999</v>
          </cell>
          <cell r="Z206">
            <v>5.8912000000000004</v>
          </cell>
          <cell r="AA206">
            <v>5.7892000000000001</v>
          </cell>
          <cell r="AB206" t="e">
            <v>#N/A</v>
          </cell>
          <cell r="AC206" t="e">
            <v>#N/A</v>
          </cell>
          <cell r="AD206" t="str">
            <v>0847-03</v>
          </cell>
          <cell r="AE20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7">
          <cell r="A207" t="str">
            <v>307-03</v>
          </cell>
          <cell r="B207">
            <v>4011</v>
          </cell>
          <cell r="C207" t="str">
            <v>DE.1.0.7.0</v>
          </cell>
          <cell r="D207" t="str">
            <v>204:491</v>
          </cell>
          <cell r="E207">
            <v>42585.825474537036</v>
          </cell>
          <cell r="F207">
            <v>42585.82644675926</v>
          </cell>
          <cell r="G207">
            <v>1</v>
          </cell>
          <cell r="H207" t="str">
            <v>300:23337</v>
          </cell>
          <cell r="I207">
            <v>42585.836550925924</v>
          </cell>
          <cell r="J207">
            <v>0</v>
          </cell>
          <cell r="K207" t="str">
            <v>4011/4012</v>
          </cell>
          <cell r="L207" t="str">
            <v>SWANSON</v>
          </cell>
          <cell r="M207">
            <v>1.0104166663950309E-2</v>
          </cell>
          <cell r="N207">
            <v>14.549999996088445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https://search-rtdc-monitor-bjffxe2xuh6vdkpspy63sjmuny.us-east-1.es.amazonaws.com/_plugin/kibana/#/discover/Steve-Slow-Train-Analysis-(2080s-and-2083s)?_g=(refreshInterval:(display:Off,section:0,value:0),time:(from:'2016-08-03 18:48:41-0600',mode:absolute,to:'2016-08-03 21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7" t="str">
            <v>Y</v>
          </cell>
          <cell r="X207">
            <v>63</v>
          </cell>
          <cell r="Y207">
            <v>4.9099999999999998E-2</v>
          </cell>
          <cell r="Z207">
            <v>2.3336999999999999</v>
          </cell>
          <cell r="AA207">
            <v>2.2845999999999997</v>
          </cell>
          <cell r="AB207" t="e">
            <v>#N/A</v>
          </cell>
          <cell r="AC207" t="e">
            <v>#N/A</v>
          </cell>
          <cell r="AD207" t="str">
            <v>0307-03</v>
          </cell>
          <cell r="AE20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208">
          <cell r="A208" t="str">
            <v>309-03</v>
          </cell>
          <cell r="B208">
            <v>4025</v>
          </cell>
          <cell r="C208" t="str">
            <v>DE.1.0.7.0</v>
          </cell>
          <cell r="D208" t="str">
            <v>204:464</v>
          </cell>
          <cell r="E208">
            <v>42586.027731481481</v>
          </cell>
          <cell r="F208">
            <v>42586.028622685182</v>
          </cell>
          <cell r="G208">
            <v>1</v>
          </cell>
          <cell r="H208" t="str">
            <v>300:23314</v>
          </cell>
          <cell r="I208">
            <v>42586.039479166669</v>
          </cell>
          <cell r="J208">
            <v>0</v>
          </cell>
          <cell r="K208" t="str">
            <v>4025/4026</v>
          </cell>
          <cell r="L208" t="str">
            <v>STURGEON</v>
          </cell>
          <cell r="M208">
            <v>1.0856481487280689E-2</v>
          </cell>
          <cell r="N208">
            <v>15.633333341684192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https://search-rtdc-monitor-bjffxe2xuh6vdkpspy63sjmuny.us-east-1.es.amazonaws.com/_plugin/kibana/#/discover/Steve-Slow-Train-Analysis-(2080s-and-2083s)?_g=(refreshInterval:(display:Off,section:0,value:0),time:(from:'2016-08-03 23:39:56-0600',mode:absolute,to:'2016-08-04 01:56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8" t="str">
            <v>Y</v>
          </cell>
          <cell r="X208">
            <v>2</v>
          </cell>
          <cell r="Y208">
            <v>4.6399999999999997E-2</v>
          </cell>
          <cell r="Z208">
            <v>2.3313999999999999</v>
          </cell>
          <cell r="AA208">
            <v>2.2850000000000001</v>
          </cell>
          <cell r="AB208" t="e">
            <v>#N/A</v>
          </cell>
          <cell r="AC208" t="e">
            <v>#N/A</v>
          </cell>
          <cell r="AD208" t="str">
            <v>0309-03</v>
          </cell>
          <cell r="AE208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9">
          <cell r="A209" t="str">
            <v>310-03</v>
          </cell>
          <cell r="B209">
            <v>4026</v>
          </cell>
          <cell r="C209" t="str">
            <v>DE.1.0.7.0</v>
          </cell>
          <cell r="D209" t="str">
            <v>300:24197</v>
          </cell>
          <cell r="E209">
            <v>42585.182013888887</v>
          </cell>
          <cell r="F209">
            <v>42585.183171296296</v>
          </cell>
          <cell r="G209">
            <v>1</v>
          </cell>
          <cell r="H209" t="str">
            <v>204:158</v>
          </cell>
          <cell r="I209">
            <v>42585.191099537034</v>
          </cell>
          <cell r="J209">
            <v>0</v>
          </cell>
          <cell r="K209" t="str">
            <v>4025/4026</v>
          </cell>
          <cell r="L209" t="str">
            <v>HELVIE</v>
          </cell>
          <cell r="M209">
            <v>7.9282407386926934E-3</v>
          </cell>
          <cell r="N209">
            <v>11.416666663717479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03:22:06-0600',mode:absolute,to:'2016-08-03 05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9" t="str">
            <v>Y</v>
          </cell>
          <cell r="X209">
            <v>1</v>
          </cell>
          <cell r="Y209">
            <v>2.4197000000000002</v>
          </cell>
          <cell r="Z209">
            <v>1.5800000000000002E-2</v>
          </cell>
          <cell r="AA209">
            <v>2.4039000000000001</v>
          </cell>
          <cell r="AB209" t="e">
            <v>#N/A</v>
          </cell>
          <cell r="AC209" t="e">
            <v>#N/A</v>
          </cell>
          <cell r="AD209" t="str">
            <v>0310-03</v>
          </cell>
          <cell r="AE209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10">
          <cell r="A210" t="str">
            <v>311-03</v>
          </cell>
          <cell r="B210">
            <v>4014</v>
          </cell>
          <cell r="C210" t="str">
            <v>DE.1.0.7.0</v>
          </cell>
          <cell r="D210" t="str">
            <v>204:449</v>
          </cell>
          <cell r="E210">
            <v>42586.046620370369</v>
          </cell>
          <cell r="F210">
            <v>42586.047847222224</v>
          </cell>
          <cell r="G210">
            <v>1</v>
          </cell>
          <cell r="H210" t="str">
            <v>300:23081</v>
          </cell>
          <cell r="I210">
            <v>42586.052812499998</v>
          </cell>
          <cell r="J210">
            <v>0</v>
          </cell>
          <cell r="K210" t="str">
            <v>4013/4014</v>
          </cell>
          <cell r="L210" t="str">
            <v>HAITHCOX</v>
          </cell>
          <cell r="M210">
            <v>4.9652777743176557E-3</v>
          </cell>
          <cell r="N210">
            <v>7.1499999950174242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00:07:08-0600',mode:absolute,to:'2016-08-04 02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0" t="str">
            <v>Y</v>
          </cell>
          <cell r="X210">
            <v>1</v>
          </cell>
          <cell r="Y210">
            <v>4.4900000000000002E-2</v>
          </cell>
          <cell r="Z210">
            <v>2.3081</v>
          </cell>
          <cell r="AA210">
            <v>2.2631999999999999</v>
          </cell>
          <cell r="AB210" t="e">
            <v>#N/A</v>
          </cell>
          <cell r="AC210" t="e">
            <v>#N/A</v>
          </cell>
          <cell r="AD210" t="str">
            <v>0311-03</v>
          </cell>
          <cell r="AE210" t="str">
            <v>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 &amp; aws s3 cp s3://rtdc.mdm.uploadarchive/RTDC4014/2016-08-05/ "%USERPROFILE%\AppData\Local\Temp\OnboardLogs"\RTDC4014\2016-08-05 --recursive &amp; "%USERPROFILE%\Documents\GitHub\mrs-test-scripts\Headless Mode &amp; Sideloading\WalkAndUnGZ.bat" "%USERPROFILE%\AppData\Local\Temp\OnboardLogs"\RTDC4014\2016-08-05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4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315-03</v>
          </cell>
          <cell r="B212">
            <v>4040</v>
          </cell>
          <cell r="C212" t="str">
            <v>DE.1.0.7.0</v>
          </cell>
          <cell r="D212" t="str">
            <v>204:488</v>
          </cell>
          <cell r="E212">
            <v>42586.088495370372</v>
          </cell>
          <cell r="F212">
            <v>42586.089618055557</v>
          </cell>
          <cell r="G212">
            <v>1</v>
          </cell>
          <cell r="H212" t="str">
            <v>300:22282</v>
          </cell>
          <cell r="I212">
            <v>42586.095289351855</v>
          </cell>
          <cell r="J212">
            <v>0</v>
          </cell>
          <cell r="K212" t="str">
            <v>4039/4040</v>
          </cell>
          <cell r="L212" t="str">
            <v>COOLAHAN</v>
          </cell>
          <cell r="M212">
            <v>5.6712962978053838E-3</v>
          </cell>
          <cell r="N212">
            <v>8.1666666688397527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2" t="str">
            <v>Y</v>
          </cell>
          <cell r="X212">
            <v>0</v>
          </cell>
          <cell r="Y212">
            <v>4.8800000000000003E-2</v>
          </cell>
          <cell r="Z212">
            <v>2.2282000000000002</v>
          </cell>
          <cell r="AA212">
            <v>2.1794000000000002</v>
          </cell>
          <cell r="AB212" t="e">
            <v>#N/A</v>
          </cell>
          <cell r="AC212" t="e">
            <v>#N/A</v>
          </cell>
          <cell r="AD212" t="str">
            <v>0315-03</v>
          </cell>
          <cell r="AE212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3">
          <cell r="A213" t="str">
            <v>903-03</v>
          </cell>
          <cell r="B213">
            <v>4016</v>
          </cell>
          <cell r="C213" t="str">
            <v>DE.1.0.7.0</v>
          </cell>
          <cell r="D213" t="str">
            <v>204:972</v>
          </cell>
          <cell r="E213">
            <v>42585.354942129627</v>
          </cell>
          <cell r="F213">
            <v>42585.355729166666</v>
          </cell>
          <cell r="G213">
            <v>1</v>
          </cell>
          <cell r="H213" t="str">
            <v>300:24178</v>
          </cell>
          <cell r="I213">
            <v>42585.363009259258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7.2800925918272696E-3</v>
          </cell>
          <cell r="N213">
            <v>10.483333332231268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https://search-rtdc-monitor-bjffxe2xuh6vdkpspy63sjmuny.us-east-1.es.amazonaws.com/_plugin/kibana/#/discover/Steve-Slow-Train-Analysis-(2080s-and-2083s)?_g=(refreshInterval:(display:Off,section:0,value:0),time:(from:'2016-08-03 07:31:07-0600',mode:absolute,to:'2016-08-03 09:42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56</v>
          </cell>
          <cell r="Y213">
            <v>9.7199999999999995E-2</v>
          </cell>
          <cell r="Z213">
            <v>2.4178000000000002</v>
          </cell>
          <cell r="AA213">
            <v>2.3206000000000002</v>
          </cell>
          <cell r="AB213" t="e">
            <v>#N/A</v>
          </cell>
          <cell r="AC213" t="e">
            <v>#N/A</v>
          </cell>
          <cell r="AD213" t="str">
            <v>0903-03</v>
          </cell>
          <cell r="AE213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214">
          <cell r="A214" t="str">
            <v>904-03</v>
          </cell>
          <cell r="B214">
            <v>4015</v>
          </cell>
          <cell r="C214" t="str">
            <v>DE.1.0.7.0</v>
          </cell>
          <cell r="D214" t="str">
            <v>300:24476</v>
          </cell>
          <cell r="E214">
            <v>42585.644375000003</v>
          </cell>
          <cell r="F214">
            <v>42585.645636574074</v>
          </cell>
          <cell r="G214">
            <v>1</v>
          </cell>
          <cell r="H214" t="str">
            <v>300:24080</v>
          </cell>
          <cell r="I214">
            <v>42585.649467592593</v>
          </cell>
          <cell r="J214">
            <v>1</v>
          </cell>
          <cell r="K214" t="str">
            <v>4015/4016</v>
          </cell>
          <cell r="L214" t="str">
            <v>ROBINSON</v>
          </cell>
          <cell r="M214">
            <v>3.8310185191221535E-3</v>
          </cell>
          <cell r="N214">
            <v>5.5166666675359011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https://search-rtdc-monitor-bjffxe2xuh6vdkpspy63sjmuny.us-east-1.es.amazonaws.com/_plugin/kibana/#/discover/Steve-Slow-Train-Analysis-(2080s-and-2083s)?_g=(refreshInterval:(display:Off,section:0,value:0),time:(from:'2016-08-03 14:27:54-0600',mode:absolute,to:'2016-08-03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4" t="str">
            <v>Y</v>
          </cell>
          <cell r="X214">
            <v>1</v>
          </cell>
          <cell r="Y214">
            <v>2.4476</v>
          </cell>
          <cell r="Z214">
            <v>2.4079999999999999</v>
          </cell>
          <cell r="AA214">
            <v>3.960000000000008E-2</v>
          </cell>
          <cell r="AB214" t="e">
            <v>#N/A</v>
          </cell>
          <cell r="AC214" t="e">
            <v>#N/A</v>
          </cell>
          <cell r="AD214" t="str">
            <v>0904-03</v>
          </cell>
          <cell r="AE214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215">
          <cell r="A215" t="str">
            <v>908-03</v>
          </cell>
          <cell r="B215">
            <v>4008</v>
          </cell>
          <cell r="C215" t="str">
            <v>DE.1.0.7.0</v>
          </cell>
          <cell r="D215" t="str">
            <v>300:58592</v>
          </cell>
          <cell r="E215">
            <v>42585.945185185185</v>
          </cell>
          <cell r="F215">
            <v>42585.94599537037</v>
          </cell>
          <cell r="G215">
            <v>1</v>
          </cell>
          <cell r="H215" t="str">
            <v>300:21793</v>
          </cell>
          <cell r="I215">
            <v>42585.954710648148</v>
          </cell>
          <cell r="J215">
            <v>0</v>
          </cell>
          <cell r="K215" t="str">
            <v>4007/4008</v>
          </cell>
          <cell r="L215" t="str">
            <v>ROBINSON</v>
          </cell>
          <cell r="M215">
            <v>8.7152777778101154E-3</v>
          </cell>
          <cell r="N215">
            <v>12.550000000046566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https://search-rtdc-monitor-bjffxe2xuh6vdkpspy63sjmuny.us-east-1.es.amazonaws.com/_plugin/kibana/#/discover/Steve-Slow-Train-Analysis-(2080s-and-2083s)?_g=(refreshInterval:(display:Off,section:0,value:0),time:(from:'2016-08-03 21:41:04-0600',mode:absolute,to:'2016-08-03 23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15" t="str">
            <v>Y</v>
          </cell>
          <cell r="X215">
            <v>4</v>
          </cell>
          <cell r="Y215">
            <v>5.8592000000000004</v>
          </cell>
          <cell r="Z215">
            <v>2.1793</v>
          </cell>
          <cell r="AA215">
            <v>3.6799000000000004</v>
          </cell>
          <cell r="AB215" t="e">
            <v>#N/A</v>
          </cell>
          <cell r="AC215" t="e">
            <v>#N/A</v>
          </cell>
          <cell r="AD215" t="str">
            <v>0908-03</v>
          </cell>
          <cell r="AE21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</sheetData>
      <sheetData sheetId="1" refreshError="1"/>
      <sheetData sheetId="2" refreshError="1"/>
      <sheetData sheetId="3">
        <row r="1">
          <cell r="C1" t="str">
            <v>844-02</v>
          </cell>
          <cell r="D1">
            <v>1480000</v>
          </cell>
          <cell r="E1" t="str">
            <v>STURGEON</v>
          </cell>
        </row>
        <row r="2">
          <cell r="C2" t="str">
            <v>833-03</v>
          </cell>
          <cell r="D2">
            <v>2040000</v>
          </cell>
          <cell r="E2" t="str">
            <v>MOSES</v>
          </cell>
        </row>
        <row r="3">
          <cell r="C3" t="str">
            <v>213-03</v>
          </cell>
          <cell r="D3">
            <v>2090000</v>
          </cell>
          <cell r="E3" t="str">
            <v>HAITHCOX</v>
          </cell>
        </row>
        <row r="4">
          <cell r="C4" t="str">
            <v>210-03</v>
          </cell>
          <cell r="D4">
            <v>1480000</v>
          </cell>
          <cell r="E4" t="str">
            <v>STURGEON</v>
          </cell>
        </row>
        <row r="5">
          <cell r="C5" t="str">
            <v>832-03</v>
          </cell>
          <cell r="D5">
            <v>2140000</v>
          </cell>
          <cell r="E5" t="str">
            <v>ROBINSON</v>
          </cell>
        </row>
        <row r="6">
          <cell r="C6" t="str">
            <v>214-03</v>
          </cell>
          <cell r="D6">
            <v>2090000</v>
          </cell>
          <cell r="E6" t="str">
            <v>HAITHCOX</v>
          </cell>
        </row>
        <row r="7">
          <cell r="C7" t="str">
            <v>223-03</v>
          </cell>
          <cell r="D7">
            <v>2090000</v>
          </cell>
          <cell r="E7" t="str">
            <v>HAITHCOX</v>
          </cell>
        </row>
        <row r="8">
          <cell r="C8" t="str">
            <v>843-03</v>
          </cell>
          <cell r="D8">
            <v>2040000</v>
          </cell>
          <cell r="E8" t="str">
            <v>MOSES</v>
          </cell>
        </row>
        <row r="9">
          <cell r="C9" t="str">
            <v>231-03</v>
          </cell>
          <cell r="D9">
            <v>2090000</v>
          </cell>
          <cell r="E9" t="str">
            <v>HAITHCOX</v>
          </cell>
        </row>
        <row r="10">
          <cell r="C10" t="str">
            <v>232-03</v>
          </cell>
          <cell r="D10">
            <v>2090000</v>
          </cell>
          <cell r="E10" t="str">
            <v>HAITHCOX</v>
          </cell>
        </row>
        <row r="11">
          <cell r="C11" t="str">
            <v>831-03</v>
          </cell>
          <cell r="D11">
            <v>2140000</v>
          </cell>
          <cell r="E11" t="str">
            <v>ROBINSON</v>
          </cell>
        </row>
        <row r="12">
          <cell r="C12" t="str">
            <v>908-03</v>
          </cell>
          <cell r="D12">
            <v>2140000</v>
          </cell>
          <cell r="E12" t="str">
            <v>ROBINSON</v>
          </cell>
        </row>
        <row r="13">
          <cell r="C13" t="str">
            <v>205-03</v>
          </cell>
          <cell r="D13">
            <v>860000</v>
          </cell>
          <cell r="E13" t="str">
            <v>ARNOLD</v>
          </cell>
        </row>
        <row r="14">
          <cell r="C14" t="str">
            <v>237-03</v>
          </cell>
          <cell r="D14">
            <v>1480000</v>
          </cell>
          <cell r="E14" t="str">
            <v>STURGEON</v>
          </cell>
        </row>
        <row r="15">
          <cell r="C15" t="str">
            <v>203-03</v>
          </cell>
          <cell r="D15">
            <v>1280000</v>
          </cell>
          <cell r="E15" t="str">
            <v>BARTLETT</v>
          </cell>
        </row>
        <row r="16">
          <cell r="C16" t="str">
            <v>241-03</v>
          </cell>
          <cell r="D16">
            <v>1300000</v>
          </cell>
          <cell r="E16" t="str">
            <v>LEVIN</v>
          </cell>
        </row>
        <row r="17">
          <cell r="C17" t="str">
            <v>904-03</v>
          </cell>
          <cell r="D17">
            <v>2140000</v>
          </cell>
          <cell r="E17" t="str">
            <v>ROBINSON</v>
          </cell>
        </row>
        <row r="18">
          <cell r="C18" t="str">
            <v>309-03</v>
          </cell>
          <cell r="D18">
            <v>1480000</v>
          </cell>
          <cell r="E18" t="str">
            <v>STURGEON</v>
          </cell>
        </row>
        <row r="19">
          <cell r="C19" t="str">
            <v>193-03</v>
          </cell>
          <cell r="D19">
            <v>1750000</v>
          </cell>
          <cell r="E19" t="str">
            <v>REBOLETTI</v>
          </cell>
        </row>
        <row r="20">
          <cell r="C20" t="str">
            <v>244-03</v>
          </cell>
          <cell r="D20">
            <v>1290000</v>
          </cell>
          <cell r="E20" t="str">
            <v>COOLAHAN</v>
          </cell>
        </row>
        <row r="21">
          <cell r="C21" t="str">
            <v>189-03</v>
          </cell>
          <cell r="D21">
            <v>1280000</v>
          </cell>
          <cell r="E21" t="str">
            <v>BARTLETT</v>
          </cell>
        </row>
        <row r="22">
          <cell r="C22" t="str">
            <v>308-04</v>
          </cell>
          <cell r="D22">
            <v>1760000</v>
          </cell>
          <cell r="E22" t="str">
            <v>STRICKLAND</v>
          </cell>
        </row>
        <row r="23">
          <cell r="C23" t="str">
            <v>178-03</v>
          </cell>
          <cell r="D23">
            <v>2030000</v>
          </cell>
          <cell r="E23" t="str">
            <v>KILLION</v>
          </cell>
        </row>
        <row r="24">
          <cell r="C24" t="str">
            <v>113-04</v>
          </cell>
          <cell r="D24">
            <v>2010000</v>
          </cell>
          <cell r="E24" t="str">
            <v>MAELZER</v>
          </cell>
        </row>
        <row r="25">
          <cell r="C25" t="str">
            <v>176-03</v>
          </cell>
          <cell r="D25">
            <v>1280000</v>
          </cell>
          <cell r="E25" t="str">
            <v>BARTLETT</v>
          </cell>
        </row>
        <row r="26">
          <cell r="C26" t="str">
            <v>803-04</v>
          </cell>
          <cell r="D26">
            <v>2100000</v>
          </cell>
          <cell r="E26" t="str">
            <v>ISHMAEL</v>
          </cell>
        </row>
        <row r="27">
          <cell r="C27" t="str">
            <v>821-03</v>
          </cell>
          <cell r="D27">
            <v>2040000</v>
          </cell>
          <cell r="E27" t="str">
            <v>MOSES</v>
          </cell>
        </row>
        <row r="28">
          <cell r="C28" t="str">
            <v>123-04</v>
          </cell>
          <cell r="D28">
            <v>1360000</v>
          </cell>
          <cell r="E28" t="str">
            <v>SANTIZO</v>
          </cell>
        </row>
        <row r="29">
          <cell r="C29" t="str">
            <v>171-03</v>
          </cell>
          <cell r="D29">
            <v>2150000</v>
          </cell>
          <cell r="E29" t="str">
            <v>SWANSON</v>
          </cell>
        </row>
        <row r="30">
          <cell r="C30" t="str">
            <v>118-04</v>
          </cell>
          <cell r="D30">
            <v>1090000</v>
          </cell>
          <cell r="E30" t="str">
            <v>SPECTOR</v>
          </cell>
        </row>
        <row r="31">
          <cell r="C31" t="str">
            <v>819-03</v>
          </cell>
          <cell r="D31">
            <v>2100000</v>
          </cell>
          <cell r="E31" t="str">
            <v>ISHMAEL</v>
          </cell>
        </row>
        <row r="32">
          <cell r="C32" t="str">
            <v>120-04</v>
          </cell>
          <cell r="D32">
            <v>1310000</v>
          </cell>
          <cell r="E32" t="str">
            <v>MALAVE</v>
          </cell>
        </row>
        <row r="33">
          <cell r="C33" t="str">
            <v>160-03</v>
          </cell>
          <cell r="D33">
            <v>2110000</v>
          </cell>
          <cell r="E33" t="str">
            <v>OUN</v>
          </cell>
        </row>
        <row r="34">
          <cell r="C34" t="str">
            <v>120-04</v>
          </cell>
          <cell r="D34">
            <v>1310000</v>
          </cell>
          <cell r="E34" t="str">
            <v>MALAVE</v>
          </cell>
        </row>
        <row r="35">
          <cell r="C35" t="str">
            <v>159-03</v>
          </cell>
          <cell r="D35">
            <v>2110000</v>
          </cell>
          <cell r="E35" t="str">
            <v>OUN</v>
          </cell>
        </row>
        <row r="36">
          <cell r="C36" t="str">
            <v>223-02</v>
          </cell>
          <cell r="D36">
            <v>1290000</v>
          </cell>
          <cell r="E36" t="str">
            <v>COOLAHAN</v>
          </cell>
        </row>
        <row r="37">
          <cell r="C37" t="str">
            <v>152-03</v>
          </cell>
          <cell r="D37">
            <v>1540000</v>
          </cell>
          <cell r="E37" t="str">
            <v>HELVIE</v>
          </cell>
        </row>
        <row r="38">
          <cell r="C38" t="str">
            <v>840-02</v>
          </cell>
          <cell r="D38">
            <v>1770000</v>
          </cell>
          <cell r="E38" t="str">
            <v>BRUDER</v>
          </cell>
        </row>
        <row r="39">
          <cell r="C39" t="str">
            <v>153-03</v>
          </cell>
          <cell r="D39">
            <v>900000</v>
          </cell>
          <cell r="E39" t="str">
            <v>ROCHA</v>
          </cell>
        </row>
        <row r="40">
          <cell r="C40" t="str">
            <v>227-02</v>
          </cell>
          <cell r="D40">
            <v>1800000</v>
          </cell>
          <cell r="E40" t="str">
            <v>CHANDLER</v>
          </cell>
        </row>
        <row r="41">
          <cell r="C41" t="str">
            <v>815-03</v>
          </cell>
          <cell r="D41">
            <v>2100000</v>
          </cell>
          <cell r="E41" t="str">
            <v>ISHMAEL</v>
          </cell>
        </row>
        <row r="42">
          <cell r="C42" t="str">
            <v>842-02</v>
          </cell>
          <cell r="D42">
            <v>1770000</v>
          </cell>
          <cell r="E42" t="str">
            <v>BRUDER</v>
          </cell>
        </row>
        <row r="43">
          <cell r="C43" t="str">
            <v>814-03</v>
          </cell>
          <cell r="D43">
            <v>2100000</v>
          </cell>
          <cell r="E43" t="str">
            <v>ISHMAEL</v>
          </cell>
        </row>
        <row r="44">
          <cell r="C44" t="str">
            <v>235-02</v>
          </cell>
          <cell r="D44">
            <v>1800000</v>
          </cell>
          <cell r="E44" t="str">
            <v>CHANDLER</v>
          </cell>
        </row>
        <row r="45">
          <cell r="C45" t="str">
            <v>142-03</v>
          </cell>
          <cell r="D45">
            <v>2010000</v>
          </cell>
          <cell r="E45" t="str">
            <v>MAELZER</v>
          </cell>
        </row>
        <row r="46">
          <cell r="C46" t="str">
            <v>908-02</v>
          </cell>
          <cell r="D46">
            <v>1480000</v>
          </cell>
          <cell r="E46" t="str">
            <v>STURGEON</v>
          </cell>
        </row>
        <row r="47">
          <cell r="C47" t="str">
            <v>147-03</v>
          </cell>
          <cell r="D47">
            <v>1760000</v>
          </cell>
          <cell r="E47" t="str">
            <v>STRICKLAND</v>
          </cell>
        </row>
        <row r="48">
          <cell r="C48" t="str">
            <v>236-02</v>
          </cell>
          <cell r="D48">
            <v>1800000</v>
          </cell>
          <cell r="E48" t="str">
            <v>CHANDLER</v>
          </cell>
        </row>
        <row r="49">
          <cell r="C49" t="str">
            <v>813-03</v>
          </cell>
          <cell r="D49">
            <v>2100000</v>
          </cell>
          <cell r="E49" t="str">
            <v>ISHMAEL</v>
          </cell>
        </row>
        <row r="50">
          <cell r="C50" t="str">
            <v>241-02</v>
          </cell>
          <cell r="D50">
            <v>1230000</v>
          </cell>
          <cell r="E50" t="str">
            <v>YANAI</v>
          </cell>
        </row>
        <row r="51">
          <cell r="C51" t="str">
            <v>141-03</v>
          </cell>
          <cell r="D51">
            <v>2010000</v>
          </cell>
          <cell r="E51" t="str">
            <v>MAELZER</v>
          </cell>
        </row>
        <row r="52">
          <cell r="C52" t="str">
            <v>309-02</v>
          </cell>
          <cell r="D52">
            <v>2140000</v>
          </cell>
          <cell r="E52" t="str">
            <v>ROBINSON</v>
          </cell>
        </row>
        <row r="53">
          <cell r="C53" t="str">
            <v>903-03</v>
          </cell>
          <cell r="D53">
            <v>1990000</v>
          </cell>
          <cell r="E53" t="str">
            <v>DAVIS</v>
          </cell>
        </row>
        <row r="54">
          <cell r="C54" t="str">
            <v>244-02</v>
          </cell>
          <cell r="D54">
            <v>1800000</v>
          </cell>
          <cell r="E54" t="str">
            <v>CHANDLER</v>
          </cell>
        </row>
        <row r="55">
          <cell r="C55" t="str">
            <v>810-03</v>
          </cell>
          <cell r="D55">
            <v>1990000</v>
          </cell>
          <cell r="E55" t="str">
            <v>DAVIS</v>
          </cell>
        </row>
        <row r="56">
          <cell r="C56" t="str">
            <v>313-02</v>
          </cell>
          <cell r="D56">
            <v>1230000</v>
          </cell>
          <cell r="E56" t="str">
            <v>YANAI</v>
          </cell>
        </row>
        <row r="57">
          <cell r="C57" t="str">
            <v>130-03</v>
          </cell>
          <cell r="D57">
            <v>1190000</v>
          </cell>
          <cell r="E57" t="str">
            <v>BRANNON</v>
          </cell>
        </row>
        <row r="58">
          <cell r="C58" t="str">
            <v>315-02</v>
          </cell>
          <cell r="D58">
            <v>1800000</v>
          </cell>
          <cell r="E58" t="str">
            <v>CHANDLER</v>
          </cell>
        </row>
        <row r="59">
          <cell r="C59" t="str">
            <v>126-03</v>
          </cell>
          <cell r="D59">
            <v>900000</v>
          </cell>
          <cell r="E59" t="str">
            <v>ROCHA</v>
          </cell>
        </row>
        <row r="60">
          <cell r="C60" t="str">
            <v>104-03</v>
          </cell>
          <cell r="D60">
            <v>1260000</v>
          </cell>
          <cell r="E60" t="str">
            <v>ACKERMAN</v>
          </cell>
        </row>
        <row r="61">
          <cell r="C61" t="str">
            <v>808-03</v>
          </cell>
          <cell r="D61">
            <v>2100000</v>
          </cell>
          <cell r="E61" t="str">
            <v>ISHMAEL</v>
          </cell>
        </row>
        <row r="62">
          <cell r="C62" t="str">
            <v>113-03</v>
          </cell>
          <cell r="D62">
            <v>2010000</v>
          </cell>
          <cell r="E62" t="str">
            <v>MAELZER</v>
          </cell>
        </row>
        <row r="63">
          <cell r="C63" t="str">
            <v>127-03</v>
          </cell>
          <cell r="D63">
            <v>2010000</v>
          </cell>
          <cell r="E63" t="str">
            <v>MAELZER</v>
          </cell>
        </row>
        <row r="64">
          <cell r="C64" t="str">
            <v>115-03</v>
          </cell>
          <cell r="D64">
            <v>1190000</v>
          </cell>
          <cell r="E64" t="str">
            <v>BRANNON</v>
          </cell>
        </row>
        <row r="65">
          <cell r="C65" t="str">
            <v>120-03</v>
          </cell>
          <cell r="D65">
            <v>1760000</v>
          </cell>
          <cell r="E65" t="str">
            <v>STRICKLAND</v>
          </cell>
        </row>
        <row r="66">
          <cell r="C66" t="str">
            <v>110-03</v>
          </cell>
          <cell r="D66">
            <v>1540000</v>
          </cell>
          <cell r="E66" t="str">
            <v>HELVIE</v>
          </cell>
        </row>
        <row r="67">
          <cell r="C67" t="str">
            <v>805-03</v>
          </cell>
          <cell r="D67">
            <v>1990000</v>
          </cell>
          <cell r="E67" t="str">
            <v>DAVIS</v>
          </cell>
        </row>
        <row r="68">
          <cell r="C68" t="str">
            <v>117-03</v>
          </cell>
          <cell r="D68">
            <v>1260000</v>
          </cell>
          <cell r="E68" t="str">
            <v>ACKERMAN</v>
          </cell>
        </row>
        <row r="69">
          <cell r="C69" t="str">
            <v>125-03</v>
          </cell>
          <cell r="D69">
            <v>900000</v>
          </cell>
          <cell r="E69" t="str">
            <v>ROCHA</v>
          </cell>
        </row>
        <row r="70">
          <cell r="C70" t="str">
            <v>802-03</v>
          </cell>
          <cell r="D70">
            <v>1990000</v>
          </cell>
          <cell r="E70" t="str">
            <v>DAVIS</v>
          </cell>
        </row>
        <row r="71">
          <cell r="C71" t="str">
            <v>802-03</v>
          </cell>
          <cell r="D71">
            <v>1990000</v>
          </cell>
          <cell r="E71" t="str">
            <v>DAVIS</v>
          </cell>
        </row>
        <row r="72">
          <cell r="C72" t="str">
            <v>801-03</v>
          </cell>
          <cell r="D72">
            <v>1110000</v>
          </cell>
          <cell r="E72" t="str">
            <v>STARKS</v>
          </cell>
        </row>
        <row r="73">
          <cell r="C73" t="str">
            <v>803-03</v>
          </cell>
          <cell r="D73">
            <v>2100000</v>
          </cell>
          <cell r="E73" t="str">
            <v>ISHMAEL</v>
          </cell>
        </row>
        <row r="74">
          <cell r="C74" t="str">
            <v>116-03</v>
          </cell>
          <cell r="D74">
            <v>1190000</v>
          </cell>
          <cell r="E74" t="str">
            <v>BRANNON</v>
          </cell>
        </row>
        <row r="75">
          <cell r="C75" t="str">
            <v>102-03</v>
          </cell>
          <cell r="D75">
            <v>2010000</v>
          </cell>
          <cell r="E75" t="str">
            <v>MAELZER</v>
          </cell>
        </row>
        <row r="76">
          <cell r="C76" t="str">
            <v>118-03</v>
          </cell>
          <cell r="D76">
            <v>1260000</v>
          </cell>
          <cell r="E76" t="str">
            <v>ACKERMAN</v>
          </cell>
        </row>
        <row r="77">
          <cell r="C77" t="str">
            <v>103-03</v>
          </cell>
          <cell r="D77">
            <v>1260000</v>
          </cell>
          <cell r="E77" t="str">
            <v>ACKERMAN</v>
          </cell>
        </row>
        <row r="78">
          <cell r="C78" t="str">
            <v>804-03</v>
          </cell>
          <cell r="D78">
            <v>2100000</v>
          </cell>
          <cell r="E78" t="str">
            <v>ISHMAEL</v>
          </cell>
        </row>
        <row r="79">
          <cell r="C79" t="str">
            <v>237-02</v>
          </cell>
          <cell r="D79">
            <v>2140000</v>
          </cell>
          <cell r="E79" t="str">
            <v>ROBINSON</v>
          </cell>
        </row>
        <row r="80">
          <cell r="C80" t="str">
            <v>807-03</v>
          </cell>
          <cell r="D80">
            <v>2100000</v>
          </cell>
          <cell r="E80" t="str">
            <v>ISHMAEL</v>
          </cell>
        </row>
        <row r="81">
          <cell r="C81" t="str">
            <v>231-02</v>
          </cell>
          <cell r="D81">
            <v>1290000</v>
          </cell>
          <cell r="E81" t="str">
            <v>COOLAHAN</v>
          </cell>
        </row>
        <row r="82">
          <cell r="C82" t="str">
            <v>133-03</v>
          </cell>
          <cell r="D82">
            <v>1760000</v>
          </cell>
          <cell r="E82" t="str">
            <v>STRICKLAND</v>
          </cell>
        </row>
        <row r="83">
          <cell r="C83" t="str">
            <v>222-02</v>
          </cell>
          <cell r="D83">
            <v>2140000</v>
          </cell>
          <cell r="E83" t="str">
            <v>ROBINSON</v>
          </cell>
        </row>
        <row r="84">
          <cell r="C84" t="str">
            <v>134-03</v>
          </cell>
          <cell r="D84">
            <v>1760000</v>
          </cell>
          <cell r="E84" t="str">
            <v>STRICKLAND</v>
          </cell>
        </row>
        <row r="85">
          <cell r="C85" t="str">
            <v>129-04</v>
          </cell>
          <cell r="D85">
            <v>930000</v>
          </cell>
          <cell r="E85" t="str">
            <v>CLARK</v>
          </cell>
        </row>
        <row r="86">
          <cell r="C86" t="str">
            <v>138-03</v>
          </cell>
          <cell r="D86">
            <v>1540000</v>
          </cell>
          <cell r="E86" t="str">
            <v>HELVIE</v>
          </cell>
        </row>
        <row r="87">
          <cell r="C87" t="str">
            <v>804-04</v>
          </cell>
          <cell r="D87">
            <v>2100000</v>
          </cell>
          <cell r="E87" t="str">
            <v>ISHMAEL</v>
          </cell>
        </row>
        <row r="88">
          <cell r="C88" t="str">
            <v>145-03</v>
          </cell>
          <cell r="D88">
            <v>1260000</v>
          </cell>
          <cell r="E88" t="str">
            <v>ACKERMAN</v>
          </cell>
        </row>
        <row r="89">
          <cell r="C89" t="str">
            <v>800-04</v>
          </cell>
          <cell r="D89">
            <v>1830000</v>
          </cell>
          <cell r="E89" t="str">
            <v>YORK</v>
          </cell>
        </row>
        <row r="90">
          <cell r="C90" t="str">
            <v>140-03</v>
          </cell>
          <cell r="D90">
            <v>900000</v>
          </cell>
          <cell r="E90" t="str">
            <v>ROCHA</v>
          </cell>
        </row>
        <row r="91">
          <cell r="C91" t="str">
            <v>104-04</v>
          </cell>
          <cell r="D91">
            <v>1090000</v>
          </cell>
          <cell r="E91" t="str">
            <v>SPECTOR</v>
          </cell>
        </row>
        <row r="92">
          <cell r="C92" t="str">
            <v>195-03</v>
          </cell>
          <cell r="D92">
            <v>1740000</v>
          </cell>
          <cell r="E92" t="str">
            <v>STORY</v>
          </cell>
        </row>
        <row r="93">
          <cell r="C93" t="str">
            <v>239-03</v>
          </cell>
          <cell r="D93">
            <v>2090000</v>
          </cell>
          <cell r="E93" t="str">
            <v>HAITHCOX</v>
          </cell>
        </row>
        <row r="94">
          <cell r="C94" t="str">
            <v>190-03</v>
          </cell>
          <cell r="D94">
            <v>1280000</v>
          </cell>
          <cell r="E94" t="str">
            <v>BARTLETT</v>
          </cell>
        </row>
        <row r="95">
          <cell r="C95" t="str">
            <v>234-03</v>
          </cell>
          <cell r="D95">
            <v>1300000</v>
          </cell>
          <cell r="E95" t="str">
            <v>LEVIN</v>
          </cell>
        </row>
        <row r="96">
          <cell r="C96" t="str">
            <v>826-03</v>
          </cell>
          <cell r="D96">
            <v>2040000</v>
          </cell>
          <cell r="E96" t="str">
            <v>MOSES</v>
          </cell>
        </row>
        <row r="97">
          <cell r="C97" t="str">
            <v>226-03</v>
          </cell>
          <cell r="D97">
            <v>1300000</v>
          </cell>
          <cell r="E97" t="str">
            <v>LEVIN</v>
          </cell>
        </row>
        <row r="98">
          <cell r="C98" t="str">
            <v>828-03</v>
          </cell>
          <cell r="D98">
            <v>2140000</v>
          </cell>
          <cell r="E98" t="str">
            <v>ROBINSON</v>
          </cell>
        </row>
        <row r="99">
          <cell r="C99" t="str">
            <v>227-03</v>
          </cell>
          <cell r="D99">
            <v>1290000</v>
          </cell>
          <cell r="E99" t="str">
            <v>COOLAHAN</v>
          </cell>
        </row>
        <row r="100">
          <cell r="C100" t="str">
            <v>201-03</v>
          </cell>
          <cell r="D100">
            <v>2110000</v>
          </cell>
          <cell r="E100" t="str">
            <v>OUN</v>
          </cell>
        </row>
        <row r="101">
          <cell r="C101" t="str">
            <v>222-03</v>
          </cell>
          <cell r="D101">
            <v>1480000</v>
          </cell>
          <cell r="E101" t="str">
            <v>STURGEON</v>
          </cell>
        </row>
        <row r="102">
          <cell r="C102" t="str">
            <v>196-03</v>
          </cell>
          <cell r="D102">
            <v>1740000</v>
          </cell>
          <cell r="E102" t="str">
            <v>STORY</v>
          </cell>
        </row>
        <row r="103">
          <cell r="C103" t="str">
            <v>840-03</v>
          </cell>
          <cell r="D103">
            <v>2040000</v>
          </cell>
          <cell r="E103" t="str">
            <v>MOSES</v>
          </cell>
        </row>
        <row r="104">
          <cell r="C104" t="str">
            <v>202-03</v>
          </cell>
          <cell r="D104">
            <v>2110000</v>
          </cell>
          <cell r="E104" t="str">
            <v>OUN</v>
          </cell>
        </row>
        <row r="105">
          <cell r="C105" t="str">
            <v>841-03</v>
          </cell>
          <cell r="D105">
            <v>2040000</v>
          </cell>
          <cell r="E105" t="str">
            <v>MOSES</v>
          </cell>
        </row>
        <row r="106">
          <cell r="C106" t="str">
            <v>209-03</v>
          </cell>
          <cell r="D106">
            <v>1480000</v>
          </cell>
          <cell r="E106" t="str">
            <v>STURGEON</v>
          </cell>
        </row>
        <row r="107">
          <cell r="C107" t="str">
            <v>221-03</v>
          </cell>
          <cell r="D107">
            <v>1480000</v>
          </cell>
          <cell r="E107" t="str">
            <v>STURGEON</v>
          </cell>
        </row>
        <row r="108">
          <cell r="C108" t="str">
            <v>834-03</v>
          </cell>
          <cell r="D108">
            <v>2040000</v>
          </cell>
          <cell r="E108" t="str">
            <v>MOSES</v>
          </cell>
        </row>
        <row r="109">
          <cell r="C109" t="str">
            <v>219-03</v>
          </cell>
          <cell r="D109">
            <v>1290000</v>
          </cell>
          <cell r="E109" t="str">
            <v>COOLAHAN</v>
          </cell>
        </row>
        <row r="110">
          <cell r="C110" t="str">
            <v>835-03</v>
          </cell>
          <cell r="D110">
            <v>2140000</v>
          </cell>
          <cell r="E110" t="str">
            <v>ROBINSON</v>
          </cell>
        </row>
        <row r="111">
          <cell r="C111" t="str">
            <v>208-03</v>
          </cell>
          <cell r="D111">
            <v>2030000</v>
          </cell>
          <cell r="E111" t="str">
            <v>KILLION</v>
          </cell>
        </row>
        <row r="112">
          <cell r="C112" t="str">
            <v>214-03</v>
          </cell>
          <cell r="D112">
            <v>2090000</v>
          </cell>
          <cell r="E112" t="str">
            <v>HAITHCOX</v>
          </cell>
        </row>
        <row r="113">
          <cell r="C113" t="str">
            <v>198-03</v>
          </cell>
          <cell r="D113">
            <v>1770000</v>
          </cell>
          <cell r="E113" t="str">
            <v>BRUDER</v>
          </cell>
        </row>
        <row r="114">
          <cell r="C114" t="str">
            <v>220-03</v>
          </cell>
          <cell r="D114">
            <v>1290000</v>
          </cell>
          <cell r="E114" t="str">
            <v>COOLAHAN</v>
          </cell>
        </row>
        <row r="115">
          <cell r="C115" t="str">
            <v>192-03</v>
          </cell>
          <cell r="D115">
            <v>2030000</v>
          </cell>
          <cell r="E115" t="str">
            <v>KILLION</v>
          </cell>
        </row>
        <row r="116">
          <cell r="C116" t="str">
            <v>144-03</v>
          </cell>
          <cell r="D116">
            <v>1190000</v>
          </cell>
          <cell r="E116" t="str">
            <v>BRANNON</v>
          </cell>
        </row>
        <row r="117">
          <cell r="C117" t="str">
            <v>188-03</v>
          </cell>
          <cell r="D117">
            <v>2110000</v>
          </cell>
          <cell r="E117" t="str">
            <v>OUN</v>
          </cell>
        </row>
        <row r="118">
          <cell r="C118" t="str">
            <v>150-03</v>
          </cell>
          <cell r="D118">
            <v>1090000</v>
          </cell>
          <cell r="E118" t="str">
            <v>SPECTOR</v>
          </cell>
        </row>
        <row r="119">
          <cell r="C119" t="str">
            <v>824-03</v>
          </cell>
          <cell r="D119">
            <v>2040000</v>
          </cell>
          <cell r="E119" t="str">
            <v>MOSES</v>
          </cell>
        </row>
        <row r="120">
          <cell r="C120" t="str">
            <v>154-03</v>
          </cell>
          <cell r="D120">
            <v>900000</v>
          </cell>
          <cell r="E120" t="str">
            <v>ROCHA</v>
          </cell>
        </row>
        <row r="121">
          <cell r="C121" t="str">
            <v>172-03</v>
          </cell>
          <cell r="D121">
            <v>2150000</v>
          </cell>
          <cell r="E121" t="str">
            <v>SWANSON</v>
          </cell>
        </row>
        <row r="122">
          <cell r="C122" t="str">
            <v>165-03</v>
          </cell>
          <cell r="D122">
            <v>1750000</v>
          </cell>
          <cell r="E122" t="str">
            <v>REBOLETTI</v>
          </cell>
        </row>
        <row r="123">
          <cell r="C123" t="str">
            <v>173-03</v>
          </cell>
          <cell r="D123">
            <v>2110000</v>
          </cell>
          <cell r="E123" t="str">
            <v>OUN</v>
          </cell>
        </row>
        <row r="124">
          <cell r="C124" t="str">
            <v>174-03</v>
          </cell>
          <cell r="D124">
            <v>2110000</v>
          </cell>
          <cell r="E124" t="str">
            <v>OUN</v>
          </cell>
        </row>
        <row r="125">
          <cell r="C125" t="str">
            <v>167-03</v>
          </cell>
          <cell r="D125">
            <v>1740000</v>
          </cell>
          <cell r="E125" t="str">
            <v>STORY</v>
          </cell>
        </row>
        <row r="126">
          <cell r="C126" t="str">
            <v>822-03</v>
          </cell>
          <cell r="D126">
            <v>2040000</v>
          </cell>
          <cell r="E126" t="str">
            <v>MOSES</v>
          </cell>
        </row>
        <row r="127">
          <cell r="C127" t="str">
            <v>818-03</v>
          </cell>
          <cell r="D127">
            <v>2100000</v>
          </cell>
          <cell r="E127" t="str">
            <v>ISHMAEL</v>
          </cell>
        </row>
        <row r="128">
          <cell r="C128" t="str">
            <v>181-03</v>
          </cell>
          <cell r="D128">
            <v>1740000</v>
          </cell>
          <cell r="E128" t="str">
            <v>STORY</v>
          </cell>
        </row>
        <row r="129">
          <cell r="C129" t="str">
            <v>156-03</v>
          </cell>
          <cell r="D129">
            <v>1110000</v>
          </cell>
          <cell r="E129" t="str">
            <v>STARKS</v>
          </cell>
        </row>
        <row r="130">
          <cell r="C130" t="str">
            <v>182-03</v>
          </cell>
          <cell r="D130">
            <v>1740000</v>
          </cell>
          <cell r="E130" t="str">
            <v>STORY</v>
          </cell>
        </row>
        <row r="131">
          <cell r="C131" t="str">
            <v>155-03</v>
          </cell>
          <cell r="D131">
            <v>1110000</v>
          </cell>
          <cell r="E131" t="str">
            <v>STARKS</v>
          </cell>
        </row>
        <row r="132">
          <cell r="C132" t="str">
            <v>184-03</v>
          </cell>
          <cell r="D132">
            <v>1770000</v>
          </cell>
          <cell r="E132" t="str">
            <v>BRUDER</v>
          </cell>
        </row>
        <row r="133">
          <cell r="C133" t="str">
            <v>148-03</v>
          </cell>
          <cell r="D133">
            <v>1760000</v>
          </cell>
          <cell r="E133" t="str">
            <v>STRICKLAND</v>
          </cell>
        </row>
        <row r="134">
          <cell r="C134" t="str">
            <v>307-03</v>
          </cell>
          <cell r="D134">
            <v>2150000</v>
          </cell>
          <cell r="E134" t="str">
            <v>SWANSON</v>
          </cell>
        </row>
        <row r="135">
          <cell r="C135" t="str">
            <v>149-03</v>
          </cell>
          <cell r="D135">
            <v>1090000</v>
          </cell>
          <cell r="E135" t="str">
            <v>SPECTOR</v>
          </cell>
        </row>
        <row r="136">
          <cell r="C136" t="str">
            <v>233-03</v>
          </cell>
          <cell r="D136">
            <v>1300000</v>
          </cell>
          <cell r="E136" t="str">
            <v>LEVIN</v>
          </cell>
        </row>
        <row r="137">
          <cell r="C137" t="str">
            <v>143-03</v>
          </cell>
          <cell r="D137">
            <v>1190000</v>
          </cell>
          <cell r="E137" t="str">
            <v>BRANNON</v>
          </cell>
        </row>
        <row r="138">
          <cell r="C138" t="str">
            <v>236-03</v>
          </cell>
          <cell r="D138">
            <v>1290000</v>
          </cell>
          <cell r="E138" t="str">
            <v>COOLAHAN</v>
          </cell>
        </row>
        <row r="139">
          <cell r="C139" t="str">
            <v>904-03</v>
          </cell>
          <cell r="D139">
            <v>2140000</v>
          </cell>
          <cell r="E139" t="str">
            <v>ROBINSON</v>
          </cell>
        </row>
        <row r="140">
          <cell r="C140" t="str">
            <v>240-03</v>
          </cell>
          <cell r="D140">
            <v>2090000</v>
          </cell>
          <cell r="E140" t="str">
            <v>HAITHCOX</v>
          </cell>
        </row>
        <row r="141">
          <cell r="C141" t="str">
            <v>825-03</v>
          </cell>
          <cell r="D141">
            <v>2040000</v>
          </cell>
          <cell r="E141" t="str">
            <v>MOSES</v>
          </cell>
        </row>
        <row r="142">
          <cell r="C142" t="str">
            <v>311-03</v>
          </cell>
          <cell r="D142">
            <v>2090000</v>
          </cell>
          <cell r="E142" t="str">
            <v>HAITHCOX</v>
          </cell>
        </row>
        <row r="143">
          <cell r="C143" t="str">
            <v>186-03</v>
          </cell>
          <cell r="D143">
            <v>2150000</v>
          </cell>
          <cell r="E143" t="str">
            <v>SWANSON</v>
          </cell>
        </row>
        <row r="144">
          <cell r="C144" t="str">
            <v>313-03</v>
          </cell>
          <cell r="D144">
            <v>1300000</v>
          </cell>
          <cell r="E144" t="str">
            <v>LEVIN</v>
          </cell>
        </row>
        <row r="145">
          <cell r="C145" t="str">
            <v>191-03</v>
          </cell>
          <cell r="D145">
            <v>2030000</v>
          </cell>
          <cell r="E145" t="str">
            <v>KILLION</v>
          </cell>
        </row>
        <row r="146">
          <cell r="C146" t="str">
            <v>115-04</v>
          </cell>
          <cell r="D146">
            <v>1190000</v>
          </cell>
          <cell r="E146" t="str">
            <v>BRANNON</v>
          </cell>
        </row>
        <row r="147">
          <cell r="C147" t="str">
            <v>823-03</v>
          </cell>
          <cell r="D147">
            <v>2040000</v>
          </cell>
          <cell r="E147" t="str">
            <v>MOSES</v>
          </cell>
        </row>
        <row r="148">
          <cell r="C148" t="str">
            <v>119-04</v>
          </cell>
          <cell r="D148">
            <v>1310000</v>
          </cell>
          <cell r="E148" t="str">
            <v>MALAVE</v>
          </cell>
        </row>
        <row r="149">
          <cell r="C149" t="str">
            <v>139-03</v>
          </cell>
          <cell r="D149">
            <v>900000</v>
          </cell>
          <cell r="E149" t="str">
            <v>ROCHA</v>
          </cell>
        </row>
        <row r="150">
          <cell r="C150" t="str">
            <v>802-04</v>
          </cell>
          <cell r="D150">
            <v>1830000</v>
          </cell>
          <cell r="E150" t="str">
            <v>YORK</v>
          </cell>
        </row>
        <row r="151">
          <cell r="C151" t="str">
            <v>137-03</v>
          </cell>
          <cell r="D151">
            <v>1540000</v>
          </cell>
          <cell r="E151" t="str">
            <v>HELVIE</v>
          </cell>
        </row>
        <row r="152">
          <cell r="C152" t="str">
            <v>122-04</v>
          </cell>
          <cell r="D152">
            <v>1760000</v>
          </cell>
          <cell r="E152" t="str">
            <v>STRICKLAND</v>
          </cell>
        </row>
        <row r="153">
          <cell r="C153" t="str">
            <v>132-03</v>
          </cell>
          <cell r="D153">
            <v>1260000</v>
          </cell>
          <cell r="E153" t="str">
            <v>ACKERMAN</v>
          </cell>
        </row>
        <row r="154">
          <cell r="C154" t="str">
            <v>307-02</v>
          </cell>
          <cell r="D154">
            <v>2150000</v>
          </cell>
          <cell r="E154" t="str">
            <v>SWANSON</v>
          </cell>
        </row>
        <row r="155">
          <cell r="C155" t="str">
            <v>128-03</v>
          </cell>
          <cell r="D155">
            <v>2010000</v>
          </cell>
          <cell r="E155" t="str">
            <v>MAELZER</v>
          </cell>
        </row>
        <row r="156">
          <cell r="C156" t="str">
            <v>845-02</v>
          </cell>
          <cell r="D156">
            <v>1480000</v>
          </cell>
          <cell r="E156" t="str">
            <v>STURGEON</v>
          </cell>
        </row>
        <row r="157">
          <cell r="C157" t="str">
            <v>131-03</v>
          </cell>
          <cell r="D157">
            <v>1260000</v>
          </cell>
          <cell r="E157" t="str">
            <v>ACKERMAN</v>
          </cell>
        </row>
        <row r="158">
          <cell r="C158" t="str">
            <v>233-02</v>
          </cell>
          <cell r="D158">
            <v>1230000</v>
          </cell>
          <cell r="E158" t="str">
            <v>YANAI</v>
          </cell>
        </row>
        <row r="159">
          <cell r="C159" t="str">
            <v>119-03</v>
          </cell>
          <cell r="D159">
            <v>1760000</v>
          </cell>
          <cell r="E159" t="str">
            <v>STRICKLAND</v>
          </cell>
        </row>
        <row r="160">
          <cell r="C160" t="str">
            <v>234-02</v>
          </cell>
          <cell r="D160">
            <v>1230000</v>
          </cell>
          <cell r="E160" t="str">
            <v>YANAI</v>
          </cell>
        </row>
        <row r="161">
          <cell r="C161" t="str">
            <v>112-03</v>
          </cell>
          <cell r="D161">
            <v>900000</v>
          </cell>
          <cell r="E161" t="str">
            <v>ROCHA</v>
          </cell>
        </row>
        <row r="162">
          <cell r="C162" t="str">
            <v>239-02</v>
          </cell>
          <cell r="D162">
            <v>1290000</v>
          </cell>
          <cell r="E162" t="str">
            <v>COOLAHAN</v>
          </cell>
        </row>
        <row r="163">
          <cell r="C163" t="str">
            <v>106-03</v>
          </cell>
          <cell r="D163">
            <v>1760000</v>
          </cell>
          <cell r="E163" t="str">
            <v>STRICKLAND</v>
          </cell>
        </row>
        <row r="164">
          <cell r="C164" t="str">
            <v>238-02</v>
          </cell>
          <cell r="D164">
            <v>2140000</v>
          </cell>
          <cell r="E164" t="str">
            <v>ROBINSON</v>
          </cell>
        </row>
        <row r="165">
          <cell r="C165" t="str">
            <v>107-03</v>
          </cell>
          <cell r="D165">
            <v>1090000</v>
          </cell>
          <cell r="E165" t="str">
            <v>SPECTOR</v>
          </cell>
        </row>
        <row r="166">
          <cell r="C166" t="str">
            <v>238-02</v>
          </cell>
          <cell r="D166">
            <v>2140000</v>
          </cell>
          <cell r="E166" t="str">
            <v>ROBINSON</v>
          </cell>
        </row>
        <row r="167">
          <cell r="C167" t="str">
            <v>313-02</v>
          </cell>
          <cell r="D167">
            <v>1230000</v>
          </cell>
          <cell r="E167" t="str">
            <v>YANAI</v>
          </cell>
        </row>
        <row r="168">
          <cell r="C168" t="str">
            <v>243-02</v>
          </cell>
          <cell r="D168">
            <v>1800000</v>
          </cell>
          <cell r="E168" t="str">
            <v>CHANDLER</v>
          </cell>
        </row>
        <row r="169">
          <cell r="C169" t="str">
            <v>311-02</v>
          </cell>
          <cell r="D169">
            <v>1290000</v>
          </cell>
          <cell r="E169" t="str">
            <v>COOLAHAN</v>
          </cell>
        </row>
        <row r="170">
          <cell r="C170" t="str">
            <v>310-03</v>
          </cell>
          <cell r="D170">
            <v>1540000</v>
          </cell>
          <cell r="E170" t="str">
            <v>HELVIE</v>
          </cell>
        </row>
        <row r="171">
          <cell r="C171" t="str">
            <v>309-02</v>
          </cell>
          <cell r="D171">
            <v>2140000</v>
          </cell>
          <cell r="E171" t="str">
            <v>ROBINSON</v>
          </cell>
        </row>
        <row r="172">
          <cell r="C172" t="str">
            <v>800-03</v>
          </cell>
          <cell r="D172">
            <v>1110000</v>
          </cell>
          <cell r="E172" t="str">
            <v>STARKS</v>
          </cell>
        </row>
        <row r="173">
          <cell r="C173" t="str">
            <v>242-02</v>
          </cell>
          <cell r="D173">
            <v>1230000</v>
          </cell>
          <cell r="E173" t="str">
            <v>YANAI</v>
          </cell>
        </row>
        <row r="174">
          <cell r="C174" t="str">
            <v>114-03</v>
          </cell>
          <cell r="D174">
            <v>2010000</v>
          </cell>
          <cell r="E174" t="str">
            <v>MAELZER</v>
          </cell>
        </row>
        <row r="175">
          <cell r="C175" t="str">
            <v>232-02</v>
          </cell>
          <cell r="D175">
            <v>1290000</v>
          </cell>
          <cell r="E175" t="str">
            <v>COOLAHAN</v>
          </cell>
        </row>
        <row r="176">
          <cell r="C176" t="str">
            <v>121-03</v>
          </cell>
          <cell r="D176">
            <v>1090000</v>
          </cell>
          <cell r="E176" t="str">
            <v>SPECTOR</v>
          </cell>
        </row>
        <row r="177">
          <cell r="C177" t="str">
            <v>230-02</v>
          </cell>
          <cell r="D177">
            <v>2140000</v>
          </cell>
          <cell r="E177" t="str">
            <v>ROBINSON</v>
          </cell>
        </row>
        <row r="178">
          <cell r="C178" t="str">
            <v>122-03</v>
          </cell>
          <cell r="D178">
            <v>1090000</v>
          </cell>
          <cell r="E178" t="str">
            <v>SPECTOR</v>
          </cell>
        </row>
        <row r="179">
          <cell r="C179" t="str">
            <v>229-02</v>
          </cell>
          <cell r="D179">
            <v>2140000</v>
          </cell>
          <cell r="E179" t="str">
            <v>ROBINSON</v>
          </cell>
        </row>
        <row r="180">
          <cell r="C180" t="str">
            <v>135-03</v>
          </cell>
          <cell r="D180">
            <v>1090000</v>
          </cell>
          <cell r="E180" t="str">
            <v>SPECTOR</v>
          </cell>
        </row>
        <row r="181">
          <cell r="C181" t="str">
            <v>224-02</v>
          </cell>
          <cell r="D181">
            <v>1290000</v>
          </cell>
          <cell r="E181" t="str">
            <v>COOLAHAN</v>
          </cell>
        </row>
        <row r="182">
          <cell r="C182" t="str">
            <v>137-03</v>
          </cell>
          <cell r="D182">
            <v>1540000</v>
          </cell>
          <cell r="E182" t="str">
            <v>HELVIE</v>
          </cell>
        </row>
        <row r="183">
          <cell r="C183" t="str">
            <v>843-02</v>
          </cell>
          <cell r="D183">
            <v>1770000</v>
          </cell>
          <cell r="E183" t="str">
            <v>BRUDER</v>
          </cell>
        </row>
        <row r="184">
          <cell r="C184" t="str">
            <v>812-03</v>
          </cell>
          <cell r="D184">
            <v>2100000</v>
          </cell>
          <cell r="E184" t="str">
            <v>ISHMAEL</v>
          </cell>
        </row>
        <row r="185">
          <cell r="C185" t="str">
            <v>225-02</v>
          </cell>
          <cell r="D185">
            <v>2090000</v>
          </cell>
          <cell r="E185" t="str">
            <v>HAITHCOX</v>
          </cell>
        </row>
        <row r="186">
          <cell r="C186" t="str">
            <v>144-03</v>
          </cell>
          <cell r="D186">
            <v>1190000</v>
          </cell>
          <cell r="E186" t="str">
            <v>BRANNON</v>
          </cell>
        </row>
        <row r="187">
          <cell r="C187" t="str">
            <v>220-02</v>
          </cell>
          <cell r="D187">
            <v>1800000</v>
          </cell>
          <cell r="E187" t="str">
            <v>CHANDLER</v>
          </cell>
        </row>
        <row r="188">
          <cell r="C188" t="str">
            <v>151-03</v>
          </cell>
          <cell r="D188">
            <v>1540000</v>
          </cell>
          <cell r="E188" t="str">
            <v>HELVIE</v>
          </cell>
        </row>
        <row r="189">
          <cell r="C189" t="str">
            <v>806-04</v>
          </cell>
          <cell r="D189">
            <v>1830000</v>
          </cell>
          <cell r="E189" t="str">
            <v>YORK</v>
          </cell>
        </row>
        <row r="190">
          <cell r="C190" t="str">
            <v>816-03</v>
          </cell>
          <cell r="D190">
            <v>2100000</v>
          </cell>
          <cell r="E190" t="str">
            <v>ISHMAEL</v>
          </cell>
        </row>
        <row r="191">
          <cell r="C191" t="str">
            <v>113-04</v>
          </cell>
          <cell r="D191">
            <v>2010000</v>
          </cell>
          <cell r="E191" t="str">
            <v>MAELZER</v>
          </cell>
        </row>
        <row r="192">
          <cell r="C192" t="str">
            <v>161-03</v>
          </cell>
          <cell r="D192">
            <v>1280000</v>
          </cell>
          <cell r="E192" t="str">
            <v>BARTLETT</v>
          </cell>
        </row>
        <row r="193">
          <cell r="C193" t="str">
            <v>106-04</v>
          </cell>
          <cell r="D193">
            <v>1310000</v>
          </cell>
          <cell r="E193" t="str">
            <v>MALAVE</v>
          </cell>
        </row>
        <row r="194">
          <cell r="C194" t="str">
            <v>158-03</v>
          </cell>
          <cell r="D194">
            <v>1190000</v>
          </cell>
          <cell r="E194" t="str">
            <v>BRANNON</v>
          </cell>
        </row>
        <row r="195">
          <cell r="C195" t="str">
            <v>106-04</v>
          </cell>
          <cell r="D195">
            <v>1310000</v>
          </cell>
          <cell r="E195" t="str">
            <v>MALAVE</v>
          </cell>
        </row>
        <row r="196">
          <cell r="C196" t="str">
            <v>162-03</v>
          </cell>
          <cell r="D196">
            <v>1280000</v>
          </cell>
          <cell r="E196" t="str">
            <v>BARTLETT</v>
          </cell>
        </row>
        <row r="197">
          <cell r="C197" t="str">
            <v>101-04</v>
          </cell>
          <cell r="D197">
            <v>2010000</v>
          </cell>
          <cell r="E197" t="str">
            <v>MAELZER</v>
          </cell>
        </row>
        <row r="198">
          <cell r="C198" t="str">
            <v>169-03</v>
          </cell>
          <cell r="D198">
            <v>1770000</v>
          </cell>
          <cell r="E198" t="str">
            <v>BRUDER</v>
          </cell>
        </row>
        <row r="199">
          <cell r="C199" t="str">
            <v>315-03</v>
          </cell>
          <cell r="D199">
            <v>1290000</v>
          </cell>
          <cell r="E199" t="str">
            <v>COOLAHAN</v>
          </cell>
        </row>
        <row r="200">
          <cell r="C200" t="str">
            <v>164-03</v>
          </cell>
          <cell r="D200">
            <v>2030000</v>
          </cell>
          <cell r="E200" t="str">
            <v>KILLION</v>
          </cell>
        </row>
        <row r="201">
          <cell r="C201" t="str">
            <v>311-03</v>
          </cell>
          <cell r="D201">
            <v>2090000</v>
          </cell>
          <cell r="E201" t="str">
            <v>HAITHCOX</v>
          </cell>
        </row>
        <row r="202">
          <cell r="C202" t="str">
            <v>205-03</v>
          </cell>
          <cell r="D202">
            <v>860000</v>
          </cell>
          <cell r="E202" t="str">
            <v>ARNOLD</v>
          </cell>
        </row>
        <row r="203">
          <cell r="C203" t="str">
            <v>243-03</v>
          </cell>
          <cell r="D203">
            <v>1290000</v>
          </cell>
          <cell r="E203" t="str">
            <v>COOLAHAN</v>
          </cell>
        </row>
        <row r="204">
          <cell r="C204" t="str">
            <v>166-03</v>
          </cell>
          <cell r="D204">
            <v>1750000</v>
          </cell>
          <cell r="E204" t="str">
            <v>REBOLETTI</v>
          </cell>
        </row>
        <row r="205">
          <cell r="C205" t="str">
            <v>235-03</v>
          </cell>
          <cell r="D205">
            <v>1290000</v>
          </cell>
          <cell r="E205" t="str">
            <v>COOLAHAN</v>
          </cell>
        </row>
        <row r="206">
          <cell r="C206" t="str">
            <v>168-03</v>
          </cell>
          <cell r="D206">
            <v>1740000</v>
          </cell>
          <cell r="E206" t="str">
            <v>STORY</v>
          </cell>
        </row>
        <row r="207">
          <cell r="C207" t="str">
            <v>230-03</v>
          </cell>
          <cell r="D207">
            <v>1480000</v>
          </cell>
          <cell r="E207" t="str">
            <v>STURGEON</v>
          </cell>
        </row>
        <row r="208">
          <cell r="C208" t="str">
            <v>170-03</v>
          </cell>
          <cell r="D208">
            <v>1770000</v>
          </cell>
          <cell r="E208" t="str">
            <v>BRUDER</v>
          </cell>
        </row>
        <row r="209">
          <cell r="C209" t="str">
            <v>228-03</v>
          </cell>
          <cell r="D209">
            <v>1290000</v>
          </cell>
          <cell r="E209" t="str">
            <v>COOLAHAN</v>
          </cell>
        </row>
        <row r="210">
          <cell r="C210" t="str">
            <v>177-03</v>
          </cell>
          <cell r="D210">
            <v>2030000</v>
          </cell>
          <cell r="E210" t="str">
            <v>KILLION</v>
          </cell>
        </row>
        <row r="211">
          <cell r="C211" t="str">
            <v>229-03</v>
          </cell>
          <cell r="D211">
            <v>1480000</v>
          </cell>
          <cell r="E211" t="str">
            <v>STURGEON</v>
          </cell>
        </row>
        <row r="212">
          <cell r="C212" t="str">
            <v>177-03</v>
          </cell>
          <cell r="D212">
            <v>2030000</v>
          </cell>
          <cell r="E212" t="str">
            <v>KILLION</v>
          </cell>
        </row>
        <row r="213">
          <cell r="C213" t="str">
            <v>224-03</v>
          </cell>
          <cell r="D213">
            <v>2090000</v>
          </cell>
          <cell r="E213" t="str">
            <v>HAITHCOX</v>
          </cell>
        </row>
        <row r="214">
          <cell r="C214" t="str">
            <v>179-03</v>
          </cell>
          <cell r="D214">
            <v>1750000</v>
          </cell>
          <cell r="E214" t="str">
            <v>REBOLETTI</v>
          </cell>
        </row>
        <row r="215">
          <cell r="C215" t="str">
            <v>836-03</v>
          </cell>
          <cell r="D215">
            <v>2140000</v>
          </cell>
          <cell r="E215" t="str">
            <v>ROBINSON</v>
          </cell>
        </row>
        <row r="216">
          <cell r="C216" t="str">
            <v>183-03</v>
          </cell>
          <cell r="D216">
            <v>1770000</v>
          </cell>
          <cell r="E216" t="str">
            <v>BRUDER</v>
          </cell>
        </row>
        <row r="217">
          <cell r="C217" t="str">
            <v>212-03</v>
          </cell>
          <cell r="D217">
            <v>1740000</v>
          </cell>
          <cell r="E217" t="str">
            <v>STORY</v>
          </cell>
        </row>
        <row r="218">
          <cell r="C218" t="str">
            <v>185-03</v>
          </cell>
          <cell r="D218">
            <v>2150000</v>
          </cell>
          <cell r="E218" t="str">
            <v>SWANSON</v>
          </cell>
        </row>
        <row r="219">
          <cell r="C219" t="str">
            <v>217-03</v>
          </cell>
          <cell r="D219">
            <v>1300000</v>
          </cell>
          <cell r="E219" t="str">
            <v>LEVIN</v>
          </cell>
        </row>
        <row r="220">
          <cell r="C220" t="str">
            <v>180-03</v>
          </cell>
          <cell r="D220">
            <v>1750000</v>
          </cell>
          <cell r="E220" t="str">
            <v>REBOLETTI</v>
          </cell>
        </row>
        <row r="221">
          <cell r="C221" t="str">
            <v>215-03</v>
          </cell>
          <cell r="D221">
            <v>2150000</v>
          </cell>
          <cell r="E221" t="str">
            <v>SWANSON</v>
          </cell>
        </row>
        <row r="222">
          <cell r="C222" t="str">
            <v>191-03</v>
          </cell>
          <cell r="D222">
            <v>2030000</v>
          </cell>
          <cell r="E222" t="str">
            <v>KILLION</v>
          </cell>
        </row>
        <row r="223">
          <cell r="C223" t="str">
            <v>206-03</v>
          </cell>
          <cell r="D223">
            <v>860000</v>
          </cell>
          <cell r="E223" t="str">
            <v>ARNOLD</v>
          </cell>
        </row>
        <row r="224">
          <cell r="C224" t="str">
            <v>827-03</v>
          </cell>
          <cell r="D224">
            <v>2140000</v>
          </cell>
          <cell r="E224" t="str">
            <v>ROBINSON</v>
          </cell>
        </row>
        <row r="225">
          <cell r="C225" t="str">
            <v>211-03</v>
          </cell>
          <cell r="D225">
            <v>1740000</v>
          </cell>
          <cell r="E225" t="str">
            <v>STORY</v>
          </cell>
        </row>
        <row r="226">
          <cell r="C226" t="str">
            <v>199-03</v>
          </cell>
          <cell r="D226">
            <v>2150000</v>
          </cell>
          <cell r="E226" t="str">
            <v>SWANSON</v>
          </cell>
        </row>
        <row r="227">
          <cell r="C227" t="str">
            <v>204-03</v>
          </cell>
          <cell r="D227">
            <v>1280000</v>
          </cell>
          <cell r="E227" t="str">
            <v>BARTLETT</v>
          </cell>
        </row>
        <row r="228">
          <cell r="C228" t="str">
            <v>830-03</v>
          </cell>
          <cell r="D228">
            <v>2040000</v>
          </cell>
          <cell r="E228" t="str">
            <v>MOSES</v>
          </cell>
        </row>
        <row r="229">
          <cell r="C229" t="str">
            <v>198-03</v>
          </cell>
          <cell r="D229">
            <v>1770000</v>
          </cell>
          <cell r="E229" t="str">
            <v>BRUDER</v>
          </cell>
        </row>
        <row r="230">
          <cell r="C230" t="str">
            <v>207-03</v>
          </cell>
          <cell r="D230">
            <v>2030000</v>
          </cell>
          <cell r="E230" t="str">
            <v>KILLION</v>
          </cell>
        </row>
        <row r="231">
          <cell r="C231" t="str">
            <v>829-03</v>
          </cell>
          <cell r="D231">
            <v>2040000</v>
          </cell>
          <cell r="E231" t="str">
            <v>MOSES</v>
          </cell>
        </row>
        <row r="232">
          <cell r="C232" t="str">
            <v>216-03</v>
          </cell>
          <cell r="D232">
            <v>2150000</v>
          </cell>
          <cell r="E232" t="str">
            <v>SWANSON</v>
          </cell>
        </row>
        <row r="233">
          <cell r="C233" t="str">
            <v>194-03</v>
          </cell>
          <cell r="D233">
            <v>1750000</v>
          </cell>
          <cell r="E233" t="str">
            <v>REBOLETTI</v>
          </cell>
        </row>
        <row r="234">
          <cell r="C234" t="str">
            <v>218-03</v>
          </cell>
          <cell r="D234">
            <v>1300000</v>
          </cell>
          <cell r="E234" t="str">
            <v>LEVIN</v>
          </cell>
        </row>
        <row r="235">
          <cell r="C235" t="str">
            <v>197-03</v>
          </cell>
          <cell r="D235">
            <v>1770000</v>
          </cell>
          <cell r="E235" t="str">
            <v>BRUDER</v>
          </cell>
        </row>
        <row r="236">
          <cell r="C236" t="str">
            <v>225-03</v>
          </cell>
          <cell r="D236">
            <v>1300000</v>
          </cell>
          <cell r="E236" t="str">
            <v>LEVIN</v>
          </cell>
        </row>
        <row r="237">
          <cell r="C237" t="str">
            <v>182-03</v>
          </cell>
          <cell r="D237">
            <v>1740000</v>
          </cell>
          <cell r="E237" t="str">
            <v>STORY</v>
          </cell>
        </row>
        <row r="238">
          <cell r="C238" t="str">
            <v>842-03</v>
          </cell>
          <cell r="D238">
            <v>2040000</v>
          </cell>
          <cell r="E238" t="str">
            <v>MOSES</v>
          </cell>
        </row>
        <row r="239">
          <cell r="C239" t="str">
            <v>904-03</v>
          </cell>
          <cell r="D239">
            <v>2140000</v>
          </cell>
          <cell r="E239" t="str">
            <v>ROBINSON</v>
          </cell>
        </row>
        <row r="240">
          <cell r="C240" t="str">
            <v>845-03</v>
          </cell>
          <cell r="D240">
            <v>2140000</v>
          </cell>
          <cell r="E240" t="str">
            <v>ROBINSON</v>
          </cell>
        </row>
        <row r="241">
          <cell r="C241" t="str">
            <v>187-03</v>
          </cell>
          <cell r="D241">
            <v>2110000</v>
          </cell>
          <cell r="E241" t="str">
            <v>OUN</v>
          </cell>
        </row>
        <row r="242">
          <cell r="C242" t="str">
            <v>844-03</v>
          </cell>
          <cell r="D242">
            <v>2140000</v>
          </cell>
          <cell r="E242" t="str">
            <v>ROBINSON</v>
          </cell>
        </row>
        <row r="243">
          <cell r="C243" t="str">
            <v>179-03</v>
          </cell>
          <cell r="D243">
            <v>1750000</v>
          </cell>
          <cell r="E243" t="str">
            <v>REBOLETTI</v>
          </cell>
        </row>
        <row r="244">
          <cell r="C244" t="str">
            <v>847-03</v>
          </cell>
          <cell r="D244">
            <v>2140000</v>
          </cell>
          <cell r="E244" t="str">
            <v>ROBINSON</v>
          </cell>
        </row>
        <row r="245">
          <cell r="C245" t="str">
            <v>175-03</v>
          </cell>
          <cell r="D245">
            <v>1280000</v>
          </cell>
          <cell r="E245" t="str">
            <v>BARTLETT</v>
          </cell>
        </row>
        <row r="246">
          <cell r="C246" t="str">
            <v>238-03</v>
          </cell>
          <cell r="D246">
            <v>1480000</v>
          </cell>
          <cell r="E246" t="str">
            <v>STURGEON</v>
          </cell>
        </row>
        <row r="247">
          <cell r="C247" t="str">
            <v>820-03</v>
          </cell>
          <cell r="D247">
            <v>2100000</v>
          </cell>
          <cell r="E247" t="str">
            <v>ISHMAEL</v>
          </cell>
        </row>
        <row r="248">
          <cell r="C248" t="str">
            <v>242-03</v>
          </cell>
          <cell r="D248">
            <v>1300000</v>
          </cell>
          <cell r="E248" t="str">
            <v>LEVIN</v>
          </cell>
        </row>
        <row r="249">
          <cell r="C249" t="str">
            <v>200-03</v>
          </cell>
          <cell r="D249">
            <v>2150000</v>
          </cell>
          <cell r="E249" t="str">
            <v>SWANSON</v>
          </cell>
        </row>
        <row r="250">
          <cell r="C250" t="str">
            <v>313-03</v>
          </cell>
          <cell r="D250">
            <v>1300000</v>
          </cell>
          <cell r="E250" t="str">
            <v>LEVIN</v>
          </cell>
        </row>
        <row r="251">
          <cell r="C251" t="str">
            <v>163-03</v>
          </cell>
          <cell r="D251">
            <v>2030000</v>
          </cell>
          <cell r="E251" t="str">
            <v>KILLION</v>
          </cell>
        </row>
        <row r="252">
          <cell r="C252" t="str">
            <v>302-04</v>
          </cell>
          <cell r="D252">
            <v>2010000</v>
          </cell>
          <cell r="E252" t="str">
            <v>MAELZER</v>
          </cell>
        </row>
        <row r="253">
          <cell r="C253" t="str">
            <v>817-03</v>
          </cell>
          <cell r="D253">
            <v>2100000</v>
          </cell>
          <cell r="E253" t="str">
            <v>ISHMAEL</v>
          </cell>
        </row>
        <row r="254">
          <cell r="C254" t="str">
            <v>101-04</v>
          </cell>
          <cell r="D254">
            <v>2010000</v>
          </cell>
          <cell r="E254" t="str">
            <v>MAELZER</v>
          </cell>
        </row>
        <row r="255">
          <cell r="C255" t="str">
            <v>157-03</v>
          </cell>
          <cell r="D255">
            <v>1190000</v>
          </cell>
          <cell r="E255" t="str">
            <v>BRANNON</v>
          </cell>
        </row>
        <row r="256">
          <cell r="C256" t="str">
            <v>102-04</v>
          </cell>
          <cell r="D256">
            <v>2010000</v>
          </cell>
          <cell r="E256" t="str">
            <v>MAELZER</v>
          </cell>
        </row>
        <row r="257">
          <cell r="C257" t="str">
            <v>146-03</v>
          </cell>
          <cell r="D257">
            <v>1260000</v>
          </cell>
          <cell r="E257" t="str">
            <v>ACKERMAN</v>
          </cell>
        </row>
        <row r="258">
          <cell r="C258" t="str">
            <v>107-04</v>
          </cell>
          <cell r="D258">
            <v>1760000</v>
          </cell>
          <cell r="E258" t="str">
            <v>STRICKLAND</v>
          </cell>
        </row>
        <row r="259">
          <cell r="C259" t="str">
            <v>136-03</v>
          </cell>
          <cell r="D259">
            <v>1090000</v>
          </cell>
          <cell r="E259" t="str">
            <v>SPECTOR</v>
          </cell>
        </row>
        <row r="260">
          <cell r="C260" t="str">
            <v>109-04</v>
          </cell>
          <cell r="D260">
            <v>1360000</v>
          </cell>
          <cell r="E260" t="str">
            <v>SANTIZO</v>
          </cell>
        </row>
        <row r="261">
          <cell r="C261" t="str">
            <v>811-03</v>
          </cell>
          <cell r="D261">
            <v>2100000</v>
          </cell>
          <cell r="E261" t="str">
            <v>ISHMAEL</v>
          </cell>
        </row>
        <row r="262">
          <cell r="C262" t="str">
            <v>104-04</v>
          </cell>
          <cell r="D262">
            <v>1090000</v>
          </cell>
          <cell r="E262" t="str">
            <v>SPECTOR</v>
          </cell>
        </row>
        <row r="263">
          <cell r="C263" t="str">
            <v>809-03</v>
          </cell>
          <cell r="D263">
            <v>1990000</v>
          </cell>
          <cell r="E263" t="str">
            <v>DAVIS</v>
          </cell>
        </row>
        <row r="264">
          <cell r="C264" t="str">
            <v>111-04</v>
          </cell>
          <cell r="D264">
            <v>1110000</v>
          </cell>
          <cell r="E264" t="str">
            <v>STARKS</v>
          </cell>
        </row>
        <row r="265">
          <cell r="C265" t="str">
            <v>124-03</v>
          </cell>
          <cell r="D265">
            <v>1540000</v>
          </cell>
          <cell r="E265" t="str">
            <v>HELVIE</v>
          </cell>
        </row>
        <row r="266">
          <cell r="C266" t="str">
            <v>113-04</v>
          </cell>
          <cell r="D266">
            <v>2010000</v>
          </cell>
          <cell r="E266" t="str">
            <v>MAELZER</v>
          </cell>
        </row>
        <row r="267">
          <cell r="C267" t="str">
            <v>129-03</v>
          </cell>
          <cell r="D267">
            <v>1190000</v>
          </cell>
          <cell r="E267" t="str">
            <v>BRANNON</v>
          </cell>
        </row>
        <row r="268">
          <cell r="C268" t="str">
            <v>108-04</v>
          </cell>
          <cell r="D268">
            <v>1760000</v>
          </cell>
          <cell r="E268" t="str">
            <v>STRICKLAND</v>
          </cell>
        </row>
        <row r="269">
          <cell r="C269" t="str">
            <v>806-03</v>
          </cell>
          <cell r="D269">
            <v>1990000</v>
          </cell>
          <cell r="E269" t="str">
            <v>DAVIS</v>
          </cell>
        </row>
        <row r="270">
          <cell r="C270" t="str">
            <v>110-04</v>
          </cell>
          <cell r="D270">
            <v>1360000</v>
          </cell>
          <cell r="E270" t="str">
            <v>SANTIZO</v>
          </cell>
        </row>
        <row r="271">
          <cell r="C271" t="str">
            <v>123-03</v>
          </cell>
          <cell r="D271">
            <v>1540000</v>
          </cell>
          <cell r="E271" t="str">
            <v>HELVIE</v>
          </cell>
        </row>
        <row r="272">
          <cell r="C272" t="str">
            <v>801-04</v>
          </cell>
          <cell r="D272">
            <v>1830000</v>
          </cell>
          <cell r="E272" t="str">
            <v>YORK</v>
          </cell>
        </row>
        <row r="273">
          <cell r="C273" t="str">
            <v>108-03</v>
          </cell>
          <cell r="D273">
            <v>1090000</v>
          </cell>
          <cell r="E273" t="str">
            <v>SPECTOR</v>
          </cell>
        </row>
        <row r="274">
          <cell r="C274" t="str">
            <v>117-04</v>
          </cell>
          <cell r="D274">
            <v>1090000</v>
          </cell>
          <cell r="E274" t="str">
            <v>SPECTOR</v>
          </cell>
        </row>
        <row r="275">
          <cell r="C275" t="str">
            <v>111-03</v>
          </cell>
          <cell r="D275">
            <v>900000</v>
          </cell>
          <cell r="E275" t="str">
            <v>ROCHA</v>
          </cell>
        </row>
        <row r="276">
          <cell r="C276" t="str">
            <v>112-04</v>
          </cell>
          <cell r="D276">
            <v>1110000</v>
          </cell>
          <cell r="E276" t="str">
            <v>STARKS</v>
          </cell>
        </row>
        <row r="277">
          <cell r="C277" t="str">
            <v>109-03</v>
          </cell>
          <cell r="D277">
            <v>1540000</v>
          </cell>
          <cell r="E277" t="str">
            <v>HELVIE</v>
          </cell>
        </row>
        <row r="278">
          <cell r="C278" t="str">
            <v>114-04</v>
          </cell>
          <cell r="D278">
            <v>2010000</v>
          </cell>
          <cell r="E278" t="str">
            <v>MAELZER</v>
          </cell>
        </row>
        <row r="279">
          <cell r="C279" t="str">
            <v>105-03</v>
          </cell>
          <cell r="D279">
            <v>1760000</v>
          </cell>
          <cell r="E279" t="str">
            <v>STRICKLAND</v>
          </cell>
        </row>
        <row r="280">
          <cell r="C280" t="str">
            <v>121-04</v>
          </cell>
          <cell r="D280">
            <v>1760000</v>
          </cell>
          <cell r="E280" t="str">
            <v>STRICKLAND</v>
          </cell>
        </row>
        <row r="281">
          <cell r="C281" t="str">
            <v>306-03</v>
          </cell>
          <cell r="D281">
            <v>1760000</v>
          </cell>
          <cell r="E281" t="str">
            <v>STRICKLAND</v>
          </cell>
        </row>
        <row r="282">
          <cell r="C282" t="str">
            <v>805-04</v>
          </cell>
          <cell r="D282">
            <v>1830000</v>
          </cell>
          <cell r="E282" t="str">
            <v>YORK</v>
          </cell>
        </row>
        <row r="283">
          <cell r="C283" t="str">
            <v>103-03</v>
          </cell>
          <cell r="D283">
            <v>1260000</v>
          </cell>
          <cell r="E283" t="str">
            <v>ACKERMAN</v>
          </cell>
        </row>
        <row r="284">
          <cell r="C284" t="str">
            <v>116-04</v>
          </cell>
          <cell r="D284">
            <v>930000</v>
          </cell>
          <cell r="E284" t="str">
            <v>CLARK</v>
          </cell>
        </row>
        <row r="285">
          <cell r="C285" t="str">
            <v>101-03</v>
          </cell>
          <cell r="D285">
            <v>2010000</v>
          </cell>
          <cell r="E285" t="str">
            <v>MAELZER</v>
          </cell>
        </row>
        <row r="286">
          <cell r="C286" t="str">
            <v>125-04</v>
          </cell>
          <cell r="D286">
            <v>1110000</v>
          </cell>
          <cell r="E286" t="str">
            <v>STARKS</v>
          </cell>
        </row>
        <row r="287">
          <cell r="C287" t="str">
            <v>240-02</v>
          </cell>
          <cell r="D287">
            <v>1290000</v>
          </cell>
          <cell r="E287" t="str">
            <v>COOLAHAN</v>
          </cell>
        </row>
        <row r="288">
          <cell r="C288" t="str">
            <v>127-04</v>
          </cell>
          <cell r="D288">
            <v>2010000</v>
          </cell>
          <cell r="E288" t="str">
            <v>MAELZER</v>
          </cell>
        </row>
        <row r="289">
          <cell r="C289" t="str">
            <v>847-02</v>
          </cell>
          <cell r="D289">
            <v>1480000</v>
          </cell>
          <cell r="E289" t="str">
            <v>STURGEON</v>
          </cell>
        </row>
        <row r="290">
          <cell r="C290" t="str">
            <v>807-04</v>
          </cell>
          <cell r="D290">
            <v>2100000</v>
          </cell>
          <cell r="E290" t="str">
            <v>ISHMAEL</v>
          </cell>
        </row>
        <row r="291">
          <cell r="C291" t="str">
            <v>216-03</v>
          </cell>
          <cell r="D291">
            <v>2150000</v>
          </cell>
          <cell r="E291" t="str">
            <v>SWANSON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101-04</v>
          </cell>
          <cell r="B13">
            <v>4020</v>
          </cell>
          <cell r="C13" t="str">
            <v>DE.1.0.7.0</v>
          </cell>
          <cell r="D13" t="str">
            <v>204:719</v>
          </cell>
          <cell r="E13">
            <v>42586.133344907408</v>
          </cell>
          <cell r="F13">
            <v>42586.134097222224</v>
          </cell>
          <cell r="G13">
            <v>1</v>
          </cell>
          <cell r="H13" t="str">
            <v>204:233326</v>
          </cell>
          <cell r="I13">
            <v>42586.163854166669</v>
          </cell>
          <cell r="J13">
            <v>1</v>
          </cell>
          <cell r="K13" t="str">
            <v>4019/4020</v>
          </cell>
          <cell r="L13" t="str">
            <v>MAELZER</v>
          </cell>
          <cell r="M13">
            <v>2.9756944444670808E-2</v>
          </cell>
          <cell r="N13">
            <v>42.850000000325963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https://search-rtdc-monitor-bjffxe2xuh6vdkpspy63sjmuny.us-east-1.es.amazonaws.com/_plugin/kibana/#/discover/Steve-Slow-Train-Analysis-(2080s-and-2083s)?_g=(refreshInterval:(display:Off,section:0,value:0),time:(from:'2016-08-04 02:12:01-0600',mode:absolute,to:'2016-08-04 04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23.332599999999999</v>
          </cell>
          <cell r="AA13">
            <v>23.2607</v>
          </cell>
          <cell r="AB13">
            <v>224231</v>
          </cell>
          <cell r="AC13" t="str">
            <v>SIGNAL</v>
          </cell>
          <cell r="AD13" t="str">
            <v>0101-04</v>
          </cell>
          <cell r="AE1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14">
          <cell r="A14" t="str">
            <v>102-04</v>
          </cell>
          <cell r="B14">
            <v>4032</v>
          </cell>
          <cell r="C14" t="str">
            <v>DE.1.0.7.0</v>
          </cell>
          <cell r="D14" t="str">
            <v>204:232689</v>
          </cell>
          <cell r="E14">
            <v>42586.169652777775</v>
          </cell>
          <cell r="F14">
            <v>42586.170914351853</v>
          </cell>
          <cell r="G14">
            <v>1</v>
          </cell>
          <cell r="H14" t="str">
            <v>204:109</v>
          </cell>
          <cell r="I14">
            <v>42586.200983796298</v>
          </cell>
          <cell r="J14">
            <v>0</v>
          </cell>
          <cell r="K14" t="str">
            <v>4031/4032</v>
          </cell>
          <cell r="L14" t="str">
            <v>MAELZER</v>
          </cell>
          <cell r="M14">
            <v>3.0069444444961846E-2</v>
          </cell>
          <cell r="N14">
            <v>43.300000000745058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https://search-rtdc-monitor-bjffxe2xuh6vdkpspy63sjmuny.us-east-1.es.amazonaws.com/_plugin/kibana/#/discover/Steve-Slow-Train-Analysis-(2080s-and-2083s)?_g=(refreshInterval:(display:Off,section:0,value:0),time:(from:'2016-08-04 03:04:18-0600',mode:absolute,to:'2016-08-04 05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" t="str">
            <v>N</v>
          </cell>
          <cell r="X14">
            <v>1</v>
          </cell>
          <cell r="Y14">
            <v>23.268899999999999</v>
          </cell>
          <cell r="Z14">
            <v>1.09E-2</v>
          </cell>
          <cell r="AA14">
            <v>23.257999999999999</v>
          </cell>
          <cell r="AB14" t="e">
            <v>#N/A</v>
          </cell>
          <cell r="AC14" t="e">
            <v>#N/A</v>
          </cell>
          <cell r="AD14" t="str">
            <v>0102-04</v>
          </cell>
          <cell r="AE1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5">
          <cell r="A15" t="str">
            <v>103-04</v>
          </cell>
          <cell r="B15" t="str">
            <v>-</v>
          </cell>
          <cell r="F15" t="str">
            <v>-</v>
          </cell>
          <cell r="I15" t="str">
            <v>-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P15">
            <v>1</v>
          </cell>
          <cell r="R15" t="str">
            <v>Did not initialize</v>
          </cell>
          <cell r="V15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22103-04%22)),sort:!(Time,asc))</v>
          </cell>
        </row>
        <row r="16">
          <cell r="A16" t="str">
            <v>104-04</v>
          </cell>
          <cell r="B16">
            <v>4030</v>
          </cell>
          <cell r="C16" t="str">
            <v>DE.1.0.7.0</v>
          </cell>
          <cell r="D16" t="str">
            <v>204:232652</v>
          </cell>
          <cell r="E16">
            <v>42586.19740740741</v>
          </cell>
          <cell r="F16">
            <v>42586.19809027778</v>
          </cell>
          <cell r="G16">
            <v>0</v>
          </cell>
          <cell r="H16" t="str">
            <v>204:4671</v>
          </cell>
          <cell r="I16">
            <v>42586.224826388891</v>
          </cell>
          <cell r="J16">
            <v>1</v>
          </cell>
          <cell r="K16" t="str">
            <v>4029/4030</v>
          </cell>
          <cell r="L16" t="str">
            <v>SPECTOR</v>
          </cell>
          <cell r="M16">
            <v>2.6736111110949423E-2</v>
          </cell>
          <cell r="N16">
            <v>38.499999999767169</v>
          </cell>
          <cell r="R16" t="str">
            <v>Wi-MAX outage, but made it into DUS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https://search-rtdc-monitor-bjffxe2xuh6vdkpspy63sjmuny.us-east-1.es.amazonaws.com/_plugin/kibana/#/discover/Steve-Slow-Train-Analysis-(2080s-and-2083s)?_g=(refreshInterval:(display:Off,section:0,value:0),time:(from:'2016-08-04 03:44:16-0600',mode:absolute,to:'2016-08-04 06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Y</v>
          </cell>
          <cell r="X16">
            <v>2</v>
          </cell>
          <cell r="Y16">
            <v>23.2652</v>
          </cell>
          <cell r="Z16">
            <v>0.46710000000000002</v>
          </cell>
          <cell r="AA16">
            <v>22.798100000000002</v>
          </cell>
          <cell r="AB16" t="e">
            <v>#N/A</v>
          </cell>
          <cell r="AC16" t="e">
            <v>#N/A</v>
          </cell>
          <cell r="AD16" t="str">
            <v>0104-04</v>
          </cell>
          <cell r="AE1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7">
          <cell r="A17" t="str">
            <v>105-04</v>
          </cell>
          <cell r="B17">
            <v>4011</v>
          </cell>
          <cell r="F17" t="str">
            <v>-</v>
          </cell>
          <cell r="I17" t="str">
            <v>-</v>
          </cell>
          <cell r="J17" t="str">
            <v>-</v>
          </cell>
          <cell r="K17" t="str">
            <v>4011/4012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V17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22105-04%22)),sort:!(Time,asc))</v>
          </cell>
        </row>
        <row r="18">
          <cell r="A18" t="str">
            <v>106-04</v>
          </cell>
          <cell r="B18">
            <v>4037</v>
          </cell>
          <cell r="C18" t="str">
            <v>DE.1.0.7.0</v>
          </cell>
          <cell r="D18" t="str">
            <v>204:232639</v>
          </cell>
          <cell r="E18">
            <v>42586.214108796295</v>
          </cell>
          <cell r="F18">
            <v>42586.215254629627</v>
          </cell>
          <cell r="G18">
            <v>1</v>
          </cell>
          <cell r="H18" t="str">
            <v>204:105</v>
          </cell>
          <cell r="I18">
            <v>42586.243217592593</v>
          </cell>
          <cell r="J18">
            <v>1</v>
          </cell>
          <cell r="K18" t="str">
            <v>4037/4038</v>
          </cell>
          <cell r="L18" t="str">
            <v>MALAVE</v>
          </cell>
          <cell r="M18">
            <v>2.7962962965830229E-2</v>
          </cell>
          <cell r="N18">
            <v>40.26666667079553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https://search-rtdc-monitor-bjffxe2xuh6vdkpspy63sjmuny.us-east-1.es.amazonaws.com/_plugin/kibana/#/discover/Steve-Slow-Train-Analysis-(2080s-and-2083s)?_g=(refreshInterval:(display:Off,section:0,value:0),time:(from:'2016-08-04 04:08:19-0600',mode:absolute,to:'2016-08-04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2</v>
          </cell>
          <cell r="Y18">
            <v>23.2639</v>
          </cell>
          <cell r="Z18">
            <v>1.0500000000000001E-2</v>
          </cell>
          <cell r="AA18">
            <v>23.253399999999999</v>
          </cell>
          <cell r="AB18" t="e">
            <v>#N/A</v>
          </cell>
          <cell r="AC18" t="e">
            <v>#N/A</v>
          </cell>
          <cell r="AD18" t="str">
            <v>0106-04</v>
          </cell>
          <cell r="AE1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9">
          <cell r="A19" t="str">
            <v>107-04</v>
          </cell>
          <cell r="B19">
            <v>4007</v>
          </cell>
          <cell r="C19" t="str">
            <v>DE.1.0.7.0</v>
          </cell>
          <cell r="D19" t="str">
            <v>204:473</v>
          </cell>
          <cell r="E19">
            <v>42586.184525462966</v>
          </cell>
          <cell r="F19">
            <v>42586.185752314814</v>
          </cell>
          <cell r="G19">
            <v>1</v>
          </cell>
          <cell r="H19" t="str">
            <v>204:233289</v>
          </cell>
          <cell r="I19">
            <v>42586.215358796297</v>
          </cell>
          <cell r="J19">
            <v>0</v>
          </cell>
          <cell r="K19" t="str">
            <v>4007/4008</v>
          </cell>
          <cell r="L19" t="str">
            <v>STRICKLAND</v>
          </cell>
          <cell r="M19">
            <v>2.9606481482915115E-2</v>
          </cell>
          <cell r="N19">
            <v>42.633333335397765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https://search-rtdc-monitor-bjffxe2xuh6vdkpspy63sjmuny.us-east-1.es.amazonaws.com/_plugin/kibana/#/discover/Steve-Slow-Train-Analysis-(2080s-and-2083s)?_g=(refreshInterval:(display:Off,section:0,value:0),time:(from:'2016-08-04 03:25:43-0600',mode:absolute,to:'2016-08-04 06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23.328900000000001</v>
          </cell>
          <cell r="AA19">
            <v>23.281600000000001</v>
          </cell>
          <cell r="AB19" t="e">
            <v>#N/A</v>
          </cell>
          <cell r="AC19" t="e">
            <v>#N/A</v>
          </cell>
          <cell r="AD19" t="str">
            <v>0107-04</v>
          </cell>
          <cell r="AE1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20">
          <cell r="A20" t="str">
            <v>108-04</v>
          </cell>
          <cell r="B20">
            <v>4008</v>
          </cell>
          <cell r="C20" t="str">
            <v>DE.1.0.7.0</v>
          </cell>
          <cell r="D20" t="str">
            <v>204:232970</v>
          </cell>
          <cell r="E20">
            <v>42586.222719907404</v>
          </cell>
          <cell r="F20">
            <v>42586.224212962959</v>
          </cell>
          <cell r="G20">
            <v>2</v>
          </cell>
          <cell r="H20" t="str">
            <v>204:141</v>
          </cell>
          <cell r="I20">
            <v>42586.255567129629</v>
          </cell>
          <cell r="J20">
            <v>0</v>
          </cell>
          <cell r="K20" t="str">
            <v>4007/4008</v>
          </cell>
          <cell r="L20" t="str">
            <v>STRICKLAND</v>
          </cell>
          <cell r="M20">
            <v>3.1354166669188999E-2</v>
          </cell>
          <cell r="N20">
            <v>45.150000003632158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https://search-rtdc-monitor-bjffxe2xuh6vdkpspy63sjmuny.us-east-1.es.amazonaws.com/_plugin/kibana/#/discover/Steve-Slow-Train-Analysis-(2080s-and-2083s)?_g=(refreshInterval:(display:Off,section:0,value:0),time:(from:'2016-08-04 04:20:43-0600',mode:absolute,to:'2016-08-04 07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23.297000000000001</v>
          </cell>
          <cell r="Z20">
            <v>1.41E-2</v>
          </cell>
          <cell r="AA20">
            <v>23.282900000000001</v>
          </cell>
          <cell r="AB20" t="e">
            <v>#N/A</v>
          </cell>
          <cell r="AC20" t="e">
            <v>#N/A</v>
          </cell>
          <cell r="AD20" t="str">
            <v>0108-04</v>
          </cell>
          <cell r="AE2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21">
          <cell r="A21" t="str">
            <v>109-04</v>
          </cell>
          <cell r="B21">
            <v>4025</v>
          </cell>
          <cell r="C21" t="str">
            <v>DE.1.0.7.0</v>
          </cell>
          <cell r="D21" t="str">
            <v>204:446</v>
          </cell>
          <cell r="E21">
            <v>42586.193252314813</v>
          </cell>
          <cell r="F21">
            <v>42586.194363425922</v>
          </cell>
          <cell r="G21">
            <v>1</v>
          </cell>
          <cell r="H21" t="str">
            <v>204:233307</v>
          </cell>
          <cell r="I21">
            <v>42586.223090277781</v>
          </cell>
          <cell r="J21">
            <v>0</v>
          </cell>
          <cell r="K21" t="str">
            <v>4025/4026</v>
          </cell>
          <cell r="L21" t="str">
            <v>SANTIZO</v>
          </cell>
          <cell r="M21">
            <v>2.8726851858664304E-2</v>
          </cell>
          <cell r="N21">
            <v>41.366666676476598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https://search-rtdc-monitor-bjffxe2xuh6vdkpspy63sjmuny.us-east-1.es.amazonaws.com/_plugin/kibana/#/discover/Steve-Slow-Train-Analysis-(2080s-and-2083s)?_g=(refreshInterval:(display:Off,section:0,value:0),time:(from:'2016-08-04 03:38:17-0600',mode:absolute,to:'2016-08-04 06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4.4600000000000001E-2</v>
          </cell>
          <cell r="Z21">
            <v>23.3307</v>
          </cell>
          <cell r="AA21">
            <v>23.286100000000001</v>
          </cell>
          <cell r="AB21" t="e">
            <v>#N/A</v>
          </cell>
          <cell r="AC21" t="e">
            <v>#N/A</v>
          </cell>
          <cell r="AD21" t="str">
            <v>0109-04</v>
          </cell>
          <cell r="AE2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2">
          <cell r="A22" t="str">
            <v>110-04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42586.22519675926</v>
          </cell>
          <cell r="F22">
            <v>42586.229525462964</v>
          </cell>
          <cell r="G22">
            <v>6</v>
          </cell>
          <cell r="H22" t="str">
            <v>204:138</v>
          </cell>
          <cell r="I22">
            <v>42586.264872685184</v>
          </cell>
          <cell r="J22">
            <v>0</v>
          </cell>
          <cell r="K22" t="str">
            <v>4025/4026</v>
          </cell>
          <cell r="L22" t="str">
            <v>SANTIZO</v>
          </cell>
          <cell r="M22">
            <v>3.534722221957054E-2</v>
          </cell>
          <cell r="N22">
            <v>50.899999996181577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https://search-rtdc-monitor-bjffxe2xuh6vdkpspy63sjmuny.us-east-1.es.amazonaws.com/_plugin/kibana/#/discover/Steve-Slow-Train-Analysis-(2080s-and-2083s)?_g=(refreshInterval:(display:Off,section:0,value:0),time:(from:'2016-08-04 04:24:17-0600',mode:absolute,to:'2016-08-04 07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1.38E-2</v>
          </cell>
          <cell r="AA22">
            <v>23.283999999999999</v>
          </cell>
          <cell r="AB22" t="e">
            <v>#N/A</v>
          </cell>
          <cell r="AC22" t="e">
            <v>#N/A</v>
          </cell>
          <cell r="AD22" t="str">
            <v>0110-04</v>
          </cell>
          <cell r="AE2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23">
          <cell r="A23" t="str">
            <v>111-04</v>
          </cell>
          <cell r="B23">
            <v>4020</v>
          </cell>
          <cell r="C23" t="str">
            <v>DE.1.0.7.0</v>
          </cell>
          <cell r="D23" t="str">
            <v>204:743</v>
          </cell>
          <cell r="E23">
            <v>42586.211296296293</v>
          </cell>
          <cell r="F23">
            <v>42586.212592592594</v>
          </cell>
          <cell r="G23">
            <v>1</v>
          </cell>
          <cell r="H23" t="str">
            <v>204:233321</v>
          </cell>
          <cell r="I23">
            <v>42586.242175925923</v>
          </cell>
          <cell r="J23">
            <v>1</v>
          </cell>
          <cell r="K23" t="str">
            <v>4019/4020</v>
          </cell>
          <cell r="L23" t="str">
            <v>STARKS</v>
          </cell>
          <cell r="M23">
            <v>2.958333332935581E-2</v>
          </cell>
          <cell r="N23">
            <v>42.599999994272366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https://search-rtdc-monitor-bjffxe2xuh6vdkpspy63sjmuny.us-east-1.es.amazonaws.com/_plugin/kibana/#/discover/Steve-Slow-Train-Analysis-(2080s-and-2083s)?_g=(refreshInterval:(display:Off,section:0,value:0),time:(from:'2016-08-04 04:04:16-0600',mode:absolute,to:'2016-08-04 06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7.4300000000000005E-2</v>
          </cell>
          <cell r="Z23">
            <v>23.332100000000001</v>
          </cell>
          <cell r="AA23">
            <v>23.2578</v>
          </cell>
          <cell r="AB23" t="e">
            <v>#N/A</v>
          </cell>
          <cell r="AC23" t="e">
            <v>#N/A</v>
          </cell>
          <cell r="AD23" t="str">
            <v>0111-04</v>
          </cell>
          <cell r="AE2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24">
          <cell r="A24" t="str">
            <v>112-04</v>
          </cell>
          <cell r="B24">
            <v>4019</v>
          </cell>
          <cell r="C24" t="str">
            <v>DE.1.0.7.0</v>
          </cell>
          <cell r="D24" t="str">
            <v>204:233002</v>
          </cell>
          <cell r="E24">
            <v>42586.245104166665</v>
          </cell>
          <cell r="F24">
            <v>42586.246122685188</v>
          </cell>
          <cell r="G24">
            <v>1</v>
          </cell>
          <cell r="H24" t="str">
            <v>204:158</v>
          </cell>
          <cell r="I24">
            <v>42586.27616898148</v>
          </cell>
          <cell r="J24">
            <v>0</v>
          </cell>
          <cell r="K24" t="str">
            <v>4019/4020</v>
          </cell>
          <cell r="L24" t="str">
            <v>STARKS</v>
          </cell>
          <cell r="M24">
            <v>3.0046296291402541E-2</v>
          </cell>
          <cell r="N24">
            <v>43.266666659619659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https://search-rtdc-monitor-bjffxe2xuh6vdkpspy63sjmuny.us-east-1.es.amazonaws.com/_plugin/kibana/#/discover/Steve-Slow-Train-Analysis-(2080s-and-2083s)?_g=(refreshInterval:(display:Off,section:0,value:0),time:(from:'2016-08-04 04:52:57-0600',mode:absolute,to:'2016-08-04 07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23.3002</v>
          </cell>
          <cell r="Z24">
            <v>1.5800000000000002E-2</v>
          </cell>
          <cell r="AA24">
            <v>23.284400000000002</v>
          </cell>
          <cell r="AB24" t="e">
            <v>#N/A</v>
          </cell>
          <cell r="AC24" t="e">
            <v>#N/A</v>
          </cell>
          <cell r="AD24" t="str">
            <v>0112-04</v>
          </cell>
          <cell r="AE24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25">
          <cell r="A25" t="str">
            <v>113-04</v>
          </cell>
          <cell r="B25">
            <v>4031</v>
          </cell>
          <cell r="C25" t="str">
            <v>DE.1.0.7.0</v>
          </cell>
          <cell r="D25" t="str">
            <v>204:444</v>
          </cell>
          <cell r="E25">
            <v>42586.216689814813</v>
          </cell>
          <cell r="F25">
            <v>42586.217812499999</v>
          </cell>
          <cell r="G25">
            <v>1</v>
          </cell>
          <cell r="H25" t="str">
            <v>204:233291</v>
          </cell>
          <cell r="I25">
            <v>42586.246412037035</v>
          </cell>
          <cell r="J25">
            <v>0</v>
          </cell>
          <cell r="K25" t="str">
            <v>4031/4032</v>
          </cell>
          <cell r="L25" t="str">
            <v>MAELZER</v>
          </cell>
          <cell r="M25">
            <v>2.8599537035916001E-2</v>
          </cell>
          <cell r="N25">
            <v>41.183333331719041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https://search-rtdc-monitor-bjffxe2xuh6vdkpspy63sjmuny.us-east-1.es.amazonaws.com/_plugin/kibana/#/discover/Steve-Slow-Train-Analysis-(2080s-and-2083s)?_g=(refreshInterval:(display:Off,section:0,value:0),time:(from:'2016-08-04 04:12:02-0600',mode:absolute,to:'2016-08-04 06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5" t="str">
            <v>N</v>
          </cell>
          <cell r="X25">
            <v>1</v>
          </cell>
          <cell r="Y25">
            <v>4.4400000000000002E-2</v>
          </cell>
          <cell r="Z25">
            <v>23.3291</v>
          </cell>
          <cell r="AA25">
            <v>23.284700000000001</v>
          </cell>
          <cell r="AB25" t="e">
            <v>#N/A</v>
          </cell>
          <cell r="AC25" t="e">
            <v>#N/A</v>
          </cell>
          <cell r="AD25" t="str">
            <v>0113-04</v>
          </cell>
          <cell r="AE2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6">
          <cell r="A26" t="str">
            <v>114-04</v>
          </cell>
          <cell r="B26">
            <v>4032</v>
          </cell>
          <cell r="C26" t="str">
            <v>DE.1.0.7.0</v>
          </cell>
          <cell r="D26" t="str">
            <v>204:232967</v>
          </cell>
          <cell r="E26">
            <v>42586.251493055555</v>
          </cell>
          <cell r="F26">
            <v>42586.252291666664</v>
          </cell>
          <cell r="G26">
            <v>1</v>
          </cell>
          <cell r="H26" t="str">
            <v>204:145</v>
          </cell>
          <cell r="I26">
            <v>42586.287175925929</v>
          </cell>
          <cell r="J26">
            <v>0</v>
          </cell>
          <cell r="K26" t="str">
            <v>4031/4032</v>
          </cell>
          <cell r="L26" t="str">
            <v>MAELZER</v>
          </cell>
          <cell r="M26">
            <v>3.4884259264799766E-2</v>
          </cell>
          <cell r="N26">
            <v>50.233333341311663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https://search-rtdc-monitor-bjffxe2xuh6vdkpspy63sjmuny.us-east-1.es.amazonaws.com/_plugin/kibana/#/discover/Steve-Slow-Train-Analysis-(2080s-and-2083s)?_g=(refreshInterval:(display:Off,section:0,value:0),time:(from:'2016-08-04 05:02:09-0600',mode:absolute,to:'2016-08-04 07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6" t="str">
            <v>N</v>
          </cell>
          <cell r="X26">
            <v>1</v>
          </cell>
          <cell r="Y26">
            <v>23.296700000000001</v>
          </cell>
          <cell r="Z26">
            <v>1.4500000000000001E-2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0114-04</v>
          </cell>
          <cell r="AE2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27">
          <cell r="A27" t="str">
            <v>115-04</v>
          </cell>
          <cell r="B27">
            <v>4027</v>
          </cell>
          <cell r="C27" t="str">
            <v>DE.1.0.7.0</v>
          </cell>
          <cell r="D27" t="str">
            <v>204:19128</v>
          </cell>
          <cell r="E27">
            <v>42586.238865740743</v>
          </cell>
          <cell r="F27">
            <v>42586.240381944444</v>
          </cell>
          <cell r="G27">
            <v>2</v>
          </cell>
          <cell r="H27" t="str">
            <v>204:233322</v>
          </cell>
          <cell r="I27">
            <v>42586.268333333333</v>
          </cell>
          <cell r="J27">
            <v>0</v>
          </cell>
          <cell r="K27" t="str">
            <v>4027/4028</v>
          </cell>
          <cell r="L27" t="str">
            <v>BRANNON</v>
          </cell>
          <cell r="M27">
            <v>2.7951388889050577E-2</v>
          </cell>
          <cell r="P27">
            <v>40.250000000232831</v>
          </cell>
          <cell r="R27" t="str">
            <v>Wi-MAX outage at DUS prevented init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7" t="str">
            <v>Y</v>
          </cell>
          <cell r="X27">
            <v>1</v>
          </cell>
          <cell r="Y27">
            <v>1.9128000000000001</v>
          </cell>
          <cell r="Z27">
            <v>23.3322</v>
          </cell>
          <cell r="AA27">
            <v>21.4194</v>
          </cell>
          <cell r="AB27" t="e">
            <v>#N/A</v>
          </cell>
          <cell r="AC27" t="e">
            <v>#N/A</v>
          </cell>
          <cell r="AD27" t="str">
            <v>0115-04</v>
          </cell>
          <cell r="AE2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28">
          <cell r="A28" t="str">
            <v>116-04</v>
          </cell>
          <cell r="B28">
            <v>4028</v>
          </cell>
          <cell r="C28" t="str">
            <v>DE.1.0.7.0</v>
          </cell>
          <cell r="D28" t="str">
            <v>204:19128</v>
          </cell>
          <cell r="E28">
            <v>42586.238865740743</v>
          </cell>
          <cell r="F28">
            <v>42586.269849537035</v>
          </cell>
          <cell r="G28">
            <v>2</v>
          </cell>
          <cell r="H28" t="str">
            <v>204:233322</v>
          </cell>
          <cell r="I28">
            <v>42586.270335648151</v>
          </cell>
          <cell r="J28">
            <v>0</v>
          </cell>
          <cell r="K28" t="str">
            <v>4027/4028</v>
          </cell>
          <cell r="L28" t="str">
            <v>CLARK</v>
          </cell>
          <cell r="M28">
            <v>4.8611111560603604E-4</v>
          </cell>
          <cell r="P28">
            <v>0.70000000647269189</v>
          </cell>
          <cell r="R28" t="str">
            <v>Onboard in-route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8" t="str">
            <v>Y</v>
          </cell>
          <cell r="X28">
            <v>1</v>
          </cell>
          <cell r="Y28">
            <v>23.3</v>
          </cell>
          <cell r="Z28">
            <v>23.3</v>
          </cell>
          <cell r="AA28">
            <v>0</v>
          </cell>
          <cell r="AB28" t="e">
            <v>#N/A</v>
          </cell>
          <cell r="AC28" t="e">
            <v>#N/A</v>
          </cell>
          <cell r="AD28" t="str">
            <v>0116-04</v>
          </cell>
          <cell r="AE2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29">
          <cell r="A29" t="str">
            <v>117-04</v>
          </cell>
          <cell r="B29">
            <v>4029</v>
          </cell>
          <cell r="C29" t="str">
            <v>DE.1.0.7.0</v>
          </cell>
          <cell r="D29" t="str">
            <v>204:424</v>
          </cell>
          <cell r="E29">
            <v>42586.236157407409</v>
          </cell>
          <cell r="F29">
            <v>42586.237141203703</v>
          </cell>
          <cell r="G29">
            <v>1</v>
          </cell>
          <cell r="H29" t="str">
            <v>204:233319</v>
          </cell>
          <cell r="I29">
            <v>42586.276099537034</v>
          </cell>
          <cell r="J29">
            <v>0</v>
          </cell>
          <cell r="K29" t="str">
            <v>4029/4030</v>
          </cell>
          <cell r="L29" t="str">
            <v>SPECTOR</v>
          </cell>
          <cell r="M29">
            <v>3.8958333330811001E-2</v>
          </cell>
          <cell r="N29">
            <v>56.099999996367842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https://search-rtdc-monitor-bjffxe2xuh6vdkpspy63sjmuny.us-east-1.es.amazonaws.com/_plugin/kibana/#/discover/Steve-Slow-Train-Analysis-(2080s-and-2083s)?_g=(refreshInterval:(display:Off,section:0,value:0),time:(from:'2016-08-04 04:40:04-0600',mode:absolute,to:'2016-08-04 07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23.331900000000001</v>
          </cell>
          <cell r="AA29">
            <v>23.2895</v>
          </cell>
          <cell r="AB29" t="e">
            <v>#N/A</v>
          </cell>
          <cell r="AC29" t="e">
            <v>#N/A</v>
          </cell>
          <cell r="AD29" t="str">
            <v>0117-04</v>
          </cell>
          <cell r="AE2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30">
          <cell r="A30" t="str">
            <v>118-04</v>
          </cell>
          <cell r="B30">
            <v>4030</v>
          </cell>
          <cell r="C30" t="str">
            <v>DE.1.0.7.0</v>
          </cell>
          <cell r="D30" t="str">
            <v>204:232998</v>
          </cell>
          <cell r="E30">
            <v>42586.278275462966</v>
          </cell>
          <cell r="F30">
            <v>42586.279004629629</v>
          </cell>
          <cell r="G30">
            <v>1</v>
          </cell>
          <cell r="H30" t="str">
            <v>204:138</v>
          </cell>
          <cell r="I30">
            <v>42586.307557870372</v>
          </cell>
          <cell r="J30">
            <v>0</v>
          </cell>
          <cell r="K30" t="str">
            <v>4029/4030</v>
          </cell>
          <cell r="L30" t="str">
            <v>SPECTOR</v>
          </cell>
          <cell r="M30">
            <v>2.8553240743349306E-2</v>
          </cell>
          <cell r="N30">
            <v>41.116666670423001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https://search-rtdc-monitor-bjffxe2xuh6vdkpspy63sjmuny.us-east-1.es.amazonaws.com/_plugin/kibana/#/discover/Steve-Slow-Train-Analysis-(2080s-and-2083s)?_g=(refreshInterval:(display:Off,section:0,value:0),time:(from:'2016-08-04 05:40:43-0600',mode:absolute,to:'2016-08-04 08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23.299800000000001</v>
          </cell>
          <cell r="Z30">
            <v>1.38E-2</v>
          </cell>
          <cell r="AA30">
            <v>23.286000000000001</v>
          </cell>
          <cell r="AB30" t="e">
            <v>#N/A</v>
          </cell>
          <cell r="AC30" t="e">
            <v>#N/A</v>
          </cell>
          <cell r="AD30" t="str">
            <v>0118-04</v>
          </cell>
          <cell r="AE3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31">
          <cell r="A31" t="str">
            <v>119-04</v>
          </cell>
          <cell r="B31">
            <v>4011</v>
          </cell>
          <cell r="C31" t="str">
            <v>DE.1.0.7.0</v>
          </cell>
          <cell r="D31" t="str">
            <v>204:699</v>
          </cell>
          <cell r="E31">
            <v>42586.247430555559</v>
          </cell>
          <cell r="F31">
            <v>42586.249097222222</v>
          </cell>
          <cell r="G31">
            <v>2</v>
          </cell>
          <cell r="H31" t="str">
            <v>204:233264</v>
          </cell>
          <cell r="I31">
            <v>42586.277673611112</v>
          </cell>
          <cell r="J31">
            <v>1</v>
          </cell>
          <cell r="K31" t="str">
            <v>4011/4012</v>
          </cell>
          <cell r="L31" t="str">
            <v>MALAVE</v>
          </cell>
          <cell r="M31">
            <v>2.8576388889632653E-2</v>
          </cell>
          <cell r="N31">
            <v>41.150000001071021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https://search-rtdc-monitor-bjffxe2xuh6vdkpspy63sjmuny.us-east-1.es.amazonaws.com/_plugin/kibana/#/discover/Steve-Slow-Train-Analysis-(2080s-and-2083s)?_g=(refreshInterval:(display:Off,section:0,value:0),time:(from:'2016-08-04 04:56:18-0600',mode:absolute,to:'2016-08-04 07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1" t="str">
            <v>N</v>
          </cell>
          <cell r="X31">
            <v>1</v>
          </cell>
          <cell r="Y31">
            <v>6.9900000000000004E-2</v>
          </cell>
          <cell r="Z31">
            <v>23.3264</v>
          </cell>
          <cell r="AA31">
            <v>23.256499999999999</v>
          </cell>
          <cell r="AB31">
            <v>155600</v>
          </cell>
          <cell r="AC31" t="str">
            <v>SIGNAL</v>
          </cell>
          <cell r="AD31" t="str">
            <v>0119-04</v>
          </cell>
          <cell r="AE3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32">
          <cell r="A32" t="str">
            <v>120-04</v>
          </cell>
          <cell r="B32">
            <v>4012</v>
          </cell>
          <cell r="C32" t="str">
            <v>DE.1.0.7.0</v>
          </cell>
          <cell r="D32" t="str">
            <v>204:232942</v>
          </cell>
          <cell r="E32">
            <v>42586.287106481483</v>
          </cell>
          <cell r="F32">
            <v>42586.288171296299</v>
          </cell>
          <cell r="G32">
            <v>1</v>
          </cell>
          <cell r="H32" t="str">
            <v>204:160</v>
          </cell>
          <cell r="I32">
            <v>42586.31690972222</v>
          </cell>
          <cell r="J32">
            <v>0</v>
          </cell>
          <cell r="K32" t="str">
            <v>4011/4012</v>
          </cell>
          <cell r="L32" t="str">
            <v>MALAVE</v>
          </cell>
          <cell r="M32">
            <v>2.8738425920892041E-2</v>
          </cell>
          <cell r="N32">
            <v>41.383333326084539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https://search-rtdc-monitor-bjffxe2xuh6vdkpspy63sjmuny.us-east-1.es.amazonaws.com/_plugin/kibana/#/discover/Steve-Slow-Train-Analysis-(2080s-and-2083s)?_g=(refreshInterval:(display:Off,section:0,value:0),time:(from:'2016-08-04 05:53:26-0600',mode:absolute,to:'2016-08-04 08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2" t="str">
            <v>N</v>
          </cell>
          <cell r="X32">
            <v>1</v>
          </cell>
          <cell r="Y32">
            <v>23.2942</v>
          </cell>
          <cell r="Z32">
            <v>1.6E-2</v>
          </cell>
          <cell r="AA32">
            <v>23.278200000000002</v>
          </cell>
          <cell r="AB32" t="e">
            <v>#N/A</v>
          </cell>
          <cell r="AC32" t="e">
            <v>#N/A</v>
          </cell>
          <cell r="AD32" t="str">
            <v>0120-04</v>
          </cell>
          <cell r="AE3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33">
          <cell r="A33" t="str">
            <v>121-04</v>
          </cell>
          <cell r="B33">
            <v>4007</v>
          </cell>
          <cell r="C33" t="str">
            <v>DE.1.0.7.0</v>
          </cell>
          <cell r="D33" t="str">
            <v>204:416</v>
          </cell>
          <cell r="E33">
            <v>42586.257962962962</v>
          </cell>
          <cell r="F33">
            <v>42586.259386574071</v>
          </cell>
          <cell r="G33">
            <v>2</v>
          </cell>
          <cell r="H33" t="str">
            <v>204:233213</v>
          </cell>
          <cell r="I33">
            <v>42586.29078703704</v>
          </cell>
          <cell r="J33">
            <v>5</v>
          </cell>
          <cell r="K33" t="str">
            <v>4007/4008</v>
          </cell>
          <cell r="L33" t="str">
            <v>STRICKLAND</v>
          </cell>
          <cell r="M33">
            <v>3.1400462969031651E-2</v>
          </cell>
          <cell r="N33">
            <v>45.216666675405577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4.1599999999999998E-2</v>
          </cell>
          <cell r="Z33">
            <v>23.321300000000001</v>
          </cell>
          <cell r="AA33">
            <v>23.279700000000002</v>
          </cell>
          <cell r="AB33">
            <v>230436</v>
          </cell>
          <cell r="AC33" t="str">
            <v>PERMANENT SPEED RESTRICTION</v>
          </cell>
          <cell r="AD33" t="str">
            <v>0121-04</v>
          </cell>
          <cell r="AE3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34">
          <cell r="A34" t="str">
            <v>122-04</v>
          </cell>
          <cell r="B34">
            <v>4008</v>
          </cell>
          <cell r="C34" t="str">
            <v>DE.1.0.7.0</v>
          </cell>
          <cell r="D34" t="str">
            <v>204:232906</v>
          </cell>
          <cell r="E34">
            <v>42586.295648148145</v>
          </cell>
          <cell r="F34">
            <v>42586.296585648146</v>
          </cell>
          <cell r="G34">
            <v>1</v>
          </cell>
          <cell r="H34" t="str">
            <v>204:145</v>
          </cell>
          <cell r="I34">
            <v>42586.327280092592</v>
          </cell>
          <cell r="J34">
            <v>0</v>
          </cell>
          <cell r="K34" t="str">
            <v>4007/4008</v>
          </cell>
          <cell r="L34" t="str">
            <v>STRICKLAND</v>
          </cell>
          <cell r="M34">
            <v>3.0694444445543922E-2</v>
          </cell>
          <cell r="N34">
            <v>44.200000001583248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https://search-rtdc-monitor-bjffxe2xuh6vdkpspy63sjmuny.us-east-1.es.amazonaws.com/_plugin/kibana/#/discover/Steve-Slow-Train-Analysis-(2080s-and-2083s)?_g=(refreshInterval:(display:Off,section:0,value:0),time:(from:'2016-08-04 06:05:44-0600',mode:absolute,to:'2016-08-04 08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23.290600000000001</v>
          </cell>
          <cell r="Z34">
            <v>1.4500000000000001E-2</v>
          </cell>
          <cell r="AA34">
            <v>23.2761</v>
          </cell>
          <cell r="AB34" t="e">
            <v>#N/A</v>
          </cell>
          <cell r="AC34" t="e">
            <v>#N/A</v>
          </cell>
          <cell r="AD34" t="str">
            <v>0122-04</v>
          </cell>
          <cell r="AE3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35">
          <cell r="A35" t="str">
            <v>123-04</v>
          </cell>
          <cell r="B35">
            <v>4025</v>
          </cell>
          <cell r="C35" t="str">
            <v>DE.1.0.7.0</v>
          </cell>
          <cell r="D35" t="str">
            <v>204:464</v>
          </cell>
          <cell r="E35">
            <v>42586.267141203702</v>
          </cell>
          <cell r="F35">
            <v>42586.268194444441</v>
          </cell>
          <cell r="G35">
            <v>1</v>
          </cell>
          <cell r="H35" t="str">
            <v>204:233309</v>
          </cell>
          <cell r="I35">
            <v>42586.298009259262</v>
          </cell>
          <cell r="J35">
            <v>0</v>
          </cell>
          <cell r="K35" t="str">
            <v>4025/4026</v>
          </cell>
          <cell r="L35" t="str">
            <v>SANTIZO</v>
          </cell>
          <cell r="M35">
            <v>2.9814814821293112E-2</v>
          </cell>
          <cell r="N35">
            <v>42.933333342662081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https://search-rtdc-monitor-bjffxe2xuh6vdkpspy63sjmuny.us-east-1.es.amazonaws.com/_plugin/kibana/#/discover/Steve-Slow-Train-Analysis-(2080s-and-2083s)?_g=(refreshInterval:(display:Off,section:0,value:0),time:(from:'2016-08-04 05:24:41-0600',mode:absolute,to:'2016-08-04 08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23.3309</v>
          </cell>
          <cell r="AA35">
            <v>23.284500000000001</v>
          </cell>
          <cell r="AB35" t="e">
            <v>#N/A</v>
          </cell>
          <cell r="AC35" t="e">
            <v>#N/A</v>
          </cell>
          <cell r="AD35" t="str">
            <v>0123-04</v>
          </cell>
          <cell r="AE3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36">
          <cell r="A36" t="str">
            <v>124-04</v>
          </cell>
          <cell r="B36">
            <v>4026</v>
          </cell>
          <cell r="C36" t="str">
            <v>DE.1.0.7.0</v>
          </cell>
          <cell r="D36" t="str">
            <v>204:232967</v>
          </cell>
          <cell r="E36">
            <v>42586.307372685187</v>
          </cell>
          <cell r="F36">
            <v>42586.310231481482</v>
          </cell>
          <cell r="G36">
            <v>4</v>
          </cell>
          <cell r="H36" t="str">
            <v>204:154</v>
          </cell>
          <cell r="I36">
            <v>42586.337870370371</v>
          </cell>
          <cell r="J36">
            <v>1</v>
          </cell>
          <cell r="K36" t="str">
            <v>4025/4026</v>
          </cell>
          <cell r="L36" t="str">
            <v>SANTIZO</v>
          </cell>
          <cell r="M36">
            <v>2.7638888888759539E-2</v>
          </cell>
          <cell r="N36">
            <v>39.799999999813735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https://search-rtdc-monitor-bjffxe2xuh6vdkpspy63sjmuny.us-east-1.es.amazonaws.com/_plugin/kibana/#/discover/Steve-Slow-Train-Analysis-(2080s-and-2083s)?_g=(refreshInterval:(display:Off,section:0,value:0),time:(from:'2016-08-04 06:22:37-0600',mode:absolute,to:'2016-08-04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23.296700000000001</v>
          </cell>
          <cell r="Z36">
            <v>1.54E-2</v>
          </cell>
          <cell r="AA36">
            <v>23.281300000000002</v>
          </cell>
          <cell r="AB36">
            <v>127587</v>
          </cell>
          <cell r="AC36" t="str">
            <v>SIGNAL</v>
          </cell>
          <cell r="AD36" t="str">
            <v>0124-04</v>
          </cell>
          <cell r="AE3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37">
          <cell r="A37" t="str">
            <v>125-04</v>
          </cell>
          <cell r="B37">
            <v>4020</v>
          </cell>
          <cell r="C37" t="str">
            <v>DE.1.0.7.0</v>
          </cell>
          <cell r="D37" t="str">
            <v>204:438</v>
          </cell>
          <cell r="E37">
            <v>42586.278414351851</v>
          </cell>
          <cell r="F37">
            <v>42586.279537037037</v>
          </cell>
          <cell r="G37">
            <v>1</v>
          </cell>
          <cell r="H37" t="str">
            <v>204:233361</v>
          </cell>
          <cell r="I37">
            <v>42586.307210648149</v>
          </cell>
          <cell r="J37">
            <v>1</v>
          </cell>
          <cell r="K37" t="str">
            <v>4019/4020</v>
          </cell>
          <cell r="L37" t="str">
            <v>STARKS</v>
          </cell>
          <cell r="M37">
            <v>2.7673611111822538E-2</v>
          </cell>
          <cell r="N37">
            <v>39.850000001024455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https://search-rtdc-monitor-bjffxe2xuh6vdkpspy63sjmuny.us-east-1.es.amazonaws.com/_plugin/kibana/#/discover/Steve-Slow-Train-Analysis-(2080s-and-2083s)?_g=(refreshInterval:(display:Off,section:0,value:0),time:(from:'2016-08-04 05:40:55-0600',mode:absolute,to:'2016-08-04 08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4.3799999999999999E-2</v>
          </cell>
          <cell r="Z37">
            <v>23.336099999999998</v>
          </cell>
          <cell r="AA37">
            <v>23.292299999999997</v>
          </cell>
          <cell r="AB37" t="e">
            <v>#N/A</v>
          </cell>
          <cell r="AC37" t="e">
            <v>#N/A</v>
          </cell>
          <cell r="AD37" t="str">
            <v>0125-04</v>
          </cell>
          <cell r="AE37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38">
          <cell r="A38" t="str">
            <v>126-04</v>
          </cell>
          <cell r="B38">
            <v>4019</v>
          </cell>
          <cell r="C38" t="str">
            <v>DE.1.0.7.0</v>
          </cell>
          <cell r="D38" t="str">
            <v>204:233051</v>
          </cell>
          <cell r="E38">
            <v>42586.316979166666</v>
          </cell>
          <cell r="F38">
            <v>42586.31795138889</v>
          </cell>
          <cell r="G38">
            <v>1</v>
          </cell>
          <cell r="H38" t="str">
            <v>204:2619</v>
          </cell>
          <cell r="I38">
            <v>42586.347916666666</v>
          </cell>
          <cell r="J38">
            <v>1</v>
          </cell>
          <cell r="K38" t="str">
            <v>4019/4020</v>
          </cell>
          <cell r="L38" t="str">
            <v>STARKS</v>
          </cell>
          <cell r="M38">
            <v>2.9965277775772847E-2</v>
          </cell>
          <cell r="N38">
            <v>43.1499999971129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https://search-rtdc-monitor-bjffxe2xuh6vdkpspy63sjmuny.us-east-1.es.amazonaws.com/_plugin/kibana/#/discover/Steve-Slow-Train-Analysis-(2080s-and-2083s)?_g=(refreshInterval:(display:Off,section:0,value:0),time:(from:'2016-08-04 06:36:27-0600',mode:absolute,to:'2016-08-04 09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23.305099999999999</v>
          </cell>
          <cell r="Z38">
            <v>0.26190000000000002</v>
          </cell>
          <cell r="AA38">
            <v>23.043199999999999</v>
          </cell>
          <cell r="AB38">
            <v>5457</v>
          </cell>
          <cell r="AC38" t="str">
            <v>PERMANENT SPEED RESTRICTION</v>
          </cell>
          <cell r="AD38" t="str">
            <v>0126-04</v>
          </cell>
          <cell r="AE38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39">
          <cell r="A39" t="str">
            <v>127-04</v>
          </cell>
          <cell r="B39">
            <v>4031</v>
          </cell>
          <cell r="C39" t="str">
            <v>DE.1.0.7.0</v>
          </cell>
          <cell r="D39" t="str">
            <v>204:438</v>
          </cell>
          <cell r="E39">
            <v>42586.289467592593</v>
          </cell>
          <cell r="F39">
            <v>42586.290393518517</v>
          </cell>
          <cell r="G39">
            <v>1</v>
          </cell>
          <cell r="H39" t="str">
            <v>204:233309</v>
          </cell>
          <cell r="I39">
            <v>42586.316759259258</v>
          </cell>
          <cell r="J39">
            <v>0</v>
          </cell>
          <cell r="K39" t="str">
            <v>4031/4032</v>
          </cell>
          <cell r="L39" t="str">
            <v>MAELZER</v>
          </cell>
          <cell r="M39">
            <v>2.6365740741312038E-2</v>
          </cell>
          <cell r="N39">
            <v>37.966666667489335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https://search-rtdc-monitor-bjffxe2xuh6vdkpspy63sjmuny.us-east-1.es.amazonaws.com/_plugin/kibana/#/discover/Steve-Slow-Train-Analysis-(2080s-and-2083s)?_g=(refreshInterval:(display:Off,section:0,value:0),time:(from:'2016-08-04 05:56:50-0600',mode:absolute,to:'2016-08-04 08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23.3309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0127-04</v>
          </cell>
          <cell r="AE3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40">
          <cell r="A40" t="str">
            <v>128-04</v>
          </cell>
          <cell r="B40">
            <v>4032</v>
          </cell>
          <cell r="C40" t="str">
            <v>DE.1.0.7.0</v>
          </cell>
          <cell r="D40" t="str">
            <v>204:232992</v>
          </cell>
          <cell r="E40">
            <v>42586.323067129626</v>
          </cell>
          <cell r="F40">
            <v>42586.323784722219</v>
          </cell>
          <cell r="G40">
            <v>1</v>
          </cell>
          <cell r="H40" t="str">
            <v>204:152</v>
          </cell>
          <cell r="I40">
            <v>42586.361562500002</v>
          </cell>
          <cell r="J40">
            <v>0</v>
          </cell>
          <cell r="K40" t="str">
            <v>4031/4032</v>
          </cell>
          <cell r="L40" t="str">
            <v>MAELZER</v>
          </cell>
          <cell r="M40">
            <v>3.7777777783048805E-2</v>
          </cell>
          <cell r="N40">
            <v>54.400000007590279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https://search-rtdc-monitor-bjffxe2xuh6vdkpspy63sjmuny.us-east-1.es.amazonaws.com/_plugin/kibana/#/discover/Steve-Slow-Train-Analysis-(2080s-and-2083s)?_g=(refreshInterval:(display:Off,section:0,value:0),time:(from:'2016-08-04 06:45:13-0600',mode:absolute,to:'2016-08-04 09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0" t="str">
            <v>N</v>
          </cell>
          <cell r="X40">
            <v>1</v>
          </cell>
          <cell r="Y40">
            <v>23.299199999999999</v>
          </cell>
          <cell r="Z40">
            <v>1.52E-2</v>
          </cell>
          <cell r="AA40">
            <v>23.283999999999999</v>
          </cell>
          <cell r="AB40" t="e">
            <v>#N/A</v>
          </cell>
          <cell r="AC40" t="e">
            <v>#N/A</v>
          </cell>
          <cell r="AD40" t="str">
            <v>0128-04</v>
          </cell>
          <cell r="AE4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41">
          <cell r="A41" t="str">
            <v>129-04</v>
          </cell>
          <cell r="B41">
            <v>4027</v>
          </cell>
          <cell r="C41" t="str">
            <v>DE.1.0.7.0</v>
          </cell>
          <cell r="D41" t="str">
            <v>204:458</v>
          </cell>
          <cell r="E41">
            <v>42586.301111111112</v>
          </cell>
          <cell r="F41">
            <v>42586.303020833337</v>
          </cell>
          <cell r="G41">
            <v>2</v>
          </cell>
          <cell r="H41" t="str">
            <v>204:233298</v>
          </cell>
          <cell r="I41">
            <v>42586.329675925925</v>
          </cell>
          <cell r="J41">
            <v>0</v>
          </cell>
          <cell r="K41" t="str">
            <v>4027/4028</v>
          </cell>
          <cell r="L41" t="str">
            <v>CLARK</v>
          </cell>
          <cell r="M41">
            <v>2.6655092588043772E-2</v>
          </cell>
          <cell r="N41">
            <v>38.383333326783031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https://search-rtdc-monitor-bjffxe2xuh6vdkpspy63sjmuny.us-east-1.es.amazonaws.com/_plugin/kibana/#/discover/Steve-Slow-Train-Analysis-(2080s-and-2083s)?_g=(refreshInterval:(display:Off,section:0,value:0),time:(from:'2016-08-04 06:13:36-0600',mode:absolute,to:'2016-08-04 08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1" t="str">
            <v>N</v>
          </cell>
          <cell r="X41">
            <v>1</v>
          </cell>
          <cell r="Y41">
            <v>4.58E-2</v>
          </cell>
          <cell r="Z41">
            <v>23.329799999999999</v>
          </cell>
          <cell r="AA41">
            <v>23.283999999999999</v>
          </cell>
          <cell r="AB41" t="e">
            <v>#N/A</v>
          </cell>
          <cell r="AC41" t="e">
            <v>#N/A</v>
          </cell>
          <cell r="AD41" t="str">
            <v>0129-04</v>
          </cell>
          <cell r="AE4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42">
          <cell r="A42" t="str">
            <v>130-04</v>
          </cell>
          <cell r="B42">
            <v>4028</v>
          </cell>
          <cell r="C42" t="str">
            <v>DE.1.0.7.0</v>
          </cell>
          <cell r="D42" t="str">
            <v>204:232993</v>
          </cell>
          <cell r="E42">
            <v>42586.336053240739</v>
          </cell>
          <cell r="F42">
            <v>42586.338148148148</v>
          </cell>
          <cell r="G42">
            <v>3</v>
          </cell>
          <cell r="H42" t="str">
            <v>204:132</v>
          </cell>
          <cell r="I42">
            <v>42586.368020833332</v>
          </cell>
          <cell r="J42">
            <v>0</v>
          </cell>
          <cell r="K42" t="str">
            <v>4027/4028</v>
          </cell>
          <cell r="L42" t="str">
            <v>CLARK</v>
          </cell>
          <cell r="M42">
            <v>2.9872685183363501E-2</v>
          </cell>
          <cell r="N42">
            <v>43.016666664043441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https://search-rtdc-monitor-bjffxe2xuh6vdkpspy63sjmuny.us-east-1.es.amazonaws.com/_plugin/kibana/#/discover/Steve-Slow-Train-Analysis-(2080s-and-2083s)?_g=(refreshInterval:(display:Off,section:0,value:0),time:(from:'2016-08-04 07:03:55-0600',mode:absolute,to:'2016-08-04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2" t="str">
            <v>N</v>
          </cell>
          <cell r="X42">
            <v>1</v>
          </cell>
          <cell r="Y42">
            <v>23.299299999999999</v>
          </cell>
          <cell r="Z42">
            <v>1.32E-2</v>
          </cell>
          <cell r="AA42">
            <v>23.286099999999998</v>
          </cell>
          <cell r="AB42" t="e">
            <v>#N/A</v>
          </cell>
          <cell r="AC42" t="e">
            <v>#N/A</v>
          </cell>
          <cell r="AD42" t="str">
            <v>0130-04</v>
          </cell>
          <cell r="AE4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43">
          <cell r="A43" t="str">
            <v>131-04</v>
          </cell>
          <cell r="B43">
            <v>4029</v>
          </cell>
          <cell r="C43" t="str">
            <v>DE.1.0.7.0</v>
          </cell>
          <cell r="D43" t="str">
            <v>204:449</v>
          </cell>
          <cell r="E43">
            <v>42586.309502314813</v>
          </cell>
          <cell r="F43">
            <v>42586.310416666667</v>
          </cell>
          <cell r="G43">
            <v>1</v>
          </cell>
          <cell r="H43" t="str">
            <v>204:233324</v>
          </cell>
          <cell r="I43">
            <v>42586.338506944441</v>
          </cell>
          <cell r="J43">
            <v>0</v>
          </cell>
          <cell r="K43" t="str">
            <v>4029/4030</v>
          </cell>
          <cell r="L43" t="str">
            <v>SPECTOR</v>
          </cell>
          <cell r="M43">
            <v>2.8090277774026617E-2</v>
          </cell>
          <cell r="N43">
            <v>40.449999994598329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https://search-rtdc-monitor-bjffxe2xuh6vdkpspy63sjmuny.us-east-1.es.amazonaws.com/_plugin/kibana/#/discover/Steve-Slow-Train-Analysis-(2080s-and-2083s)?_g=(refreshInterval:(display:Off,section:0,value:0),time:(from:'2016-08-04 06:25:41-0600',mode:absolute,to:'2016-08-04 09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4.4900000000000002E-2</v>
          </cell>
          <cell r="Z43">
            <v>23.3324</v>
          </cell>
          <cell r="AA43">
            <v>23.287500000000001</v>
          </cell>
          <cell r="AB43" t="e">
            <v>#N/A</v>
          </cell>
          <cell r="AC43" t="e">
            <v>#N/A</v>
          </cell>
          <cell r="AD43" t="str">
            <v>0131-04</v>
          </cell>
          <cell r="AE4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44">
          <cell r="A44" t="str">
            <v>132-04</v>
          </cell>
          <cell r="B44">
            <v>4030</v>
          </cell>
          <cell r="C44" t="str">
            <v>DE.1.0.7.0</v>
          </cell>
          <cell r="D44" t="str">
            <v>204:233013</v>
          </cell>
          <cell r="E44">
            <v>42586.346018518518</v>
          </cell>
          <cell r="F44">
            <v>42586.347175925926</v>
          </cell>
          <cell r="G44">
            <v>1</v>
          </cell>
          <cell r="H44" t="str">
            <v>204:156</v>
          </cell>
          <cell r="I44">
            <v>42586.37903935185</v>
          </cell>
          <cell r="J44">
            <v>0</v>
          </cell>
          <cell r="K44" t="str">
            <v>4029/4030</v>
          </cell>
          <cell r="L44" t="str">
            <v>SPECTOR</v>
          </cell>
          <cell r="M44">
            <v>3.1863425923802424E-2</v>
          </cell>
          <cell r="N44">
            <v>45.883333330275491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https://search-rtdc-monitor-bjffxe2xuh6vdkpspy63sjmuny.us-east-1.es.amazonaws.com/_plugin/kibana/#/discover/Steve-Slow-Train-Analysis-(2080s-and-2083s)?_g=(refreshInterval:(display:Off,section:0,value:0),time:(from:'2016-08-04 07:18:16-0600',mode:absolute,to:'2016-08-04 10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23.301300000000001</v>
          </cell>
          <cell r="Z44">
            <v>1.5599999999999999E-2</v>
          </cell>
          <cell r="AA44">
            <v>23.285700000000002</v>
          </cell>
          <cell r="AB44" t="e">
            <v>#N/A</v>
          </cell>
          <cell r="AC44" t="e">
            <v>#N/A</v>
          </cell>
          <cell r="AD44" t="str">
            <v>0132-04</v>
          </cell>
          <cell r="AE4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45">
          <cell r="A45" t="str">
            <v>133-04</v>
          </cell>
          <cell r="B45">
            <v>4011</v>
          </cell>
          <cell r="C45" t="str">
            <v>DE.1.0.7.0</v>
          </cell>
          <cell r="D45" t="str">
            <v>204:462</v>
          </cell>
          <cell r="E45">
            <v>42586.321805555555</v>
          </cell>
          <cell r="F45">
            <v>42586.322650462964</v>
          </cell>
          <cell r="G45">
            <v>1</v>
          </cell>
          <cell r="H45" t="str">
            <v>204:233308</v>
          </cell>
          <cell r="I45">
            <v>42586.348483796297</v>
          </cell>
          <cell r="J45">
            <v>0</v>
          </cell>
          <cell r="K45" t="str">
            <v>4011/4012</v>
          </cell>
          <cell r="L45" t="str">
            <v>MALAVE</v>
          </cell>
          <cell r="M45">
            <v>2.5833333333139308E-2</v>
          </cell>
          <cell r="N45">
            <v>37.199999999720603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https://search-rtdc-monitor-bjffxe2xuh6vdkpspy63sjmuny.us-east-1.es.amazonaws.com/_plugin/kibana/#/discover/Steve-Slow-Train-Analysis-(2080s-and-2083s)?_g=(refreshInterval:(display:Off,section:0,value:0),time:(from:'2016-08-04 06:43:24-0600',mode:absolute,to:'2016-08-04 09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23.3308</v>
          </cell>
          <cell r="AA45">
            <v>23.284600000000001</v>
          </cell>
          <cell r="AB45" t="e">
            <v>#N/A</v>
          </cell>
          <cell r="AC45" t="e">
            <v>#N/A</v>
          </cell>
          <cell r="AD45" t="str">
            <v>0133-04</v>
          </cell>
          <cell r="AE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46">
          <cell r="A46" t="str">
            <v>134-04</v>
          </cell>
          <cell r="B46">
            <v>4012</v>
          </cell>
          <cell r="C46" t="str">
            <v>DE.1.0.7.0</v>
          </cell>
          <cell r="D46" t="str">
            <v>204:233000</v>
          </cell>
          <cell r="E46">
            <v>42586.359837962962</v>
          </cell>
          <cell r="F46">
            <v>42586.362002314818</v>
          </cell>
          <cell r="G46">
            <v>3</v>
          </cell>
          <cell r="H46" t="str">
            <v>204:149</v>
          </cell>
          <cell r="I46">
            <v>42586.390324074076</v>
          </cell>
          <cell r="J46">
            <v>1</v>
          </cell>
          <cell r="K46" t="str">
            <v>4011/4012</v>
          </cell>
          <cell r="L46" t="str">
            <v>MALAVE</v>
          </cell>
          <cell r="M46">
            <v>2.8321759258687962E-2</v>
          </cell>
          <cell r="N46">
            <v>40.783333332510665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https://search-rtdc-monitor-bjffxe2xuh6vdkpspy63sjmuny.us-east-1.es.amazonaws.com/_plugin/kibana/#/discover/Steve-Slow-Train-Analysis-(2080s-and-2083s)?_g=(refreshInterval:(display:Off,section:0,value:0),time:(from:'2016-08-04 07:38:10-0600',mode:absolute,to:'2016-08-04 10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6" t="str">
            <v>N</v>
          </cell>
          <cell r="X46">
            <v>1</v>
          </cell>
          <cell r="Y46">
            <v>23.3</v>
          </cell>
          <cell r="Z46">
            <v>1.49E-2</v>
          </cell>
          <cell r="AA46">
            <v>23.2851</v>
          </cell>
          <cell r="AB46">
            <v>37462</v>
          </cell>
          <cell r="AC46" t="str">
            <v>GRADE CROSSING</v>
          </cell>
          <cell r="AD46" t="str">
            <v>0134-04</v>
          </cell>
          <cell r="AE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47">
          <cell r="A47" t="str">
            <v>135-04</v>
          </cell>
          <cell r="B47">
            <v>4007</v>
          </cell>
          <cell r="C47" t="str">
            <v>DE.1.0.7.0</v>
          </cell>
          <cell r="D47" t="str">
            <v>204:458</v>
          </cell>
          <cell r="E47">
            <v>42586.329282407409</v>
          </cell>
          <cell r="F47">
            <v>42586.33048611111</v>
          </cell>
          <cell r="G47">
            <v>1</v>
          </cell>
          <cell r="H47" t="str">
            <v>204:233291</v>
          </cell>
          <cell r="I47">
            <v>42586.360219907408</v>
          </cell>
          <cell r="J47">
            <v>0</v>
          </cell>
          <cell r="K47" t="str">
            <v>4007/4008</v>
          </cell>
          <cell r="L47" t="str">
            <v>STRICKLAND</v>
          </cell>
          <cell r="M47">
            <v>2.973379629838746E-2</v>
          </cell>
          <cell r="N47">
            <v>42.816666669677943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https://search-rtdc-monitor-bjffxe2xuh6vdkpspy63sjmuny.us-east-1.es.amazonaws.com/_plugin/kibana/#/discover/Steve-Slow-Train-Analysis-(2080s-and-2083s)?_g=(refreshInterval:(display:Off,section:0,value:0),time:(from:'2016-08-04 06:54:10-0600',mode:absolute,to:'2016-08-04 09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4.58E-2</v>
          </cell>
          <cell r="Z47">
            <v>23.3291</v>
          </cell>
          <cell r="AA47">
            <v>23.283300000000001</v>
          </cell>
          <cell r="AB47" t="e">
            <v>#N/A</v>
          </cell>
          <cell r="AC47" t="e">
            <v>#N/A</v>
          </cell>
          <cell r="AD47" t="str">
            <v>0135-04</v>
          </cell>
          <cell r="AE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48">
          <cell r="A48" t="str">
            <v>136-04</v>
          </cell>
          <cell r="B48">
            <v>4008</v>
          </cell>
          <cell r="C48" t="str">
            <v>DE.1.0.7.0</v>
          </cell>
          <cell r="D48" t="str">
            <v>204:232975</v>
          </cell>
          <cell r="E48">
            <v>42586.365543981483</v>
          </cell>
          <cell r="F48">
            <v>42586.36645833333</v>
          </cell>
          <cell r="G48">
            <v>1</v>
          </cell>
          <cell r="H48" t="str">
            <v>204:160</v>
          </cell>
          <cell r="I48">
            <v>42586.402256944442</v>
          </cell>
          <cell r="J48">
            <v>1</v>
          </cell>
          <cell r="K48" t="str">
            <v>4007/4008</v>
          </cell>
          <cell r="L48" t="str">
            <v>STRICKLAND</v>
          </cell>
          <cell r="M48">
            <v>3.5798611112113576E-2</v>
          </cell>
          <cell r="N48">
            <v>51.55000000144355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https://search-rtdc-monitor-bjffxe2xuh6vdkpspy63sjmuny.us-east-1.es.amazonaws.com/_plugin/kibana/#/discover/Steve-Slow-Train-Analysis-(2080s-and-2083s)?_g=(refreshInterval:(display:Off,section:0,value:0),time:(from:'2016-08-04 07:46:23-0600',mode:absolute,to:'2016-08-04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>
            <v>33257</v>
          </cell>
          <cell r="AC48" t="str">
            <v>GRADE CROSSING</v>
          </cell>
          <cell r="AD48" t="str">
            <v>0136-04</v>
          </cell>
          <cell r="AE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49">
          <cell r="A49" t="str">
            <v>137-04</v>
          </cell>
          <cell r="B49">
            <v>4025</v>
          </cell>
          <cell r="C49" t="str">
            <v>DE.1.0.7.0</v>
          </cell>
          <cell r="D49" t="str">
            <v>204:458</v>
          </cell>
          <cell r="E49">
            <v>42586.340844907405</v>
          </cell>
          <cell r="F49">
            <v>42586.342199074075</v>
          </cell>
          <cell r="G49">
            <v>1</v>
          </cell>
          <cell r="H49" t="str">
            <v>204:233302</v>
          </cell>
          <cell r="I49">
            <v>42586.368854166663</v>
          </cell>
          <cell r="J49">
            <v>0</v>
          </cell>
          <cell r="K49" t="str">
            <v>4025/4026</v>
          </cell>
          <cell r="L49" t="str">
            <v>SANTIZO</v>
          </cell>
          <cell r="M49">
            <v>2.6655092588043772E-2</v>
          </cell>
          <cell r="N49">
            <v>38.383333326783031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https://search-rtdc-monitor-bjffxe2xuh6vdkpspy63sjmuny.us-east-1.es.amazonaws.com/_plugin/kibana/#/discover/Steve-Slow-Train-Analysis-(2080s-and-2083s)?_g=(refreshInterval:(display:Off,section:0,value:0),time:(from:'2016-08-04 07:10:49-0600',mode:absolute,to:'2016-08-04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N</v>
          </cell>
          <cell r="X49">
            <v>1</v>
          </cell>
          <cell r="Y49">
            <v>4.58E-2</v>
          </cell>
          <cell r="Z49">
            <v>23.330200000000001</v>
          </cell>
          <cell r="AA49">
            <v>23.284400000000002</v>
          </cell>
          <cell r="AB49" t="e">
            <v>#N/A</v>
          </cell>
          <cell r="AC49" t="e">
            <v>#N/A</v>
          </cell>
          <cell r="AD49" t="str">
            <v>0137-04</v>
          </cell>
          <cell r="AE4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50">
          <cell r="A50" t="str">
            <v>138-04</v>
          </cell>
          <cell r="B50">
            <v>4026</v>
          </cell>
          <cell r="C50" t="str">
            <v>DE.1.0.7.0</v>
          </cell>
          <cell r="D50" t="str">
            <v>204:232994</v>
          </cell>
          <cell r="E50">
            <v>42586.370451388888</v>
          </cell>
          <cell r="F50">
            <v>42586.371215277781</v>
          </cell>
          <cell r="G50">
            <v>1</v>
          </cell>
          <cell r="H50" t="str">
            <v>204:145</v>
          </cell>
          <cell r="I50">
            <v>42586.408900462964</v>
          </cell>
          <cell r="J50">
            <v>0</v>
          </cell>
          <cell r="K50" t="str">
            <v>4025/4026</v>
          </cell>
          <cell r="L50" t="str">
            <v>SANTIZO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https://search-rtdc-monitor-bjffxe2xuh6vdkpspy63sjmuny.us-east-1.es.amazonaws.com/_plugin/kibana/#/discover/Steve-Slow-Train-Analysis-(2080s-and-2083s)?_g=(refreshInterval:(display:Off,section:0,value:0),time:(from:'2016-08-04 07:53:27-0600',mode:absolute,to:'2016-08-04 10:48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23.299399999999999</v>
          </cell>
          <cell r="Z50">
            <v>1.4500000000000001E-2</v>
          </cell>
          <cell r="AA50">
            <v>23.284899999999997</v>
          </cell>
          <cell r="AB50" t="e">
            <v>#N/A</v>
          </cell>
          <cell r="AC50" t="e">
            <v>#N/A</v>
          </cell>
          <cell r="AD50" t="str">
            <v>0138-04</v>
          </cell>
          <cell r="AE5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51">
          <cell r="A51" t="str">
            <v>139-04</v>
          </cell>
          <cell r="B51">
            <v>4038</v>
          </cell>
          <cell r="C51" t="str">
            <v>DE.1.0.7.0</v>
          </cell>
          <cell r="D51" t="str">
            <v>204:451</v>
          </cell>
          <cell r="E51">
            <v>42586.354097222225</v>
          </cell>
          <cell r="F51">
            <v>42586.355416666665</v>
          </cell>
          <cell r="G51">
            <v>1</v>
          </cell>
          <cell r="H51" t="str">
            <v>204:233297</v>
          </cell>
          <cell r="I51">
            <v>42586.38208333333</v>
          </cell>
          <cell r="J51">
            <v>1</v>
          </cell>
          <cell r="K51" t="str">
            <v>4037/4038</v>
          </cell>
          <cell r="L51" t="str">
            <v>STARKS</v>
          </cell>
          <cell r="M51">
            <v>2.6666666664823424E-2</v>
          </cell>
          <cell r="N51">
            <v>38.399999997345731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https://search-rtdc-monitor-bjffxe2xuh6vdkpspy63sjmuny.us-east-1.es.amazonaws.com/_plugin/kibana/#/discover/Steve-Slow-Train-Analysis-(2080s-and-2083s)?_g=(refreshInterval:(display:Off,section:0,value:0),time:(from:'2016-08-04 07:29:54-0600',mode:absolute,to:'2016-08-04 10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23.329699999999999</v>
          </cell>
          <cell r="AA51">
            <v>23.284599999999998</v>
          </cell>
          <cell r="AB51">
            <v>224231</v>
          </cell>
          <cell r="AC51" t="str">
            <v>SIGNAL</v>
          </cell>
          <cell r="AD51" t="str">
            <v>0139-04</v>
          </cell>
          <cell r="AE5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52">
          <cell r="A52" t="str">
            <v>140-04</v>
          </cell>
          <cell r="B52">
            <v>4037</v>
          </cell>
          <cell r="C52" t="str">
            <v>DE.1.0.7.0</v>
          </cell>
          <cell r="D52" t="str">
            <v>204:232980</v>
          </cell>
          <cell r="E52">
            <v>42586.39162037037</v>
          </cell>
          <cell r="F52">
            <v>42586.392824074072</v>
          </cell>
          <cell r="G52">
            <v>1</v>
          </cell>
          <cell r="H52" t="str">
            <v>204:149</v>
          </cell>
          <cell r="I52">
            <v>42586.421226851853</v>
          </cell>
          <cell r="J52">
            <v>1</v>
          </cell>
          <cell r="K52" t="str">
            <v>4037/4038</v>
          </cell>
          <cell r="L52" t="str">
            <v>STARKS</v>
          </cell>
          <cell r="M52">
            <v>2.8402777781593613E-2</v>
          </cell>
          <cell r="N52">
            <v>40.900000005494803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https://search-rtdc-monitor-bjffxe2xuh6vdkpspy63sjmuny.us-east-1.es.amazonaws.com/_plugin/kibana/#/discover/Steve-Slow-Train-Analysis-(2080s-and-2083s)?_g=(refreshInterval:(display:Off,section:0,value:0),time:(from:'2016-08-04 08:23:56-0600',mode:absolute,to:'2016-08-04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23.297999999999998</v>
          </cell>
          <cell r="Z52">
            <v>1.49E-2</v>
          </cell>
          <cell r="AA52">
            <v>23.283099999999997</v>
          </cell>
          <cell r="AB52">
            <v>30562</v>
          </cell>
          <cell r="AC52" t="str">
            <v>PERMANENT SPEED RESTRICTION</v>
          </cell>
          <cell r="AD52" t="str">
            <v>0140-04</v>
          </cell>
          <cell r="AE5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53">
          <cell r="A53" t="str">
            <v>141-04</v>
          </cell>
          <cell r="B53">
            <v>4031</v>
          </cell>
          <cell r="C53" t="str">
            <v>DE.1.0.7.0</v>
          </cell>
          <cell r="D53" t="str">
            <v>204:455</v>
          </cell>
          <cell r="E53">
            <v>42586.363530092596</v>
          </cell>
          <cell r="F53">
            <v>42586.364479166667</v>
          </cell>
          <cell r="G53">
            <v>1</v>
          </cell>
          <cell r="H53" t="str">
            <v>204:223985</v>
          </cell>
          <cell r="I53">
            <v>42586.388425925928</v>
          </cell>
          <cell r="J53">
            <v>1</v>
          </cell>
          <cell r="K53" t="str">
            <v>4031/4032</v>
          </cell>
          <cell r="L53" t="str">
            <v>MAELZER</v>
          </cell>
          <cell r="M53">
            <v>2.3946759261889383E-2</v>
          </cell>
          <cell r="P53">
            <v>34.483333337120712</v>
          </cell>
          <cell r="R53" t="str">
            <v>Wi-MAX outage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https://search-rtdc-monitor-bjffxe2xuh6vdkpspy63sjmuny.us-east-1.es.amazonaws.com/_plugin/kibana/#/discover/Steve-Slow-Train-Analysis-(2080s-and-2083s)?_g=(refreshInterval:(display:Off,section:0,value:0),time:(from:'2016-08-04 07:43:29-0600',mode:absolute,to:'2016-08-04 10:19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3" t="str">
            <v>Y</v>
          </cell>
          <cell r="X53">
            <v>1</v>
          </cell>
          <cell r="Y53">
            <v>4.5499999999999999E-2</v>
          </cell>
          <cell r="Z53">
            <v>22.398499999999999</v>
          </cell>
          <cell r="AA53">
            <v>22.352999999999998</v>
          </cell>
          <cell r="AB53">
            <v>224231</v>
          </cell>
          <cell r="AC53" t="str">
            <v>SIGNAL</v>
          </cell>
          <cell r="AD53" t="str">
            <v>0141-04</v>
          </cell>
          <cell r="AE5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54">
          <cell r="A54" t="str">
            <v>142-04</v>
          </cell>
          <cell r="B54">
            <v>4032</v>
          </cell>
          <cell r="C54" t="str">
            <v>DE.1.0.7.0</v>
          </cell>
          <cell r="D54" t="str">
            <v>204:232981</v>
          </cell>
          <cell r="E54">
            <v>42586.399606481478</v>
          </cell>
          <cell r="F54">
            <v>42586.400312500002</v>
          </cell>
          <cell r="G54">
            <v>1</v>
          </cell>
          <cell r="H54" t="str">
            <v>204:138</v>
          </cell>
          <cell r="I54">
            <v>42586.429837962962</v>
          </cell>
          <cell r="J54">
            <v>0</v>
          </cell>
          <cell r="K54" t="str">
            <v>4031/4032</v>
          </cell>
          <cell r="L54" t="str">
            <v>MAELZER</v>
          </cell>
          <cell r="M54">
            <v>2.9525462960009463E-2</v>
          </cell>
          <cell r="N54">
            <v>42.516666662413627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https://search-rtdc-monitor-bjffxe2xuh6vdkpspy63sjmuny.us-east-1.es.amazonaws.com/_plugin/kibana/#/discover/Steve-Slow-Train-Analysis-(2080s-and-2083s)?_g=(refreshInterval:(display:Off,section:0,value:0),time:(from:'2016-08-04 08:35:26-0600',mode:absolute,to:'2016-08-04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4" t="str">
            <v>N</v>
          </cell>
          <cell r="X54">
            <v>1</v>
          </cell>
          <cell r="Y54">
            <v>23.298100000000002</v>
          </cell>
          <cell r="Z54">
            <v>1.38E-2</v>
          </cell>
          <cell r="AA54">
            <v>23.284300000000002</v>
          </cell>
          <cell r="AB54" t="e">
            <v>#N/A</v>
          </cell>
          <cell r="AC54" t="e">
            <v>#N/A</v>
          </cell>
          <cell r="AD54" t="str">
            <v>0142-04</v>
          </cell>
          <cell r="AE5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55">
          <cell r="A55" t="str">
            <v>143-04</v>
          </cell>
          <cell r="B55">
            <v>4027</v>
          </cell>
          <cell r="C55" t="str">
            <v>DE.1.0.7.0</v>
          </cell>
          <cell r="D55" t="str">
            <v>204:449</v>
          </cell>
          <cell r="E55">
            <v>42586.370787037034</v>
          </cell>
          <cell r="F55">
            <v>42586.372210648151</v>
          </cell>
          <cell r="G55">
            <v>2</v>
          </cell>
          <cell r="H55" t="str">
            <v>204:233301</v>
          </cell>
          <cell r="I55">
            <v>42586.400324074071</v>
          </cell>
          <cell r="J55">
            <v>0</v>
          </cell>
          <cell r="K55" t="str">
            <v>4027/4028</v>
          </cell>
          <cell r="L55" t="str">
            <v>CLARK</v>
          </cell>
          <cell r="M55">
            <v>2.8113425920309965E-2</v>
          </cell>
          <cell r="N55">
            <v>40.483333325246349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https://search-rtdc-monitor-bjffxe2xuh6vdkpspy63sjmuny.us-east-1.es.amazonaws.com/_plugin/kibana/#/discover/Steve-Slow-Train-Analysis-(2080s-and-2083s)?_g=(refreshInterval:(display:Off,section:0,value:0),time:(from:'2016-08-04 07:53:56-0600',mode:absolute,to:'2016-08-04 10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5" t="str">
            <v>N</v>
          </cell>
          <cell r="X55">
            <v>1</v>
          </cell>
          <cell r="Y55">
            <v>4.4900000000000002E-2</v>
          </cell>
          <cell r="Z55">
            <v>23.330100000000002</v>
          </cell>
          <cell r="AA55">
            <v>23.285200000000003</v>
          </cell>
          <cell r="AB55" t="e">
            <v>#N/A</v>
          </cell>
          <cell r="AC55" t="e">
            <v>#N/A</v>
          </cell>
          <cell r="AD55" t="str">
            <v>0143-04</v>
          </cell>
          <cell r="AE5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56">
          <cell r="A56" t="str">
            <v>144-04</v>
          </cell>
          <cell r="B56">
            <v>4028</v>
          </cell>
          <cell r="C56" t="str">
            <v>DE.1.0.7.0</v>
          </cell>
          <cell r="D56" t="str">
            <v>204:232994</v>
          </cell>
          <cell r="E56">
            <v>42586.410474537035</v>
          </cell>
          <cell r="F56">
            <v>42586.411574074074</v>
          </cell>
          <cell r="G56">
            <v>1</v>
          </cell>
          <cell r="H56" t="str">
            <v>204:145</v>
          </cell>
          <cell r="I56">
            <v>42586.440370370372</v>
          </cell>
          <cell r="J56">
            <v>0</v>
          </cell>
          <cell r="K56" t="str">
            <v>4027/4028</v>
          </cell>
          <cell r="L56" t="str">
            <v>CLARK</v>
          </cell>
          <cell r="M56">
            <v>2.8796296297514345E-2</v>
          </cell>
          <cell r="N56">
            <v>41.466666668420658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https://search-rtdc-monitor-bjffxe2xuh6vdkpspy63sjmuny.us-east-1.es.amazonaws.com/_plugin/kibana/#/discover/Steve-Slow-Train-Analysis-(2080s-and-2083s)?_g=(refreshInterval:(display:Off,section:0,value:0),time:(from:'2016-08-04 08:51:05-0600',mode:absolute,to:'2016-08-04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6" t="str">
            <v>N</v>
          </cell>
          <cell r="X56">
            <v>1</v>
          </cell>
          <cell r="Y56">
            <v>23.299399999999999</v>
          </cell>
          <cell r="Z56">
            <v>1.4500000000000001E-2</v>
          </cell>
          <cell r="AA56">
            <v>23.284899999999997</v>
          </cell>
          <cell r="AB56" t="e">
            <v>#N/A</v>
          </cell>
          <cell r="AC56" t="e">
            <v>#N/A</v>
          </cell>
          <cell r="AD56" t="str">
            <v>0144-04</v>
          </cell>
          <cell r="AE5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57">
          <cell r="A57" t="str">
            <v>145-04</v>
          </cell>
          <cell r="B57">
            <v>4029</v>
          </cell>
          <cell r="C57" t="str">
            <v>DE.1.0.7.0</v>
          </cell>
          <cell r="D57" t="str">
            <v>204:442</v>
          </cell>
          <cell r="E57">
            <v>42586.381643518522</v>
          </cell>
          <cell r="F57">
            <v>42586.382372685184</v>
          </cell>
          <cell r="G57">
            <v>1</v>
          </cell>
          <cell r="H57" t="str">
            <v>204:233315</v>
          </cell>
          <cell r="I57">
            <v>42586.411805555559</v>
          </cell>
          <cell r="J57">
            <v>0</v>
          </cell>
          <cell r="K57" t="str">
            <v>4029/4030</v>
          </cell>
          <cell r="L57" t="str">
            <v>SPECTOR</v>
          </cell>
          <cell r="M57">
            <v>2.9432870374876074E-2</v>
          </cell>
          <cell r="N57">
            <v>42.383333339821547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https://search-rtdc-monitor-bjffxe2xuh6vdkpspy63sjmuny.us-east-1.es.amazonaws.com/_plugin/kibana/#/discover/Steve-Slow-Train-Analysis-(2080s-and-2083s)?_g=(refreshInterval:(display:Off,section:0,value:0),time:(from:'2016-08-04 08:09:34-0600',mode:absolute,to:'2016-08-04 10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23.331499999999998</v>
          </cell>
          <cell r="AA57">
            <v>23.287299999999998</v>
          </cell>
          <cell r="AB57" t="e">
            <v>#N/A</v>
          </cell>
          <cell r="AC57" t="e">
            <v>#N/A</v>
          </cell>
          <cell r="AD57" t="str">
            <v>0145-04</v>
          </cell>
          <cell r="AE5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58">
          <cell r="A58" t="str">
            <v>146-04</v>
          </cell>
          <cell r="B58">
            <v>4030</v>
          </cell>
          <cell r="C58" t="str">
            <v>DE.1.0.7.0</v>
          </cell>
          <cell r="D58" t="str">
            <v>204:233000</v>
          </cell>
          <cell r="E58">
            <v>42586.418032407404</v>
          </cell>
          <cell r="F58">
            <v>42586.4221875</v>
          </cell>
          <cell r="G58">
            <v>5</v>
          </cell>
          <cell r="H58" t="str">
            <v>204:150</v>
          </cell>
          <cell r="I58">
            <v>42586.451562499999</v>
          </cell>
          <cell r="J58">
            <v>0</v>
          </cell>
          <cell r="K58" t="str">
            <v>4029/4030</v>
          </cell>
          <cell r="L58" t="str">
            <v>SPECTOR</v>
          </cell>
          <cell r="M58">
            <v>2.937499999825377E-2</v>
          </cell>
          <cell r="N58">
            <v>42.299999997485429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https://search-rtdc-monitor-bjffxe2xuh6vdkpspy63sjmuny.us-east-1.es.amazonaws.com/_plugin/kibana/#/discover/Steve-Slow-Train-Analysis-(2080s-and-2083s)?_g=(refreshInterval:(display:Off,section:0,value:0),time:(from:'2016-08-04 09:01:58-0600',mode:absolute,to:'2016-08-04 11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23.3</v>
          </cell>
          <cell r="Z58">
            <v>1.4999999999999999E-2</v>
          </cell>
          <cell r="AA58">
            <v>23.285</v>
          </cell>
          <cell r="AB58" t="e">
            <v>#N/A</v>
          </cell>
          <cell r="AC58" t="e">
            <v>#N/A</v>
          </cell>
          <cell r="AD58" t="str">
            <v>0146-04</v>
          </cell>
          <cell r="AE5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59">
          <cell r="A59" t="str">
            <v>147-04</v>
          </cell>
          <cell r="B59">
            <v>4011</v>
          </cell>
          <cell r="C59" t="str">
            <v>DE.1.0.7.0</v>
          </cell>
          <cell r="D59" t="str">
            <v>204:460</v>
          </cell>
          <cell r="E59">
            <v>42586.394432870373</v>
          </cell>
          <cell r="F59">
            <v>42586.395254629628</v>
          </cell>
          <cell r="G59">
            <v>1</v>
          </cell>
          <cell r="H59" t="str">
            <v>204:233291</v>
          </cell>
          <cell r="I59">
            <v>42586.421724537038</v>
          </cell>
          <cell r="J59">
            <v>0</v>
          </cell>
          <cell r="K59" t="str">
            <v>4011/4012</v>
          </cell>
          <cell r="L59" t="str">
            <v>MALAVE</v>
          </cell>
          <cell r="M59">
            <v>2.6469907410501037E-2</v>
          </cell>
          <cell r="N59">
            <v>38.116666671121493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https://search-rtdc-monitor-bjffxe2xuh6vdkpspy63sjmuny.us-east-1.es.amazonaws.com/_plugin/kibana/#/discover/Steve-Slow-Train-Analysis-(2080s-and-2083s)?_g=(refreshInterval:(display:Off,section:0,value:0),time:(from:'2016-08-04 08:27:59-0600',mode:absolute,to:'2016-08-04 11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23.3291</v>
          </cell>
          <cell r="AA59">
            <v>23.283100000000001</v>
          </cell>
          <cell r="AB59" t="e">
            <v>#N/A</v>
          </cell>
          <cell r="AC59" t="e">
            <v>#N/A</v>
          </cell>
          <cell r="AD59" t="str">
            <v>0147-04</v>
          </cell>
          <cell r="AE5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60">
          <cell r="A60" t="str">
            <v>148-04</v>
          </cell>
          <cell r="B60">
            <v>4012</v>
          </cell>
          <cell r="C60" t="str">
            <v>DE.1.0.7.0</v>
          </cell>
          <cell r="D60" t="str">
            <v>204:232961</v>
          </cell>
          <cell r="E60">
            <v>42586.433344907404</v>
          </cell>
          <cell r="F60">
            <v>42586.434861111113</v>
          </cell>
          <cell r="G60">
            <v>2</v>
          </cell>
          <cell r="H60" t="str">
            <v>204:181</v>
          </cell>
          <cell r="I60">
            <v>42586.462696759256</v>
          </cell>
          <cell r="J60">
            <v>2</v>
          </cell>
          <cell r="K60" t="str">
            <v>4011/4012</v>
          </cell>
          <cell r="L60" t="str">
            <v>MALAVE</v>
          </cell>
          <cell r="M60">
            <v>2.7835648143081926E-2</v>
          </cell>
          <cell r="N60">
            <v>40.083333326037973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0" t="str">
            <v>N</v>
          </cell>
          <cell r="X60">
            <v>1</v>
          </cell>
          <cell r="Y60">
            <v>23.296099999999999</v>
          </cell>
          <cell r="Z60">
            <v>1.8100000000000002E-2</v>
          </cell>
          <cell r="AA60">
            <v>23.277999999999999</v>
          </cell>
          <cell r="AB60" t="e">
            <v>#N/A</v>
          </cell>
          <cell r="AC60" t="e">
            <v>#N/A</v>
          </cell>
          <cell r="AD60" t="str">
            <v>0148-04</v>
          </cell>
          <cell r="AE6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61">
          <cell r="A61" t="str">
            <v>149-04</v>
          </cell>
          <cell r="B61">
            <v>4007</v>
          </cell>
          <cell r="C61" t="str">
            <v>DE.1.0.7.0</v>
          </cell>
          <cell r="D61" t="str">
            <v>204:464</v>
          </cell>
          <cell r="E61">
            <v>42586.404097222221</v>
          </cell>
          <cell r="F61">
            <v>42586.405046296299</v>
          </cell>
          <cell r="G61">
            <v>1</v>
          </cell>
          <cell r="H61" t="str">
            <v>204:233306</v>
          </cell>
          <cell r="I61">
            <v>42586.433541666665</v>
          </cell>
          <cell r="J61">
            <v>1</v>
          </cell>
          <cell r="K61" t="str">
            <v>4007/4008</v>
          </cell>
          <cell r="L61" t="str">
            <v>STRICKLAND</v>
          </cell>
          <cell r="M61">
            <v>2.8495370366727002E-2</v>
          </cell>
          <cell r="N61">
            <v>41.033333328086883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https://search-rtdc-monitor-bjffxe2xuh6vdkpspy63sjmuny.us-east-1.es.amazonaws.com/_plugin/kibana/#/discover/Steve-Slow-Train-Analysis-(2080s-and-2083s)?_g=(refreshInterval:(display:Off,section:0,value:0),time:(from:'2016-08-04 08:41:54-0600',mode:absolute,to:'2016-08-04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>
            <v>230436</v>
          </cell>
          <cell r="AC61" t="str">
            <v>PERMANENT SPEED RESTRICTION</v>
          </cell>
          <cell r="AD61" t="str">
            <v>0149-04</v>
          </cell>
          <cell r="AE6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62">
          <cell r="A62" t="str">
            <v>150-04</v>
          </cell>
          <cell r="B62">
            <v>4008</v>
          </cell>
          <cell r="C62" t="str">
            <v>DE.1.0.7.0</v>
          </cell>
          <cell r="D62" t="str">
            <v>204:232985</v>
          </cell>
          <cell r="E62">
            <v>42586.440196759257</v>
          </cell>
          <cell r="F62">
            <v>42586.441145833334</v>
          </cell>
          <cell r="G62">
            <v>1</v>
          </cell>
          <cell r="H62" t="str">
            <v>204:143</v>
          </cell>
          <cell r="I62">
            <v>42586.472870370373</v>
          </cell>
          <cell r="J62">
            <v>2</v>
          </cell>
          <cell r="K62" t="str">
            <v>4007/4008</v>
          </cell>
          <cell r="L62" t="str">
            <v>STRICKLAND</v>
          </cell>
          <cell r="M62">
            <v>3.1724537038826384E-2</v>
          </cell>
          <cell r="N62">
            <v>45.683333335909992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23.298500000000001</v>
          </cell>
          <cell r="Z62">
            <v>1.43E-2</v>
          </cell>
          <cell r="AA62">
            <v>23.284200000000002</v>
          </cell>
          <cell r="AB62">
            <v>183829</v>
          </cell>
          <cell r="AC62" t="str">
            <v>PERMANENT SPEED RESTRICTION</v>
          </cell>
          <cell r="AD62" t="str">
            <v>0150-04</v>
          </cell>
          <cell r="AE6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63">
          <cell r="A63" t="str">
            <v>151-04</v>
          </cell>
          <cell r="B63">
            <v>4025</v>
          </cell>
          <cell r="C63" t="str">
            <v>DE.1.0.7.0</v>
          </cell>
          <cell r="D63" t="str">
            <v>204:457</v>
          </cell>
          <cell r="E63">
            <v>42586.413124999999</v>
          </cell>
          <cell r="F63">
            <v>42586.414074074077</v>
          </cell>
          <cell r="G63">
            <v>1</v>
          </cell>
          <cell r="H63" t="str">
            <v>204:233293</v>
          </cell>
          <cell r="I63">
            <v>42586.441655092596</v>
          </cell>
          <cell r="J63">
            <v>0</v>
          </cell>
          <cell r="K63" t="str">
            <v>4025/4026</v>
          </cell>
          <cell r="L63" t="str">
            <v>SANTIZO</v>
          </cell>
          <cell r="M63">
            <v>2.7581018519413192E-2</v>
          </cell>
          <cell r="N63">
            <v>39.716666667954996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https://search-rtdc-monitor-bjffxe2xuh6vdkpspy63sjmuny.us-east-1.es.amazonaws.com/_plugin/kibana/#/discover/Steve-Slow-Train-Analysis-(2080s-and-2083s)?_g=(refreshInterval:(display:Off,section:0,value:0),time:(from:'2016-08-04 08:54:54-0600',mode:absolute,to:'2016-08-04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4.5699999999999998E-2</v>
          </cell>
          <cell r="Z63">
            <v>23.3293</v>
          </cell>
          <cell r="AA63">
            <v>23.2836</v>
          </cell>
          <cell r="AB63" t="e">
            <v>#N/A</v>
          </cell>
          <cell r="AC63" t="e">
            <v>#N/A</v>
          </cell>
          <cell r="AD63" t="str">
            <v>0151-04</v>
          </cell>
          <cell r="AE63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64">
          <cell r="A64" t="str">
            <v>152-04</v>
          </cell>
          <cell r="B64">
            <v>4026</v>
          </cell>
          <cell r="C64" t="str">
            <v>DE.1.0.7.0</v>
          </cell>
          <cell r="D64" t="str">
            <v>204:232973</v>
          </cell>
          <cell r="E64">
            <v>42586.443379629629</v>
          </cell>
          <cell r="F64">
            <v>42586.444050925929</v>
          </cell>
          <cell r="G64">
            <v>0</v>
          </cell>
          <cell r="H64" t="str">
            <v>204:149</v>
          </cell>
          <cell r="I64">
            <v>42586.484120370369</v>
          </cell>
          <cell r="J64">
            <v>0</v>
          </cell>
          <cell r="K64" t="str">
            <v>4025/4026</v>
          </cell>
          <cell r="L64" t="str">
            <v>SANTIZO</v>
          </cell>
          <cell r="M64">
            <v>4.0069444439723156E-2</v>
          </cell>
          <cell r="N64">
            <v>57.699999993201345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https://search-rtdc-monitor-bjffxe2xuh6vdkpspy63sjmuny.us-east-1.es.amazonaws.com/_plugin/kibana/#/discover/Steve-Slow-Train-Analysis-(2080s-and-2083s)?_g=(refreshInterval:(display:Off,section:0,value:0),time:(from:'2016-08-04 09:38:28-0600',mode:absolute,to:'2016-08-04 12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23.2973</v>
          </cell>
          <cell r="Z64">
            <v>1.49E-2</v>
          </cell>
          <cell r="AA64">
            <v>23.282399999999999</v>
          </cell>
          <cell r="AB64" t="e">
            <v>#N/A</v>
          </cell>
          <cell r="AC64" t="e">
            <v>#N/A</v>
          </cell>
          <cell r="AD64" t="str">
            <v>0152-04</v>
          </cell>
          <cell r="AE64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65">
          <cell r="A65" t="str">
            <v>153-04</v>
          </cell>
          <cell r="B65">
            <v>4038</v>
          </cell>
          <cell r="C65" t="str">
            <v>DE.1.0.7.0</v>
          </cell>
          <cell r="D65" t="str">
            <v>204:473</v>
          </cell>
          <cell r="E65">
            <v>42586.423784722225</v>
          </cell>
          <cell r="F65">
            <v>42586.424490740741</v>
          </cell>
          <cell r="G65">
            <v>1</v>
          </cell>
          <cell r="H65" t="str">
            <v>204:233287</v>
          </cell>
          <cell r="I65">
            <v>42586.45239583333</v>
          </cell>
          <cell r="J65">
            <v>0</v>
          </cell>
          <cell r="K65" t="str">
            <v>4037/4038</v>
          </cell>
          <cell r="L65" t="str">
            <v>STARKS</v>
          </cell>
          <cell r="M65">
            <v>2.7905092589207925E-2</v>
          </cell>
          <cell r="N65">
            <v>40.183333328459412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https://search-rtdc-monitor-bjffxe2xuh6vdkpspy63sjmuny.us-east-1.es.amazonaws.com/_plugin/kibana/#/discover/Steve-Slow-Train-Analysis-(2080s-and-2083s)?_g=(refreshInterval:(display:Off,section:0,value:0),time:(from:'2016-08-04 09:10:15-0600',mode:absolute,to:'2016-08-04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4.7300000000000002E-2</v>
          </cell>
          <cell r="Z65">
            <v>23.328700000000001</v>
          </cell>
          <cell r="AA65">
            <v>23.281400000000001</v>
          </cell>
          <cell r="AB65" t="e">
            <v>#N/A</v>
          </cell>
          <cell r="AC65" t="e">
            <v>#N/A</v>
          </cell>
          <cell r="AD65" t="str">
            <v>0153-04</v>
          </cell>
          <cell r="AE65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66">
          <cell r="A66" t="str">
            <v>154-04</v>
          </cell>
          <cell r="B66">
            <v>4037</v>
          </cell>
          <cell r="C66" t="str">
            <v>DE.1.0.7.0</v>
          </cell>
          <cell r="D66" t="str">
            <v>204:232977</v>
          </cell>
          <cell r="E66">
            <v>42586.463831018518</v>
          </cell>
          <cell r="F66">
            <v>42586.464872685188</v>
          </cell>
          <cell r="G66">
            <v>1</v>
          </cell>
          <cell r="H66" t="str">
            <v>204:154</v>
          </cell>
          <cell r="I66">
            <v>42586.496030092596</v>
          </cell>
          <cell r="J66">
            <v>0</v>
          </cell>
          <cell r="K66" t="str">
            <v>4037/4038</v>
          </cell>
          <cell r="L66" t="str">
            <v>STARKS</v>
          </cell>
          <cell r="M66">
            <v>3.1157407407590654E-2</v>
          </cell>
          <cell r="N66">
            <v>44.866666666930541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https://search-rtdc-monitor-bjffxe2xuh6vdkpspy63sjmuny.us-east-1.es.amazonaws.com/_plugin/kibana/#/discover/Steve-Slow-Train-Analysis-(2080s-and-2083s)?_g=(refreshInterval:(display:Off,section:0,value:0),time:(from:'2016-08-04 10:07:55-0600',mode:absolute,to:'2016-08-04 12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23.297699999999999</v>
          </cell>
          <cell r="Z66">
            <v>1.54E-2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0154-04</v>
          </cell>
          <cell r="AE66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67">
          <cell r="A67" t="str">
            <v>155-04</v>
          </cell>
          <cell r="B67">
            <v>4031</v>
          </cell>
          <cell r="C67" t="str">
            <v>DE.1.0.7.0</v>
          </cell>
          <cell r="D67" t="str">
            <v>204:469</v>
          </cell>
          <cell r="E67">
            <v>42586.432928240742</v>
          </cell>
          <cell r="F67">
            <v>42586.434351851851</v>
          </cell>
          <cell r="G67">
            <v>2</v>
          </cell>
          <cell r="H67" t="str">
            <v>204:233301</v>
          </cell>
          <cell r="I67">
            <v>42586.46197916667</v>
          </cell>
          <cell r="J67">
            <v>0</v>
          </cell>
          <cell r="K67" t="str">
            <v>4031/4032</v>
          </cell>
          <cell r="L67" t="str">
            <v>YORK</v>
          </cell>
          <cell r="M67">
            <v>2.7627314819255844E-2</v>
          </cell>
          <cell r="N67">
            <v>39.783333339728415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https://search-rtdc-monitor-bjffxe2xuh6vdkpspy63sjmuny.us-east-1.es.amazonaws.com/_plugin/kibana/#/discover/Steve-Slow-Train-Analysis-(2080s-and-2083s)?_g=(refreshInterval:(display:Off,section:0,value:0),time:(from:'2016-08-04 09:23:25-0600',mode:absolute,to:'2016-08-04 12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23.330100000000002</v>
          </cell>
          <cell r="AA67">
            <v>23.283200000000001</v>
          </cell>
          <cell r="AB67" t="e">
            <v>#N/A</v>
          </cell>
          <cell r="AC67" t="e">
            <v>#N/A</v>
          </cell>
          <cell r="AD67" t="str">
            <v>0155-04</v>
          </cell>
          <cell r="AE67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68">
          <cell r="A68" t="str">
            <v>156-04</v>
          </cell>
          <cell r="B68">
            <v>4032</v>
          </cell>
          <cell r="C68" t="str">
            <v>DE.1.0.7.0</v>
          </cell>
          <cell r="D68" t="str">
            <v>204:232980</v>
          </cell>
          <cell r="E68">
            <v>42586.466249999998</v>
          </cell>
          <cell r="F68">
            <v>42586.467002314814</v>
          </cell>
          <cell r="G68">
            <v>1</v>
          </cell>
          <cell r="H68" t="str">
            <v>204:165</v>
          </cell>
          <cell r="I68">
            <v>42586.503483796296</v>
          </cell>
          <cell r="J68">
            <v>0</v>
          </cell>
          <cell r="K68" t="str">
            <v>4031/4032</v>
          </cell>
          <cell r="L68" t="str">
            <v>YORK</v>
          </cell>
          <cell r="M68">
            <v>3.6481481482042E-2</v>
          </cell>
          <cell r="N68">
            <v>52.53333333414048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https://search-rtdc-monitor-bjffxe2xuh6vdkpspy63sjmuny.us-east-1.es.amazonaws.com/_plugin/kibana/#/discover/Steve-Slow-Train-Analysis-(2080s-and-2083s)?_g=(refreshInterval:(display:Off,section:0,value:0),time:(from:'2016-08-04 10:11:24-0600',mode:absolute,to:'2016-08-04 13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8" t="str">
            <v>N</v>
          </cell>
          <cell r="X68">
            <v>1</v>
          </cell>
          <cell r="Y68">
            <v>23.297999999999998</v>
          </cell>
          <cell r="Z68">
            <v>1.6500000000000001E-2</v>
          </cell>
          <cell r="AA68">
            <v>23.281499999999998</v>
          </cell>
          <cell r="AB68" t="e">
            <v>#N/A</v>
          </cell>
          <cell r="AC68" t="e">
            <v>#N/A</v>
          </cell>
          <cell r="AD68" t="str">
            <v>0156-04</v>
          </cell>
          <cell r="AE68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69">
          <cell r="A69" t="str">
            <v>157-04</v>
          </cell>
          <cell r="B69">
            <v>4027</v>
          </cell>
          <cell r="C69" t="str">
            <v>DE.1.0.7.0</v>
          </cell>
          <cell r="D69" t="str">
            <v>204:464</v>
          </cell>
          <cell r="E69">
            <v>42586.44363425926</v>
          </cell>
          <cell r="F69">
            <v>42586.444861111115</v>
          </cell>
          <cell r="G69">
            <v>1</v>
          </cell>
          <cell r="H69" t="str">
            <v>204:233344</v>
          </cell>
          <cell r="I69">
            <v>42586.476365740738</v>
          </cell>
          <cell r="J69">
            <v>0</v>
          </cell>
          <cell r="K69" t="str">
            <v>4027/4028</v>
          </cell>
          <cell r="L69" t="str">
            <v>CLARK</v>
          </cell>
          <cell r="M69">
            <v>3.1504629623668734E-2</v>
          </cell>
          <cell r="N69">
            <v>45.366666658082977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https://search-rtdc-monitor-bjffxe2xuh6vdkpspy63sjmuny.us-east-1.es.amazonaws.com/_plugin/kibana/#/discover/Steve-Slow-Train-Analysis-(2080s-and-2083s)?_g=(refreshInterval:(display:Off,section:0,value:0),time:(from:'2016-08-04 09:38:50-0600',mode:absolute,to:'2016-08-04 12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9" t="str">
            <v>N</v>
          </cell>
          <cell r="X69">
            <v>1</v>
          </cell>
          <cell r="Y69">
            <v>4.6399999999999997E-2</v>
          </cell>
          <cell r="Z69">
            <v>23.334399999999999</v>
          </cell>
          <cell r="AA69">
            <v>23.288</v>
          </cell>
          <cell r="AB69" t="e">
            <v>#N/A</v>
          </cell>
          <cell r="AC69" t="e">
            <v>#N/A</v>
          </cell>
          <cell r="AD69" t="str">
            <v>0157-04</v>
          </cell>
          <cell r="AE69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70">
          <cell r="A70" t="str">
            <v>158-04</v>
          </cell>
          <cell r="B70">
            <v>4028</v>
          </cell>
          <cell r="C70" t="str">
            <v>DE.1.0.7.0</v>
          </cell>
          <cell r="D70" t="str">
            <v>204:233010</v>
          </cell>
          <cell r="E70">
            <v>42586.484039351853</v>
          </cell>
          <cell r="F70">
            <v>42586.486238425925</v>
          </cell>
          <cell r="G70">
            <v>3</v>
          </cell>
          <cell r="H70" t="str">
            <v>204:158</v>
          </cell>
          <cell r="I70">
            <v>42586.516875000001</v>
          </cell>
          <cell r="J70">
            <v>1</v>
          </cell>
          <cell r="K70" t="str">
            <v>4027/4028</v>
          </cell>
          <cell r="L70" t="str">
            <v>CLARK</v>
          </cell>
          <cell r="M70">
            <v>3.0636574076197576E-2</v>
          </cell>
          <cell r="N70">
            <v>44.116666669724509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https://search-rtdc-monitor-bjffxe2xuh6vdkpspy63sjmuny.us-east-1.es.amazonaws.com/_plugin/kibana/#/discover/Steve-Slow-Train-Analysis-(2080s-and-2083s)?_g=(refreshInterval:(display:Off,section:0,value:0),time:(from:'2016-08-04 10:37:01-0600',mode:absolute,to:'2016-08-04 13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0" t="str">
            <v>N</v>
          </cell>
          <cell r="X70">
            <v>1</v>
          </cell>
          <cell r="Y70">
            <v>23.300999999999998</v>
          </cell>
          <cell r="Z70">
            <v>1.5800000000000002E-2</v>
          </cell>
          <cell r="AA70">
            <v>23.2852</v>
          </cell>
          <cell r="AB70">
            <v>5457</v>
          </cell>
          <cell r="AC70" t="str">
            <v>PERMANENT SPEED RESTRICTION</v>
          </cell>
          <cell r="AD70" t="str">
            <v>0158-04</v>
          </cell>
          <cell r="AE70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71">
          <cell r="A71" t="str">
            <v>159-04</v>
          </cell>
          <cell r="B71">
            <v>4029</v>
          </cell>
          <cell r="C71" t="str">
            <v>DE.1.0.7.0</v>
          </cell>
          <cell r="D71" t="str">
            <v>204:464</v>
          </cell>
          <cell r="E71">
            <v>42586.453784722224</v>
          </cell>
          <cell r="F71">
            <v>42586.454780092594</v>
          </cell>
          <cell r="G71">
            <v>1</v>
          </cell>
          <cell r="H71" t="str">
            <v>204:233295</v>
          </cell>
          <cell r="I71">
            <v>42586.486226851855</v>
          </cell>
          <cell r="J71">
            <v>1</v>
          </cell>
          <cell r="K71" t="str">
            <v>4029/4030</v>
          </cell>
          <cell r="L71" t="str">
            <v>OUN</v>
          </cell>
          <cell r="M71">
            <v>3.1446759261598345E-2</v>
          </cell>
          <cell r="N71">
            <v>45.283333336701617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https://search-rtdc-monitor-bjffxe2xuh6vdkpspy63sjmuny.us-east-1.es.amazonaws.com/_plugin/kibana/#/discover/Steve-Slow-Train-Analysis-(2080s-and-2083s)?_g=(refreshInterval:(display:Off,section:0,value:0),time:(from:'2016-08-04 09:53:27-0600',mode:absolute,to:'2016-08-04 12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4.6399999999999997E-2</v>
          </cell>
          <cell r="Z71">
            <v>23.329499999999999</v>
          </cell>
          <cell r="AA71">
            <v>23.283100000000001</v>
          </cell>
          <cell r="AB71">
            <v>43651</v>
          </cell>
          <cell r="AC71" t="str">
            <v>SIGNAL</v>
          </cell>
          <cell r="AD71" t="str">
            <v>0159-04</v>
          </cell>
          <cell r="AE71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72">
          <cell r="A72" t="str">
            <v>160-04</v>
          </cell>
          <cell r="B72">
            <v>4030</v>
          </cell>
          <cell r="C72" t="str">
            <v>DE.1.0.7.0</v>
          </cell>
          <cell r="D72" t="str">
            <v>204:232994</v>
          </cell>
          <cell r="E72">
            <v>42586.490486111114</v>
          </cell>
          <cell r="F72">
            <v>42586.491412037038</v>
          </cell>
          <cell r="G72">
            <v>1</v>
          </cell>
          <cell r="H72" t="str">
            <v>204:149</v>
          </cell>
          <cell r="I72">
            <v>42586.523333333331</v>
          </cell>
          <cell r="J72">
            <v>0</v>
          </cell>
          <cell r="K72" t="str">
            <v>4029/4030</v>
          </cell>
          <cell r="L72" t="str">
            <v>OUN</v>
          </cell>
          <cell r="M72">
            <v>3.1921296293148771E-2</v>
          </cell>
          <cell r="N72">
            <v>45.96666666213423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https://search-rtdc-monitor-bjffxe2xuh6vdkpspy63sjmuny.us-east-1.es.amazonaws.com/_plugin/kibana/#/discover/Steve-Slow-Train-Analysis-(2080s-and-2083s)?_g=(refreshInterval:(display:Off,section:0,value:0),time:(from:'2016-08-04 10:46:18-0600',mode:absolute,to:'2016-08-04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23.299399999999999</v>
          </cell>
          <cell r="Z72">
            <v>1.49E-2</v>
          </cell>
          <cell r="AA72">
            <v>23.284499999999998</v>
          </cell>
          <cell r="AB72" t="e">
            <v>#N/A</v>
          </cell>
          <cell r="AC72" t="e">
            <v>#N/A</v>
          </cell>
          <cell r="AD72" t="str">
            <v>0160-04</v>
          </cell>
          <cell r="AE72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73">
          <cell r="A73" t="str">
            <v>161-04</v>
          </cell>
          <cell r="B73">
            <v>4011</v>
          </cell>
          <cell r="C73" t="str">
            <v>DE.1.0.7.0</v>
          </cell>
          <cell r="D73" t="str">
            <v>204:508</v>
          </cell>
          <cell r="E73">
            <v>42586.465937499997</v>
          </cell>
          <cell r="F73">
            <v>42586.467291666668</v>
          </cell>
          <cell r="G73">
            <v>1</v>
          </cell>
          <cell r="H73" t="str">
            <v>204:233359</v>
          </cell>
          <cell r="I73">
            <v>42586.495173611111</v>
          </cell>
          <cell r="J73">
            <v>0</v>
          </cell>
          <cell r="K73" t="str">
            <v>4011/4012</v>
          </cell>
          <cell r="L73" t="str">
            <v>SHOOK</v>
          </cell>
          <cell r="M73">
            <v>2.7881944442924578E-2</v>
          </cell>
          <cell r="N73">
            <v>40.149999997811392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https://search-rtdc-monitor-bjffxe2xuh6vdkpspy63sjmuny.us-east-1.es.amazonaws.com/_plugin/kibana/#/discover/Steve-Slow-Train-Analysis-(2080s-and-2083s)?_g=(refreshInterval:(display:Off,section:0,value:0),time:(from:'2016-08-04 10:10:57-0600',mode:absolute,to:'2016-08-04 12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3" t="str">
            <v>N</v>
          </cell>
          <cell r="X73">
            <v>1</v>
          </cell>
          <cell r="Y73">
            <v>5.0799999999999998E-2</v>
          </cell>
          <cell r="Z73">
            <v>23.335899999999999</v>
          </cell>
          <cell r="AA73">
            <v>23.2851</v>
          </cell>
          <cell r="AB73" t="e">
            <v>#N/A</v>
          </cell>
          <cell r="AC73" t="e">
            <v>#N/A</v>
          </cell>
          <cell r="AD73" t="str">
            <v>0161-04</v>
          </cell>
          <cell r="AE7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74">
          <cell r="A74" t="str">
            <v>162-04</v>
          </cell>
          <cell r="B74">
            <v>4012</v>
          </cell>
          <cell r="C74" t="str">
            <v>DE.1.0.7.0</v>
          </cell>
          <cell r="D74" t="str">
            <v>204:233060</v>
          </cell>
          <cell r="E74">
            <v>42586.502291666664</v>
          </cell>
          <cell r="F74">
            <v>42586.50335648148</v>
          </cell>
          <cell r="G74">
            <v>1</v>
          </cell>
          <cell r="H74" t="str">
            <v>204:150</v>
          </cell>
          <cell r="I74">
            <v>42586.534803240742</v>
          </cell>
          <cell r="J74">
            <v>0</v>
          </cell>
          <cell r="K74" t="str">
            <v>4011/4012</v>
          </cell>
          <cell r="L74" t="str">
            <v>SHOOK</v>
          </cell>
          <cell r="M74">
            <v>3.1446759261598345E-2</v>
          </cell>
          <cell r="N74">
            <v>45.283333336701617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https://search-rtdc-monitor-bjffxe2xuh6vdkpspy63sjmuny.us-east-1.es.amazonaws.com/_plugin/kibana/#/discover/Steve-Slow-Train-Analysis-(2080s-and-2083s)?_g=(refreshInterval:(display:Off,section:0,value:0),time:(from:'2016-08-04 11:03:18-0600',mode:absolute,to:'2016-08-04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4" t="str">
            <v>N</v>
          </cell>
          <cell r="X74">
            <v>1</v>
          </cell>
          <cell r="Y74">
            <v>23.306000000000001</v>
          </cell>
          <cell r="Z74">
            <v>1.4999999999999999E-2</v>
          </cell>
          <cell r="AA74">
            <v>23.291</v>
          </cell>
          <cell r="AB74" t="e">
            <v>#N/A</v>
          </cell>
          <cell r="AC74" t="e">
            <v>#N/A</v>
          </cell>
          <cell r="AD74" t="str">
            <v>0162-04</v>
          </cell>
          <cell r="AE74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75">
          <cell r="A75" t="str">
            <v>163-04</v>
          </cell>
          <cell r="B75">
            <v>4007</v>
          </cell>
          <cell r="C75" t="str">
            <v>DE.1.0.7.0</v>
          </cell>
          <cell r="D75" t="str">
            <v>204:464</v>
          </cell>
          <cell r="E75">
            <v>42586.47625</v>
          </cell>
          <cell r="F75">
            <v>42586.477476851855</v>
          </cell>
          <cell r="G75">
            <v>1</v>
          </cell>
          <cell r="H75" t="str">
            <v>204:233295</v>
          </cell>
          <cell r="I75">
            <v>42586.504606481481</v>
          </cell>
          <cell r="J75">
            <v>0</v>
          </cell>
          <cell r="K75" t="str">
            <v>4007/4008</v>
          </cell>
          <cell r="L75" t="str">
            <v>MOSES</v>
          </cell>
          <cell r="M75">
            <v>2.7129629626870155E-2</v>
          </cell>
          <cell r="N75">
            <v>39.066666662693024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https://search-rtdc-monitor-bjffxe2xuh6vdkpspy63sjmuny.us-east-1.es.amazonaws.com/_plugin/kibana/#/discover/Steve-Slow-Train-Analysis-(2080s-and-2083s)?_g=(refreshInterval:(display:Off,section:0,value:0),time:(from:'2016-08-04 10:25:48-0600',mode:absolute,to:'2016-08-04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23.329499999999999</v>
          </cell>
          <cell r="AA75">
            <v>23.283100000000001</v>
          </cell>
          <cell r="AB75" t="e">
            <v>#N/A</v>
          </cell>
          <cell r="AC75" t="e">
            <v>#N/A</v>
          </cell>
          <cell r="AD75" t="str">
            <v>0163-04</v>
          </cell>
          <cell r="AE75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76">
          <cell r="A76" t="str">
            <v>164-04</v>
          </cell>
          <cell r="B76">
            <v>4008</v>
          </cell>
          <cell r="C76" t="str">
            <v>DE.1.0.7.0</v>
          </cell>
          <cell r="D76" t="str">
            <v>204:232967</v>
          </cell>
          <cell r="E76">
            <v>42586.514884259261</v>
          </cell>
          <cell r="F76">
            <v>42586.516006944446</v>
          </cell>
          <cell r="G76">
            <v>1</v>
          </cell>
          <cell r="H76" t="str">
            <v>204:165</v>
          </cell>
          <cell r="I76">
            <v>42586.545740740738</v>
          </cell>
          <cell r="J76">
            <v>0</v>
          </cell>
          <cell r="K76" t="str">
            <v>4007/4008</v>
          </cell>
          <cell r="L76" t="str">
            <v>MOSES</v>
          </cell>
          <cell r="M76">
            <v>2.9733796291111503E-2</v>
          </cell>
          <cell r="N76">
            <v>42.816666659200564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https://search-rtdc-monitor-bjffxe2xuh6vdkpspy63sjmuny.us-east-1.es.amazonaws.com/_plugin/kibana/#/discover/Steve-Slow-Train-Analysis-(2080s-and-2083s)?_g=(refreshInterval:(display:Off,section:0,value:0),time:(from:'2016-08-04 11:21:26-0600',mode:absolute,to:'2016-08-04 14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6" t="str">
            <v>N</v>
          </cell>
          <cell r="X76">
            <v>1</v>
          </cell>
          <cell r="Y76">
            <v>23.296700000000001</v>
          </cell>
          <cell r="Z76">
            <v>1.6500000000000001E-2</v>
          </cell>
          <cell r="AA76">
            <v>23.280200000000001</v>
          </cell>
          <cell r="AB76" t="e">
            <v>#N/A</v>
          </cell>
          <cell r="AC76" t="e">
            <v>#N/A</v>
          </cell>
          <cell r="AD76" t="str">
            <v>0164-04</v>
          </cell>
          <cell r="AE76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77">
          <cell r="A77" t="str">
            <v>165-04</v>
          </cell>
          <cell r="B77">
            <v>4025</v>
          </cell>
          <cell r="C77" t="str">
            <v>DE.1.0.7.0</v>
          </cell>
          <cell r="D77" t="str">
            <v>204:464</v>
          </cell>
          <cell r="E77">
            <v>42586.486898148149</v>
          </cell>
          <cell r="F77">
            <v>42586.488263888888</v>
          </cell>
          <cell r="G77">
            <v>1</v>
          </cell>
          <cell r="H77" t="str">
            <v>204:233312</v>
          </cell>
          <cell r="I77">
            <v>42586.514305555553</v>
          </cell>
          <cell r="J77">
            <v>0</v>
          </cell>
          <cell r="K77" t="str">
            <v>4025/4026</v>
          </cell>
          <cell r="L77" t="str">
            <v>NEWELL</v>
          </cell>
          <cell r="M77">
            <v>2.6041666664241347E-2</v>
          </cell>
          <cell r="N77">
            <v>37.49999999650754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https://search-rtdc-monitor-bjffxe2xuh6vdkpspy63sjmuny.us-east-1.es.amazonaws.com/_plugin/kibana/#/discover/Steve-Slow-Train-Analysis-(2080s-and-2083s)?_g=(refreshInterval:(display:Off,section:0,value:0),time:(from:'2016-08-04 10:41:08-0600',mode:absolute,to:'2016-08-04 13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23.331199999999999</v>
          </cell>
          <cell r="AA77">
            <v>23.284800000000001</v>
          </cell>
          <cell r="AB77" t="e">
            <v>#N/A</v>
          </cell>
          <cell r="AC77" t="e">
            <v>#N/A</v>
          </cell>
          <cell r="AD77" t="str">
            <v>0165-04</v>
          </cell>
          <cell r="AE77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78">
          <cell r="A78" t="str">
            <v>166-04</v>
          </cell>
          <cell r="B78">
            <v>4026</v>
          </cell>
          <cell r="C78" t="str">
            <v>DE.1.0.7.0</v>
          </cell>
          <cell r="D78" t="str">
            <v>204:233011</v>
          </cell>
          <cell r="E78">
            <v>42586.515949074077</v>
          </cell>
          <cell r="F78">
            <v>42586.516932870371</v>
          </cell>
          <cell r="G78">
            <v>1</v>
          </cell>
          <cell r="H78" t="str">
            <v>204:130</v>
          </cell>
          <cell r="I78">
            <v>42586.555081018516</v>
          </cell>
          <cell r="J78">
            <v>0</v>
          </cell>
          <cell r="K78" t="str">
            <v>4025/4026</v>
          </cell>
          <cell r="L78" t="str">
            <v>NEWELL</v>
          </cell>
          <cell r="M78">
            <v>3.8148148145410232E-2</v>
          </cell>
          <cell r="N78">
            <v>54.933333329390734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https://search-rtdc-monitor-bjffxe2xuh6vdkpspy63sjmuny.us-east-1.es.amazonaws.com/_plugin/kibana/#/discover/Steve-Slow-Train-Analysis-(2080s-and-2083s)?_g=(refreshInterval:(display:Off,section:0,value:0),time:(from:'2016-08-04 11:22:58-0600',mode:absolute,to:'2016-08-04 14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23.301100000000002</v>
          </cell>
          <cell r="Z78">
            <v>1.2999999999999999E-2</v>
          </cell>
          <cell r="AA78">
            <v>23.2881</v>
          </cell>
          <cell r="AB78" t="e">
            <v>#N/A</v>
          </cell>
          <cell r="AC78" t="e">
            <v>#N/A</v>
          </cell>
          <cell r="AD78" t="str">
            <v>0166-04</v>
          </cell>
          <cell r="AE78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79">
          <cell r="A79" t="str">
            <v>167-04</v>
          </cell>
          <cell r="B79">
            <v>4038</v>
          </cell>
          <cell r="C79" t="str">
            <v>DE.1.0.7.0</v>
          </cell>
          <cell r="D79" t="str">
            <v>204:451</v>
          </cell>
          <cell r="E79">
            <v>42586.499791666669</v>
          </cell>
          <cell r="F79">
            <v>42586.500810185185</v>
          </cell>
          <cell r="G79">
            <v>1</v>
          </cell>
          <cell r="H79" t="str">
            <v>204:233318</v>
          </cell>
          <cell r="I79">
            <v>42586.525393518517</v>
          </cell>
          <cell r="J79">
            <v>0</v>
          </cell>
          <cell r="K79" t="str">
            <v>4037/4038</v>
          </cell>
          <cell r="L79" t="str">
            <v>HELVIE</v>
          </cell>
          <cell r="M79">
            <v>2.4583333331975155E-2</v>
          </cell>
          <cell r="N79">
            <v>35.399999998044223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https://search-rtdc-monitor-bjffxe2xuh6vdkpspy63sjmuny.us-east-1.es.amazonaws.com/_plugin/kibana/#/discover/Steve-Slow-Train-Analysis-(2080s-and-2083s)?_g=(refreshInterval:(display:Off,section:0,value:0),time:(from:'2016-08-04 10:59:42-0600',mode:absolute,to:'2016-08-04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4.5100000000000001E-2</v>
          </cell>
          <cell r="Z79">
            <v>23.331800000000001</v>
          </cell>
          <cell r="AA79">
            <v>23.2867</v>
          </cell>
          <cell r="AB79" t="e">
            <v>#N/A</v>
          </cell>
          <cell r="AC79" t="e">
            <v>#N/A</v>
          </cell>
          <cell r="AD79" t="str">
            <v>0167-04</v>
          </cell>
          <cell r="AE7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80">
          <cell r="A80" t="str">
            <v>168-04</v>
          </cell>
          <cell r="B80">
            <v>4037</v>
          </cell>
          <cell r="C80" t="str">
            <v>DE.1.0.7.0</v>
          </cell>
          <cell r="D80" t="str">
            <v>204:232994</v>
          </cell>
          <cell r="E80">
            <v>42586.533275462964</v>
          </cell>
          <cell r="F80">
            <v>42586.53528935185</v>
          </cell>
          <cell r="G80">
            <v>2</v>
          </cell>
          <cell r="H80" t="str">
            <v>204:163</v>
          </cell>
          <cell r="I80">
            <v>42586.566793981481</v>
          </cell>
          <cell r="J80">
            <v>0</v>
          </cell>
          <cell r="K80" t="str">
            <v>4037/4038</v>
          </cell>
          <cell r="L80" t="str">
            <v>HELVIE</v>
          </cell>
          <cell r="M80">
            <v>3.1504629630944692E-2</v>
          </cell>
          <cell r="N80">
            <v>45.366666668560356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https://search-rtdc-monitor-bjffxe2xuh6vdkpspy63sjmuny.us-east-1.es.amazonaws.com/_plugin/kibana/#/discover/Steve-Slow-Train-Analysis-(2080s-and-2083s)?_g=(refreshInterval:(display:Off,section:0,value:0),time:(from:'2016-08-04 11:47:55-0600',mode:absolute,to:'2016-08-04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23.299399999999999</v>
          </cell>
          <cell r="Z80">
            <v>1.6299999999999999E-2</v>
          </cell>
          <cell r="AA80">
            <v>23.283099999999997</v>
          </cell>
          <cell r="AB80" t="e">
            <v>#N/A</v>
          </cell>
          <cell r="AC80" t="e">
            <v>#N/A</v>
          </cell>
          <cell r="AD80" t="str">
            <v>0168-04</v>
          </cell>
          <cell r="AE8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81">
          <cell r="A81" t="str">
            <v>169-04</v>
          </cell>
          <cell r="B81">
            <v>4031</v>
          </cell>
          <cell r="C81" t="str">
            <v>DE.1.0.7.0</v>
          </cell>
          <cell r="D81" t="str">
            <v>204:477</v>
          </cell>
          <cell r="E81">
            <v>42586.506840277776</v>
          </cell>
          <cell r="F81">
            <v>42586.507870370369</v>
          </cell>
          <cell r="G81">
            <v>1</v>
          </cell>
          <cell r="H81" t="str">
            <v>204:233295</v>
          </cell>
          <cell r="I81">
            <v>42586.536145833335</v>
          </cell>
          <cell r="J81">
            <v>0</v>
          </cell>
          <cell r="K81" t="str">
            <v>4031/4032</v>
          </cell>
          <cell r="L81" t="str">
            <v>SUR</v>
          </cell>
          <cell r="M81">
            <v>2.8275462966121268E-2</v>
          </cell>
          <cell r="N81">
            <v>40.716666671214625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https://search-rtdc-monitor-bjffxe2xuh6vdkpspy63sjmuny.us-east-1.es.amazonaws.com/_plugin/kibana/#/discover/Steve-Slow-Train-Analysis-(2080s-and-2083s)?_g=(refreshInterval:(display:Off,section:0,value:0),time:(from:'2016-08-04 11:09:51-0600',mode:absolute,to:'2016-08-04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1" t="str">
            <v>N</v>
          </cell>
          <cell r="X81">
            <v>1</v>
          </cell>
          <cell r="Y81">
            <v>4.7699999999999999E-2</v>
          </cell>
          <cell r="Z81">
            <v>23.329499999999999</v>
          </cell>
          <cell r="AA81">
            <v>23.2818</v>
          </cell>
          <cell r="AB81" t="e">
            <v>#N/A</v>
          </cell>
          <cell r="AC81" t="e">
            <v>#N/A</v>
          </cell>
          <cell r="AD81" t="str">
            <v>0169-04</v>
          </cell>
          <cell r="AE81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82">
          <cell r="A82" t="str">
            <v>170-04</v>
          </cell>
          <cell r="B82">
            <v>4032</v>
          </cell>
          <cell r="C82" t="str">
            <v>DE.1.0.7.0</v>
          </cell>
          <cell r="D82" t="str">
            <v>204:232976</v>
          </cell>
          <cell r="E82">
            <v>42586.540983796294</v>
          </cell>
          <cell r="F82">
            <v>42586.542118055557</v>
          </cell>
          <cell r="G82">
            <v>1</v>
          </cell>
          <cell r="H82" t="str">
            <v>204:234</v>
          </cell>
          <cell r="I82">
            <v>42586.576909722222</v>
          </cell>
          <cell r="J82">
            <v>1</v>
          </cell>
          <cell r="K82" t="str">
            <v>4031/4032</v>
          </cell>
          <cell r="L82" t="str">
            <v>SUR</v>
          </cell>
          <cell r="M82">
            <v>3.4791666665114462E-2</v>
          </cell>
          <cell r="N82">
            <v>50.099999997764826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https://search-rtdc-monitor-bjffxe2xuh6vdkpspy63sjmuny.us-east-1.es.amazonaws.com/_plugin/kibana/#/discover/Steve-Slow-Train-Analysis-(2080s-and-2083s)?_g=(refreshInterval:(display:Off,section:0,value:0),time:(from:'2016-08-04 11:59:01-0600',mode:absolute,to:'2016-08-04 14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2" t="str">
            <v>N</v>
          </cell>
          <cell r="X82">
            <v>1</v>
          </cell>
          <cell r="Y82">
            <v>23.297599999999999</v>
          </cell>
          <cell r="Z82">
            <v>2.3400000000000001E-2</v>
          </cell>
          <cell r="AA82">
            <v>23.2742</v>
          </cell>
          <cell r="AB82" t="e">
            <v>#N/A</v>
          </cell>
          <cell r="AC82" t="e">
            <v>#N/A</v>
          </cell>
          <cell r="AD82" t="str">
            <v>0170-04</v>
          </cell>
          <cell r="AE82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83">
          <cell r="A83" t="str">
            <v>171-04</v>
          </cell>
          <cell r="B83">
            <v>4027</v>
          </cell>
          <cell r="C83" t="str">
            <v>DE.1.0.7.0</v>
          </cell>
          <cell r="D83" t="str">
            <v>204:457</v>
          </cell>
          <cell r="E83">
            <v>42586.520879629628</v>
          </cell>
          <cell r="F83">
            <v>42586.522245370368</v>
          </cell>
          <cell r="G83">
            <v>1</v>
          </cell>
          <cell r="H83" t="str">
            <v>204:233268</v>
          </cell>
          <cell r="I83">
            <v>42586.548379629632</v>
          </cell>
          <cell r="J83">
            <v>0</v>
          </cell>
          <cell r="K83" t="str">
            <v>4027/4028</v>
          </cell>
          <cell r="L83" t="str">
            <v>SWANSON</v>
          </cell>
          <cell r="M83">
            <v>2.6134259263926651E-2</v>
          </cell>
          <cell r="N83">
            <v>37.633333340054378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https://search-rtdc-monitor-bjffxe2xuh6vdkpspy63sjmuny.us-east-1.es.amazonaws.com/_plugin/kibana/#/discover/Steve-Slow-Train-Analysis-(2080s-and-2083s)?_g=(refreshInterval:(display:Off,section:0,value:0),time:(from:'2016-08-04 11:30:04-0600',mode:absolute,to:'2016-08-04 14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3" t="str">
            <v>N</v>
          </cell>
          <cell r="X83">
            <v>1</v>
          </cell>
          <cell r="Y83">
            <v>4.5699999999999998E-2</v>
          </cell>
          <cell r="Z83">
            <v>23.326799999999999</v>
          </cell>
          <cell r="AA83">
            <v>23.281099999999999</v>
          </cell>
          <cell r="AB83" t="e">
            <v>#N/A</v>
          </cell>
          <cell r="AC83" t="e">
            <v>#N/A</v>
          </cell>
          <cell r="AD83" t="str">
            <v>0171-04</v>
          </cell>
          <cell r="AE8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84">
          <cell r="A84" t="str">
            <v>172-04</v>
          </cell>
          <cell r="B84">
            <v>4028</v>
          </cell>
          <cell r="C84" t="str">
            <v>DE.1.0.7.0</v>
          </cell>
          <cell r="D84" t="str">
            <v>204:232961</v>
          </cell>
          <cell r="E84">
            <v>42586.550578703704</v>
          </cell>
          <cell r="F84">
            <v>42586.554351851853</v>
          </cell>
          <cell r="G84">
            <v>5</v>
          </cell>
          <cell r="H84" t="str">
            <v>204:152</v>
          </cell>
          <cell r="I84">
            <v>42586.58866898148</v>
          </cell>
          <cell r="J84">
            <v>0</v>
          </cell>
          <cell r="K84" t="str">
            <v>4027/4028</v>
          </cell>
          <cell r="L84" t="str">
            <v>SWANSON</v>
          </cell>
          <cell r="M84">
            <v>3.4317129626288079E-2</v>
          </cell>
          <cell r="N84">
            <v>49.416666661854833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https://search-rtdc-monitor-bjffxe2xuh6vdkpspy63sjmuny.us-east-1.es.amazonaws.com/_plugin/kibana/#/discover/Steve-Slow-Train-Analysis-(2080s-and-2083s)?_g=(refreshInterval:(display:Off,section:0,value:0),time:(from:'2016-08-04 12:12:50-0600',mode:absolute,to:'2016-08-04 15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4" t="str">
            <v>N</v>
          </cell>
          <cell r="X84">
            <v>1</v>
          </cell>
          <cell r="Y84">
            <v>23.296099999999999</v>
          </cell>
          <cell r="Z84">
            <v>1.52E-2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0172-04</v>
          </cell>
          <cell r="AE8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85">
          <cell r="A85" t="str">
            <v>173-04</v>
          </cell>
          <cell r="B85">
            <v>4029</v>
          </cell>
          <cell r="C85" t="str">
            <v>DE.1.0.7.0</v>
          </cell>
          <cell r="D85" t="str">
            <v>204:444</v>
          </cell>
          <cell r="E85">
            <v>42586.525370370371</v>
          </cell>
          <cell r="F85">
            <v>42586.526250000003</v>
          </cell>
          <cell r="G85">
            <v>1</v>
          </cell>
          <cell r="H85" t="str">
            <v>204:233281</v>
          </cell>
          <cell r="I85">
            <v>42586.557905092595</v>
          </cell>
          <cell r="J85">
            <v>0</v>
          </cell>
          <cell r="K85" t="str">
            <v>4029/4030</v>
          </cell>
          <cell r="L85" t="str">
            <v>OUN</v>
          </cell>
          <cell r="M85">
            <v>3.1655092592700385E-2</v>
          </cell>
          <cell r="N85">
            <v>45.583333333488554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https://search-rtdc-monitor-bjffxe2xuh6vdkpspy63sjmuny.us-east-1.es.amazonaws.com/_plugin/kibana/#/discover/Steve-Slow-Train-Analysis-(2080s-and-2083s)?_g=(refreshInterval:(display:Off,section:0,value:0),time:(from:'2016-08-04 11:36:32-0600',mode:absolute,to:'2016-08-04 14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4.4400000000000002E-2</v>
          </cell>
          <cell r="Z85">
            <v>23.328099999999999</v>
          </cell>
          <cell r="AA85">
            <v>23.2837</v>
          </cell>
          <cell r="AB85" t="e">
            <v>#N/A</v>
          </cell>
          <cell r="AC85" t="e">
            <v>#N/A</v>
          </cell>
          <cell r="AD85" t="str">
            <v>0173-04</v>
          </cell>
          <cell r="AE85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86">
          <cell r="A86" t="str">
            <v>174-04</v>
          </cell>
          <cell r="B86">
            <v>4030</v>
          </cell>
          <cell r="C86" t="str">
            <v>DE.1.0.7.0</v>
          </cell>
          <cell r="D86" t="str">
            <v>204:232976</v>
          </cell>
          <cell r="E86">
            <v>42586.565324074072</v>
          </cell>
          <cell r="F86">
            <v>42586.566307870373</v>
          </cell>
          <cell r="G86">
            <v>1</v>
          </cell>
          <cell r="H86" t="str">
            <v>204:163</v>
          </cell>
          <cell r="I86">
            <v>42586.598032407404</v>
          </cell>
          <cell r="J86">
            <v>0</v>
          </cell>
          <cell r="K86" t="str">
            <v>4029/4030</v>
          </cell>
          <cell r="L86" t="str">
            <v>OUN</v>
          </cell>
          <cell r="M86">
            <v>3.1724537031550426E-2</v>
          </cell>
          <cell r="N86">
            <v>45.683333325432613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https://search-rtdc-monitor-bjffxe2xuh6vdkpspy63sjmuny.us-east-1.es.amazonaws.com/_plugin/kibana/#/discover/Steve-Slow-Train-Analysis-(2080s-and-2083s)?_g=(refreshInterval:(display:Off,section:0,value:0),time:(from:'2016-08-04 12:34:04-0600',mode:absolute,to:'2016-08-04 15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23.297599999999999</v>
          </cell>
          <cell r="Z86">
            <v>1.6299999999999999E-2</v>
          </cell>
          <cell r="AA86">
            <v>23.281299999999998</v>
          </cell>
          <cell r="AB86" t="e">
            <v>#N/A</v>
          </cell>
          <cell r="AC86" t="e">
            <v>#N/A</v>
          </cell>
          <cell r="AD86" t="str">
            <v>0174-04</v>
          </cell>
          <cell r="AE8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87">
          <cell r="A87" t="str">
            <v>175-04</v>
          </cell>
          <cell r="B87">
            <v>4011</v>
          </cell>
          <cell r="C87" t="str">
            <v>DE.1.0.7.0</v>
          </cell>
          <cell r="D87" t="str">
            <v>204:442</v>
          </cell>
          <cell r="E87">
            <v>42586.537638888891</v>
          </cell>
          <cell r="F87">
            <v>42586.538668981484</v>
          </cell>
          <cell r="G87">
            <v>1</v>
          </cell>
          <cell r="H87" t="str">
            <v>204:233385</v>
          </cell>
          <cell r="I87">
            <v>42586.569814814815</v>
          </cell>
          <cell r="J87">
            <v>0</v>
          </cell>
          <cell r="K87" t="str">
            <v>4011/4012</v>
          </cell>
          <cell r="L87" t="str">
            <v>SHOOK</v>
          </cell>
          <cell r="M87">
            <v>3.1145833330811001E-2</v>
          </cell>
          <cell r="N87">
            <v>44.849999996367842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https://search-rtdc-monitor-bjffxe2xuh6vdkpspy63sjmuny.us-east-1.es.amazonaws.com/_plugin/kibana/#/discover/Steve-Slow-Train-Analysis-(2080s-and-2083s)?_g=(refreshInterval:(display:Off,section:0,value:0),time:(from:'2016-08-04 11:54:12-0600',mode:absolute,to:'2016-08-04 14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7" t="str">
            <v>N</v>
          </cell>
          <cell r="X87">
            <v>1</v>
          </cell>
          <cell r="Y87">
            <v>4.4200000000000003E-2</v>
          </cell>
          <cell r="Z87">
            <v>23.3385</v>
          </cell>
          <cell r="AA87">
            <v>23.2943</v>
          </cell>
          <cell r="AB87" t="e">
            <v>#N/A</v>
          </cell>
          <cell r="AC87" t="e">
            <v>#N/A</v>
          </cell>
          <cell r="AD87" t="str">
            <v>0175-04</v>
          </cell>
          <cell r="AE8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88">
          <cell r="A88" t="str">
            <v>176-04</v>
          </cell>
          <cell r="B88">
            <v>4012</v>
          </cell>
          <cell r="C88" t="str">
            <v>DE.1.0.7.0</v>
          </cell>
          <cell r="D88" t="str">
            <v>204:233057</v>
          </cell>
          <cell r="E88">
            <v>42586.57576388889</v>
          </cell>
          <cell r="F88">
            <v>42586.576493055552</v>
          </cell>
          <cell r="G88">
            <v>1</v>
          </cell>
          <cell r="H88" t="str">
            <v>204:150</v>
          </cell>
          <cell r="I88">
            <v>42586.608344907407</v>
          </cell>
          <cell r="J88">
            <v>1</v>
          </cell>
          <cell r="K88" t="str">
            <v>4011/4012</v>
          </cell>
          <cell r="L88" t="str">
            <v>SHOOK</v>
          </cell>
          <cell r="M88">
            <v>3.1851851854298729E-2</v>
          </cell>
          <cell r="N88">
            <v>45.86666667019017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https://search-rtdc-monitor-bjffxe2xuh6vdkpspy63sjmuny.us-east-1.es.amazonaws.com/_plugin/kibana/#/discover/Steve-Slow-Train-Analysis-(2080s-and-2083s)?_g=(refreshInterval:(display:Off,section:0,value:0),time:(from:'2016-08-04 12:49:06-0600',mode:absolute,to:'2016-08-04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8" t="str">
            <v>N</v>
          </cell>
          <cell r="X88">
            <v>1</v>
          </cell>
          <cell r="Y88">
            <v>23.305700000000002</v>
          </cell>
          <cell r="Z88">
            <v>1.4999999999999999E-2</v>
          </cell>
          <cell r="AA88">
            <v>23.290700000000001</v>
          </cell>
          <cell r="AB88">
            <v>33257</v>
          </cell>
          <cell r="AC88" t="str">
            <v>GRADE CROSSING</v>
          </cell>
          <cell r="AD88" t="str">
            <v>0176-04</v>
          </cell>
          <cell r="AE8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89">
          <cell r="A89" t="str">
            <v>177-04</v>
          </cell>
          <cell r="B89">
            <v>4007</v>
          </cell>
          <cell r="C89" t="str">
            <v>DE.1.0.7.0</v>
          </cell>
          <cell r="D89" t="str">
            <v>204:444</v>
          </cell>
          <cell r="E89">
            <v>42586.550104166665</v>
          </cell>
          <cell r="F89">
            <v>42586.55133101852</v>
          </cell>
          <cell r="G89">
            <v>1</v>
          </cell>
          <cell r="H89" t="str">
            <v>204:233298</v>
          </cell>
          <cell r="I89">
            <v>42586.577789351853</v>
          </cell>
          <cell r="J89">
            <v>0</v>
          </cell>
          <cell r="K89" t="str">
            <v>4007/4008</v>
          </cell>
          <cell r="L89" t="str">
            <v>MOSES</v>
          </cell>
          <cell r="M89">
            <v>2.6458333333721384E-2</v>
          </cell>
          <cell r="N89">
            <v>38.100000000558794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https://search-rtdc-monitor-bjffxe2xuh6vdkpspy63sjmuny.us-east-1.es.amazonaws.com/_plugin/kibana/#/discover/Steve-Slow-Train-Analysis-(2080s-and-2083s)?_g=(refreshInterval:(display:Off,section:0,value:0),time:(from:'2016-08-04 12:12:09-0600',mode:absolute,to:'2016-08-04 14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9" t="str">
            <v>N</v>
          </cell>
          <cell r="X89">
            <v>1</v>
          </cell>
          <cell r="Y89">
            <v>4.4400000000000002E-2</v>
          </cell>
          <cell r="Z89">
            <v>23.329799999999999</v>
          </cell>
          <cell r="AA89">
            <v>23.285399999999999</v>
          </cell>
          <cell r="AB89" t="e">
            <v>#N/A</v>
          </cell>
          <cell r="AC89" t="e">
            <v>#N/A</v>
          </cell>
          <cell r="AD89" t="str">
            <v>0177-04</v>
          </cell>
          <cell r="AE8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90">
          <cell r="A90" t="str">
            <v>178-04</v>
          </cell>
          <cell r="B90">
            <v>4008</v>
          </cell>
          <cell r="C90" t="str">
            <v>DE.1.0.7.0</v>
          </cell>
          <cell r="D90" t="str">
            <v>204:232977</v>
          </cell>
          <cell r="E90">
            <v>42586.588287037041</v>
          </cell>
          <cell r="F90">
            <v>42586.589756944442</v>
          </cell>
          <cell r="G90">
            <v>2</v>
          </cell>
          <cell r="H90" t="str">
            <v>204:141</v>
          </cell>
          <cell r="I90">
            <v>42586.617372685185</v>
          </cell>
          <cell r="J90">
            <v>0</v>
          </cell>
          <cell r="K90" t="str">
            <v>4007/4008</v>
          </cell>
          <cell r="L90" t="str">
            <v>MOSES</v>
          </cell>
          <cell r="M90">
            <v>2.7615740742476191E-2</v>
          </cell>
          <cell r="N90">
            <v>39.766666669165716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https://search-rtdc-monitor-bjffxe2xuh6vdkpspy63sjmuny.us-east-1.es.amazonaws.com/_plugin/kibana/#/discover/Steve-Slow-Train-Analysis-(2080s-and-2083s)?_g=(refreshInterval:(display:Off,section:0,value:0),time:(from:'2016-08-04 13:07:08-0600',mode:absolute,to:'2016-08-04 15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0" t="str">
            <v>N</v>
          </cell>
          <cell r="X90">
            <v>1</v>
          </cell>
          <cell r="Y90">
            <v>23.297699999999999</v>
          </cell>
          <cell r="Z90">
            <v>1.41E-2</v>
          </cell>
          <cell r="AA90">
            <v>23.2836</v>
          </cell>
          <cell r="AB90" t="e">
            <v>#N/A</v>
          </cell>
          <cell r="AC90" t="e">
            <v>#N/A</v>
          </cell>
          <cell r="AD90" t="str">
            <v>0178-04</v>
          </cell>
          <cell r="AE9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91">
          <cell r="A91" t="str">
            <v>179-04</v>
          </cell>
          <cell r="B91">
            <v>4025</v>
          </cell>
          <cell r="C91" t="str">
            <v>DE.1.0.7.0</v>
          </cell>
          <cell r="D91" t="str">
            <v>204:460</v>
          </cell>
          <cell r="E91">
            <v>42586.558067129627</v>
          </cell>
          <cell r="F91">
            <v>42586.559050925927</v>
          </cell>
          <cell r="G91">
            <v>1</v>
          </cell>
          <cell r="H91" t="str">
            <v>204:233299</v>
          </cell>
          <cell r="I91">
            <v>42586.58693287037</v>
          </cell>
          <cell r="J91">
            <v>0</v>
          </cell>
          <cell r="K91" t="str">
            <v>4025/4026</v>
          </cell>
          <cell r="L91" t="str">
            <v>NEWELL</v>
          </cell>
          <cell r="M91">
            <v>2.7881944442924578E-2</v>
          </cell>
          <cell r="N91">
            <v>40.149999997811392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https://search-rtdc-monitor-bjffxe2xuh6vdkpspy63sjmuny.us-east-1.es.amazonaws.com/_plugin/kibana/#/discover/Steve-Slow-Train-Analysis-(2080s-and-2083s)?_g=(refreshInterval:(display:Off,section:0,value:0),time:(from:'2016-08-04 12:23:37-0600',mode:absolute,to:'2016-08-04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4.5999999999999999E-2</v>
          </cell>
          <cell r="Z91">
            <v>23.329899999999999</v>
          </cell>
          <cell r="AA91">
            <v>23.283899999999999</v>
          </cell>
          <cell r="AB91" t="e">
            <v>#N/A</v>
          </cell>
          <cell r="AC91" t="e">
            <v>#N/A</v>
          </cell>
          <cell r="AD91" t="str">
            <v>0179-04</v>
          </cell>
          <cell r="AE9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92">
          <cell r="A92" t="str">
            <v>180-04</v>
          </cell>
          <cell r="B92">
            <v>4026</v>
          </cell>
          <cell r="C92" t="str">
            <v>DE.1.0.7.0</v>
          </cell>
          <cell r="D92" t="str">
            <v>204:232986</v>
          </cell>
          <cell r="E92">
            <v>42586.588506944441</v>
          </cell>
          <cell r="F92">
            <v>42586.589247685188</v>
          </cell>
          <cell r="G92">
            <v>1</v>
          </cell>
          <cell r="H92" t="str">
            <v>204:149</v>
          </cell>
          <cell r="I92">
            <v>42586.628148148149</v>
          </cell>
          <cell r="J92">
            <v>1</v>
          </cell>
          <cell r="K92" t="str">
            <v>4025/4026</v>
          </cell>
          <cell r="L92" t="str">
            <v>NEWELL</v>
          </cell>
          <cell r="M92">
            <v>3.8900462961464655E-2</v>
          </cell>
          <cell r="N92">
            <v>56.016666664509103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https://search-rtdc-monitor-bjffxe2xuh6vdkpspy63sjmuny.us-east-1.es.amazonaws.com/_plugin/kibana/#/discover/Steve-Slow-Train-Analysis-(2080s-and-2083s)?_g=(refreshInterval:(display:Off,section:0,value:0),time:(from:'2016-08-04 13:07:27-0600',mode:absolute,to:'2016-08-04 16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23.2986</v>
          </cell>
          <cell r="Z92">
            <v>1.49E-2</v>
          </cell>
          <cell r="AA92">
            <v>23.2837</v>
          </cell>
          <cell r="AB92">
            <v>127587</v>
          </cell>
          <cell r="AC92" t="str">
            <v>SIGNAL</v>
          </cell>
          <cell r="AD92" t="str">
            <v>0180-04</v>
          </cell>
          <cell r="AE9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93">
          <cell r="A93" t="str">
            <v>181-04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42586.570162037038</v>
          </cell>
          <cell r="F93">
            <v>42586.571122685185</v>
          </cell>
          <cell r="G93">
            <v>1</v>
          </cell>
          <cell r="H93" t="str">
            <v>204:233298</v>
          </cell>
          <cell r="I93">
            <v>42586.597025462965</v>
          </cell>
          <cell r="J93">
            <v>0</v>
          </cell>
          <cell r="K93" t="str">
            <v>4037/4038</v>
          </cell>
          <cell r="L93" t="str">
            <v>HELVIE</v>
          </cell>
          <cell r="M93">
            <v>2.5902777779265307E-2</v>
          </cell>
          <cell r="N93">
            <v>37.300000002142042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https://search-rtdc-monitor-bjffxe2xuh6vdkpspy63sjmuny.us-east-1.es.amazonaws.com/_plugin/kibana/#/discover/Steve-Slow-Train-Analysis-(2080s-and-2083s)?_g=(refreshInterval:(display:Off,section:0,value:0),time:(from:'2016-08-04 12:41:02-0600',mode:absolute,to:'2016-08-04 15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23.329799999999999</v>
          </cell>
          <cell r="AA93">
            <v>23.284099999999999</v>
          </cell>
          <cell r="AB93" t="e">
            <v>#N/A</v>
          </cell>
          <cell r="AC93" t="e">
            <v>#N/A</v>
          </cell>
          <cell r="AD93" t="str">
            <v>0181-04</v>
          </cell>
          <cell r="AE9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94">
          <cell r="A94" t="str">
            <v>182-04</v>
          </cell>
          <cell r="B94">
            <v>4037</v>
          </cell>
          <cell r="C94" t="str">
            <v>DE.1.0.7.0</v>
          </cell>
          <cell r="D94" t="str">
            <v>204:232983</v>
          </cell>
          <cell r="E94">
            <v>42586.608807870369</v>
          </cell>
          <cell r="F94">
            <v>42586.609629629631</v>
          </cell>
          <cell r="G94">
            <v>1</v>
          </cell>
          <cell r="H94" t="str">
            <v>204:150</v>
          </cell>
          <cell r="I94">
            <v>42586.638460648152</v>
          </cell>
          <cell r="J94">
            <v>0</v>
          </cell>
          <cell r="K94" t="str">
            <v>4037/4038</v>
          </cell>
          <cell r="L94" t="str">
            <v>HELVIE</v>
          </cell>
          <cell r="M94">
            <v>2.8831018520577345E-2</v>
          </cell>
          <cell r="N94">
            <v>41.516666669631377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https://search-rtdc-monitor-bjffxe2xuh6vdkpspy63sjmuny.us-east-1.es.amazonaws.com/_plugin/kibana/#/discover/Steve-Slow-Train-Analysis-(2080s-and-2083s)?_g=(refreshInterval:(display:Off,section:0,value:0),time:(from:'2016-08-04 13:36:41-0600',mode:absolute,to:'2016-08-04 16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1.4999999999999999E-2</v>
          </cell>
          <cell r="AA94">
            <v>23.283300000000001</v>
          </cell>
          <cell r="AB94" t="e">
            <v>#N/A</v>
          </cell>
          <cell r="AC94" t="e">
            <v>#N/A</v>
          </cell>
          <cell r="AD94" t="str">
            <v>0182-04</v>
          </cell>
          <cell r="AE9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95">
          <cell r="A95" t="str">
            <v>183-04</v>
          </cell>
          <cell r="B95">
            <v>4031</v>
          </cell>
          <cell r="C95" t="str">
            <v>DE.1.0.7.0</v>
          </cell>
          <cell r="D95" t="str">
            <v>204:553</v>
          </cell>
          <cell r="E95">
            <v>42586.578402777777</v>
          </cell>
          <cell r="F95">
            <v>42586.579745370371</v>
          </cell>
          <cell r="G95">
            <v>1</v>
          </cell>
          <cell r="H95" t="str">
            <v>204:233264</v>
          </cell>
          <cell r="I95">
            <v>42586.608668981484</v>
          </cell>
          <cell r="J95">
            <v>0</v>
          </cell>
          <cell r="K95" t="str">
            <v>4031/4032</v>
          </cell>
          <cell r="L95" t="str">
            <v>SUR</v>
          </cell>
          <cell r="M95">
            <v>2.8923611112986691E-2</v>
          </cell>
          <cell r="N95">
            <v>41.650000002700835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https://search-rtdc-monitor-bjffxe2xuh6vdkpspy63sjmuny.us-east-1.es.amazonaws.com/_plugin/kibana/#/discover/Steve-Slow-Train-Analysis-(2080s-and-2083s)?_g=(refreshInterval:(display:Off,section:0,value:0),time:(from:'2016-08-04 12:52:54-0600',mode:absolute,to:'2016-08-04 15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5" t="str">
            <v>N</v>
          </cell>
          <cell r="X95">
            <v>1</v>
          </cell>
          <cell r="Y95">
            <v>5.5300000000000002E-2</v>
          </cell>
          <cell r="Z95">
            <v>23.3264</v>
          </cell>
          <cell r="AA95">
            <v>23.271100000000001</v>
          </cell>
          <cell r="AB95" t="e">
            <v>#N/A</v>
          </cell>
          <cell r="AC95" t="e">
            <v>#N/A</v>
          </cell>
          <cell r="AD95" t="str">
            <v>0183-04</v>
          </cell>
          <cell r="AE9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96">
          <cell r="A96" t="str">
            <v>184-04</v>
          </cell>
          <cell r="B96">
            <v>4032</v>
          </cell>
          <cell r="C96" t="str">
            <v>DE.1.0.7.0</v>
          </cell>
          <cell r="D96" t="str">
            <v>204:232967</v>
          </cell>
          <cell r="E96">
            <v>42586.615868055553</v>
          </cell>
          <cell r="F96">
            <v>42586.616527777776</v>
          </cell>
          <cell r="G96">
            <v>0</v>
          </cell>
          <cell r="H96" t="str">
            <v>204:167</v>
          </cell>
          <cell r="I96">
            <v>42586.650335648148</v>
          </cell>
          <cell r="J96">
            <v>0</v>
          </cell>
          <cell r="K96" t="str">
            <v>4031/4032</v>
          </cell>
          <cell r="L96" t="str">
            <v>SUR</v>
          </cell>
          <cell r="M96">
            <v>3.3807870371674653E-2</v>
          </cell>
          <cell r="N96">
            <v>48.683333335211501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https://search-rtdc-monitor-bjffxe2xuh6vdkpspy63sjmuny.us-east-1.es.amazonaws.com/_plugin/kibana/#/discover/Steve-Slow-Train-Analysis-(2080s-and-2083s)?_g=(refreshInterval:(display:Off,section:0,value:0),time:(from:'2016-08-04 13:46:51-0600',mode:absolute,to:'2016-08-04 16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6" t="str">
            <v>N</v>
          </cell>
          <cell r="X96">
            <v>1</v>
          </cell>
          <cell r="Y96">
            <v>23.296700000000001</v>
          </cell>
          <cell r="Z96">
            <v>1.67E-2</v>
          </cell>
          <cell r="AA96">
            <v>23.28</v>
          </cell>
          <cell r="AB96" t="e">
            <v>#N/A</v>
          </cell>
          <cell r="AC96" t="e">
            <v>#N/A</v>
          </cell>
          <cell r="AD96" t="str">
            <v>0184-04</v>
          </cell>
          <cell r="AE9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97">
          <cell r="A97" t="str">
            <v>185-04</v>
          </cell>
          <cell r="B97">
            <v>4027</v>
          </cell>
          <cell r="C97" t="str">
            <v>DE.1.0.7.0</v>
          </cell>
          <cell r="D97" t="str">
            <v>204:462</v>
          </cell>
          <cell r="E97">
            <v>42586.590462962966</v>
          </cell>
          <cell r="F97">
            <v>42586.591458333336</v>
          </cell>
          <cell r="G97">
            <v>1</v>
          </cell>
          <cell r="H97" t="str">
            <v>204:233281</v>
          </cell>
          <cell r="I97">
            <v>42586.61986111111</v>
          </cell>
          <cell r="J97">
            <v>0</v>
          </cell>
          <cell r="K97" t="str">
            <v>4027/4028</v>
          </cell>
          <cell r="L97" t="str">
            <v>SWANSON</v>
          </cell>
          <cell r="M97">
            <v>2.8402777774317656E-2</v>
          </cell>
          <cell r="N97">
            <v>40.899999995017424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https://search-rtdc-monitor-bjffxe2xuh6vdkpspy63sjmuny.us-east-1.es.amazonaws.com/_plugin/kibana/#/discover/Steve-Slow-Train-Analysis-(2080s-and-2083s)?_g=(refreshInterval:(display:Off,section:0,value:0),time:(from:'2016-08-04 13:10:16-0600',mode:absolute,to:'2016-08-04 15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7" t="str">
            <v>N</v>
          </cell>
          <cell r="X97">
            <v>1</v>
          </cell>
          <cell r="Y97">
            <v>4.6199999999999998E-2</v>
          </cell>
          <cell r="Z97">
            <v>23.328099999999999</v>
          </cell>
          <cell r="AA97">
            <v>23.2819</v>
          </cell>
          <cell r="AB97" t="e">
            <v>#N/A</v>
          </cell>
          <cell r="AC97" t="e">
            <v>#N/A</v>
          </cell>
          <cell r="AD97" t="str">
            <v>0185-04</v>
          </cell>
          <cell r="AE9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98">
          <cell r="A98" t="str">
            <v>186-04</v>
          </cell>
          <cell r="B98">
            <v>4028</v>
          </cell>
          <cell r="C98" t="str">
            <v>DE.1.0.7.0</v>
          </cell>
          <cell r="D98" t="str">
            <v>204:232968</v>
          </cell>
          <cell r="E98">
            <v>42586.621562499997</v>
          </cell>
          <cell r="F98">
            <v>42586.622314814813</v>
          </cell>
          <cell r="G98">
            <v>1</v>
          </cell>
          <cell r="H98" t="str">
            <v>204:139</v>
          </cell>
          <cell r="I98">
            <v>42586.660092592596</v>
          </cell>
          <cell r="J98">
            <v>0</v>
          </cell>
          <cell r="K98" t="str">
            <v>4027/4028</v>
          </cell>
          <cell r="L98" t="str">
            <v>SWANSON</v>
          </cell>
          <cell r="M98">
            <v>3.7777777783048805E-2</v>
          </cell>
          <cell r="N98">
            <v>54.400000007590279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https://search-rtdc-monitor-bjffxe2xuh6vdkpspy63sjmuny.us-east-1.es.amazonaws.com/_plugin/kibana/#/discover/Steve-Slow-Train-Analysis-(2080s-and-2083s)?_g=(refreshInterval:(display:Off,section:0,value:0),time:(from:'2016-08-04 13:55:03-0600',mode:absolute,to:'2016-08-04 16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8" t="str">
            <v>N</v>
          </cell>
          <cell r="X98">
            <v>1</v>
          </cell>
          <cell r="Y98">
            <v>23.296800000000001</v>
          </cell>
          <cell r="Z98">
            <v>1.3899999999999999E-2</v>
          </cell>
          <cell r="AA98">
            <v>23.282900000000001</v>
          </cell>
          <cell r="AB98" t="e">
            <v>#N/A</v>
          </cell>
          <cell r="AC98" t="e">
            <v>#N/A</v>
          </cell>
          <cell r="AD98" t="str">
            <v>0186-04</v>
          </cell>
          <cell r="AE9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99">
          <cell r="A99" t="str">
            <v>187-04</v>
          </cell>
          <cell r="B99">
            <v>4029</v>
          </cell>
          <cell r="C99" t="str">
            <v>DE.1.0.7.0</v>
          </cell>
          <cell r="D99" t="str">
            <v>204:477</v>
          </cell>
          <cell r="E99">
            <v>42586.599560185183</v>
          </cell>
          <cell r="F99">
            <v>42586.600671296299</v>
          </cell>
          <cell r="G99">
            <v>1</v>
          </cell>
          <cell r="H99" t="str">
            <v>204:233309</v>
          </cell>
          <cell r="I99">
            <v>42586.631539351853</v>
          </cell>
          <cell r="J99">
            <v>0</v>
          </cell>
          <cell r="K99" t="str">
            <v>4029/4030</v>
          </cell>
          <cell r="L99" t="str">
            <v>OUN</v>
          </cell>
          <cell r="M99">
            <v>3.0868055553582963E-2</v>
          </cell>
          <cell r="N99">
            <v>44.449999997159466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https://search-rtdc-monitor-bjffxe2xuh6vdkpspy63sjmuny.us-east-1.es.amazonaws.com/_plugin/kibana/#/discover/Steve-Slow-Train-Analysis-(2080s-and-2083s)?_g=(refreshInterval:(display:Off,section:0,value:0),time:(from:'2016-08-04 13:23:22-0600',mode:absolute,to:'2016-08-04 16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4.7699999999999999E-2</v>
          </cell>
          <cell r="Z99">
            <v>23.3309</v>
          </cell>
          <cell r="AA99">
            <v>23.283200000000001</v>
          </cell>
          <cell r="AB99" t="e">
            <v>#N/A</v>
          </cell>
          <cell r="AC99" t="e">
            <v>#N/A</v>
          </cell>
          <cell r="AD99" t="str">
            <v>0187-04</v>
          </cell>
          <cell r="AE9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00">
          <cell r="A100" t="str">
            <v>188-04</v>
          </cell>
          <cell r="B100">
            <v>4030</v>
          </cell>
          <cell r="C100" t="str">
            <v>DE.1.0.7.0</v>
          </cell>
          <cell r="D100" t="str">
            <v>204:232955</v>
          </cell>
          <cell r="E100">
            <v>42586.639317129629</v>
          </cell>
          <cell r="F100">
            <v>42586.640138888892</v>
          </cell>
          <cell r="G100">
            <v>1</v>
          </cell>
          <cell r="H100" t="str">
            <v>204:163</v>
          </cell>
          <cell r="I100">
            <v>42586.671724537038</v>
          </cell>
          <cell r="J100">
            <v>0</v>
          </cell>
          <cell r="K100" t="str">
            <v>4029/4030</v>
          </cell>
          <cell r="L100" t="str">
            <v>OUN</v>
          </cell>
          <cell r="M100">
            <v>3.1585648146574385E-2</v>
          </cell>
          <cell r="N100">
            <v>45.483333331067115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https://search-rtdc-monitor-bjffxe2xuh6vdkpspy63sjmuny.us-east-1.es.amazonaws.com/_plugin/kibana/#/discover/Steve-Slow-Train-Analysis-(2080s-and-2083s)?_g=(refreshInterval:(display:Off,section:0,value:0),time:(from:'2016-08-04 14:20:37-0600',mode:absolute,to:'2016-08-04 17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23.295500000000001</v>
          </cell>
          <cell r="Z100">
            <v>1.6299999999999999E-2</v>
          </cell>
          <cell r="AA100">
            <v>23.279199999999999</v>
          </cell>
          <cell r="AB100" t="e">
            <v>#N/A</v>
          </cell>
          <cell r="AC100" t="e">
            <v>#N/A</v>
          </cell>
          <cell r="AD100" t="str">
            <v>0188-04</v>
          </cell>
          <cell r="AE10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01">
          <cell r="A101" t="str">
            <v>189-04</v>
          </cell>
          <cell r="B101">
            <v>4011</v>
          </cell>
          <cell r="C101" t="str">
            <v>DE.1.0.7.0</v>
          </cell>
          <cell r="D101" t="str">
            <v>204:440</v>
          </cell>
          <cell r="E101">
            <v>42586.610243055555</v>
          </cell>
          <cell r="F101">
            <v>42586.611319444448</v>
          </cell>
          <cell r="G101">
            <v>1</v>
          </cell>
          <cell r="H101" t="str">
            <v>204:233368</v>
          </cell>
          <cell r="I101">
            <v>42586.641099537039</v>
          </cell>
          <cell r="J101">
            <v>0</v>
          </cell>
          <cell r="K101" t="str">
            <v>4011/4012</v>
          </cell>
          <cell r="L101" t="str">
            <v>SHOOK</v>
          </cell>
          <cell r="M101">
            <v>2.9780092590954155E-2</v>
          </cell>
          <cell r="N101">
            <v>42.883333330973983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https://search-rtdc-monitor-bjffxe2xuh6vdkpspy63sjmuny.us-east-1.es.amazonaws.com/_plugin/kibana/#/discover/Steve-Slow-Train-Analysis-(2080s-and-2083s)?_g=(refreshInterval:(display:Off,section:0,value:0),time:(from:'2016-08-04 13:38:45-0600',mode:absolute,to:'2016-08-04 16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4.3999999999999997E-2</v>
          </cell>
          <cell r="Z101">
            <v>23.3368</v>
          </cell>
          <cell r="AA101">
            <v>23.2928</v>
          </cell>
          <cell r="AB101" t="e">
            <v>#N/A</v>
          </cell>
          <cell r="AC101" t="e">
            <v>#N/A</v>
          </cell>
          <cell r="AD101" t="str">
            <v>0189-04</v>
          </cell>
          <cell r="AE10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02">
          <cell r="A102" t="str">
            <v>190-04</v>
          </cell>
          <cell r="B102">
            <v>4012</v>
          </cell>
          <cell r="C102" t="str">
            <v>DE.1.0.7.0</v>
          </cell>
          <cell r="D102" t="str">
            <v>204:233066</v>
          </cell>
          <cell r="E102">
            <v>42586.6484837963</v>
          </cell>
          <cell r="F102">
            <v>42586.649386574078</v>
          </cell>
          <cell r="G102">
            <v>1</v>
          </cell>
          <cell r="H102" t="str">
            <v>204:141</v>
          </cell>
          <cell r="I102">
            <v>42586.680497685185</v>
          </cell>
          <cell r="J102">
            <v>0</v>
          </cell>
          <cell r="K102" t="str">
            <v>4011/4012</v>
          </cell>
          <cell r="L102" t="str">
            <v>SHOOK</v>
          </cell>
          <cell r="M102">
            <v>3.1111111107748002E-2</v>
          </cell>
          <cell r="N102">
            <v>44.799999995157123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https://search-rtdc-monitor-bjffxe2xuh6vdkpspy63sjmuny.us-east-1.es.amazonaws.com/_plugin/kibana/#/discover/Steve-Slow-Train-Analysis-(2080s-and-2083s)?_g=(refreshInterval:(display:Off,section:0,value:0),time:(from:'2016-08-04 14:33:49-0600',mode:absolute,to:'2016-08-04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23.3066</v>
          </cell>
          <cell r="Z102">
            <v>1.41E-2</v>
          </cell>
          <cell r="AA102">
            <v>23.2925</v>
          </cell>
          <cell r="AB102" t="e">
            <v>#N/A</v>
          </cell>
          <cell r="AC102" t="e">
            <v>#N/A</v>
          </cell>
          <cell r="AD102" t="str">
            <v>0190-04</v>
          </cell>
          <cell r="AE10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03">
          <cell r="A103" t="str">
            <v>191-04</v>
          </cell>
          <cell r="B103">
            <v>4007</v>
          </cell>
          <cell r="C103" t="str">
            <v>DE.1.0.7.0</v>
          </cell>
          <cell r="D103" t="str">
            <v>204:458</v>
          </cell>
          <cell r="E103">
            <v>42586.621099537035</v>
          </cell>
          <cell r="F103">
            <v>42586.622361111113</v>
          </cell>
          <cell r="G103">
            <v>1</v>
          </cell>
          <cell r="H103" t="str">
            <v>204:233301</v>
          </cell>
          <cell r="I103">
            <v>42586.650300925925</v>
          </cell>
          <cell r="J103">
            <v>0</v>
          </cell>
          <cell r="K103" t="str">
            <v>4007/4008</v>
          </cell>
          <cell r="L103" t="str">
            <v>MOSES</v>
          </cell>
          <cell r="M103">
            <v>2.7939814812270924E-2</v>
          </cell>
          <cell r="N103">
            <v>40.233333329670131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https://search-rtdc-monitor-bjffxe2xuh6vdkpspy63sjmuny.us-east-1.es.amazonaws.com/_plugin/kibana/#/discover/Steve-Slow-Train-Analysis-(2080s-and-2083s)?_g=(refreshInterval:(display:Off,section:0,value:0),time:(from:'2016-08-04 13:54:23-0600',mode:absolute,to:'2016-08-04 16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3" t="str">
            <v>N</v>
          </cell>
          <cell r="X103">
            <v>1</v>
          </cell>
          <cell r="Y103">
            <v>4.58E-2</v>
          </cell>
          <cell r="Z103">
            <v>23.330100000000002</v>
          </cell>
          <cell r="AA103">
            <v>23.284300000000002</v>
          </cell>
          <cell r="AB103" t="e">
            <v>#N/A</v>
          </cell>
          <cell r="AC103" t="e">
            <v>#N/A</v>
          </cell>
          <cell r="AD103" t="str">
            <v>0191-04</v>
          </cell>
          <cell r="AE10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04">
          <cell r="A104" t="str">
            <v>192-04</v>
          </cell>
          <cell r="B104">
            <v>4008</v>
          </cell>
          <cell r="C104" t="str">
            <v>DE.1.0.7.0</v>
          </cell>
          <cell r="D104" t="str">
            <v>204:232990</v>
          </cell>
          <cell r="E104">
            <v>42586.660451388889</v>
          </cell>
          <cell r="F104">
            <v>42586.661400462966</v>
          </cell>
          <cell r="G104">
            <v>1</v>
          </cell>
          <cell r="H104" t="str">
            <v>204:127</v>
          </cell>
          <cell r="I104">
            <v>42586.691481481481</v>
          </cell>
          <cell r="J104">
            <v>0</v>
          </cell>
          <cell r="K104" t="str">
            <v>4007/4008</v>
          </cell>
          <cell r="L104" t="str">
            <v>MOSES</v>
          </cell>
          <cell r="M104">
            <v>3.0081018514465541E-2</v>
          </cell>
          <cell r="N104">
            <v>43.316666660830379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https://search-rtdc-monitor-bjffxe2xuh6vdkpspy63sjmuny.us-east-1.es.amazonaws.com/_plugin/kibana/#/discover/Steve-Slow-Train-Analysis-(2080s-and-2083s)?_g=(refreshInterval:(display:Off,section:0,value:0),time:(from:'2016-08-04 14:51:03-0600',mode:absolute,to:'2016-08-04 17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1.2699999999999999E-2</v>
          </cell>
          <cell r="AA104">
            <v>23.286300000000001</v>
          </cell>
          <cell r="AB104" t="e">
            <v>#N/A</v>
          </cell>
          <cell r="AC104" t="e">
            <v>#N/A</v>
          </cell>
          <cell r="AD104" t="str">
            <v>0192-04</v>
          </cell>
          <cell r="AE10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05">
          <cell r="A105" t="str">
            <v>193-04</v>
          </cell>
          <cell r="B105">
            <v>4025</v>
          </cell>
          <cell r="C105" t="str">
            <v>DE.1.0.7.0</v>
          </cell>
          <cell r="D105" t="str">
            <v>204:451</v>
          </cell>
          <cell r="E105">
            <v>42586.631273148145</v>
          </cell>
          <cell r="F105">
            <v>42586.632662037038</v>
          </cell>
          <cell r="G105">
            <v>1</v>
          </cell>
          <cell r="H105" t="str">
            <v>204:233321</v>
          </cell>
          <cell r="I105">
            <v>42586.660439814812</v>
          </cell>
          <cell r="J105">
            <v>0</v>
          </cell>
          <cell r="K105" t="str">
            <v>4025/4026</v>
          </cell>
          <cell r="L105" t="str">
            <v>NEWELL</v>
          </cell>
          <cell r="M105">
            <v>2.7777777773735579E-2</v>
          </cell>
          <cell r="N105">
            <v>39.999999994179234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https://search-rtdc-monitor-bjffxe2xuh6vdkpspy63sjmuny.us-east-1.es.amazonaws.com/_plugin/kibana/#/discover/Steve-Slow-Train-Analysis-(2080s-and-2083s)?_g=(refreshInterval:(display:Off,section:0,value:0),time:(from:'2016-08-04 14:09:02-0600',mode:absolute,to:'2016-08-04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4.5100000000000001E-2</v>
          </cell>
          <cell r="Z105">
            <v>23.332100000000001</v>
          </cell>
          <cell r="AA105">
            <v>23.286999999999999</v>
          </cell>
          <cell r="AB105" t="e">
            <v>#N/A</v>
          </cell>
          <cell r="AC105" t="e">
            <v>#N/A</v>
          </cell>
          <cell r="AD105" t="str">
            <v>0193-04</v>
          </cell>
          <cell r="AE1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06">
          <cell r="A106" t="str">
            <v>194-04</v>
          </cell>
          <cell r="B106">
            <v>4026</v>
          </cell>
          <cell r="C106" t="str">
            <v>DE.1.0.7.0</v>
          </cell>
          <cell r="D106" t="str">
            <v>204:232994</v>
          </cell>
          <cell r="E106">
            <v>42586.671701388892</v>
          </cell>
          <cell r="F106">
            <v>42586.672824074078</v>
          </cell>
          <cell r="G106">
            <v>1</v>
          </cell>
          <cell r="H106" t="str">
            <v>204:149</v>
          </cell>
          <cell r="I106">
            <v>42586.702685185184</v>
          </cell>
          <cell r="J106">
            <v>0</v>
          </cell>
          <cell r="K106" t="str">
            <v>4025/4026</v>
          </cell>
          <cell r="L106" t="str">
            <v>NEWELL</v>
          </cell>
          <cell r="M106">
            <v>2.9861111106583849E-2</v>
          </cell>
          <cell r="N106">
            <v>42.999999993480742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https://search-rtdc-monitor-bjffxe2xuh6vdkpspy63sjmuny.us-east-1.es.amazonaws.com/_plugin/kibana/#/discover/Steve-Slow-Train-Analysis-(2080s-and-2083s)?_g=(refreshInterval:(display:Off,section:0,value:0),time:(from:'2016-08-04 15:07:15-0600',mode:absolute,to:'2016-08-04 17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23.299399999999999</v>
          </cell>
          <cell r="Z106">
            <v>1.49E-2</v>
          </cell>
          <cell r="AA106">
            <v>23.284499999999998</v>
          </cell>
          <cell r="AB106" t="e">
            <v>#N/A</v>
          </cell>
          <cell r="AC106" t="e">
            <v>#N/A</v>
          </cell>
          <cell r="AD106" t="str">
            <v>0194-04</v>
          </cell>
          <cell r="AE10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07">
          <cell r="A107" t="str">
            <v>195-04</v>
          </cell>
          <cell r="B107">
            <v>4038</v>
          </cell>
          <cell r="C107" t="str">
            <v>DE.1.0.7.0</v>
          </cell>
          <cell r="D107" t="str">
            <v>204:467</v>
          </cell>
          <cell r="E107">
            <v>42586.643912037034</v>
          </cell>
          <cell r="F107">
            <v>42586.644675925927</v>
          </cell>
          <cell r="G107">
            <v>1</v>
          </cell>
          <cell r="H107" t="str">
            <v>204:233303</v>
          </cell>
          <cell r="I107">
            <v>42586.670532407406</v>
          </cell>
          <cell r="J107">
            <v>0</v>
          </cell>
          <cell r="K107" t="str">
            <v>4037/4038</v>
          </cell>
          <cell r="L107" t="str">
            <v>HELVIE</v>
          </cell>
          <cell r="M107">
            <v>2.5856481479422655E-2</v>
          </cell>
          <cell r="N107">
            <v>37.233333330368623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https://search-rtdc-monitor-bjffxe2xuh6vdkpspy63sjmuny.us-east-1.es.amazonaws.com/_plugin/kibana/#/discover/Steve-Slow-Train-Analysis-(2080s-and-2083s)?_g=(refreshInterval:(display:Off,section:0,value:0),time:(from:'2016-08-04 14:27:14-0600',mode:absolute,to:'2016-08-04 17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4.6699999999999998E-2</v>
          </cell>
          <cell r="Z107">
            <v>23.330300000000001</v>
          </cell>
          <cell r="AA107">
            <v>23.2836</v>
          </cell>
          <cell r="AB107" t="e">
            <v>#N/A</v>
          </cell>
          <cell r="AC107" t="e">
            <v>#N/A</v>
          </cell>
          <cell r="AD107" t="str">
            <v>0195-04</v>
          </cell>
          <cell r="AE107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08">
          <cell r="A108" t="str">
            <v>196-04</v>
          </cell>
          <cell r="B108">
            <v>4037</v>
          </cell>
          <cell r="C108" t="str">
            <v>DE.1.0.7.0</v>
          </cell>
          <cell r="D108" t="str">
            <v>204:232978</v>
          </cell>
          <cell r="E108">
            <v>42586.681759259256</v>
          </cell>
          <cell r="F108">
            <v>42586.682476851849</v>
          </cell>
          <cell r="G108">
            <v>1</v>
          </cell>
          <cell r="H108" t="str">
            <v>204:160</v>
          </cell>
          <cell r="I108">
            <v>42586.710879629631</v>
          </cell>
          <cell r="J108">
            <v>0</v>
          </cell>
          <cell r="K108" t="str">
            <v>4037/4038</v>
          </cell>
          <cell r="L108" t="str">
            <v>HELVIE</v>
          </cell>
          <cell r="M108">
            <v>2.8402777781593613E-2</v>
          </cell>
          <cell r="N108">
            <v>40.900000005494803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https://search-rtdc-monitor-bjffxe2xuh6vdkpspy63sjmuny.us-east-1.es.amazonaws.com/_plugin/kibana/#/discover/Steve-Slow-Train-Analysis-(2080s-and-2083s)?_g=(refreshInterval:(display:Off,section:0,value:0),time:(from:'2016-08-04 15:21:44-0600',mode:absolute,to:'2016-08-04 18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23.297799999999999</v>
          </cell>
          <cell r="Z108">
            <v>1.6E-2</v>
          </cell>
          <cell r="AA108">
            <v>23.2818</v>
          </cell>
          <cell r="AB108" t="e">
            <v>#N/A</v>
          </cell>
          <cell r="AC108" t="e">
            <v>#N/A</v>
          </cell>
          <cell r="AD108" t="str">
            <v>0196-04</v>
          </cell>
          <cell r="AE10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09">
          <cell r="A109" t="str">
            <v>197-04</v>
          </cell>
          <cell r="B109">
            <v>4031</v>
          </cell>
          <cell r="C109" t="str">
            <v>DE.1.0.7.0</v>
          </cell>
          <cell r="D109" t="str">
            <v>204:473</v>
          </cell>
          <cell r="E109">
            <v>42586.651898148149</v>
          </cell>
          <cell r="F109">
            <v>42586.653009259258</v>
          </cell>
          <cell r="G109">
            <v>1</v>
          </cell>
          <cell r="H109" t="str">
            <v>204:233306</v>
          </cell>
          <cell r="I109">
            <v>42586.681145833332</v>
          </cell>
          <cell r="J109">
            <v>0</v>
          </cell>
          <cell r="K109" t="str">
            <v>4031/4032</v>
          </cell>
          <cell r="L109" t="str">
            <v>SUR</v>
          </cell>
          <cell r="M109">
            <v>2.8136574073869269E-2</v>
          </cell>
          <cell r="N109">
            <v>40.516666666371748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https://search-rtdc-monitor-bjffxe2xuh6vdkpspy63sjmuny.us-east-1.es.amazonaws.com/_plugin/kibana/#/discover/Steve-Slow-Train-Analysis-(2080s-and-2083s)?_g=(refreshInterval:(display:Off,section:0,value:0),time:(from:'2016-08-04 14:38:44-0600',mode:absolute,to:'2016-08-04 17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9" t="str">
            <v>N</v>
          </cell>
          <cell r="X109">
            <v>1</v>
          </cell>
          <cell r="Y109">
            <v>4.7300000000000002E-2</v>
          </cell>
          <cell r="Z109">
            <v>23.3306</v>
          </cell>
          <cell r="AA109">
            <v>23.283300000000001</v>
          </cell>
          <cell r="AB109" t="e">
            <v>#N/A</v>
          </cell>
          <cell r="AC109" t="e">
            <v>#N/A</v>
          </cell>
          <cell r="AD109" t="str">
            <v>0197-04</v>
          </cell>
          <cell r="AE10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10">
          <cell r="A110" t="str">
            <v>198-04</v>
          </cell>
          <cell r="B110">
            <v>4032</v>
          </cell>
          <cell r="C110" t="str">
            <v>DE.1.0.7.0</v>
          </cell>
          <cell r="D110" t="str">
            <v>204:232998</v>
          </cell>
          <cell r="E110">
            <v>42586.687083333331</v>
          </cell>
          <cell r="F110">
            <v>42586.687881944446</v>
          </cell>
          <cell r="G110">
            <v>1</v>
          </cell>
          <cell r="H110" t="str">
            <v>204:143</v>
          </cell>
          <cell r="I110">
            <v>42586.722569444442</v>
          </cell>
          <cell r="J110">
            <v>0</v>
          </cell>
          <cell r="K110" t="str">
            <v>4031/4032</v>
          </cell>
          <cell r="L110" t="str">
            <v>SUR</v>
          </cell>
          <cell r="M110">
            <v>3.4687499995925464E-2</v>
          </cell>
          <cell r="N110">
            <v>49.949999994132668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https://search-rtdc-monitor-bjffxe2xuh6vdkpspy63sjmuny.us-east-1.es.amazonaws.com/_plugin/kibana/#/discover/Steve-Slow-Train-Analysis-(2080s-and-2083s)?_g=(refreshInterval:(display:Off,section:0,value:0),time:(from:'2016-08-04 15:29:24-0600',mode:absolute,to:'2016-08-04 18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0" t="str">
            <v>N</v>
          </cell>
          <cell r="X110">
            <v>1</v>
          </cell>
          <cell r="Y110">
            <v>23.299800000000001</v>
          </cell>
          <cell r="Z110">
            <v>1.43E-2</v>
          </cell>
          <cell r="AA110">
            <v>23.285500000000003</v>
          </cell>
          <cell r="AB110" t="e">
            <v>#N/A</v>
          </cell>
          <cell r="AC110" t="e">
            <v>#N/A</v>
          </cell>
          <cell r="AD110" t="str">
            <v>0198-04</v>
          </cell>
          <cell r="AE11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11">
          <cell r="A111" t="str">
            <v>199-04</v>
          </cell>
          <cell r="B111">
            <v>4027</v>
          </cell>
          <cell r="C111" t="str">
            <v>DE.1.0.7.0</v>
          </cell>
          <cell r="D111" t="str">
            <v>204:444</v>
          </cell>
          <cell r="E111">
            <v>42586.66138888889</v>
          </cell>
          <cell r="F111">
            <v>42586.662349537037</v>
          </cell>
          <cell r="G111">
            <v>1</v>
          </cell>
          <cell r="H111" t="str">
            <v>204:233291</v>
          </cell>
          <cell r="I111">
            <v>42586.692615740743</v>
          </cell>
          <cell r="J111">
            <v>0</v>
          </cell>
          <cell r="K111" t="str">
            <v>4027/4028</v>
          </cell>
          <cell r="L111" t="str">
            <v>SWANSON</v>
          </cell>
          <cell r="M111">
            <v>3.0266203706560191E-2</v>
          </cell>
          <cell r="N111">
            <v>43.583333337446675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https://search-rtdc-monitor-bjffxe2xuh6vdkpspy63sjmuny.us-east-1.es.amazonaws.com/_plugin/kibana/#/discover/Steve-Slow-Train-Analysis-(2080s-and-2083s)?_g=(refreshInterval:(display:Off,section:0,value:0),time:(from:'2016-08-04 14:52:24-0600',mode:absolute,to:'2016-08-04 17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1" t="str">
            <v>N</v>
          </cell>
          <cell r="X111">
            <v>1</v>
          </cell>
          <cell r="Y111">
            <v>4.4400000000000002E-2</v>
          </cell>
          <cell r="Z111">
            <v>23.3291</v>
          </cell>
          <cell r="AA111">
            <v>23.284700000000001</v>
          </cell>
          <cell r="AB111" t="e">
            <v>#N/A</v>
          </cell>
          <cell r="AC111" t="e">
            <v>#N/A</v>
          </cell>
          <cell r="AD111" t="str">
            <v>0199-04</v>
          </cell>
          <cell r="AE11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12">
          <cell r="A112" t="str">
            <v>200-04</v>
          </cell>
          <cell r="B112">
            <v>4028</v>
          </cell>
          <cell r="C112" t="str">
            <v>DE.1.0.7.0</v>
          </cell>
          <cell r="D112" t="str">
            <v>204:232977</v>
          </cell>
          <cell r="E112">
            <v>42586.695069444446</v>
          </cell>
          <cell r="F112">
            <v>42586.695879629631</v>
          </cell>
          <cell r="G112">
            <v>1</v>
          </cell>
          <cell r="H112" t="str">
            <v>204:136</v>
          </cell>
          <cell r="I112">
            <v>42586.733055555553</v>
          </cell>
          <cell r="J112">
            <v>0</v>
          </cell>
          <cell r="K112" t="str">
            <v>4027/4028</v>
          </cell>
          <cell r="L112" t="str">
            <v>SWANSON</v>
          </cell>
          <cell r="M112">
            <v>3.7175925921474118E-2</v>
          </cell>
          <cell r="N112">
            <v>53.53333332692273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https://search-rtdc-monitor-bjffxe2xuh6vdkpspy63sjmuny.us-east-1.es.amazonaws.com/_plugin/kibana/#/discover/Steve-Slow-Train-Analysis-(2080s-and-2083s)?_g=(refreshInterval:(display:Off,section:0,value:0),time:(from:'2016-08-04 15:40:54-0600',mode:absolute,to:'2016-08-04 18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2" t="str">
            <v>N</v>
          </cell>
          <cell r="X112">
            <v>1</v>
          </cell>
          <cell r="Y112">
            <v>23.297699999999999</v>
          </cell>
          <cell r="Z112">
            <v>1.3599999999999999E-2</v>
          </cell>
          <cell r="AA112">
            <v>23.284099999999999</v>
          </cell>
          <cell r="AB112" t="e">
            <v>#N/A</v>
          </cell>
          <cell r="AC112" t="e">
            <v>#N/A</v>
          </cell>
          <cell r="AD112" t="str">
            <v>0200-04</v>
          </cell>
          <cell r="AE11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13">
          <cell r="A113" t="str">
            <v>201-04</v>
          </cell>
          <cell r="B113">
            <v>4029</v>
          </cell>
          <cell r="C113" t="str">
            <v>DE.1.0.7.0</v>
          </cell>
          <cell r="D113" t="str">
            <v>204:462</v>
          </cell>
          <cell r="E113">
            <v>42586.67454861111</v>
          </cell>
          <cell r="F113">
            <v>42586.675567129627</v>
          </cell>
          <cell r="G113">
            <v>1</v>
          </cell>
          <cell r="H113" t="str">
            <v>204:233317</v>
          </cell>
          <cell r="I113">
            <v>42586.702870370369</v>
          </cell>
          <cell r="J113">
            <v>0</v>
          </cell>
          <cell r="K113" t="str">
            <v>4029/4030</v>
          </cell>
          <cell r="L113" t="str">
            <v>OUN</v>
          </cell>
          <cell r="M113">
            <v>2.7303240742185153E-2</v>
          </cell>
          <cell r="N113">
            <v>39.31666666874662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https://search-rtdc-monitor-bjffxe2xuh6vdkpspy63sjmuny.us-east-1.es.amazonaws.com/_plugin/kibana/#/discover/Steve-Slow-Train-Analysis-(2080s-and-2083s)?_g=(refreshInterval:(display:Off,section:0,value:0),time:(from:'2016-08-04 15:11:21-0600',mode:absolute,to:'2016-08-04 17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4.6199999999999998E-2</v>
          </cell>
          <cell r="Z113">
            <v>23.331700000000001</v>
          </cell>
          <cell r="AA113">
            <v>23.285500000000003</v>
          </cell>
          <cell r="AB113" t="e">
            <v>#N/A</v>
          </cell>
          <cell r="AC113" t="e">
            <v>#N/A</v>
          </cell>
          <cell r="AD113" t="str">
            <v>0201-04</v>
          </cell>
          <cell r="AE11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14">
          <cell r="A114" t="str">
            <v>202-04</v>
          </cell>
          <cell r="B114">
            <v>4030</v>
          </cell>
          <cell r="C114" t="str">
            <v>DE.1.0.7.0</v>
          </cell>
          <cell r="D114" t="str">
            <v>204:233004</v>
          </cell>
          <cell r="E114">
            <v>42586.711111111108</v>
          </cell>
          <cell r="F114">
            <v>42586.711851851855</v>
          </cell>
          <cell r="G114">
            <v>1</v>
          </cell>
          <cell r="H114" t="str">
            <v>204:165</v>
          </cell>
          <cell r="I114">
            <v>42586.742997685185</v>
          </cell>
          <cell r="J114">
            <v>0</v>
          </cell>
          <cell r="K114" t="str">
            <v>4029/4030</v>
          </cell>
          <cell r="L114" t="str">
            <v>OUN</v>
          </cell>
          <cell r="M114">
            <v>3.1145833330811001E-2</v>
          </cell>
          <cell r="N114">
            <v>44.849999996367842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https://search-rtdc-monitor-bjffxe2xuh6vdkpspy63sjmuny.us-east-1.es.amazonaws.com/_plugin/kibana/#/discover/Steve-Slow-Train-Analysis-(2080s-and-2083s)?_g=(refreshInterval:(display:Off,section:0,value:0),time:(from:'2016-08-04 16:04:00-0600',mode:absolute,to:'2016-08-04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23.3004</v>
          </cell>
          <cell r="Z114">
            <v>1.6500000000000001E-2</v>
          </cell>
          <cell r="AA114">
            <v>23.283899999999999</v>
          </cell>
          <cell r="AB114" t="e">
            <v>#N/A</v>
          </cell>
          <cell r="AC114" t="e">
            <v>#N/A</v>
          </cell>
          <cell r="AD114" t="str">
            <v>0202-04</v>
          </cell>
          <cell r="AE11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15">
          <cell r="A115" t="str">
            <v>203-04</v>
          </cell>
          <cell r="B115">
            <v>4011</v>
          </cell>
          <cell r="C115" t="str">
            <v>DE.1.0.7.0</v>
          </cell>
          <cell r="D115" t="str">
            <v>204:440</v>
          </cell>
          <cell r="E115">
            <v>42586.682534722226</v>
          </cell>
          <cell r="F115">
            <v>42586.683541666665</v>
          </cell>
          <cell r="G115">
            <v>1</v>
          </cell>
          <cell r="H115" t="str">
            <v>204:233376</v>
          </cell>
          <cell r="I115">
            <v>42586.71361111111</v>
          </cell>
          <cell r="J115">
            <v>0</v>
          </cell>
          <cell r="K115" t="str">
            <v>4011/4012</v>
          </cell>
          <cell r="L115" t="str">
            <v>SHOOK</v>
          </cell>
          <cell r="M115">
            <v>3.0069444444961846E-2</v>
          </cell>
          <cell r="N115">
            <v>43.300000000745058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https://search-rtdc-monitor-bjffxe2xuh6vdkpspy63sjmuny.us-east-1.es.amazonaws.com/_plugin/kibana/#/discover/Steve-Slow-Train-Analysis-(2080s-and-2083s)?_g=(refreshInterval:(display:Off,section:0,value:0),time:(from:'2016-08-04 15:22:51-0600',mode:absolute,to:'2016-08-04 18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23.337599999999998</v>
          </cell>
          <cell r="AA115">
            <v>23.293599999999998</v>
          </cell>
          <cell r="AB115" t="e">
            <v>#N/A</v>
          </cell>
          <cell r="AC115" t="e">
            <v>#N/A</v>
          </cell>
          <cell r="AD115" t="str">
            <v>0203-04</v>
          </cell>
          <cell r="AE11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16">
          <cell r="A116" t="str">
            <v>204-04</v>
          </cell>
          <cell r="B116">
            <v>4012</v>
          </cell>
          <cell r="C116" t="str">
            <v>DE.1.0.7.0</v>
          </cell>
          <cell r="D116" t="str">
            <v>204:233046</v>
          </cell>
          <cell r="E116">
            <v>42586.720069444447</v>
          </cell>
          <cell r="F116">
            <v>42586.721099537041</v>
          </cell>
          <cell r="G116">
            <v>1</v>
          </cell>
          <cell r="H116" t="str">
            <v>204:145</v>
          </cell>
          <cell r="I116">
            <v>42586.753472222219</v>
          </cell>
          <cell r="J116">
            <v>0</v>
          </cell>
          <cell r="K116" t="str">
            <v>4011/4012</v>
          </cell>
          <cell r="L116" t="str">
            <v>SHOOK</v>
          </cell>
          <cell r="M116">
            <v>3.237268517841585E-2</v>
          </cell>
          <cell r="N116">
            <v>46.616666656918824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https://search-rtdc-monitor-bjffxe2xuh6vdkpspy63sjmuny.us-east-1.es.amazonaws.com/_plugin/kibana/#/discover/Steve-Slow-Train-Analysis-(2080s-and-2083s)?_g=(refreshInterval:(display:Off,section:0,value:0),time:(from:'2016-08-04 16:16:54-0600',mode:absolute,to:'2016-08-04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6" t="str">
            <v>N</v>
          </cell>
          <cell r="X116">
            <v>1</v>
          </cell>
          <cell r="Y116">
            <v>23.304600000000001</v>
          </cell>
          <cell r="Z116">
            <v>1.4500000000000001E-2</v>
          </cell>
          <cell r="AA116">
            <v>23.290099999999999</v>
          </cell>
          <cell r="AB116" t="e">
            <v>#N/A</v>
          </cell>
          <cell r="AC116" t="e">
            <v>#N/A</v>
          </cell>
          <cell r="AD116" t="str">
            <v>0204-04</v>
          </cell>
          <cell r="AE11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17">
          <cell r="A117" t="str">
            <v>205-04</v>
          </cell>
          <cell r="B117">
            <v>4007</v>
          </cell>
          <cell r="C117" t="str">
            <v>DE.1.0.7.0</v>
          </cell>
          <cell r="D117" t="str">
            <v>204:467</v>
          </cell>
          <cell r="E117">
            <v>42586.694803240738</v>
          </cell>
          <cell r="F117">
            <v>42586.696458333332</v>
          </cell>
          <cell r="G117">
            <v>2</v>
          </cell>
          <cell r="H117" t="str">
            <v>204:233230</v>
          </cell>
          <cell r="I117">
            <v>42586.723634259259</v>
          </cell>
          <cell r="J117">
            <v>1</v>
          </cell>
          <cell r="K117" t="str">
            <v>4007/4008</v>
          </cell>
          <cell r="L117" t="str">
            <v>MOSES</v>
          </cell>
          <cell r="M117">
            <v>2.7175925926712807E-2</v>
          </cell>
          <cell r="N117">
            <v>39.133333334466442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https://search-rtdc-monitor-bjffxe2xuh6vdkpspy63sjmuny.us-east-1.es.amazonaws.com/_plugin/kibana/#/discover/Steve-Slow-Train-Analysis-(2080s-and-2083s)?_g=(refreshInterval:(display:Off,section:0,value:0),time:(from:'2016-08-04 15:40:31-0600',mode:absolute,to:'2016-08-04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7" t="str">
            <v>N</v>
          </cell>
          <cell r="X117">
            <v>1</v>
          </cell>
          <cell r="Y117">
            <v>4.6699999999999998E-2</v>
          </cell>
          <cell r="Z117">
            <v>23.323</v>
          </cell>
          <cell r="AA117">
            <v>23.276299999999999</v>
          </cell>
          <cell r="AB117" t="e">
            <v>#N/A</v>
          </cell>
          <cell r="AC117" t="e">
            <v>#N/A</v>
          </cell>
          <cell r="AD117" t="str">
            <v>0205-04</v>
          </cell>
          <cell r="AE11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18">
          <cell r="A118" t="str">
            <v>206-04</v>
          </cell>
          <cell r="B118">
            <v>4008</v>
          </cell>
          <cell r="C118" t="str">
            <v>DE.1.0.7.0</v>
          </cell>
          <cell r="D118" t="str">
            <v>204:232925</v>
          </cell>
          <cell r="E118">
            <v>42586.734571759262</v>
          </cell>
          <cell r="F118">
            <v>42586.736631944441</v>
          </cell>
          <cell r="G118">
            <v>2</v>
          </cell>
          <cell r="H118" t="str">
            <v>204:154</v>
          </cell>
          <cell r="I118">
            <v>42586.764479166668</v>
          </cell>
          <cell r="J118">
            <v>0</v>
          </cell>
          <cell r="K118" t="str">
            <v>4007/4008</v>
          </cell>
          <cell r="L118" t="str">
            <v>MOSES</v>
          </cell>
          <cell r="M118">
            <v>2.7847222227137536E-2</v>
          </cell>
          <cell r="N118">
            <v>40.100000007078052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https://search-rtdc-monitor-bjffxe2xuh6vdkpspy63sjmuny.us-east-1.es.amazonaws.com/_plugin/kibana/#/discover/Steve-Slow-Train-Analysis-(2080s-and-2083s)?_g=(refreshInterval:(display:Off,section:0,value:0),time:(from:'2016-08-04 16:37:47-0600',mode:absolute,to:'2016-08-04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8" t="str">
            <v>N</v>
          </cell>
          <cell r="X118">
            <v>1</v>
          </cell>
          <cell r="Y118">
            <v>23.2925</v>
          </cell>
          <cell r="Z118">
            <v>1.54E-2</v>
          </cell>
          <cell r="AA118">
            <v>23.277100000000001</v>
          </cell>
          <cell r="AB118" t="e">
            <v>#N/A</v>
          </cell>
          <cell r="AC118" t="e">
            <v>#N/A</v>
          </cell>
          <cell r="AD118" t="str">
            <v>0206-04</v>
          </cell>
          <cell r="AE11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19">
          <cell r="A119" t="str">
            <v>207-04</v>
          </cell>
          <cell r="B119">
            <v>4025</v>
          </cell>
          <cell r="C119" t="str">
            <v>DE.1.0.7.0</v>
          </cell>
          <cell r="D119" t="str">
            <v>204:437</v>
          </cell>
          <cell r="E119">
            <v>42586.704629629632</v>
          </cell>
          <cell r="F119">
            <v>42586.705509259256</v>
          </cell>
          <cell r="G119">
            <v>1</v>
          </cell>
          <cell r="H119" t="str">
            <v>204:233316</v>
          </cell>
          <cell r="I119">
            <v>42586.732777777775</v>
          </cell>
          <cell r="J119">
            <v>0</v>
          </cell>
          <cell r="K119" t="str">
            <v>4025/4026</v>
          </cell>
          <cell r="L119" t="str">
            <v>NEWELL</v>
          </cell>
          <cell r="M119">
            <v>2.7268518519122154E-2</v>
          </cell>
          <cell r="N119">
            <v>39.266666667535901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https://search-rtdc-monitor-bjffxe2xuh6vdkpspy63sjmuny.us-east-1.es.amazonaws.com/_plugin/kibana/#/discover/Steve-Slow-Train-Analysis-(2080s-and-2083s)?_g=(refreshInterval:(display:Off,section:0,value:0),time:(from:'2016-08-04 15:54:40-0600',mode:absolute,to:'2016-08-04 18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9" t="str">
            <v>N</v>
          </cell>
          <cell r="X119">
            <v>1</v>
          </cell>
          <cell r="Y119">
            <v>4.3700000000000003E-2</v>
          </cell>
          <cell r="Z119">
            <v>23.331600000000002</v>
          </cell>
          <cell r="AA119">
            <v>23.2879</v>
          </cell>
          <cell r="AB119" t="e">
            <v>#N/A</v>
          </cell>
          <cell r="AC119" t="e">
            <v>#N/A</v>
          </cell>
          <cell r="AD119" t="str">
            <v>0207-04</v>
          </cell>
          <cell r="AE11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20">
          <cell r="A120" t="str">
            <v>208-04</v>
          </cell>
          <cell r="B120">
            <v>4026</v>
          </cell>
          <cell r="C120" t="str">
            <v>DE.1.0.7.0</v>
          </cell>
          <cell r="D120" t="str">
            <v>204:232990</v>
          </cell>
          <cell r="E120">
            <v>42586.734479166669</v>
          </cell>
          <cell r="F120">
            <v>42586.735567129632</v>
          </cell>
          <cell r="G120">
            <v>1</v>
          </cell>
          <cell r="H120" t="str">
            <v>204:150</v>
          </cell>
          <cell r="I120">
            <v>42586.773645833331</v>
          </cell>
          <cell r="J120">
            <v>0</v>
          </cell>
          <cell r="K120" t="str">
            <v>4025/4026</v>
          </cell>
          <cell r="L120" t="str">
            <v>NEWELL</v>
          </cell>
          <cell r="M120">
            <v>3.8078703699284233E-2</v>
          </cell>
          <cell r="N120">
            <v>54.833333326969296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https://search-rtdc-monitor-bjffxe2xuh6vdkpspy63sjmuny.us-east-1.es.amazonaws.com/_plugin/kibana/#/discover/Steve-Slow-Train-Analysis-(2080s-and-2083s)?_g=(refreshInterval:(display:Off,section:0,value:0),time:(from:'2016-08-04 16:37:39-0600',mode:absolute,to:'2016-08-04 19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0" t="str">
            <v>N</v>
          </cell>
          <cell r="X120">
            <v>1</v>
          </cell>
          <cell r="Y120">
            <v>23.298999999999999</v>
          </cell>
          <cell r="Z120">
            <v>1.4999999999999999E-2</v>
          </cell>
          <cell r="AA120">
            <v>23.283999999999999</v>
          </cell>
          <cell r="AB120" t="e">
            <v>#N/A</v>
          </cell>
          <cell r="AC120" t="e">
            <v>#N/A</v>
          </cell>
          <cell r="AD120" t="str">
            <v>0208-04</v>
          </cell>
          <cell r="AE12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21">
          <cell r="A121" t="str">
            <v>209-04</v>
          </cell>
          <cell r="B121">
            <v>4038</v>
          </cell>
          <cell r="C121" t="str">
            <v>DE.1.0.7.0</v>
          </cell>
          <cell r="D121" t="str">
            <v>204:477</v>
          </cell>
          <cell r="E121">
            <v>42586.713113425925</v>
          </cell>
          <cell r="F121">
            <v>42586.714247685188</v>
          </cell>
          <cell r="G121">
            <v>1</v>
          </cell>
          <cell r="H121" t="str">
            <v>204:233308</v>
          </cell>
          <cell r="I121">
            <v>42586.745312500003</v>
          </cell>
          <cell r="J121">
            <v>0</v>
          </cell>
          <cell r="K121" t="str">
            <v>4037/4038</v>
          </cell>
          <cell r="L121" t="str">
            <v>ROBINSON</v>
          </cell>
          <cell r="M121">
            <v>3.1064814815181307E-2</v>
          </cell>
          <cell r="N121">
            <v>44.733333333861083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https://search-rtdc-monitor-bjffxe2xuh6vdkpspy63sjmuny.us-east-1.es.amazonaws.com/_plugin/kibana/#/discover/Steve-Slow-Train-Analysis-(2080s-and-2083s)?_g=(refreshInterval:(display:Off,section:0,value:0),time:(from:'2016-08-04 16:06:53-0600',mode:absolute,to:'2016-08-04 18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4.7699999999999999E-2</v>
          </cell>
          <cell r="Z121">
            <v>23.3308</v>
          </cell>
          <cell r="AA121">
            <v>23.283100000000001</v>
          </cell>
          <cell r="AB121" t="e">
            <v>#N/A</v>
          </cell>
          <cell r="AC121" t="e">
            <v>#N/A</v>
          </cell>
          <cell r="AD121" t="str">
            <v>0209-04</v>
          </cell>
          <cell r="AE12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22">
          <cell r="A122" t="str">
            <v>210-04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42586.75072916667</v>
          </cell>
          <cell r="F122">
            <v>42586.75172453704</v>
          </cell>
          <cell r="G122">
            <v>1</v>
          </cell>
          <cell r="H122" t="str">
            <v>204:145</v>
          </cell>
          <cell r="I122">
            <v>42586.786076388889</v>
          </cell>
          <cell r="J122">
            <v>1</v>
          </cell>
          <cell r="K122" t="str">
            <v>4037/4038</v>
          </cell>
          <cell r="L122" t="str">
            <v>ROBINSON</v>
          </cell>
          <cell r="M122">
            <v>3.4351851849351078E-2</v>
          </cell>
          <cell r="N122">
            <v>49.466666663065553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https://search-rtdc-monitor-bjffxe2xuh6vdkpspy63sjmuny.us-east-1.es.amazonaws.com/_plugin/kibana/#/discover/Steve-Slow-Train-Analysis-(2080s-and-2083s)?_g=(refreshInterval:(display:Off,section:0,value:0),time:(from:'2016-08-04 17:01:03-0600',mode:absolute,to:'2016-08-04 19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1.4500000000000001E-2</v>
          </cell>
          <cell r="AA122">
            <v>23.284199999999998</v>
          </cell>
          <cell r="AB122">
            <v>190834</v>
          </cell>
          <cell r="AC122" t="str">
            <v>PERMANENT SPEED RESTRICTION</v>
          </cell>
          <cell r="AD122" t="str">
            <v>0210-04</v>
          </cell>
          <cell r="AE12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23">
          <cell r="A123" t="str">
            <v>211-04</v>
          </cell>
          <cell r="B123">
            <v>4031</v>
          </cell>
          <cell r="C123" t="str">
            <v>DE.1.0.7.0</v>
          </cell>
          <cell r="D123" t="str">
            <v>204:447</v>
          </cell>
          <cell r="E123">
            <v>42586.724062499998</v>
          </cell>
          <cell r="F123">
            <v>42586.725138888891</v>
          </cell>
          <cell r="G123">
            <v>1</v>
          </cell>
          <cell r="H123" t="str">
            <v>204:233272</v>
          </cell>
          <cell r="I123">
            <v>42586.753530092596</v>
          </cell>
          <cell r="J123">
            <v>0</v>
          </cell>
          <cell r="K123" t="str">
            <v>4031/4032</v>
          </cell>
          <cell r="L123" t="str">
            <v>HELVIE</v>
          </cell>
          <cell r="M123">
            <v>2.8391203704813961E-2</v>
          </cell>
          <cell r="N123">
            <v>40.883333334932104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https://search-rtdc-monitor-bjffxe2xuh6vdkpspy63sjmuny.us-east-1.es.amazonaws.com/_plugin/kibana/#/discover/Steve-Slow-Train-Analysis-(2080s-and-2083s)?_g=(refreshInterval:(display:Off,section:0,value:0),time:(from:'2016-08-04 16:22:39-0600',mode:absolute,to:'2016-08-04 19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3" t="str">
            <v>N</v>
          </cell>
          <cell r="X123">
            <v>1</v>
          </cell>
          <cell r="Y123">
            <v>4.4699999999999997E-2</v>
          </cell>
          <cell r="Z123">
            <v>23.327200000000001</v>
          </cell>
          <cell r="AA123">
            <v>23.282500000000002</v>
          </cell>
          <cell r="AB123" t="e">
            <v>#N/A</v>
          </cell>
          <cell r="AC123" t="e">
            <v>#N/A</v>
          </cell>
          <cell r="AD123" t="str">
            <v>0211-04</v>
          </cell>
          <cell r="AE12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24">
          <cell r="A124" t="str">
            <v>212-04</v>
          </cell>
          <cell r="B124">
            <v>4032</v>
          </cell>
          <cell r="C124" t="str">
            <v>DE.1.0.7.0</v>
          </cell>
          <cell r="D124" t="str">
            <v>204:232978</v>
          </cell>
          <cell r="E124">
            <v>42586.763113425928</v>
          </cell>
          <cell r="F124">
            <v>42586.764050925929</v>
          </cell>
          <cell r="G124">
            <v>1</v>
          </cell>
          <cell r="H124" t="str">
            <v>204:152</v>
          </cell>
          <cell r="I124">
            <v>42586.79378472222</v>
          </cell>
          <cell r="J124">
            <v>0</v>
          </cell>
          <cell r="K124" t="str">
            <v>4031/4032</v>
          </cell>
          <cell r="L124" t="str">
            <v>HELVIE</v>
          </cell>
          <cell r="M124">
            <v>2.9733796291111503E-2</v>
          </cell>
          <cell r="N124">
            <v>42.816666659200564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https://search-rtdc-monitor-bjffxe2xuh6vdkpspy63sjmuny.us-east-1.es.amazonaws.com/_plugin/kibana/#/discover/Steve-Slow-Train-Analysis-(2080s-and-2083s)?_g=(refreshInterval:(display:Off,section:0,value:0),time:(from:'2016-08-04 17:18:53-0600',mode:absolute,to:'2016-08-04 20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4" t="str">
            <v>N</v>
          </cell>
          <cell r="X124">
            <v>1</v>
          </cell>
          <cell r="Y124">
            <v>23.297799999999999</v>
          </cell>
          <cell r="Z124">
            <v>1.52E-2</v>
          </cell>
          <cell r="AA124">
            <v>23.282599999999999</v>
          </cell>
          <cell r="AB124" t="e">
            <v>#N/A</v>
          </cell>
          <cell r="AC124" t="e">
            <v>#N/A</v>
          </cell>
          <cell r="AD124" t="str">
            <v>0212-04</v>
          </cell>
          <cell r="AE12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25">
          <cell r="A125" t="str">
            <v>213-04</v>
          </cell>
          <cell r="B125">
            <v>4027</v>
          </cell>
          <cell r="C125" t="str">
            <v>DE.1.0.7.0</v>
          </cell>
          <cell r="D125" t="str">
            <v>204:453</v>
          </cell>
          <cell r="E125">
            <v>42586.735138888886</v>
          </cell>
          <cell r="F125">
            <v>42586.739618055559</v>
          </cell>
          <cell r="G125">
            <v>6</v>
          </cell>
          <cell r="H125" t="str">
            <v>204:233306</v>
          </cell>
          <cell r="I125">
            <v>42586.76458333333</v>
          </cell>
          <cell r="J125">
            <v>0</v>
          </cell>
          <cell r="K125" t="str">
            <v>4027/4028</v>
          </cell>
          <cell r="L125" t="str">
            <v>COOLAHAN</v>
          </cell>
          <cell r="M125">
            <v>2.4965277771116234E-2</v>
          </cell>
          <cell r="N125">
            <v>35.949999990407377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https://search-rtdc-monitor-bjffxe2xuh6vdkpspy63sjmuny.us-east-1.es.amazonaws.com/_plugin/kibana/#/discover/Steve-Slow-Train-Analysis-(2080s-and-2083s)?_g=(refreshInterval:(display:Off,section:0,value:0),time:(from:'2016-08-04 16:38:36-0600',mode:absolute,to:'2016-08-04 19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5" t="str">
            <v>N</v>
          </cell>
          <cell r="X125">
            <v>1</v>
          </cell>
          <cell r="Y125">
            <v>4.53E-2</v>
          </cell>
          <cell r="Z125">
            <v>23.3306</v>
          </cell>
          <cell r="AA125">
            <v>23.285299999999999</v>
          </cell>
          <cell r="AB125" t="e">
            <v>#N/A</v>
          </cell>
          <cell r="AC125" t="e">
            <v>#N/A</v>
          </cell>
          <cell r="AD125" t="str">
            <v>0213-04</v>
          </cell>
          <cell r="AE12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26">
          <cell r="A126" t="str">
            <v>214-04</v>
          </cell>
          <cell r="B126">
            <v>4028</v>
          </cell>
          <cell r="C126" t="str">
            <v>DE.1.0.7.0</v>
          </cell>
          <cell r="D126" t="str">
            <v>204:233002</v>
          </cell>
          <cell r="E126">
            <v>42586.774861111109</v>
          </cell>
          <cell r="F126">
            <v>42586.776458333334</v>
          </cell>
          <cell r="G126">
            <v>2</v>
          </cell>
          <cell r="H126" t="str">
            <v>204:223</v>
          </cell>
          <cell r="I126">
            <v>42586.8046412037</v>
          </cell>
          <cell r="J126">
            <v>1</v>
          </cell>
          <cell r="K126" t="str">
            <v>4027/4028</v>
          </cell>
          <cell r="L126" t="str">
            <v>COOLAHAN</v>
          </cell>
          <cell r="M126">
            <v>2.8182870366435964E-2</v>
          </cell>
          <cell r="N126">
            <v>40.583333327667788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https://search-rtdc-monitor-bjffxe2xuh6vdkpspy63sjmuny.us-east-1.es.amazonaws.com/_plugin/kibana/#/discover/Steve-Slow-Train-Analysis-(2080s-and-2083s)?_g=(refreshInterval:(display:Off,section:0,value:0),time:(from:'2016-08-04 17:35:48-0600',mode:absolute,to:'2016-08-04 20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6" t="str">
            <v>N</v>
          </cell>
          <cell r="X126">
            <v>1</v>
          </cell>
          <cell r="Y126">
            <v>23.3002</v>
          </cell>
          <cell r="Z126">
            <v>2.23E-2</v>
          </cell>
          <cell r="AA126">
            <v>23.277899999999999</v>
          </cell>
          <cell r="AB126" t="e">
            <v>#N/A</v>
          </cell>
          <cell r="AC126" t="e">
            <v>#N/A</v>
          </cell>
          <cell r="AD126" t="str">
            <v>0214-04</v>
          </cell>
          <cell r="AE12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27">
          <cell r="A127" t="str">
            <v>215-04</v>
          </cell>
          <cell r="B127">
            <v>4029</v>
          </cell>
          <cell r="C127" t="str">
            <v>DE.1.0.7.0</v>
          </cell>
          <cell r="D127" t="str">
            <v>204:457</v>
          </cell>
          <cell r="E127">
            <v>42586.746608796297</v>
          </cell>
          <cell r="F127">
            <v>42586.74790509259</v>
          </cell>
          <cell r="G127">
            <v>1</v>
          </cell>
          <cell r="H127" t="str">
            <v>204:233299</v>
          </cell>
          <cell r="I127">
            <v>42586.775520833333</v>
          </cell>
          <cell r="J127">
            <v>0</v>
          </cell>
          <cell r="K127" t="str">
            <v>4029/4030</v>
          </cell>
          <cell r="L127" t="str">
            <v>SWANSON</v>
          </cell>
          <cell r="M127">
            <v>2.7615740742476191E-2</v>
          </cell>
          <cell r="N127">
            <v>39.766666669165716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https://search-rtdc-monitor-bjffxe2xuh6vdkpspy63sjmuny.us-east-1.es.amazonaws.com/_plugin/kibana/#/discover/Steve-Slow-Train-Analysis-(2080s-and-2083s)?_g=(refreshInterval:(display:Off,section:0,value:0),time:(from:'2016-08-04 16:55:07-0600',mode:absolute,to:'2016-08-04 19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4.5699999999999998E-2</v>
          </cell>
          <cell r="Z127">
            <v>23.329899999999999</v>
          </cell>
          <cell r="AA127">
            <v>23.284199999999998</v>
          </cell>
          <cell r="AB127" t="e">
            <v>#N/A</v>
          </cell>
          <cell r="AC127" t="e">
            <v>#N/A</v>
          </cell>
          <cell r="AD127" t="str">
            <v>0215-04</v>
          </cell>
          <cell r="AE12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28">
          <cell r="A128" t="str">
            <v>216-04</v>
          </cell>
          <cell r="B128">
            <v>4030</v>
          </cell>
          <cell r="C128" t="str">
            <v>DE.1.0.7.0</v>
          </cell>
          <cell r="D128" t="str">
            <v>204:232984</v>
          </cell>
          <cell r="E128">
            <v>42586.782013888886</v>
          </cell>
          <cell r="F128">
            <v>42586.782951388886</v>
          </cell>
          <cell r="G128">
            <v>1</v>
          </cell>
          <cell r="H128" t="str">
            <v>204:170</v>
          </cell>
          <cell r="I128">
            <v>42586.815937500003</v>
          </cell>
          <cell r="J128">
            <v>1</v>
          </cell>
          <cell r="K128" t="str">
            <v>4029/4030</v>
          </cell>
          <cell r="L128" t="str">
            <v>SWANSON</v>
          </cell>
          <cell r="M128">
            <v>3.2986111116770189E-2</v>
          </cell>
          <cell r="N128">
            <v>47.500000008149073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https://search-rtdc-monitor-bjffxe2xuh6vdkpspy63sjmuny.us-east-1.es.amazonaws.com/_plugin/kibana/#/discover/Steve-Slow-Train-Analysis-(2080s-and-2083s)?_g=(refreshInterval:(display:Off,section:0,value:0),time:(from:'2016-08-04 17:46:06-0600',mode:absolute,to:'2016-08-04 20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23.298400000000001</v>
          </cell>
          <cell r="Z128">
            <v>1.7000000000000001E-2</v>
          </cell>
          <cell r="AA128">
            <v>23.281400000000001</v>
          </cell>
          <cell r="AB128" t="e">
            <v>#N/A</v>
          </cell>
          <cell r="AC128" t="e">
            <v>#N/A</v>
          </cell>
          <cell r="AD128" t="str">
            <v>0216-04</v>
          </cell>
          <cell r="AE12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29">
          <cell r="A129" t="str">
            <v>217-04</v>
          </cell>
          <cell r="B129">
            <v>4011</v>
          </cell>
          <cell r="C129" t="str">
            <v>DE.1.0.7.0</v>
          </cell>
          <cell r="D129" t="str">
            <v>204:455</v>
          </cell>
          <cell r="E129">
            <v>42586.756215277775</v>
          </cell>
          <cell r="F129">
            <v>42586.757488425923</v>
          </cell>
          <cell r="G129">
            <v>1</v>
          </cell>
          <cell r="H129" t="str">
            <v>204:233342</v>
          </cell>
          <cell r="I129">
            <v>42586.785231481481</v>
          </cell>
          <cell r="J129">
            <v>0</v>
          </cell>
          <cell r="K129" t="str">
            <v>4011/4012</v>
          </cell>
          <cell r="L129" t="str">
            <v>LEVIN</v>
          </cell>
          <cell r="M129">
            <v>2.7743055557948537E-2</v>
          </cell>
          <cell r="N129">
            <v>39.950000003445894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https://search-rtdc-monitor-bjffxe2xuh6vdkpspy63sjmuny.us-east-1.es.amazonaws.com/_plugin/kibana/#/discover/Steve-Slow-Train-Analysis-(2080s-and-2083s)?_g=(refreshInterval:(display:Off,section:0,value:0),time:(from:'2016-08-04 17:08:57-0600',mode:absolute,to:'2016-08-04 19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9" t="str">
            <v>N</v>
          </cell>
          <cell r="X129">
            <v>1</v>
          </cell>
          <cell r="Y129">
            <v>4.5499999999999999E-2</v>
          </cell>
          <cell r="Z129">
            <v>23.334199999999999</v>
          </cell>
          <cell r="AA129">
            <v>23.288699999999999</v>
          </cell>
          <cell r="AB129" t="e">
            <v>#N/A</v>
          </cell>
          <cell r="AC129" t="e">
            <v>#N/A</v>
          </cell>
          <cell r="AD129" t="str">
            <v>0217-04</v>
          </cell>
          <cell r="AE12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0">
          <cell r="A130" t="str">
            <v>218-04</v>
          </cell>
          <cell r="B130">
            <v>4012</v>
          </cell>
          <cell r="C130" t="str">
            <v>DE.1.0.7.0</v>
          </cell>
          <cell r="D130" t="str">
            <v>204:233011</v>
          </cell>
          <cell r="E130">
            <v>42586.792662037034</v>
          </cell>
          <cell r="F130">
            <v>42586.793622685182</v>
          </cell>
          <cell r="G130">
            <v>1</v>
          </cell>
          <cell r="H130" t="str">
            <v>204:132</v>
          </cell>
          <cell r="I130">
            <v>42586.825497685182</v>
          </cell>
          <cell r="J130">
            <v>0</v>
          </cell>
          <cell r="K130" t="str">
            <v>4011/4012</v>
          </cell>
          <cell r="L130" t="str">
            <v>LEVIN</v>
          </cell>
          <cell r="M130">
            <v>3.1875000000582077E-2</v>
          </cell>
          <cell r="N130">
            <v>45.90000000083819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https://search-rtdc-monitor-bjffxe2xuh6vdkpspy63sjmuny.us-east-1.es.amazonaws.com/_plugin/kibana/#/discover/Steve-Slow-Train-Analysis-(2080s-and-2083s)?_g=(refreshInterval:(display:Off,section:0,value:0),time:(from:'2016-08-04 18:01:26-0600',mode:absolute,to:'2016-08-04 20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0" t="str">
            <v>N</v>
          </cell>
          <cell r="X130">
            <v>1</v>
          </cell>
          <cell r="Y130">
            <v>23.301100000000002</v>
          </cell>
          <cell r="Z130">
            <v>1.32E-2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0218-04</v>
          </cell>
          <cell r="AE13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1">
          <cell r="A131" t="str">
            <v>219-04</v>
          </cell>
          <cell r="B131">
            <v>4007</v>
          </cell>
          <cell r="C131" t="str">
            <v>DE.1.0.7.0</v>
          </cell>
          <cell r="D131" t="str">
            <v>204:457</v>
          </cell>
          <cell r="E131">
            <v>42586.767604166664</v>
          </cell>
          <cell r="F131">
            <v>42586.768900462965</v>
          </cell>
          <cell r="G131">
            <v>1</v>
          </cell>
          <cell r="H131" t="str">
            <v>204:233282</v>
          </cell>
          <cell r="I131">
            <v>42586.79582175926</v>
          </cell>
          <cell r="J131">
            <v>0</v>
          </cell>
          <cell r="K131" t="str">
            <v>4007/4008</v>
          </cell>
          <cell r="L131" t="str">
            <v>STURGEON</v>
          </cell>
          <cell r="M131">
            <v>2.6921296295768116E-2</v>
          </cell>
          <cell r="N131">
            <v>38.766666665906087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https://search-rtdc-monitor-bjffxe2xuh6vdkpspy63sjmuny.us-east-1.es.amazonaws.com/_plugin/kibana/#/discover/Steve-Slow-Train-Analysis-(2080s-and-2083s)?_g=(refreshInterval:(display:Off,section:0,value:0),time:(from:'2016-08-04 17:25:21-0600',mode:absolute,to:'2016-08-04 20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1" t="str">
            <v>N</v>
          </cell>
          <cell r="X131">
            <v>1</v>
          </cell>
          <cell r="Y131">
            <v>4.5699999999999998E-2</v>
          </cell>
          <cell r="Z131">
            <v>23.328199999999999</v>
          </cell>
          <cell r="AA131">
            <v>23.282499999999999</v>
          </cell>
          <cell r="AB131" t="e">
            <v>#N/A</v>
          </cell>
          <cell r="AC131" t="e">
            <v>#N/A</v>
          </cell>
          <cell r="AD131" t="str">
            <v>0219-04</v>
          </cell>
          <cell r="AE13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32">
          <cell r="A132" t="str">
            <v>220-04</v>
          </cell>
          <cell r="B132">
            <v>4008</v>
          </cell>
          <cell r="C132" t="str">
            <v>DE.1.0.7.0</v>
          </cell>
          <cell r="D132" t="str">
            <v>204:232953</v>
          </cell>
          <cell r="E132">
            <v>42586.80164351852</v>
          </cell>
          <cell r="F132">
            <v>42586.803541666668</v>
          </cell>
          <cell r="G132">
            <v>2</v>
          </cell>
          <cell r="H132" t="str">
            <v>204:167</v>
          </cell>
          <cell r="I132">
            <v>42586.836886574078</v>
          </cell>
          <cell r="J132">
            <v>0</v>
          </cell>
          <cell r="K132" t="str">
            <v>4007/4008</v>
          </cell>
          <cell r="L132" t="str">
            <v>STURGEON</v>
          </cell>
          <cell r="M132">
            <v>3.3344907409627922E-2</v>
          </cell>
          <cell r="N132">
            <v>48.016666669864208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https://search-rtdc-monitor-bjffxe2xuh6vdkpspy63sjmuny.us-east-1.es.amazonaws.com/_plugin/kibana/#/discover/Steve-Slow-Train-Analysis-(2080s-and-2083s)?_g=(refreshInterval:(display:Off,section:0,value:0),time:(from:'2016-08-04 18:14:22-0600',mode:absolute,to:'2016-08-04 21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2" t="str">
            <v>N</v>
          </cell>
          <cell r="X132">
            <v>1</v>
          </cell>
          <cell r="Y132">
            <v>23.295300000000001</v>
          </cell>
          <cell r="Z132">
            <v>1.67E-2</v>
          </cell>
          <cell r="AA132">
            <v>23.278600000000001</v>
          </cell>
          <cell r="AB132" t="e">
            <v>#N/A</v>
          </cell>
          <cell r="AC132" t="e">
            <v>#N/A</v>
          </cell>
          <cell r="AD132" t="str">
            <v>0220-04</v>
          </cell>
          <cell r="AE13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33">
          <cell r="A133" t="str">
            <v>221-04</v>
          </cell>
          <cell r="B133">
            <v>4038</v>
          </cell>
          <cell r="C133" t="str">
            <v>DE.1.0.7.0</v>
          </cell>
          <cell r="D133" t="str">
            <v>204:455</v>
          </cell>
          <cell r="E133">
            <v>42586.787465277775</v>
          </cell>
          <cell r="F133">
            <v>42586.788518518515</v>
          </cell>
          <cell r="G133">
            <v>1</v>
          </cell>
          <cell r="H133" t="str">
            <v>204:233283</v>
          </cell>
          <cell r="I133">
            <v>42586.817974537036</v>
          </cell>
          <cell r="J133">
            <v>0</v>
          </cell>
          <cell r="K133" t="str">
            <v>4037/4038</v>
          </cell>
          <cell r="L133" t="str">
            <v>HELVIE</v>
          </cell>
          <cell r="M133">
            <v>2.9456018521159422E-2</v>
          </cell>
          <cell r="N133">
            <v>42.416666670469567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https://search-rtdc-monitor-bjffxe2xuh6vdkpspy63sjmuny.us-east-1.es.amazonaws.com/_plugin/kibana/#/discover/Steve-Slow-Train-Analysis-(2080s-and-2083s)?_g=(refreshInterval:(display:Off,section:0,value:0),time:(from:'2016-08-04 17:53:57-0600',mode:absolute,to:'2016-08-04 20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3" t="str">
            <v>N</v>
          </cell>
          <cell r="X133">
            <v>1</v>
          </cell>
          <cell r="Y133">
            <v>4.5499999999999999E-2</v>
          </cell>
          <cell r="Z133">
            <v>23.328299999999999</v>
          </cell>
          <cell r="AA133">
            <v>23.282799999999998</v>
          </cell>
          <cell r="AB133" t="e">
            <v>#N/A</v>
          </cell>
          <cell r="AC133" t="e">
            <v>#N/A</v>
          </cell>
          <cell r="AD133" t="str">
            <v>0221-04</v>
          </cell>
          <cell r="AE13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34">
          <cell r="A134" t="str">
            <v>222-04</v>
          </cell>
          <cell r="B134">
            <v>4037</v>
          </cell>
          <cell r="C134" t="str">
            <v>DE.1.0.7.0</v>
          </cell>
          <cell r="D134" t="str">
            <v>204:232996</v>
          </cell>
          <cell r="E134">
            <v>42586.823101851849</v>
          </cell>
          <cell r="F134">
            <v>42586.824108796296</v>
          </cell>
          <cell r="G134">
            <v>1</v>
          </cell>
          <cell r="H134" t="str">
            <v>204:143</v>
          </cell>
          <cell r="I134">
            <v>42586.859282407408</v>
          </cell>
          <cell r="J134">
            <v>0</v>
          </cell>
          <cell r="K134" t="str">
            <v>4037/4038</v>
          </cell>
          <cell r="L134" t="str">
            <v>ROBINSON</v>
          </cell>
          <cell r="M134">
            <v>3.51736111115315E-2</v>
          </cell>
          <cell r="N134">
            <v>50.65000000060536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https://search-rtdc-monitor-bjffxe2xuh6vdkpspy63sjmuny.us-east-1.es.amazonaws.com/_plugin/kibana/#/discover/Steve-Slow-Train-Analysis-(2080s-and-2083s)?_g=(refreshInterval:(display:Off,section:0,value:0),time:(from:'2016-08-04 18:45:16-0600',mode:absolute,to:'2016-08-04 21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4" t="str">
            <v>N</v>
          </cell>
          <cell r="X134">
            <v>1</v>
          </cell>
          <cell r="Y134">
            <v>23.299600000000002</v>
          </cell>
          <cell r="Z134">
            <v>1.43E-2</v>
          </cell>
          <cell r="AA134">
            <v>23.285300000000003</v>
          </cell>
          <cell r="AB134" t="e">
            <v>#N/A</v>
          </cell>
          <cell r="AC134" t="e">
            <v>#N/A</v>
          </cell>
          <cell r="AD134" t="str">
            <v>0222-04</v>
          </cell>
          <cell r="AE13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35">
          <cell r="A135" t="str">
            <v>223-04</v>
          </cell>
          <cell r="B135">
            <v>4027</v>
          </cell>
          <cell r="C135" t="str">
            <v>DE.1.0.7.0</v>
          </cell>
          <cell r="D135" t="str">
            <v>204:539</v>
          </cell>
          <cell r="E135">
            <v>42586.809212962966</v>
          </cell>
          <cell r="F135">
            <v>42586.810150462959</v>
          </cell>
          <cell r="G135">
            <v>1</v>
          </cell>
          <cell r="H135" t="str">
            <v>204:233302</v>
          </cell>
          <cell r="I135">
            <v>42586.837592592594</v>
          </cell>
          <cell r="J135">
            <v>0</v>
          </cell>
          <cell r="K135" t="str">
            <v>4027/4028</v>
          </cell>
          <cell r="L135" t="str">
            <v>COOLAHAN</v>
          </cell>
          <cell r="M135">
            <v>2.7442129634437151E-2</v>
          </cell>
          <cell r="N135">
            <v>39.516666673589498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https://search-rtdc-monitor-bjffxe2xuh6vdkpspy63sjmuny.us-east-1.es.amazonaws.com/_plugin/kibana/#/discover/Steve-Slow-Train-Analysis-(2080s-and-2083s)?_g=(refreshInterval:(display:Off,section:0,value:0),time:(from:'2016-08-04 18:25:16-0600',mode:absolute,to:'2016-08-04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5" t="str">
            <v>N</v>
          </cell>
          <cell r="X135">
            <v>1</v>
          </cell>
          <cell r="Y135">
            <v>5.3900000000000003E-2</v>
          </cell>
          <cell r="Z135">
            <v>23.330200000000001</v>
          </cell>
          <cell r="AA135">
            <v>23.276300000000003</v>
          </cell>
          <cell r="AB135" t="e">
            <v>#N/A</v>
          </cell>
          <cell r="AC135" t="e">
            <v>#N/A</v>
          </cell>
          <cell r="AD135" t="str">
            <v>0223-04</v>
          </cell>
          <cell r="AE13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36">
          <cell r="A136" t="str">
            <v>224-04</v>
          </cell>
          <cell r="B136">
            <v>4028</v>
          </cell>
          <cell r="C136" t="str">
            <v>DE.1.0.7.0</v>
          </cell>
          <cell r="D136" t="str">
            <v>204:233000</v>
          </cell>
          <cell r="E136">
            <v>42586.847928240742</v>
          </cell>
          <cell r="F136">
            <v>42586.849097222221</v>
          </cell>
          <cell r="G136">
            <v>1</v>
          </cell>
          <cell r="H136" t="str">
            <v>204:145</v>
          </cell>
          <cell r="I136">
            <v>42586.878310185188</v>
          </cell>
          <cell r="J136">
            <v>0</v>
          </cell>
          <cell r="K136" t="str">
            <v>4027/4028</v>
          </cell>
          <cell r="L136" t="str">
            <v>COOLAHAN</v>
          </cell>
          <cell r="M136">
            <v>2.9212962966994382E-2</v>
          </cell>
          <cell r="N136">
            <v>42.066666672471911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https://search-rtdc-monitor-bjffxe2xuh6vdkpspy63sjmuny.us-east-1.es.amazonaws.com/_plugin/kibana/#/discover/Steve-Slow-Train-Analysis-(2080s-and-2083s)?_g=(refreshInterval:(display:Off,section:0,value:0),time:(from:'2016-08-04 19:21:01-0600',mode:absolute,to:'2016-08-04 22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6" t="str">
            <v>N</v>
          </cell>
          <cell r="X136">
            <v>1</v>
          </cell>
          <cell r="Y136">
            <v>23.3</v>
          </cell>
          <cell r="Z136">
            <v>1.4500000000000001E-2</v>
          </cell>
          <cell r="AA136">
            <v>23.285499999999999</v>
          </cell>
          <cell r="AB136" t="e">
            <v>#N/A</v>
          </cell>
          <cell r="AC136" t="e">
            <v>#N/A</v>
          </cell>
          <cell r="AD136" t="str">
            <v>0224-04</v>
          </cell>
          <cell r="AE13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37">
          <cell r="A137" t="str">
            <v>225-04</v>
          </cell>
          <cell r="B137">
            <v>4011</v>
          </cell>
          <cell r="C137" t="str">
            <v>DE.1.0.7.0</v>
          </cell>
          <cell r="D137" t="str">
            <v>204:462</v>
          </cell>
          <cell r="E137">
            <v>42586.826956018522</v>
          </cell>
          <cell r="F137">
            <v>42586.827893518515</v>
          </cell>
          <cell r="G137">
            <v>1</v>
          </cell>
          <cell r="H137" t="str">
            <v>204:233308</v>
          </cell>
          <cell r="I137">
            <v>42586.858356481483</v>
          </cell>
          <cell r="J137">
            <v>0</v>
          </cell>
          <cell r="K137" t="str">
            <v>4011/4012</v>
          </cell>
          <cell r="L137" t="str">
            <v>LEVIN</v>
          </cell>
          <cell r="M137">
            <v>3.0462962968158536E-2</v>
          </cell>
          <cell r="N137">
            <v>43.866666674148291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https://search-rtdc-monitor-bjffxe2xuh6vdkpspy63sjmuny.us-east-1.es.amazonaws.com/_plugin/kibana/#/discover/Steve-Slow-Train-Analysis-(2080s-and-2083s)?_g=(refreshInterval:(display:Off,section:0,value:0),time:(from:'2016-08-04 18:50:49-0600',mode:absolute,to:'2016-08-04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7" t="str">
            <v>N</v>
          </cell>
          <cell r="X137">
            <v>1</v>
          </cell>
          <cell r="Y137">
            <v>4.6199999999999998E-2</v>
          </cell>
          <cell r="Z137">
            <v>23.3308</v>
          </cell>
          <cell r="AA137">
            <v>23.284600000000001</v>
          </cell>
          <cell r="AB137" t="e">
            <v>#N/A</v>
          </cell>
          <cell r="AC137" t="e">
            <v>#N/A</v>
          </cell>
          <cell r="AD137" t="str">
            <v>0225-04</v>
          </cell>
          <cell r="AE13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8">
          <cell r="A138" t="str">
            <v>226-04</v>
          </cell>
          <cell r="B138">
            <v>4012</v>
          </cell>
          <cell r="C138" t="str">
            <v>DE.1.0.7.0</v>
          </cell>
          <cell r="D138" t="str">
            <v>204:233002</v>
          </cell>
          <cell r="E138">
            <v>42586.866319444445</v>
          </cell>
          <cell r="F138">
            <v>42586.867048611108</v>
          </cell>
          <cell r="G138">
            <v>1</v>
          </cell>
          <cell r="H138" t="str">
            <v>204:150</v>
          </cell>
          <cell r="I138">
            <v>42586.898495370369</v>
          </cell>
          <cell r="J138">
            <v>0</v>
          </cell>
          <cell r="K138" t="str">
            <v>4011/4012</v>
          </cell>
          <cell r="L138" t="str">
            <v>LEVIN</v>
          </cell>
          <cell r="M138">
            <v>3.1446759261598345E-2</v>
          </cell>
          <cell r="N138">
            <v>45.283333336701617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https://search-rtdc-monitor-bjffxe2xuh6vdkpspy63sjmuny.us-east-1.es.amazonaws.com/_plugin/kibana/#/discover/Steve-Slow-Train-Analysis-(2080s-and-2083s)?_g=(refreshInterval:(display:Off,section:0,value:0),time:(from:'2016-08-04 19:47:30-0600',mode:absolute,to:'2016-08-04 22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8" t="str">
            <v>N</v>
          </cell>
          <cell r="X138">
            <v>1</v>
          </cell>
          <cell r="Y138">
            <v>23.3002</v>
          </cell>
          <cell r="Z138">
            <v>1.4999999999999999E-2</v>
          </cell>
          <cell r="AA138">
            <v>23.2852</v>
          </cell>
          <cell r="AB138" t="e">
            <v>#N/A</v>
          </cell>
          <cell r="AC138" t="e">
            <v>#N/A</v>
          </cell>
          <cell r="AD138" t="str">
            <v>0226-04</v>
          </cell>
          <cell r="AE13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9">
          <cell r="A139" t="str">
            <v>227-04</v>
          </cell>
          <cell r="B139">
            <v>4007</v>
          </cell>
          <cell r="C139" t="str">
            <v>DE.1.0.7.0</v>
          </cell>
          <cell r="D139" t="str">
            <v>204:482</v>
          </cell>
          <cell r="E139">
            <v>42586.844340277778</v>
          </cell>
          <cell r="F139">
            <v>42586.845312500001</v>
          </cell>
          <cell r="G139">
            <v>1</v>
          </cell>
          <cell r="H139" t="str">
            <v>204:233278</v>
          </cell>
          <cell r="I139">
            <v>42586.88008101852</v>
          </cell>
          <cell r="J139">
            <v>0</v>
          </cell>
          <cell r="K139" t="str">
            <v>4007/4008</v>
          </cell>
          <cell r="L139" t="str">
            <v>STURGEON</v>
          </cell>
          <cell r="M139">
            <v>3.4768518518831115E-2</v>
          </cell>
          <cell r="N139">
            <v>50.066666667116806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https://search-rtdc-monitor-bjffxe2xuh6vdkpspy63sjmuny.us-east-1.es.amazonaws.com/_plugin/kibana/#/discover/Steve-Slow-Train-Analysis-(2080s-and-2083s)?_g=(refreshInterval:(display:Off,section:0,value:0),time:(from:'2016-08-04 19:15:51-0600',mode:absolute,to:'2016-08-04 22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9" t="str">
            <v>N</v>
          </cell>
          <cell r="X139">
            <v>1</v>
          </cell>
          <cell r="Y139">
            <v>4.82E-2</v>
          </cell>
          <cell r="Z139">
            <v>23.3278</v>
          </cell>
          <cell r="AA139">
            <v>23.279599999999999</v>
          </cell>
          <cell r="AB139" t="e">
            <v>#N/A</v>
          </cell>
          <cell r="AC139" t="e">
            <v>#N/A</v>
          </cell>
          <cell r="AD139" t="str">
            <v>0227-04</v>
          </cell>
          <cell r="AE13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0">
          <cell r="A140" t="str">
            <v>228-04</v>
          </cell>
          <cell r="B140">
            <v>4008</v>
          </cell>
          <cell r="C140" t="str">
            <v>DE.1.0.7.0</v>
          </cell>
          <cell r="D140" t="str">
            <v>204:232968</v>
          </cell>
          <cell r="E140">
            <v>42586.887256944443</v>
          </cell>
          <cell r="F140">
            <v>42586.888159722221</v>
          </cell>
          <cell r="G140">
            <v>1</v>
          </cell>
          <cell r="H140" t="str">
            <v>204:156</v>
          </cell>
          <cell r="I140">
            <v>42586.920937499999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3.2777777778392192E-2</v>
          </cell>
          <cell r="N140">
            <v>47.200000000884756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https://search-rtdc-monitor-bjffxe2xuh6vdkpspy63sjmuny.us-east-1.es.amazonaws.com/_plugin/kibana/#/discover/Steve-Slow-Train-Analysis-(2080s-and-2083s)?_g=(refreshInterval:(display:Off,section:0,value:0),time:(from:'2016-08-04 20:17:39-0600',mode:absolute,to:'2016-08-04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1.5599999999999999E-2</v>
          </cell>
          <cell r="AA140">
            <v>23.281200000000002</v>
          </cell>
          <cell r="AB140" t="e">
            <v>#N/A</v>
          </cell>
          <cell r="AC140" t="e">
            <v>#N/A</v>
          </cell>
          <cell r="AD140" t="str">
            <v>0228-04</v>
          </cell>
          <cell r="AE14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1">
          <cell r="A141" t="str">
            <v>229-04</v>
          </cell>
          <cell r="B141">
            <v>4038</v>
          </cell>
          <cell r="C141" t="str">
            <v>DE.1.0.7.0</v>
          </cell>
          <cell r="D141" t="str">
            <v>204:451</v>
          </cell>
          <cell r="E141">
            <v>42586.868715277778</v>
          </cell>
          <cell r="F141">
            <v>42586.869884259257</v>
          </cell>
          <cell r="G141">
            <v>1</v>
          </cell>
          <cell r="H141" t="str">
            <v>204:233312</v>
          </cell>
          <cell r="I141">
            <v>42586.901226851849</v>
          </cell>
          <cell r="J141">
            <v>0</v>
          </cell>
          <cell r="K141" t="str">
            <v>4037/4038</v>
          </cell>
          <cell r="L141" t="str">
            <v>HELVIE</v>
          </cell>
          <cell r="M141">
            <v>3.1342592592409346E-2</v>
          </cell>
          <cell r="N141">
            <v>45.133333333069459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https://search-rtdc-monitor-bjffxe2xuh6vdkpspy63sjmuny.us-east-1.es.amazonaws.com/_plugin/kibana/#/discover/Steve-Slow-Train-Analysis-(2080s-and-2083s)?_g=(refreshInterval:(display:Off,section:0,value:0),time:(from:'2016-08-04 19:50:57-0600',mode:absolute,to:'2016-08-04 22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1" t="str">
            <v>N</v>
          </cell>
          <cell r="X141">
            <v>1</v>
          </cell>
          <cell r="Y141">
            <v>4.5100000000000001E-2</v>
          </cell>
          <cell r="Z141">
            <v>23.331199999999999</v>
          </cell>
          <cell r="AA141">
            <v>23.286099999999998</v>
          </cell>
          <cell r="AB141" t="e">
            <v>#N/A</v>
          </cell>
          <cell r="AC141" t="e">
            <v>#N/A</v>
          </cell>
          <cell r="AD141" t="str">
            <v>0229-04</v>
          </cell>
          <cell r="AE14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42">
          <cell r="A142" t="str">
            <v>230-04</v>
          </cell>
          <cell r="B142">
            <v>4037</v>
          </cell>
          <cell r="C142" t="str">
            <v>DE.1.0.7.0</v>
          </cell>
          <cell r="D142" t="str">
            <v>204:232996</v>
          </cell>
          <cell r="E142">
            <v>42586.907476851855</v>
          </cell>
          <cell r="F142">
            <v>42586.908518518518</v>
          </cell>
          <cell r="G142">
            <v>1</v>
          </cell>
          <cell r="H142" t="str">
            <v>204:156</v>
          </cell>
          <cell r="I142">
            <v>42586.941134259258</v>
          </cell>
          <cell r="J142">
            <v>0</v>
          </cell>
          <cell r="K142" t="str">
            <v>4037/4038</v>
          </cell>
          <cell r="L142" t="str">
            <v>ROBINSON</v>
          </cell>
          <cell r="M142">
            <v>3.2615740739856847E-2</v>
          </cell>
          <cell r="N142">
            <v>46.966666665393859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https://search-rtdc-monitor-bjffxe2xuh6vdkpspy63sjmuny.us-east-1.es.amazonaws.com/_plugin/kibana/#/discover/Steve-Slow-Train-Analysis-(2080s-and-2083s)?_g=(refreshInterval:(display:Off,section:0,value:0),time:(from:'2016-08-04 20:46:46-0600',mode:absolute,to:'2016-08-04 23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2" t="str">
            <v>N</v>
          </cell>
          <cell r="X142">
            <v>1</v>
          </cell>
          <cell r="Y142">
            <v>23.299600000000002</v>
          </cell>
          <cell r="Z142">
            <v>1.5599999999999999E-2</v>
          </cell>
          <cell r="AA142">
            <v>23.284000000000002</v>
          </cell>
          <cell r="AB142" t="e">
            <v>#N/A</v>
          </cell>
          <cell r="AC142" t="e">
            <v>#N/A</v>
          </cell>
          <cell r="AD142" t="str">
            <v>0230-04</v>
          </cell>
          <cell r="AE14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43">
          <cell r="A143" t="str">
            <v>231-04</v>
          </cell>
          <cell r="B143">
            <v>4027</v>
          </cell>
          <cell r="C143" t="str">
            <v>DE.1.0.7.0</v>
          </cell>
          <cell r="D143" t="str">
            <v>204:449</v>
          </cell>
          <cell r="E143">
            <v>42586.894236111111</v>
          </cell>
          <cell r="F143">
            <v>42586.895196759258</v>
          </cell>
          <cell r="G143">
            <v>1</v>
          </cell>
          <cell r="H143" t="str">
            <v>204:233314</v>
          </cell>
          <cell r="I143">
            <v>42586.921365740738</v>
          </cell>
          <cell r="J143">
            <v>0</v>
          </cell>
          <cell r="K143" t="str">
            <v>4027/4028</v>
          </cell>
          <cell r="L143" t="str">
            <v>COOLAHAN</v>
          </cell>
          <cell r="M143">
            <v>2.6168981479713693E-2</v>
          </cell>
          <cell r="N143">
            <v>37.683333330787718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https://search-rtdc-monitor-bjffxe2xuh6vdkpspy63sjmuny.us-east-1.es.amazonaws.com/_plugin/kibana/#/discover/Steve-Slow-Train-Analysis-(2080s-and-2083s)?_g=(refreshInterval:(display:Off,section:0,value:0),time:(from:'2016-08-04 20:27:42-0600',mode:absolute,to:'2016-08-04 23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3" t="str">
            <v>N</v>
          </cell>
          <cell r="X143">
            <v>1</v>
          </cell>
          <cell r="Y143">
            <v>4.4900000000000002E-2</v>
          </cell>
          <cell r="Z143">
            <v>23.331399999999999</v>
          </cell>
          <cell r="AA143">
            <v>23.2865</v>
          </cell>
          <cell r="AB143" t="e">
            <v>#N/A</v>
          </cell>
          <cell r="AC143" t="e">
            <v>#N/A</v>
          </cell>
          <cell r="AD143" t="str">
            <v>0231-04</v>
          </cell>
          <cell r="AE14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44">
          <cell r="A144" t="str">
            <v>232-04</v>
          </cell>
          <cell r="B144">
            <v>4028</v>
          </cell>
          <cell r="C144" t="str">
            <v>DE.1.0.7.0</v>
          </cell>
          <cell r="D144" t="str">
            <v>204:233004</v>
          </cell>
          <cell r="E144">
            <v>42586.931689814817</v>
          </cell>
          <cell r="F144">
            <v>42586.93304398148</v>
          </cell>
          <cell r="G144">
            <v>1</v>
          </cell>
          <cell r="H144" t="str">
            <v>204:152</v>
          </cell>
          <cell r="I144">
            <v>42586.961273148147</v>
          </cell>
          <cell r="J144">
            <v>0</v>
          </cell>
          <cell r="K144" t="str">
            <v>4027/4028</v>
          </cell>
          <cell r="L144" t="str">
            <v>COOLAHAN</v>
          </cell>
          <cell r="M144">
            <v>2.8229166666278616E-2</v>
          </cell>
          <cell r="N144">
            <v>40.649999999441206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https://search-rtdc-monitor-bjffxe2xuh6vdkpspy63sjmuny.us-east-1.es.amazonaws.com/_plugin/kibana/#/discover/Steve-Slow-Train-Analysis-(2080s-and-2083s)?_g=(refreshInterval:(display:Off,section:0,value:0),time:(from:'2016-08-04 21:21:38-0600',mode:absolute,to:'2016-08-05 00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4" t="str">
            <v>N</v>
          </cell>
          <cell r="X144">
            <v>1</v>
          </cell>
          <cell r="Y144">
            <v>23.3004</v>
          </cell>
          <cell r="Z144">
            <v>1.52E-2</v>
          </cell>
          <cell r="AA144">
            <v>23.2852</v>
          </cell>
          <cell r="AB144" t="e">
            <v>#N/A</v>
          </cell>
          <cell r="AC144" t="e">
            <v>#N/A</v>
          </cell>
          <cell r="AD144" t="str">
            <v>0232-04</v>
          </cell>
          <cell r="AE14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45">
          <cell r="A145" t="str">
            <v>233-04</v>
          </cell>
          <cell r="B145">
            <v>4011</v>
          </cell>
          <cell r="C145" t="str">
            <v>DE.1.0.7.0</v>
          </cell>
          <cell r="D145" t="str">
            <v>204:433</v>
          </cell>
          <cell r="E145">
            <v>42586.909918981481</v>
          </cell>
          <cell r="F145">
            <v>42586.910949074074</v>
          </cell>
          <cell r="G145">
            <v>1</v>
          </cell>
          <cell r="H145" t="str">
            <v>204:233302</v>
          </cell>
          <cell r="I145">
            <v>42586.941736111112</v>
          </cell>
          <cell r="J145">
            <v>0</v>
          </cell>
          <cell r="K145" t="str">
            <v>4011/4012</v>
          </cell>
          <cell r="L145" t="str">
            <v>LEVIN</v>
          </cell>
          <cell r="M145">
            <v>3.0787037037953269E-2</v>
          </cell>
          <cell r="N145">
            <v>44.333333334652707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https://search-rtdc-monitor-bjffxe2xuh6vdkpspy63sjmuny.us-east-1.es.amazonaws.com/_plugin/kibana/#/discover/Steve-Slow-Train-Analysis-(2080s-and-2083s)?_g=(refreshInterval:(display:Off,section:0,value:0),time:(from:'2016-08-04 20:50:17-0600',mode:absolute,to:'2016-08-04 23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5" t="str">
            <v>N</v>
          </cell>
          <cell r="X145">
            <v>1</v>
          </cell>
          <cell r="Y145">
            <v>4.3299999999999998E-2</v>
          </cell>
          <cell r="Z145">
            <v>23.330200000000001</v>
          </cell>
          <cell r="AA145">
            <v>23.286900000000003</v>
          </cell>
          <cell r="AB145" t="e">
            <v>#N/A</v>
          </cell>
          <cell r="AC145" t="e">
            <v>#N/A</v>
          </cell>
          <cell r="AD145" t="str">
            <v>0233-04</v>
          </cell>
          <cell r="AE1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46">
          <cell r="A146" t="str">
            <v>234-04</v>
          </cell>
          <cell r="B146">
            <v>4012</v>
          </cell>
          <cell r="C146" t="str">
            <v>DE.1.0.7.0</v>
          </cell>
          <cell r="D146" t="str">
            <v>204:232994</v>
          </cell>
          <cell r="E146">
            <v>42586.948275462964</v>
          </cell>
          <cell r="F146">
            <v>42586.949293981481</v>
          </cell>
          <cell r="G146">
            <v>1</v>
          </cell>
          <cell r="H146" t="str">
            <v>204:134</v>
          </cell>
          <cell r="I146">
            <v>42586.982465277775</v>
          </cell>
          <cell r="J146">
            <v>0</v>
          </cell>
          <cell r="K146" t="str">
            <v>4011/4012</v>
          </cell>
          <cell r="L146" t="str">
            <v>LEVIN</v>
          </cell>
          <cell r="M146">
            <v>3.3171296294312924E-2</v>
          </cell>
          <cell r="N146">
            <v>47.766666663810611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https://search-rtdc-monitor-bjffxe2xuh6vdkpspy63sjmuny.us-east-1.es.amazonaws.com/_plugin/kibana/#/discover/Steve-Slow-Train-Analysis-(2080s-and-2083s)?_g=(refreshInterval:(display:Off,section:0,value:0),time:(from:'2016-08-04 21:45:31-0600',mode:absolute,to:'2016-08-05 00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1.34E-2</v>
          </cell>
          <cell r="AA146">
            <v>23.285999999999998</v>
          </cell>
          <cell r="AB146" t="e">
            <v>#N/A</v>
          </cell>
          <cell r="AC146" t="e">
            <v>#N/A</v>
          </cell>
          <cell r="AD146" t="str">
            <v>0234-04</v>
          </cell>
          <cell r="AE1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47">
          <cell r="A147" t="str">
            <v>235-04</v>
          </cell>
          <cell r="B147">
            <v>4007</v>
          </cell>
          <cell r="C147" t="str">
            <v>DE.1.0.7.0</v>
          </cell>
          <cell r="D147" t="str">
            <v>204:466</v>
          </cell>
          <cell r="E147">
            <v>42586.928738425922</v>
          </cell>
          <cell r="F147">
            <v>42586.929837962962</v>
          </cell>
          <cell r="G147">
            <v>1</v>
          </cell>
          <cell r="H147" t="str">
            <v>204:233278</v>
          </cell>
          <cell r="I147">
            <v>42586.963807870372</v>
          </cell>
          <cell r="J147">
            <v>0</v>
          </cell>
          <cell r="K147" t="str">
            <v>4007/4008</v>
          </cell>
          <cell r="L147" t="str">
            <v>STURGEON</v>
          </cell>
          <cell r="M147">
            <v>3.3969907410209998E-2</v>
          </cell>
          <cell r="N147">
            <v>48.916666670702398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https://search-rtdc-monitor-bjffxe2xuh6vdkpspy63sjmuny.us-east-1.es.amazonaws.com/_plugin/kibana/#/discover/Steve-Slow-Train-Analysis-(2080s-and-2083s)?_g=(refreshInterval:(display:Off,section:0,value:0),time:(from:'2016-08-04 21:17:23-0600',mode:absolute,to:'2016-08-05 00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23.3278</v>
          </cell>
          <cell r="AA147">
            <v>23.281199999999998</v>
          </cell>
          <cell r="AB147" t="e">
            <v>#N/A</v>
          </cell>
          <cell r="AC147" t="e">
            <v>#N/A</v>
          </cell>
          <cell r="AD147" t="str">
            <v>0235-04</v>
          </cell>
          <cell r="AE1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8">
          <cell r="A148" t="str">
            <v>236-04</v>
          </cell>
          <cell r="B148">
            <v>4008</v>
          </cell>
          <cell r="C148" t="str">
            <v>DE.1.0.7.0</v>
          </cell>
          <cell r="D148" t="str">
            <v>204:232972</v>
          </cell>
          <cell r="E148">
            <v>42586.972557870373</v>
          </cell>
          <cell r="F148">
            <v>42586.974143518521</v>
          </cell>
          <cell r="G148">
            <v>2</v>
          </cell>
          <cell r="H148" t="str">
            <v>204:169</v>
          </cell>
          <cell r="I148">
            <v>42587.003912037035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2.9768518514174502E-2</v>
          </cell>
          <cell r="N148">
            <v>42.866666660411283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https://search-rtdc-monitor-bjffxe2xuh6vdkpspy63sjmuny.us-east-1.es.amazonaws.com/_plugin/kibana/#/discover/Steve-Slow-Train-Analysis-(2080s-and-2083s)?_g=(refreshInterval:(display:Off,section:0,value:0),time:(from:'2016-08-04 22:20:29-0600',mode:absolute,to:'2016-08-05 01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8" t="str">
            <v>N</v>
          </cell>
          <cell r="X148">
            <v>1</v>
          </cell>
          <cell r="Y148">
            <v>23.2972</v>
          </cell>
          <cell r="Z148">
            <v>1.6899999999999998E-2</v>
          </cell>
          <cell r="AA148">
            <v>23.2803</v>
          </cell>
          <cell r="AB148" t="e">
            <v>#N/A</v>
          </cell>
          <cell r="AC148" t="e">
            <v>#N/A</v>
          </cell>
          <cell r="AD148" t="str">
            <v>0236-04</v>
          </cell>
          <cell r="AE1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9">
          <cell r="A149" t="str">
            <v>237-04</v>
          </cell>
          <cell r="B149">
            <v>4038</v>
          </cell>
          <cell r="C149" t="str">
            <v>DE.1.0.7.0</v>
          </cell>
          <cell r="D149" t="str">
            <v>204:449</v>
          </cell>
          <cell r="E149">
            <v>42586.949849537035</v>
          </cell>
          <cell r="F149">
            <v>42586.951157407406</v>
          </cell>
          <cell r="G149">
            <v>1</v>
          </cell>
          <cell r="H149" t="str">
            <v>204:233286</v>
          </cell>
          <cell r="I149">
            <v>42586.984432870369</v>
          </cell>
          <cell r="J149">
            <v>0</v>
          </cell>
          <cell r="K149" t="str">
            <v>4037/4038</v>
          </cell>
          <cell r="L149" t="str">
            <v>ROBINSON</v>
          </cell>
          <cell r="M149">
            <v>3.3275462963501923E-2</v>
          </cell>
          <cell r="N149">
            <v>47.916666667442769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https://search-rtdc-monitor-bjffxe2xuh6vdkpspy63sjmuny.us-east-1.es.amazonaws.com/_plugin/kibana/#/discover/Steve-Slow-Train-Analysis-(2080s-and-2083s)?_g=(refreshInterval:(display:Off,section:0,value:0),time:(from:'2016-08-04 21:47:47-0600',mode:absolute,to:'2016-08-05 00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9" t="str">
            <v>N</v>
          </cell>
          <cell r="X149">
            <v>1</v>
          </cell>
          <cell r="Y149">
            <v>4.4900000000000002E-2</v>
          </cell>
          <cell r="Z149">
            <v>23.328600000000002</v>
          </cell>
          <cell r="AA149">
            <v>23.283700000000003</v>
          </cell>
          <cell r="AB149" t="e">
            <v>#N/A</v>
          </cell>
          <cell r="AC149" t="e">
            <v>#N/A</v>
          </cell>
          <cell r="AD149" t="str">
            <v>0237-04</v>
          </cell>
          <cell r="AE14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50">
          <cell r="A150" t="str">
            <v>238-04</v>
          </cell>
          <cell r="B150">
            <v>4037</v>
          </cell>
          <cell r="C150" t="str">
            <v>DE.1.0.7.0</v>
          </cell>
          <cell r="D150" t="str">
            <v>204:232980</v>
          </cell>
          <cell r="E150">
            <v>42586.991574074076</v>
          </cell>
          <cell r="F150">
            <v>42586.9924537037</v>
          </cell>
          <cell r="G150">
            <v>1</v>
          </cell>
          <cell r="H150" t="str">
            <v>204:134</v>
          </cell>
          <cell r="I150">
            <v>42587.026226851849</v>
          </cell>
          <cell r="J150">
            <v>0</v>
          </cell>
          <cell r="K150" t="str">
            <v>4037/4038</v>
          </cell>
          <cell r="L150" t="str">
            <v>ROBINSON</v>
          </cell>
          <cell r="M150">
            <v>3.3773148148611654E-2</v>
          </cell>
          <cell r="N150">
            <v>48.633333334000781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https://search-rtdc-monitor-bjffxe2xuh6vdkpspy63sjmuny.us-east-1.es.amazonaws.com/_plugin/kibana/#/discover/Steve-Slow-Train-Analysis-(2080s-and-2083s)?_g=(refreshInterval:(display:Off,section:0,value:0),time:(from:'2016-08-04 22:47:52-0600',mode:absolute,to:'2016-08-05 01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0" t="str">
            <v>N</v>
          </cell>
          <cell r="X150">
            <v>1</v>
          </cell>
          <cell r="Y150">
            <v>23.297999999999998</v>
          </cell>
          <cell r="Z150">
            <v>1.34E-2</v>
          </cell>
          <cell r="AA150">
            <v>23.284599999999998</v>
          </cell>
          <cell r="AB150" t="e">
            <v>#N/A</v>
          </cell>
          <cell r="AC150" t="e">
            <v>#N/A</v>
          </cell>
          <cell r="AD150" t="str">
            <v>0238-04</v>
          </cell>
          <cell r="AE15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51">
          <cell r="A151" t="str">
            <v>239-04</v>
          </cell>
          <cell r="B151">
            <v>4027</v>
          </cell>
          <cell r="C151" t="str">
            <v>DE.1.0.7.0</v>
          </cell>
          <cell r="D151" t="str">
            <v>204:467</v>
          </cell>
          <cell r="E151">
            <v>42586.974618055552</v>
          </cell>
          <cell r="F151">
            <v>42586.976423611108</v>
          </cell>
          <cell r="G151">
            <v>2</v>
          </cell>
          <cell r="H151" t="str">
            <v>204:233308</v>
          </cell>
          <cell r="I151">
            <v>42587.004988425928</v>
          </cell>
          <cell r="J151">
            <v>0</v>
          </cell>
          <cell r="K151" t="str">
            <v>4027/4028</v>
          </cell>
          <cell r="L151" t="str">
            <v>COOLAHAN</v>
          </cell>
          <cell r="M151">
            <v>2.8564814820128959E-2</v>
          </cell>
          <cell r="N151">
            <v>41.1333333409857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https://search-rtdc-monitor-bjffxe2xuh6vdkpspy63sjmuny.us-east-1.es.amazonaws.com/_plugin/kibana/#/discover/Steve-Slow-Train-Analysis-(2080s-and-2083s)?_g=(refreshInterval:(display:Off,section:0,value:0),time:(from:'2016-08-04 22:23:27-0600',mode:absolute,to:'2016-08-05 01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23.3308</v>
          </cell>
          <cell r="AA151">
            <v>23.284099999999999</v>
          </cell>
          <cell r="AB151" t="e">
            <v>#N/A</v>
          </cell>
          <cell r="AC151" t="e">
            <v>#N/A</v>
          </cell>
          <cell r="AD151" t="str">
            <v>0239-04</v>
          </cell>
          <cell r="AE15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52">
          <cell r="A152" t="str">
            <v>240-04</v>
          </cell>
          <cell r="B152">
            <v>4028</v>
          </cell>
          <cell r="C152" t="str">
            <v>DE.1.0.7.0</v>
          </cell>
          <cell r="D152" t="str">
            <v>204:232987</v>
          </cell>
          <cell r="E152">
            <v>42587.014976851853</v>
          </cell>
          <cell r="F152">
            <v>42587.016145833331</v>
          </cell>
          <cell r="G152">
            <v>1</v>
          </cell>
          <cell r="H152" t="str">
            <v>204:136</v>
          </cell>
          <cell r="I152">
            <v>42587.045347222222</v>
          </cell>
          <cell r="J152">
            <v>0</v>
          </cell>
          <cell r="K152" t="str">
            <v>4027/4028</v>
          </cell>
          <cell r="L152" t="str">
            <v>COOLAHAN</v>
          </cell>
          <cell r="M152">
            <v>2.920138889021473E-2</v>
          </cell>
          <cell r="N152">
            <v>42.050000001909211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https://search-rtdc-monitor-bjffxe2xuh6vdkpspy63sjmuny.us-east-1.es.amazonaws.com/_plugin/kibana/#/discover/Steve-Slow-Train-Analysis-(2080s-and-2083s)?_g=(refreshInterval:(display:Off,section:0,value:0),time:(from:'2016-08-04 23:21:34-0600',mode:absolute,to:'2016-08-05 02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2" t="str">
            <v>N</v>
          </cell>
          <cell r="X152">
            <v>1</v>
          </cell>
          <cell r="Y152">
            <v>23.2987</v>
          </cell>
          <cell r="Z152">
            <v>1.3599999999999999E-2</v>
          </cell>
          <cell r="AA152">
            <v>23.2851</v>
          </cell>
          <cell r="AB152" t="e">
            <v>#N/A</v>
          </cell>
          <cell r="AC152" t="e">
            <v>#N/A</v>
          </cell>
          <cell r="AD152" t="str">
            <v>0240-04</v>
          </cell>
          <cell r="AE15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53">
          <cell r="A153" t="str">
            <v>241-04</v>
          </cell>
          <cell r="B153">
            <v>4011</v>
          </cell>
          <cell r="C153" t="str">
            <v>DE.1.0.7.0</v>
          </cell>
          <cell r="D153" t="str">
            <v>204:455</v>
          </cell>
          <cell r="E153">
            <v>42586.994814814818</v>
          </cell>
          <cell r="F153">
            <v>42586.995636574073</v>
          </cell>
          <cell r="G153">
            <v>1</v>
          </cell>
          <cell r="H153" t="str">
            <v>204:233297</v>
          </cell>
          <cell r="I153">
            <v>42587.024872685186</v>
          </cell>
          <cell r="J153">
            <v>0</v>
          </cell>
          <cell r="K153" t="str">
            <v>4011/4012</v>
          </cell>
          <cell r="L153" t="str">
            <v>LEVIN</v>
          </cell>
          <cell r="M153">
            <v>2.923611111327773E-2</v>
          </cell>
          <cell r="N153">
            <v>42.100000003119931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https://search-rtdc-monitor-bjffxe2xuh6vdkpspy63sjmuny.us-east-1.es.amazonaws.com/_plugin/kibana/#/discover/Steve-Slow-Train-Analysis-(2080s-and-2083s)?_g=(refreshInterval:(display:Off,section:0,value:0),time:(from:'2016-08-04 22:52:32-0600',mode:absolute,to:'2016-08-05 01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4.5499999999999999E-2</v>
          </cell>
          <cell r="Z153">
            <v>23.329699999999999</v>
          </cell>
          <cell r="AA153">
            <v>23.284199999999998</v>
          </cell>
          <cell r="AB153" t="e">
            <v>#N/A</v>
          </cell>
          <cell r="AC153" t="e">
            <v>#N/A</v>
          </cell>
          <cell r="AD153" t="str">
            <v>0241-04</v>
          </cell>
          <cell r="AE15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54">
          <cell r="A154" t="str">
            <v>242-04</v>
          </cell>
          <cell r="B154">
            <v>4012</v>
          </cell>
          <cell r="C154" t="str">
            <v>DE.1.0.7.0</v>
          </cell>
          <cell r="D154" t="str">
            <v>204:232983</v>
          </cell>
          <cell r="E154">
            <v>42587.032743055555</v>
          </cell>
          <cell r="F154">
            <v>42587.033946759257</v>
          </cell>
          <cell r="G154">
            <v>1</v>
          </cell>
          <cell r="H154" t="str">
            <v>204:150</v>
          </cell>
          <cell r="I154">
            <v>42587.066620370373</v>
          </cell>
          <cell r="J154">
            <v>0</v>
          </cell>
          <cell r="K154" t="str">
            <v>4011/4012</v>
          </cell>
          <cell r="L154" t="str">
            <v>LEVIN</v>
          </cell>
          <cell r="M154">
            <v>3.2673611116479151E-2</v>
          </cell>
          <cell r="N154">
            <v>47.050000007729977</v>
          </cell>
          <cell r="R154" t="str">
            <v>Onboard in-route failure delayed init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https://search-rtdc-monitor-bjffxe2xuh6vdkpspy63sjmuny.us-east-1.es.amazonaws.com/_plugin/kibana/#/discover/Steve-Slow-Train-Analysis-(2080s-and-2083s)?_g=(refreshInterval:(display:Off,section:0,value:0),time:(from:'2016-08-04 23:47:09-0600',mode:absolute,to:'2016-08-05 02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23.298300000000001</v>
          </cell>
          <cell r="Z154">
            <v>1.4999999999999999E-2</v>
          </cell>
          <cell r="AA154">
            <v>23.283300000000001</v>
          </cell>
          <cell r="AB154" t="e">
            <v>#N/A</v>
          </cell>
          <cell r="AC154" t="e">
            <v>#N/A</v>
          </cell>
          <cell r="AD154" t="str">
            <v>0242-04</v>
          </cell>
          <cell r="AE154" t="str">
            <v>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 &amp; 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</v>
          </cell>
        </row>
        <row r="155">
          <cell r="A155" t="str">
            <v>243-04</v>
          </cell>
          <cell r="B155">
            <v>4007</v>
          </cell>
          <cell r="C155" t="str">
            <v>DE.1.0.7.0</v>
          </cell>
          <cell r="D155" t="str">
            <v>204:467</v>
          </cell>
          <cell r="E155">
            <v>42587.016226851854</v>
          </cell>
          <cell r="F155">
            <v>42587.020358796297</v>
          </cell>
          <cell r="G155">
            <v>5</v>
          </cell>
          <cell r="H155" t="str">
            <v>204:233272</v>
          </cell>
          <cell r="I155">
            <v>42587.047824074078</v>
          </cell>
          <cell r="J155">
            <v>0</v>
          </cell>
          <cell r="K155" t="str">
            <v>4007/4008</v>
          </cell>
          <cell r="L155" t="str">
            <v>STURGEON</v>
          </cell>
          <cell r="M155">
            <v>2.7465277780720498E-2</v>
          </cell>
          <cell r="N155">
            <v>39.550000004237518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https://search-rtdc-monitor-bjffxe2xuh6vdkpspy63sjmuny.us-east-1.es.amazonaws.com/_plugin/kibana/#/discover/Steve-Slow-Train-Analysis-(2080s-and-2083s)?_g=(refreshInterval:(display:Off,section:0,value:0),time:(from:'2016-08-04 23:23:22-0600',mode:absolute,to:'2016-08-05 02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23.327200000000001</v>
          </cell>
          <cell r="AA155">
            <v>23.2805</v>
          </cell>
          <cell r="AB155" t="e">
            <v>#N/A</v>
          </cell>
          <cell r="AC155" t="e">
            <v>#N/A</v>
          </cell>
          <cell r="AD155" t="str">
            <v>0243-04</v>
          </cell>
          <cell r="AE155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156">
          <cell r="A156" t="str">
            <v>244-04</v>
          </cell>
          <cell r="B156">
            <v>4008</v>
          </cell>
          <cell r="C156" t="str">
            <v>DE.1.0.7.0</v>
          </cell>
          <cell r="D156" t="str">
            <v>204:232953</v>
          </cell>
          <cell r="E156">
            <v>42587.054131944446</v>
          </cell>
          <cell r="F156">
            <v>42587.055914351855</v>
          </cell>
          <cell r="G156">
            <v>2</v>
          </cell>
          <cell r="H156" t="str">
            <v>204:169</v>
          </cell>
          <cell r="I156">
            <v>42587.088379629633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3.2465277778101154E-2</v>
          </cell>
          <cell r="N156">
            <v>46.750000000465661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00:17:57-0600',mode:absolute,to:'2016-08-05 03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6" t="str">
            <v>N</v>
          </cell>
          <cell r="X156">
            <v>1</v>
          </cell>
          <cell r="Y156">
            <v>23.295300000000001</v>
          </cell>
          <cell r="Z156">
            <v>1.6899999999999998E-2</v>
          </cell>
          <cell r="AA156">
            <v>23.278400000000001</v>
          </cell>
          <cell r="AB156" t="e">
            <v>#N/A</v>
          </cell>
          <cell r="AC156" t="e">
            <v>#N/A</v>
          </cell>
          <cell r="AD156" t="str">
            <v>0244-04</v>
          </cell>
          <cell r="AE156" t="str">
            <v>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 &amp; aws s3 cp s3://rtdc.mdm.uploadarchive/RTDC4008/2016-08-06/ "%USERPROFILE%\AppData\Local\Temp\OnboardLogs"\RTDC4008\2016-08-06 --recursive &amp; "%USERPROFILE%\Documents\GitHub\mrs-test-scripts\Headless Mode &amp; Sideloading\WalkAndUnGZ.bat" "%USERPROFILE%\AppData\Local\Temp\OnboardLogs"\RTDC4008\2016-08-06</v>
          </cell>
        </row>
        <row r="157">
          <cell r="A157" t="str">
            <v>800-04</v>
          </cell>
          <cell r="B157">
            <v>4041</v>
          </cell>
          <cell r="C157" t="str">
            <v>DE.1.0.7.0</v>
          </cell>
          <cell r="D157" t="str">
            <v>300:58628</v>
          </cell>
          <cell r="E157">
            <v>42586.214409722219</v>
          </cell>
          <cell r="F157">
            <v>42586.216192129628</v>
          </cell>
          <cell r="G157">
            <v>2</v>
          </cell>
          <cell r="H157" t="str">
            <v>204:769</v>
          </cell>
          <cell r="I157">
            <v>42586.227384259262</v>
          </cell>
          <cell r="J157">
            <v>0</v>
          </cell>
          <cell r="K157" t="str">
            <v>4041/4042</v>
          </cell>
          <cell r="L157" t="str">
            <v>YORK</v>
          </cell>
          <cell r="M157">
            <v>1.1192129633855075E-2</v>
          </cell>
          <cell r="N157">
            <v>16.116666672751307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https://search-rtdc-monitor-bjffxe2xuh6vdkpspy63sjmuny.us-east-1.es.amazonaws.com/_plugin/kibana/#/discover/Steve-Slow-Train-Analysis-(2080s-and-2083s)?_g=(refreshInterval:(display:Off,section:0,value:0),time:(from:'2016-08-04 04:08:45-0600',mode:absolute,to:'2016-08-04 06:27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7" t="str">
            <v>N</v>
          </cell>
          <cell r="X157">
            <v>556</v>
          </cell>
          <cell r="Y157">
            <v>5.8628</v>
          </cell>
          <cell r="Z157">
            <v>7.6899999999999996E-2</v>
          </cell>
          <cell r="AA157">
            <v>5.7858999999999998</v>
          </cell>
          <cell r="AB157" t="e">
            <v>#N/A</v>
          </cell>
          <cell r="AC157" t="e">
            <v>#N/A</v>
          </cell>
          <cell r="AD157" t="str">
            <v>0800-04</v>
          </cell>
          <cell r="AE15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58">
          <cell r="A158" t="str">
            <v>801-04</v>
          </cell>
          <cell r="B158">
            <v>4042</v>
          </cell>
          <cell r="C158" t="str">
            <v>DE.1.0.7.0</v>
          </cell>
          <cell r="D158" t="str">
            <v>204:1060</v>
          </cell>
          <cell r="E158">
            <v>42586.229837962965</v>
          </cell>
          <cell r="F158">
            <v>42586.231793981482</v>
          </cell>
          <cell r="G158">
            <v>2</v>
          </cell>
          <cell r="H158" t="str">
            <v>300:58097</v>
          </cell>
          <cell r="I158">
            <v>42586.252766203703</v>
          </cell>
          <cell r="J158">
            <v>0</v>
          </cell>
          <cell r="K158" t="str">
            <v>4041/4042</v>
          </cell>
          <cell r="L158" t="str">
            <v>YORK</v>
          </cell>
          <cell r="M158">
            <v>2.0972222220734693E-2</v>
          </cell>
          <cell r="N158">
            <v>30.199999997857958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https://search-rtdc-monitor-bjffxe2xuh6vdkpspy63sjmuny.us-east-1.es.amazonaws.com/_plugin/kibana/#/discover/Steve-Slow-Train-Analysis-(2080s-and-2083s)?_g=(refreshInterval:(display:Off,section:0,value:0),time:(from:'2016-08-04 04:30:58-0600',mode:absolute,to:'2016-08-04 07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8" t="str">
            <v>N</v>
          </cell>
          <cell r="X158">
            <v>1</v>
          </cell>
          <cell r="Y158">
            <v>0.106</v>
          </cell>
          <cell r="Z158">
            <v>5.8097000000000003</v>
          </cell>
          <cell r="AA158">
            <v>5.7037000000000004</v>
          </cell>
          <cell r="AB158" t="e">
            <v>#N/A</v>
          </cell>
          <cell r="AC158" t="e">
            <v>#N/A</v>
          </cell>
          <cell r="AD158" t="str">
            <v>0801-04</v>
          </cell>
          <cell r="AE15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59">
          <cell r="A159" t="str">
            <v>802-04</v>
          </cell>
          <cell r="B159">
            <v>4041</v>
          </cell>
          <cell r="C159" t="str">
            <v>DE.1.0.7.0</v>
          </cell>
          <cell r="D159" t="str">
            <v>300:58613</v>
          </cell>
          <cell r="E159">
            <v>42586.254537037035</v>
          </cell>
          <cell r="F159">
            <v>42586.255266203705</v>
          </cell>
          <cell r="G159">
            <v>1</v>
          </cell>
          <cell r="H159" t="str">
            <v>204:759</v>
          </cell>
          <cell r="I159">
            <v>42586.267372685186</v>
          </cell>
          <cell r="J159">
            <v>0</v>
          </cell>
          <cell r="K159" t="str">
            <v>4041/4042</v>
          </cell>
          <cell r="L159" t="str">
            <v>YORK</v>
          </cell>
          <cell r="M159">
            <v>1.2106481481168885E-2</v>
          </cell>
          <cell r="N159">
            <v>17.433333332883194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https://search-rtdc-monitor-bjffxe2xuh6vdkpspy63sjmuny.us-east-1.es.amazonaws.com/_plugin/kibana/#/discover/Steve-Slow-Train-Analysis-(2080s-and-2083s)?_g=(refreshInterval:(display:Off,section:0,value:0),time:(from:'2016-08-04 05:06:32-0600',mode:absolute,to:'2016-08-04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9" t="str">
            <v>N</v>
          </cell>
          <cell r="X159">
            <v>1</v>
          </cell>
          <cell r="Y159">
            <v>5.8613</v>
          </cell>
          <cell r="Z159">
            <v>7.5899999999999995E-2</v>
          </cell>
          <cell r="AA159">
            <v>5.7854000000000001</v>
          </cell>
          <cell r="AB159" t="e">
            <v>#N/A</v>
          </cell>
          <cell r="AC159" t="e">
            <v>#N/A</v>
          </cell>
          <cell r="AD159" t="str">
            <v>0802-04</v>
          </cell>
          <cell r="AE15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0">
          <cell r="A160" t="str">
            <v>803-04</v>
          </cell>
          <cell r="B160">
            <v>4018</v>
          </cell>
          <cell r="C160" t="str">
            <v>DE.1.0.7.0</v>
          </cell>
          <cell r="D160" t="str">
            <v>204:455</v>
          </cell>
          <cell r="E160">
            <v>42586.264305555553</v>
          </cell>
          <cell r="F160">
            <v>42586.265798611108</v>
          </cell>
          <cell r="G160">
            <v>2</v>
          </cell>
          <cell r="H160" t="str">
            <v>300:58914</v>
          </cell>
          <cell r="I160">
            <v>42586.276875000003</v>
          </cell>
          <cell r="J160">
            <v>0</v>
          </cell>
          <cell r="K160" t="str">
            <v>4017/4018</v>
          </cell>
          <cell r="L160" t="str">
            <v>ISHMAEL</v>
          </cell>
          <cell r="M160">
            <v>1.1076388895162381E-2</v>
          </cell>
          <cell r="N160">
            <v>15.950000009033829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05:20:36-0600',mode:absolute,to:'2016-08-04 07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0" t="str">
            <v>N</v>
          </cell>
          <cell r="X160">
            <v>1</v>
          </cell>
          <cell r="Y160">
            <v>4.5499999999999999E-2</v>
          </cell>
          <cell r="Z160">
            <v>5.8914</v>
          </cell>
          <cell r="AA160">
            <v>5.8459000000000003</v>
          </cell>
          <cell r="AB160" t="e">
            <v>#N/A</v>
          </cell>
          <cell r="AC160" t="e">
            <v>#N/A</v>
          </cell>
          <cell r="AD160" t="str">
            <v>0803-04</v>
          </cell>
          <cell r="AE16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1">
          <cell r="A161" t="str">
            <v>804-04</v>
          </cell>
          <cell r="B161">
            <v>4017</v>
          </cell>
          <cell r="C161" t="str">
            <v>DE.1.0.7.0</v>
          </cell>
          <cell r="D161" t="str">
            <v>300:58606</v>
          </cell>
          <cell r="E161">
            <v>42586.277789351851</v>
          </cell>
          <cell r="F161">
            <v>42586.279120370367</v>
          </cell>
          <cell r="G161">
            <v>1</v>
          </cell>
          <cell r="H161" t="str">
            <v>204:699</v>
          </cell>
          <cell r="I161">
            <v>42586.290034722224</v>
          </cell>
          <cell r="J161">
            <v>0</v>
          </cell>
          <cell r="K161" t="str">
            <v>4017/4018</v>
          </cell>
          <cell r="L161" t="str">
            <v>ISHMAEL</v>
          </cell>
          <cell r="M161">
            <v>1.0914351856627036E-2</v>
          </cell>
          <cell r="N161">
            <v>15.716666673542932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https://search-rtdc-monitor-bjffxe2xuh6vdkpspy63sjmuny.us-east-1.es.amazonaws.com/_plugin/kibana/#/discover/Steve-Slow-Train-Analysis-(2080s-and-2083s)?_g=(refreshInterval:(display:Off,section:0,value:0),time:(from:'2016-08-04 05:40:01-0600',mode:absolute,to:'2016-08-04 07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1" t="str">
            <v>N</v>
          </cell>
          <cell r="X161">
            <v>1</v>
          </cell>
          <cell r="Y161">
            <v>5.8605999999999998</v>
          </cell>
          <cell r="Z161">
            <v>6.9900000000000004E-2</v>
          </cell>
          <cell r="AA161">
            <v>5.7907000000000002</v>
          </cell>
          <cell r="AB161" t="e">
            <v>#N/A</v>
          </cell>
          <cell r="AC161" t="e">
            <v>#N/A</v>
          </cell>
          <cell r="AD161" t="str">
            <v>0804-04</v>
          </cell>
          <cell r="AE16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2">
          <cell r="A162" t="str">
            <v>805-04</v>
          </cell>
          <cell r="B162">
            <v>4042</v>
          </cell>
          <cell r="C162" t="str">
            <v>DE.1.0.7.0</v>
          </cell>
          <cell r="D162" t="str">
            <v>204:1055</v>
          </cell>
          <cell r="E162">
            <v>42586.269143518519</v>
          </cell>
          <cell r="F162">
            <v>42586.269988425927</v>
          </cell>
          <cell r="G162">
            <v>1</v>
          </cell>
          <cell r="H162" t="str">
            <v>300:58952</v>
          </cell>
          <cell r="I162">
            <v>42586.295335648145</v>
          </cell>
          <cell r="J162">
            <v>0</v>
          </cell>
          <cell r="K162" t="str">
            <v>4041/4042</v>
          </cell>
          <cell r="L162" t="str">
            <v>YORK</v>
          </cell>
          <cell r="M162">
            <v>2.5347222217533272E-2</v>
          </cell>
          <cell r="N162">
            <v>36.499999993247911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https://search-rtdc-monitor-bjffxe2xuh6vdkpspy63sjmuny.us-east-1.es.amazonaws.com/_plugin/kibana/#/discover/Steve-Slow-Train-Analysis-(2080s-and-2083s)?_g=(refreshInterval:(display:Off,section:0,value:0),time:(from:'2016-08-04 05:27:34-0600',mode:absolute,to:'2016-08-04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0.1055</v>
          </cell>
          <cell r="Z162">
            <v>5.8952</v>
          </cell>
          <cell r="AA162">
            <v>5.7896999999999998</v>
          </cell>
          <cell r="AB162" t="e">
            <v>#N/A</v>
          </cell>
          <cell r="AC162" t="e">
            <v>#N/A</v>
          </cell>
          <cell r="AD162" t="str">
            <v>0805-04</v>
          </cell>
          <cell r="AE162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3">
          <cell r="A163" t="str">
            <v>806-04</v>
          </cell>
          <cell r="B163">
            <v>4041</v>
          </cell>
          <cell r="C163" t="str">
            <v>DE.1.0.7.0</v>
          </cell>
          <cell r="D163" t="str">
            <v>300:58632</v>
          </cell>
          <cell r="E163">
            <v>42586.296273148146</v>
          </cell>
          <cell r="F163">
            <v>42586.296956018516</v>
          </cell>
          <cell r="G163">
            <v>0</v>
          </cell>
          <cell r="H163" t="str">
            <v>204:778</v>
          </cell>
          <cell r="I163">
            <v>42586.308854166666</v>
          </cell>
          <cell r="J163">
            <v>0</v>
          </cell>
          <cell r="K163" t="str">
            <v>4041/4042</v>
          </cell>
          <cell r="L163" t="str">
            <v>YORK</v>
          </cell>
          <cell r="M163">
            <v>1.1898148150066845E-2</v>
          </cell>
          <cell r="N163">
            <v>17.133333336096257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https://search-rtdc-monitor-bjffxe2xuh6vdkpspy63sjmuny.us-east-1.es.amazonaws.com/_plugin/kibana/#/discover/Steve-Slow-Train-Analysis-(2080s-and-2083s)?_g=(refreshInterval:(display:Off,section:0,value:0),time:(from:'2016-08-04 06:06:38-0600',mode:absolute,to:'2016-08-04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5.8632</v>
          </cell>
          <cell r="Z163">
            <v>7.7799999999999994E-2</v>
          </cell>
          <cell r="AA163">
            <v>5.7854000000000001</v>
          </cell>
          <cell r="AB163" t="e">
            <v>#N/A</v>
          </cell>
          <cell r="AC163" t="e">
            <v>#N/A</v>
          </cell>
          <cell r="AD163" t="str">
            <v>0806-04</v>
          </cell>
          <cell r="AE163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4">
          <cell r="A164" t="str">
            <v>807-04</v>
          </cell>
          <cell r="B164">
            <v>4018</v>
          </cell>
          <cell r="C164" t="str">
            <v>DE.1.0.7.0</v>
          </cell>
          <cell r="D164" t="str">
            <v>204:990</v>
          </cell>
          <cell r="E164">
            <v>42586.301238425927</v>
          </cell>
          <cell r="F164">
            <v>42586.30228009259</v>
          </cell>
          <cell r="G164">
            <v>1</v>
          </cell>
          <cell r="H164" t="str">
            <v>300:58914</v>
          </cell>
          <cell r="I164">
            <v>42586.316481481481</v>
          </cell>
          <cell r="J164">
            <v>0</v>
          </cell>
          <cell r="K164" t="str">
            <v>4017/4018</v>
          </cell>
          <cell r="L164" t="str">
            <v>ISHMAEL</v>
          </cell>
          <cell r="M164">
            <v>1.4201388890796807E-2</v>
          </cell>
          <cell r="N164">
            <v>20.450000002747402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https://search-rtdc-monitor-bjffxe2xuh6vdkpspy63sjmuny.us-east-1.es.amazonaws.com/_plugin/kibana/#/discover/Steve-Slow-Train-Analysis-(2080s-and-2083s)?_g=(refreshInterval:(display:Off,section:0,value:0),time:(from:'2016-08-04 06:13:47-0600',mode:absolute,to:'2016-08-04 08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4" t="str">
            <v>N</v>
          </cell>
          <cell r="X164">
            <v>1</v>
          </cell>
          <cell r="Y164">
            <v>9.9000000000000005E-2</v>
          </cell>
          <cell r="Z164">
            <v>5.8914</v>
          </cell>
          <cell r="AA164">
            <v>5.7923999999999998</v>
          </cell>
          <cell r="AB164" t="e">
            <v>#N/A</v>
          </cell>
          <cell r="AC164" t="e">
            <v>#N/A</v>
          </cell>
          <cell r="AD164" t="str">
            <v>0807-04</v>
          </cell>
          <cell r="AE16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5">
          <cell r="A165" t="str">
            <v>808-04</v>
          </cell>
          <cell r="B165">
            <v>4017</v>
          </cell>
          <cell r="C165" t="str">
            <v>DE.1.0.7.0</v>
          </cell>
          <cell r="D165" t="str">
            <v>300:58606</v>
          </cell>
          <cell r="E165">
            <v>42586.317303240743</v>
          </cell>
          <cell r="F165">
            <v>42586.318171296298</v>
          </cell>
          <cell r="G165">
            <v>1</v>
          </cell>
          <cell r="H165" t="str">
            <v>204:691</v>
          </cell>
          <cell r="I165">
            <v>42586.334085648145</v>
          </cell>
          <cell r="J165">
            <v>0</v>
          </cell>
          <cell r="K165" t="str">
            <v>4017/4018</v>
          </cell>
          <cell r="L165" t="str">
            <v>ISHMAEL</v>
          </cell>
          <cell r="M165">
            <v>1.5914351846731734E-2</v>
          </cell>
          <cell r="N165">
            <v>22.916666659293696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https://search-rtdc-monitor-bjffxe2xuh6vdkpspy63sjmuny.us-east-1.es.amazonaws.com/_plugin/kibana/#/discover/Steve-Slow-Train-Analysis-(2080s-and-2083s)?_g=(refreshInterval:(display:Off,section:0,value:0),time:(from:'2016-08-04 06:36:55-0600',mode:absolute,to:'2016-08-04 09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5" t="str">
            <v>N</v>
          </cell>
          <cell r="X165">
            <v>1</v>
          </cell>
          <cell r="Y165">
            <v>5.8605999999999998</v>
          </cell>
          <cell r="Z165">
            <v>6.9099999999999995E-2</v>
          </cell>
          <cell r="AA165">
            <v>5.7915000000000001</v>
          </cell>
          <cell r="AB165" t="e">
            <v>#N/A</v>
          </cell>
          <cell r="AC165" t="e">
            <v>#N/A</v>
          </cell>
          <cell r="AD165" t="str">
            <v>0808-04</v>
          </cell>
          <cell r="AE16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6">
          <cell r="A166" t="str">
            <v>809-04</v>
          </cell>
          <cell r="B166">
            <v>4042</v>
          </cell>
          <cell r="C166" t="str">
            <v>DE.1.0.7.0</v>
          </cell>
          <cell r="D166" t="str">
            <v>204:1072</v>
          </cell>
          <cell r="E166">
            <v>42586.310196759259</v>
          </cell>
          <cell r="F166">
            <v>42586.310914351852</v>
          </cell>
          <cell r="G166">
            <v>1</v>
          </cell>
          <cell r="H166" t="str">
            <v>300:58939</v>
          </cell>
          <cell r="I166">
            <v>42586.336689814816</v>
          </cell>
          <cell r="J166">
            <v>0</v>
          </cell>
          <cell r="K166" t="str">
            <v>4041/4042</v>
          </cell>
          <cell r="L166" t="str">
            <v>YORK</v>
          </cell>
          <cell r="M166">
            <v>2.5775462963792961E-2</v>
          </cell>
          <cell r="N166">
            <v>37.116666667861864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https://search-rtdc-monitor-bjffxe2xuh6vdkpspy63sjmuny.us-east-1.es.amazonaws.com/_plugin/kibana/#/discover/Steve-Slow-Train-Analysis-(2080s-and-2083s)?_g=(refreshInterval:(display:Off,section:0,value:0),time:(from:'2016-08-04 06:26:41-0600',mode:absolute,to:'2016-08-04 09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0.1072</v>
          </cell>
          <cell r="Z166">
            <v>5.8939000000000004</v>
          </cell>
          <cell r="AA166">
            <v>5.7867000000000006</v>
          </cell>
          <cell r="AB166" t="e">
            <v>#N/A</v>
          </cell>
          <cell r="AC166" t="e">
            <v>#N/A</v>
          </cell>
          <cell r="AD166" t="str">
            <v>0809-04</v>
          </cell>
          <cell r="AE166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7">
          <cell r="A167" t="str">
            <v>810-04</v>
          </cell>
          <cell r="B167">
            <v>4041</v>
          </cell>
          <cell r="C167" t="str">
            <v>DE.1.0.7.0</v>
          </cell>
          <cell r="D167" t="str">
            <v>300:58621</v>
          </cell>
          <cell r="E167">
            <v>42586.337847222225</v>
          </cell>
          <cell r="F167">
            <v>42586.338854166665</v>
          </cell>
          <cell r="G167">
            <v>1</v>
          </cell>
          <cell r="H167" t="str">
            <v>204:880</v>
          </cell>
          <cell r="I167">
            <v>42586.350231481483</v>
          </cell>
          <cell r="J167">
            <v>0</v>
          </cell>
          <cell r="K167" t="str">
            <v>4041/4042</v>
          </cell>
          <cell r="L167" t="str">
            <v>YORK</v>
          </cell>
          <cell r="M167">
            <v>1.1377314818673767E-2</v>
          </cell>
          <cell r="N167">
            <v>16.383333338890225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https://search-rtdc-monitor-bjffxe2xuh6vdkpspy63sjmuny.us-east-1.es.amazonaws.com/_plugin/kibana/#/discover/Steve-Slow-Train-Analysis-(2080s-and-2083s)?_g=(refreshInterval:(display:Off,section:0,value:0),time:(from:'2016-08-04 07:06:30-0600',mode:absolute,to:'2016-08-04 09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5.8620999999999999</v>
          </cell>
          <cell r="Z167">
            <v>8.7999999999999995E-2</v>
          </cell>
          <cell r="AA167">
            <v>5.7740999999999998</v>
          </cell>
          <cell r="AB167" t="e">
            <v>#N/A</v>
          </cell>
          <cell r="AC167" t="e">
            <v>#N/A</v>
          </cell>
          <cell r="AD167" t="str">
            <v>0810-04</v>
          </cell>
          <cell r="AE16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8">
          <cell r="A168" t="str">
            <v>811-04</v>
          </cell>
          <cell r="B168">
            <v>4018</v>
          </cell>
          <cell r="C168" t="str">
            <v>DE.1.0.7.0</v>
          </cell>
          <cell r="D168" t="str">
            <v>204:995</v>
          </cell>
          <cell r="E168">
            <v>42586.342280092591</v>
          </cell>
          <cell r="F168">
            <v>42586.343194444446</v>
          </cell>
          <cell r="G168">
            <v>1</v>
          </cell>
          <cell r="H168" t="str">
            <v>300:58920</v>
          </cell>
          <cell r="I168">
            <v>42586.357928240737</v>
          </cell>
          <cell r="J168">
            <v>0</v>
          </cell>
          <cell r="K168" t="str">
            <v>4017/4018</v>
          </cell>
          <cell r="L168" t="str">
            <v>ISHMAEL</v>
          </cell>
          <cell r="M168">
            <v>1.4733796291693579E-2</v>
          </cell>
          <cell r="N168">
            <v>21.216666660038754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https://search-rtdc-monitor-bjffxe2xuh6vdkpspy63sjmuny.us-east-1.es.amazonaws.com/_plugin/kibana/#/discover/Steve-Slow-Train-Analysis-(2080s-and-2083s)?_g=(refreshInterval:(display:Off,section:0,value:0),time:(from:'2016-08-04 07:12:53-0600',mode:absolute,to:'2016-08-04 09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8" t="str">
            <v>N</v>
          </cell>
          <cell r="X168">
            <v>1</v>
          </cell>
          <cell r="Y168">
            <v>9.9500000000000005E-2</v>
          </cell>
          <cell r="Z168">
            <v>5.8920000000000003</v>
          </cell>
          <cell r="AA168">
            <v>5.7925000000000004</v>
          </cell>
          <cell r="AB168" t="e">
            <v>#N/A</v>
          </cell>
          <cell r="AC168" t="e">
            <v>#N/A</v>
          </cell>
          <cell r="AD168" t="str">
            <v>0811-04</v>
          </cell>
          <cell r="AE16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9">
          <cell r="A169" t="str">
            <v>812-04</v>
          </cell>
          <cell r="B169">
            <v>4017</v>
          </cell>
          <cell r="C169" t="str">
            <v>DE.1.0.7.0</v>
          </cell>
          <cell r="D169" t="str">
            <v>300:58604</v>
          </cell>
          <cell r="E169">
            <v>42586.359224537038</v>
          </cell>
          <cell r="F169">
            <v>42586.360046296293</v>
          </cell>
          <cell r="G169">
            <v>1</v>
          </cell>
          <cell r="H169" t="str">
            <v>204:689</v>
          </cell>
          <cell r="I169">
            <v>42586.372245370374</v>
          </cell>
          <cell r="J169">
            <v>1</v>
          </cell>
          <cell r="K169" t="str">
            <v>4017/4018</v>
          </cell>
          <cell r="L169" t="str">
            <v>ISHMAEL</v>
          </cell>
          <cell r="M169">
            <v>1.2199074080854189E-2</v>
          </cell>
          <cell r="N169">
            <v>17.566666676430032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https://search-rtdc-monitor-bjffxe2xuh6vdkpspy63sjmuny.us-east-1.es.amazonaws.com/_plugin/kibana/#/discover/Steve-Slow-Train-Analysis-(2080s-and-2083s)?_g=(refreshInterval:(display:Off,section:0,value:0),time:(from:'2016-08-04 07:37:17-0600',mode:absolute,to:'2016-08-04 09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9" t="str">
            <v>N</v>
          </cell>
          <cell r="X169">
            <v>1</v>
          </cell>
          <cell r="Y169">
            <v>5.8604000000000003</v>
          </cell>
          <cell r="Z169">
            <v>6.8900000000000003E-2</v>
          </cell>
          <cell r="AA169">
            <v>5.7915000000000001</v>
          </cell>
          <cell r="AB169" t="e">
            <v>#N/A</v>
          </cell>
          <cell r="AC169" t="e">
            <v>#N/A</v>
          </cell>
          <cell r="AD169" t="str">
            <v>0812-04</v>
          </cell>
          <cell r="AE16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0">
          <cell r="A170" t="str">
            <v>813-04</v>
          </cell>
          <cell r="B170">
            <v>4018</v>
          </cell>
          <cell r="C170" t="str">
            <v>DE.1.0.7.0</v>
          </cell>
          <cell r="D170" t="str">
            <v>204:983</v>
          </cell>
          <cell r="E170">
            <v>42586.382997685185</v>
          </cell>
          <cell r="F170">
            <v>42586.384189814817</v>
          </cell>
          <cell r="G170">
            <v>1</v>
          </cell>
          <cell r="H170" t="str">
            <v>300:58897</v>
          </cell>
          <cell r="I170">
            <v>42586.40042824074</v>
          </cell>
          <cell r="J170">
            <v>1</v>
          </cell>
          <cell r="K170" t="str">
            <v>4017/4018</v>
          </cell>
          <cell r="L170" t="str">
            <v>ISHMAEL</v>
          </cell>
          <cell r="M170">
            <v>1.6238425923802424E-2</v>
          </cell>
          <cell r="N170">
            <v>23.383333330275491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https://search-rtdc-monitor-bjffxe2xuh6vdkpspy63sjmuny.us-east-1.es.amazonaws.com/_plugin/kibana/#/discover/Steve-Slow-Train-Analysis-(2080s-and-2083s)?_g=(refreshInterval:(display:Off,section:0,value:0),time:(from:'2016-08-04 08:11:31-0600',mode:absolute,to:'2016-08-04 10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N</v>
          </cell>
          <cell r="X170">
            <v>1</v>
          </cell>
          <cell r="Y170">
            <v>9.8299999999999998E-2</v>
          </cell>
          <cell r="Z170">
            <v>5.8897000000000004</v>
          </cell>
          <cell r="AA170">
            <v>5.7914000000000003</v>
          </cell>
          <cell r="AB170" t="e">
            <v>#N/A</v>
          </cell>
          <cell r="AC170" t="e">
            <v>#N/A</v>
          </cell>
          <cell r="AD170" t="str">
            <v>0813-04</v>
          </cell>
          <cell r="AE17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1">
          <cell r="A171" t="str">
            <v>814-04</v>
          </cell>
          <cell r="B171">
            <v>4017</v>
          </cell>
          <cell r="C171" t="str">
            <v>DE.1.0.7.0</v>
          </cell>
          <cell r="D171" t="str">
            <v>300:58579</v>
          </cell>
          <cell r="E171">
            <v>42586.401342592595</v>
          </cell>
          <cell r="F171">
            <v>42586.402106481481</v>
          </cell>
          <cell r="G171">
            <v>1</v>
          </cell>
          <cell r="H171" t="str">
            <v>204:659</v>
          </cell>
          <cell r="I171">
            <v>42586.416354166664</v>
          </cell>
          <cell r="J171">
            <v>0</v>
          </cell>
          <cell r="K171" t="str">
            <v>4017/4018</v>
          </cell>
          <cell r="L171" t="str">
            <v>ISHMAEL</v>
          </cell>
          <cell r="M171">
            <v>1.4247685183363501E-2</v>
          </cell>
          <cell r="N171">
            <v>20.516666664043441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https://search-rtdc-monitor-bjffxe2xuh6vdkpspy63sjmuny.us-east-1.es.amazonaws.com/_plugin/kibana/#/discover/Steve-Slow-Train-Analysis-(2080s-and-2083s)?_g=(refreshInterval:(display:Off,section:0,value:0),time:(from:'2016-08-04 08:37:56-0600',mode:absolute,to:'2016-08-04 10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N</v>
          </cell>
          <cell r="X171">
            <v>1</v>
          </cell>
          <cell r="Y171">
            <v>5.8578999999999999</v>
          </cell>
          <cell r="Z171">
            <v>6.59E-2</v>
          </cell>
          <cell r="AA171">
            <v>5.7919999999999998</v>
          </cell>
          <cell r="AB171" t="e">
            <v>#N/A</v>
          </cell>
          <cell r="AC171" t="e">
            <v>#N/A</v>
          </cell>
          <cell r="AD171" t="str">
            <v>0814-04</v>
          </cell>
          <cell r="AE17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2">
          <cell r="A172" t="str">
            <v>815-04</v>
          </cell>
          <cell r="B172">
            <v>4018</v>
          </cell>
          <cell r="C172" t="str">
            <v>DE.1.0.7.0</v>
          </cell>
          <cell r="D172" t="str">
            <v>204:983</v>
          </cell>
          <cell r="E172">
            <v>42586.425543981481</v>
          </cell>
          <cell r="F172">
            <v>42586.426574074074</v>
          </cell>
          <cell r="G172">
            <v>1</v>
          </cell>
          <cell r="H172" t="str">
            <v>300:58909</v>
          </cell>
          <cell r="I172">
            <v>42586.442395833335</v>
          </cell>
          <cell r="J172">
            <v>1</v>
          </cell>
          <cell r="K172" t="str">
            <v>4017/4018</v>
          </cell>
          <cell r="L172" t="str">
            <v>ISHMAEL</v>
          </cell>
          <cell r="M172">
            <v>1.5821759261598345E-2</v>
          </cell>
          <cell r="N172">
            <v>22.783333336701617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https://search-rtdc-monitor-bjffxe2xuh6vdkpspy63sjmuny.us-east-1.es.amazonaws.com/_plugin/kibana/#/discover/Steve-Slow-Train-Analysis-(2080s-and-2083s)?_g=(refreshInterval:(display:Off,section:0,value:0),time:(from:'2016-08-04 09:12:47-0600',mode:absolute,to:'2016-08-04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2" t="str">
            <v>N</v>
          </cell>
          <cell r="X172">
            <v>1</v>
          </cell>
          <cell r="Y172">
            <v>9.8299999999999998E-2</v>
          </cell>
          <cell r="Z172">
            <v>5.8909000000000002</v>
          </cell>
          <cell r="AA172">
            <v>5.7926000000000002</v>
          </cell>
          <cell r="AB172" t="e">
            <v>#N/A</v>
          </cell>
          <cell r="AC172" t="e">
            <v>#N/A</v>
          </cell>
          <cell r="AD172" t="str">
            <v>0815-04</v>
          </cell>
          <cell r="AE17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3">
          <cell r="A173" t="str">
            <v>816-04</v>
          </cell>
          <cell r="B173">
            <v>4017</v>
          </cell>
          <cell r="C173" t="str">
            <v>DE.1.0.7.0</v>
          </cell>
          <cell r="D173" t="str">
            <v>300:58587</v>
          </cell>
          <cell r="E173">
            <v>42586.443310185183</v>
          </cell>
          <cell r="F173">
            <v>42586.444074074076</v>
          </cell>
          <cell r="G173">
            <v>1</v>
          </cell>
          <cell r="H173" t="str">
            <v>204:699</v>
          </cell>
          <cell r="I173">
            <v>42586.455439814818</v>
          </cell>
          <cell r="J173">
            <v>0</v>
          </cell>
          <cell r="K173" t="str">
            <v>4017/4018</v>
          </cell>
          <cell r="L173" t="str">
            <v>ISHMAEL</v>
          </cell>
          <cell r="M173">
            <v>1.1365740741894115E-2</v>
          </cell>
          <cell r="N173">
            <v>16.366666668327525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https://search-rtdc-monitor-bjffxe2xuh6vdkpspy63sjmuny.us-east-1.es.amazonaws.com/_plugin/kibana/#/discover/Steve-Slow-Train-Analysis-(2080s-and-2083s)?_g=(refreshInterval:(display:Off,section:0,value:0),time:(from:'2016-08-04 09:38:22-0600',mode:absolute,to:'2016-08-04 11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6.9900000000000004E-2</v>
          </cell>
          <cell r="AA173">
            <v>5.7888000000000002</v>
          </cell>
          <cell r="AB173" t="e">
            <v>#N/A</v>
          </cell>
          <cell r="AC173" t="e">
            <v>#N/A</v>
          </cell>
          <cell r="AD173" t="str">
            <v>0816-04</v>
          </cell>
          <cell r="AE17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4">
          <cell r="A174" t="str">
            <v>817-04</v>
          </cell>
          <cell r="B174">
            <v>4018</v>
          </cell>
          <cell r="C174" t="str">
            <v>DE.1.0.7.0</v>
          </cell>
          <cell r="D174" t="str">
            <v>204:978</v>
          </cell>
          <cell r="E174">
            <v>42586.466909722221</v>
          </cell>
          <cell r="F174">
            <v>42586.467847222222</v>
          </cell>
          <cell r="G174">
            <v>1</v>
          </cell>
          <cell r="H174" t="str">
            <v>300:58903</v>
          </cell>
          <cell r="I174">
            <v>42586.483182870368</v>
          </cell>
          <cell r="J174">
            <v>0</v>
          </cell>
          <cell r="K174" t="str">
            <v>4017/4018</v>
          </cell>
          <cell r="L174" t="str">
            <v>ISHMAEL</v>
          </cell>
          <cell r="M174">
            <v>1.5335648145992309E-2</v>
          </cell>
          <cell r="N174">
            <v>22.083333330228925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https://search-rtdc-monitor-bjffxe2xuh6vdkpspy63sjmuny.us-east-1.es.amazonaws.com/_plugin/kibana/#/discover/Steve-Slow-Train-Analysis-(2080s-and-2083s)?_g=(refreshInterval:(display:Off,section:0,value:0),time:(from:'2016-08-04 10:12:21-0600',mode:absolute,to:'2016-08-04 12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N</v>
          </cell>
          <cell r="X174">
            <v>1</v>
          </cell>
          <cell r="Y174">
            <v>9.7799999999999998E-2</v>
          </cell>
          <cell r="Z174">
            <v>5.8902999999999999</v>
          </cell>
          <cell r="AA174">
            <v>5.7924999999999995</v>
          </cell>
          <cell r="AB174" t="e">
            <v>#N/A</v>
          </cell>
          <cell r="AC174" t="e">
            <v>#N/A</v>
          </cell>
          <cell r="AD174" t="str">
            <v>0817-04</v>
          </cell>
          <cell r="AE17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5">
          <cell r="A175" t="str">
            <v>818-04</v>
          </cell>
          <cell r="B175">
            <v>4017</v>
          </cell>
          <cell r="C175" t="str">
            <v>DE.1.0.7.0</v>
          </cell>
          <cell r="D175" t="str">
            <v>300:58576</v>
          </cell>
          <cell r="E175">
            <v>42586.484027777777</v>
          </cell>
          <cell r="F175">
            <v>42586.485011574077</v>
          </cell>
          <cell r="G175">
            <v>1</v>
          </cell>
          <cell r="H175" t="str">
            <v>204:682</v>
          </cell>
          <cell r="I175">
            <v>42586.496944444443</v>
          </cell>
          <cell r="J175">
            <v>0</v>
          </cell>
          <cell r="K175" t="str">
            <v>4017/4018</v>
          </cell>
          <cell r="L175" t="str">
            <v>ISHMAEL</v>
          </cell>
          <cell r="M175">
            <v>1.1932870365853887E-2</v>
          </cell>
          <cell r="N175">
            <v>17.183333326829597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https://search-rtdc-monitor-bjffxe2xuh6vdkpspy63sjmuny.us-east-1.es.amazonaws.com/_plugin/kibana/#/discover/Steve-Slow-Train-Analysis-(2080s-and-2083s)?_g=(refreshInterval:(display:Off,section:0,value:0),time:(from:'2016-08-04 10:37:00-0600',mode:absolute,to:'2016-08-04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5.8575999999999997</v>
          </cell>
          <cell r="Z175">
            <v>6.8199999999999997E-2</v>
          </cell>
          <cell r="AA175">
            <v>5.7893999999999997</v>
          </cell>
          <cell r="AB175" t="e">
            <v>#N/A</v>
          </cell>
          <cell r="AC175" t="e">
            <v>#N/A</v>
          </cell>
          <cell r="AD175" t="str">
            <v>0818-04</v>
          </cell>
          <cell r="AE17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6">
          <cell r="A176" t="str">
            <v>819-04</v>
          </cell>
          <cell r="B176">
            <v>4018</v>
          </cell>
          <cell r="C176" t="str">
            <v>DE.1.0.7.0</v>
          </cell>
          <cell r="D176" t="str">
            <v>204:983</v>
          </cell>
          <cell r="E176">
            <v>42586.50880787037</v>
          </cell>
          <cell r="F176">
            <v>42586.510057870371</v>
          </cell>
          <cell r="G176">
            <v>1</v>
          </cell>
          <cell r="H176" t="str">
            <v>300:58924</v>
          </cell>
          <cell r="I176">
            <v>42586.524641203701</v>
          </cell>
          <cell r="J176">
            <v>0</v>
          </cell>
          <cell r="K176" t="str">
            <v>4017/4018</v>
          </cell>
          <cell r="L176" t="str">
            <v>ISHMAEL</v>
          </cell>
          <cell r="M176">
            <v>1.4583333329937886E-2</v>
          </cell>
          <cell r="N176">
            <v>20.999999995110556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https://search-rtdc-monitor-bjffxe2xuh6vdkpspy63sjmuny.us-east-1.es.amazonaws.com/_plugin/kibana/#/discover/Steve-Slow-Train-Analysis-(2080s-and-2083s)?_g=(refreshInterval:(display:Off,section:0,value:0),time:(from:'2016-08-04 11:12:41-0600',mode:absolute,to:'2016-08-04 13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6" t="str">
            <v>N</v>
          </cell>
          <cell r="X176">
            <v>1</v>
          </cell>
          <cell r="Y176">
            <v>9.8299999999999998E-2</v>
          </cell>
          <cell r="Z176">
            <v>5.8924000000000003</v>
          </cell>
          <cell r="AA176">
            <v>5.7941000000000003</v>
          </cell>
          <cell r="AB176" t="e">
            <v>#N/A</v>
          </cell>
          <cell r="AC176" t="e">
            <v>#N/A</v>
          </cell>
          <cell r="AD176" t="str">
            <v>0819-04</v>
          </cell>
          <cell r="AE17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7">
          <cell r="A177" t="str">
            <v>820-04</v>
          </cell>
          <cell r="B177">
            <v>4017</v>
          </cell>
          <cell r="C177" t="str">
            <v>DE.1.0.7.0</v>
          </cell>
          <cell r="D177" t="str">
            <v>300:58600</v>
          </cell>
          <cell r="E177">
            <v>42586.525949074072</v>
          </cell>
          <cell r="F177">
            <v>42586.526736111111</v>
          </cell>
          <cell r="G177">
            <v>1</v>
          </cell>
          <cell r="H177" t="str">
            <v>204:703</v>
          </cell>
          <cell r="I177">
            <v>42586.538472222222</v>
          </cell>
          <cell r="J177">
            <v>0</v>
          </cell>
          <cell r="K177" t="str">
            <v>4017/4018</v>
          </cell>
          <cell r="L177" t="str">
            <v>ISHMAEL</v>
          </cell>
          <cell r="M177">
            <v>1.17361111115315E-2</v>
          </cell>
          <cell r="N177">
            <v>16.90000000060536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https://search-rtdc-monitor-bjffxe2xuh6vdkpspy63sjmuny.us-east-1.es.amazonaws.com/_plugin/kibana/#/discover/Steve-Slow-Train-Analysis-(2080s-and-2083s)?_g=(refreshInterval:(display:Off,section:0,value:0),time:(from:'2016-08-04 11:37:22-0600',mode:absolute,to:'2016-08-04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7.0300000000000001E-2</v>
          </cell>
          <cell r="AA177">
            <v>5.7897000000000007</v>
          </cell>
          <cell r="AB177" t="e">
            <v>#N/A</v>
          </cell>
          <cell r="AC177" t="e">
            <v>#N/A</v>
          </cell>
          <cell r="AD177" t="str">
            <v>0820-04</v>
          </cell>
          <cell r="AE17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8">
          <cell r="A178" t="str">
            <v>821-04</v>
          </cell>
          <cell r="B178">
            <v>4018</v>
          </cell>
          <cell r="C178" t="str">
            <v>DE.1.0.7.0</v>
          </cell>
          <cell r="D178" t="str">
            <v>204:992</v>
          </cell>
          <cell r="E178">
            <v>42586.542118055557</v>
          </cell>
          <cell r="F178">
            <v>42586.543217592596</v>
          </cell>
          <cell r="G178">
            <v>1</v>
          </cell>
          <cell r="H178" t="str">
            <v>300:58905</v>
          </cell>
          <cell r="I178">
            <v>42586.566874999997</v>
          </cell>
          <cell r="J178">
            <v>0</v>
          </cell>
          <cell r="K178" t="str">
            <v>4017/4018</v>
          </cell>
          <cell r="L178" t="str">
            <v>KILLION</v>
          </cell>
          <cell r="M178">
            <v>2.3657407400605734E-2</v>
          </cell>
          <cell r="N178">
            <v>34.066666656872258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https://search-rtdc-monitor-bjffxe2xuh6vdkpspy63sjmuny.us-east-1.es.amazonaws.com/_plugin/kibana/#/discover/Steve-Slow-Train-Analysis-(2080s-and-2083s)?_g=(refreshInterval:(display:Off,section:0,value:0),time:(from:'2016-08-04 12:00:39-0600',mode:absolute,to:'2016-08-04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8" t="str">
            <v>N</v>
          </cell>
          <cell r="X178">
            <v>1</v>
          </cell>
          <cell r="Y178">
            <v>9.9199999999999997E-2</v>
          </cell>
          <cell r="Z178">
            <v>5.8905000000000003</v>
          </cell>
          <cell r="AA178">
            <v>5.7913000000000006</v>
          </cell>
          <cell r="AB178" t="e">
            <v>#N/A</v>
          </cell>
          <cell r="AC178" t="e">
            <v>#N/A</v>
          </cell>
          <cell r="AD178" t="str">
            <v>0821-04</v>
          </cell>
          <cell r="AE17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9">
          <cell r="A179" t="str">
            <v>822-04</v>
          </cell>
          <cell r="B179">
            <v>4017</v>
          </cell>
          <cell r="C179" t="str">
            <v>DE.1.0.7.0</v>
          </cell>
          <cell r="D179" t="str">
            <v>300:58594</v>
          </cell>
          <cell r="E179">
            <v>42586.568252314813</v>
          </cell>
          <cell r="F179">
            <v>42586.569374999999</v>
          </cell>
          <cell r="G179">
            <v>1</v>
          </cell>
          <cell r="H179" t="str">
            <v>204:701</v>
          </cell>
          <cell r="I179">
            <v>42586.581863425927</v>
          </cell>
          <cell r="J179">
            <v>1</v>
          </cell>
          <cell r="K179" t="str">
            <v>4017/4018</v>
          </cell>
          <cell r="L179" t="str">
            <v>KILLION</v>
          </cell>
          <cell r="M179">
            <v>1.2488425927585922E-2</v>
          </cell>
          <cell r="N179">
            <v>17.983333335723728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https://search-rtdc-monitor-bjffxe2xuh6vdkpspy63sjmuny.us-east-1.es.amazonaws.com/_plugin/kibana/#/discover/Steve-Slow-Train-Analysis-(2080s-and-2083s)?_g=(refreshInterval:(display:Off,section:0,value:0),time:(from:'2016-08-04 12:38:17-0600',mode:absolute,to:'2016-08-04 14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9" t="str">
            <v>N</v>
          </cell>
          <cell r="X179">
            <v>1</v>
          </cell>
          <cell r="Y179">
            <v>5.8593999999999999</v>
          </cell>
          <cell r="Z179">
            <v>7.0099999999999996E-2</v>
          </cell>
          <cell r="AA179">
            <v>5.7892999999999999</v>
          </cell>
          <cell r="AB179" t="e">
            <v>#N/A</v>
          </cell>
          <cell r="AC179" t="e">
            <v>#N/A</v>
          </cell>
          <cell r="AD179" t="str">
            <v>0822-04</v>
          </cell>
          <cell r="AE17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0">
          <cell r="A180" t="str">
            <v>823-04</v>
          </cell>
          <cell r="B180">
            <v>4018</v>
          </cell>
          <cell r="C180" t="str">
            <v>DE.1.0.7.0</v>
          </cell>
          <cell r="D180" t="str">
            <v>204:1009</v>
          </cell>
          <cell r="E180">
            <v>42586.585115740738</v>
          </cell>
          <cell r="F180">
            <v>42586.586562500001</v>
          </cell>
          <cell r="G180">
            <v>2</v>
          </cell>
          <cell r="H180" t="str">
            <v>300:58903</v>
          </cell>
          <cell r="I180">
            <v>42586.610810185186</v>
          </cell>
          <cell r="J180">
            <v>0</v>
          </cell>
          <cell r="K180" t="str">
            <v>4017/4018</v>
          </cell>
          <cell r="L180" t="str">
            <v>KILLION</v>
          </cell>
          <cell r="M180">
            <v>2.4247685185400769E-2</v>
          </cell>
          <cell r="N180">
            <v>34.916666666977108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https://search-rtdc-monitor-bjffxe2xuh6vdkpspy63sjmuny.us-east-1.es.amazonaws.com/_plugin/kibana/#/discover/Steve-Slow-Train-Analysis-(2080s-and-2083s)?_g=(refreshInterval:(display:Off,section:0,value:0),time:(from:'2016-08-04 13:02:34-0600',mode:absolute,to:'2016-08-04 15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0" t="str">
            <v>N</v>
          </cell>
          <cell r="X180">
            <v>1</v>
          </cell>
          <cell r="Y180">
            <v>0.1009</v>
          </cell>
          <cell r="Z180">
            <v>5.8902999999999999</v>
          </cell>
          <cell r="AA180">
            <v>5.7893999999999997</v>
          </cell>
          <cell r="AB180" t="e">
            <v>#N/A</v>
          </cell>
          <cell r="AC180" t="e">
            <v>#N/A</v>
          </cell>
          <cell r="AD180" t="str">
            <v>0823-04</v>
          </cell>
          <cell r="AE18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1">
          <cell r="A181" t="str">
            <v>824-04</v>
          </cell>
          <cell r="B181">
            <v>4017</v>
          </cell>
          <cell r="C181" t="str">
            <v>DE.1.0.7.0</v>
          </cell>
          <cell r="D181" t="str">
            <v>300:58589</v>
          </cell>
          <cell r="E181">
            <v>42586.610868055555</v>
          </cell>
          <cell r="F181">
            <v>42586.612013888887</v>
          </cell>
          <cell r="G181">
            <v>1</v>
          </cell>
          <cell r="H181" t="str">
            <v>300:58207</v>
          </cell>
          <cell r="I181">
            <v>42586.61314814815</v>
          </cell>
          <cell r="J181">
            <v>2</v>
          </cell>
          <cell r="K181" t="str">
            <v>4017/4018</v>
          </cell>
          <cell r="L181" t="str">
            <v>KILLION</v>
          </cell>
          <cell r="M181">
            <v>1.1342592624714598E-3</v>
          </cell>
          <cell r="P181">
            <v>1.6333333379589021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1" t="str">
            <v>Y</v>
          </cell>
          <cell r="X181">
            <v>1</v>
          </cell>
          <cell r="Y181">
            <v>5.8589000000000002</v>
          </cell>
          <cell r="Z181">
            <v>5.8207000000000004</v>
          </cell>
          <cell r="AA181">
            <v>3.819999999999979E-2</v>
          </cell>
          <cell r="AB181" t="e">
            <v>#N/A</v>
          </cell>
          <cell r="AC181" t="e">
            <v>#N/A</v>
          </cell>
          <cell r="AD181" t="str">
            <v>0824-04</v>
          </cell>
          <cell r="AE18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2">
          <cell r="A182" t="str">
            <v>825-04</v>
          </cell>
          <cell r="B182">
            <v>4018</v>
          </cell>
          <cell r="C182" t="str">
            <v>DE.1.0.7.0</v>
          </cell>
          <cell r="D182" t="str">
            <v>204:878</v>
          </cell>
          <cell r="E182">
            <v>42586.625844907408</v>
          </cell>
          <cell r="F182">
            <v>42586.626608796294</v>
          </cell>
          <cell r="G182">
            <v>1</v>
          </cell>
          <cell r="H182" t="str">
            <v>300:58903</v>
          </cell>
          <cell r="I182">
            <v>42586.650810185187</v>
          </cell>
          <cell r="J182">
            <v>1</v>
          </cell>
          <cell r="K182" t="str">
            <v>4017/4018</v>
          </cell>
          <cell r="L182" t="str">
            <v>KILLION</v>
          </cell>
          <cell r="M182">
            <v>2.4201388892834075E-2</v>
          </cell>
          <cell r="N182">
            <v>34.850000005681068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https://search-rtdc-monitor-bjffxe2xuh6vdkpspy63sjmuny.us-east-1.es.amazonaws.com/_plugin/kibana/#/discover/Steve-Slow-Train-Analysis-(2080s-and-2083s)?_g=(refreshInterval:(display:Off,section:0,value:0),time:(from:'2016-08-04 14:01:13-0600',mode:absolute,to:'2016-08-04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2" t="str">
            <v>N</v>
          </cell>
          <cell r="X182">
            <v>1</v>
          </cell>
          <cell r="Y182">
            <v>8.7800000000000003E-2</v>
          </cell>
          <cell r="Z182">
            <v>5.8902999999999999</v>
          </cell>
          <cell r="AA182">
            <v>5.8025000000000002</v>
          </cell>
          <cell r="AB182" t="e">
            <v>#N/A</v>
          </cell>
          <cell r="AC182" t="e">
            <v>#N/A</v>
          </cell>
          <cell r="AD182" t="str">
            <v>0825-04</v>
          </cell>
          <cell r="AE18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3">
          <cell r="A183" t="str">
            <v>826-04</v>
          </cell>
          <cell r="B183">
            <v>4017</v>
          </cell>
          <cell r="C183" t="str">
            <v>DE.1.0.7.0</v>
          </cell>
          <cell r="D183" t="str">
            <v>300:58587</v>
          </cell>
          <cell r="E183">
            <v>42586.652060185188</v>
          </cell>
          <cell r="F183">
            <v>42586.653101851851</v>
          </cell>
          <cell r="G183">
            <v>1</v>
          </cell>
          <cell r="H183" t="str">
            <v>204:642</v>
          </cell>
          <cell r="I183">
            <v>42586.666122685187</v>
          </cell>
          <cell r="J183">
            <v>0</v>
          </cell>
          <cell r="K183" t="str">
            <v>4017/4018</v>
          </cell>
          <cell r="L183" t="str">
            <v>KILLION</v>
          </cell>
          <cell r="M183">
            <v>1.3020833335758653E-2</v>
          </cell>
          <cell r="N183">
            <v>18.75000000349246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https://search-rtdc-monitor-bjffxe2xuh6vdkpspy63sjmuny.us-east-1.es.amazonaws.com/_plugin/kibana/#/discover/Steve-Slow-Train-Analysis-(2080s-and-2083s)?_g=(refreshInterval:(display:Off,section:0,value:0),time:(from:'2016-08-04 14:38:58-0600',mode:absolute,to:'2016-08-04 16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3" t="str">
            <v>N</v>
          </cell>
          <cell r="X183">
            <v>1</v>
          </cell>
          <cell r="Y183">
            <v>5.8586999999999998</v>
          </cell>
          <cell r="Z183">
            <v>6.4199999999999993E-2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0826-04</v>
          </cell>
          <cell r="AE18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4">
          <cell r="A184" t="str">
            <v>827-04</v>
          </cell>
          <cell r="B184">
            <v>4042</v>
          </cell>
          <cell r="C184" t="str">
            <v>DE.1.0.7.0</v>
          </cell>
          <cell r="D184" t="str">
            <v>204:901</v>
          </cell>
          <cell r="E184">
            <v>42586.661400462966</v>
          </cell>
          <cell r="F184">
            <v>42586.662418981483</v>
          </cell>
          <cell r="G184">
            <v>1</v>
          </cell>
          <cell r="H184" t="str">
            <v>300:58871</v>
          </cell>
          <cell r="I184">
            <v>42586.674317129633</v>
          </cell>
          <cell r="J184">
            <v>1</v>
          </cell>
          <cell r="K184" t="str">
            <v>4041/4042</v>
          </cell>
          <cell r="L184" t="str">
            <v>HAITHCOX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https://search-rtdc-monitor-bjffxe2xuh6vdkpspy63sjmuny.us-east-1.es.amazonaws.com/_plugin/kibana/#/discover/Steve-Slow-Train-Analysis-(2080s-and-2083s)?_g=(refreshInterval:(display:Off,section:0,value:0),time:(from:'2016-08-04 14:52:25-0600',mode:absolute,to:'2016-08-04 17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4" t="str">
            <v>N</v>
          </cell>
          <cell r="X184">
            <v>1</v>
          </cell>
          <cell r="Y184">
            <v>9.01E-2</v>
          </cell>
          <cell r="Z184">
            <v>5.8871000000000002</v>
          </cell>
          <cell r="AA184">
            <v>5.7970000000000006</v>
          </cell>
          <cell r="AB184" t="e">
            <v>#N/A</v>
          </cell>
          <cell r="AC184" t="e">
            <v>#N/A</v>
          </cell>
          <cell r="AD184" t="str">
            <v>0827-04</v>
          </cell>
          <cell r="AE184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5">
          <cell r="A185" t="str">
            <v>828-04</v>
          </cell>
          <cell r="B185">
            <v>4041</v>
          </cell>
          <cell r="C185" t="str">
            <v>DE.1.0.7.0</v>
          </cell>
          <cell r="D185" t="str">
            <v>300:58544</v>
          </cell>
          <cell r="E185">
            <v>42586.675405092596</v>
          </cell>
          <cell r="F185">
            <v>42586.676712962966</v>
          </cell>
          <cell r="G185">
            <v>1</v>
          </cell>
          <cell r="H185" t="str">
            <v>204:671</v>
          </cell>
          <cell r="I185">
            <v>42586.689293981479</v>
          </cell>
          <cell r="J185">
            <v>1</v>
          </cell>
          <cell r="K185" t="str">
            <v>4041/4042</v>
          </cell>
          <cell r="L185" t="str">
            <v>HAITHCOX</v>
          </cell>
          <cell r="M185">
            <v>1.2581018512719311E-2</v>
          </cell>
          <cell r="N185">
            <v>18.116666658315808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https://search-rtdc-monitor-bjffxe2xuh6vdkpspy63sjmuny.us-east-1.es.amazonaws.com/_plugin/kibana/#/discover/Steve-Slow-Train-Analysis-(2080s-and-2083s)?_g=(refreshInterval:(display:Off,section:0,value:0),time:(from:'2016-08-04 15:12:35-0600',mode:absolute,to:'2016-08-04 17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5" t="str">
            <v>N</v>
          </cell>
          <cell r="X185">
            <v>1</v>
          </cell>
          <cell r="Y185">
            <v>5.8544</v>
          </cell>
          <cell r="Z185">
            <v>6.7100000000000007E-2</v>
          </cell>
          <cell r="AA185">
            <v>5.7873000000000001</v>
          </cell>
          <cell r="AB185" t="e">
            <v>#N/A</v>
          </cell>
          <cell r="AC185" t="e">
            <v>#N/A</v>
          </cell>
          <cell r="AD185" t="str">
            <v>0828-04</v>
          </cell>
          <cell r="AE185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86">
          <cell r="A186" t="str">
            <v>829-04</v>
          </cell>
          <cell r="B186">
            <v>4018</v>
          </cell>
          <cell r="C186" t="str">
            <v>DE.1.0.7.0</v>
          </cell>
          <cell r="D186" t="str">
            <v>204:922</v>
          </cell>
          <cell r="E186">
            <v>42586.668668981481</v>
          </cell>
          <cell r="F186">
            <v>42586.669710648152</v>
          </cell>
          <cell r="G186">
            <v>1</v>
          </cell>
          <cell r="H186" t="str">
            <v>300:58903</v>
          </cell>
          <cell r="I186">
            <v>42586.691805555558</v>
          </cell>
          <cell r="J186">
            <v>0</v>
          </cell>
          <cell r="K186" t="str">
            <v>4017/4018</v>
          </cell>
          <cell r="L186" t="str">
            <v>KILLION</v>
          </cell>
          <cell r="M186">
            <v>2.2094907406426501E-2</v>
          </cell>
          <cell r="N186">
            <v>31.816666665254161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https://search-rtdc-monitor-bjffxe2xuh6vdkpspy63sjmuny.us-east-1.es.amazonaws.com/_plugin/kibana/#/discover/Steve-Slow-Train-Analysis-(2080s-and-2083s)?_g=(refreshInterval:(display:Off,section:0,value:0),time:(from:'2016-08-04 15:02:53-0600',mode:absolute,to:'2016-08-04 17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6" t="str">
            <v>N</v>
          </cell>
          <cell r="X186">
            <v>1</v>
          </cell>
          <cell r="Y186">
            <v>9.2200000000000004E-2</v>
          </cell>
          <cell r="Z186">
            <v>5.8902999999999999</v>
          </cell>
          <cell r="AA186">
            <v>5.7980999999999998</v>
          </cell>
          <cell r="AB186" t="e">
            <v>#N/A</v>
          </cell>
          <cell r="AC186" t="e">
            <v>#N/A</v>
          </cell>
          <cell r="AD186" t="str">
            <v>0829-04</v>
          </cell>
          <cell r="AE18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7">
          <cell r="A187" t="str">
            <v>830-04</v>
          </cell>
          <cell r="B187">
            <v>4017</v>
          </cell>
          <cell r="C187" t="str">
            <v>DE.1.0.7.0</v>
          </cell>
          <cell r="D187" t="str">
            <v>300:58591</v>
          </cell>
          <cell r="E187">
            <v>42586.692881944444</v>
          </cell>
          <cell r="F187">
            <v>42586.693865740737</v>
          </cell>
          <cell r="G187">
            <v>1</v>
          </cell>
          <cell r="H187" t="str">
            <v>204:628</v>
          </cell>
          <cell r="I187">
            <v>42586.707002314812</v>
          </cell>
          <cell r="J187">
            <v>0</v>
          </cell>
          <cell r="K187" t="str">
            <v>4017/4018</v>
          </cell>
          <cell r="L187" t="str">
            <v>KILLION</v>
          </cell>
          <cell r="M187">
            <v>1.3136574074451346E-2</v>
          </cell>
          <cell r="N187">
            <v>18.916666667209938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https://search-rtdc-monitor-bjffxe2xuh6vdkpspy63sjmuny.us-east-1.es.amazonaws.com/_plugin/kibana/#/discover/Steve-Slow-Train-Analysis-(2080s-and-2083s)?_g=(refreshInterval:(display:Off,section:0,value:0),time:(from:'2016-08-04 15:37:45-0600',mode:absolute,to:'2016-08-04 17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7" t="str">
            <v>N</v>
          </cell>
          <cell r="X187">
            <v>1</v>
          </cell>
          <cell r="Y187">
            <v>5.8590999999999998</v>
          </cell>
          <cell r="Z187">
            <v>6.2799999999999995E-2</v>
          </cell>
          <cell r="AA187">
            <v>5.7962999999999996</v>
          </cell>
          <cell r="AB187" t="e">
            <v>#N/A</v>
          </cell>
          <cell r="AC187" t="e">
            <v>#N/A</v>
          </cell>
          <cell r="AD187" t="str">
            <v>0830-04</v>
          </cell>
          <cell r="AE18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8">
          <cell r="A188" t="str">
            <v>831-04</v>
          </cell>
          <cell r="B188">
            <v>4042</v>
          </cell>
          <cell r="C188" t="str">
            <v>DE.1.0.7.0</v>
          </cell>
          <cell r="D188" t="str">
            <v>204:953</v>
          </cell>
          <cell r="E188">
            <v>42586.69604166667</v>
          </cell>
          <cell r="F188">
            <v>42586.697060185186</v>
          </cell>
          <cell r="G188">
            <v>1</v>
          </cell>
          <cell r="H188" t="str">
            <v>300:58869</v>
          </cell>
          <cell r="I188">
            <v>42586.713900462964</v>
          </cell>
          <cell r="J188">
            <v>0</v>
          </cell>
          <cell r="K188" t="str">
            <v>4041/4042</v>
          </cell>
          <cell r="L188" t="str">
            <v>HAITHCOX</v>
          </cell>
          <cell r="M188">
            <v>1.6840277778101154E-2</v>
          </cell>
          <cell r="N188">
            <v>24.250000000465661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https://search-rtdc-monitor-bjffxe2xuh6vdkpspy63sjmuny.us-east-1.es.amazonaws.com/_plugin/kibana/#/discover/Steve-Slow-Train-Analysis-(2080s-and-2083s)?_g=(refreshInterval:(display:Off,section:0,value:0),time:(from:'2016-08-04 15:42:18-0600',mode:absolute,to:'2016-08-04 18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9.5299999999999996E-2</v>
          </cell>
          <cell r="Z188">
            <v>5.8868999999999998</v>
          </cell>
          <cell r="AA188">
            <v>5.7915999999999999</v>
          </cell>
          <cell r="AB188" t="e">
            <v>#N/A</v>
          </cell>
          <cell r="AC188" t="e">
            <v>#N/A</v>
          </cell>
          <cell r="AD188" t="str">
            <v>0831-04</v>
          </cell>
          <cell r="AE18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9">
          <cell r="A189" t="str">
            <v>832-04</v>
          </cell>
          <cell r="B189">
            <v>4041</v>
          </cell>
          <cell r="C189" t="str">
            <v>DE.1.0.7.0</v>
          </cell>
          <cell r="D189" t="str">
            <v>300:58544</v>
          </cell>
          <cell r="E189">
            <v>42586.715115740742</v>
          </cell>
          <cell r="F189">
            <v>42586.716192129628</v>
          </cell>
          <cell r="G189">
            <v>1</v>
          </cell>
          <cell r="H189" t="str">
            <v>204:733</v>
          </cell>
          <cell r="I189">
            <v>42586.730717592596</v>
          </cell>
          <cell r="J189">
            <v>0</v>
          </cell>
          <cell r="K189" t="str">
            <v>4041/4042</v>
          </cell>
          <cell r="L189" t="str">
            <v>HAITHCOX</v>
          </cell>
          <cell r="M189">
            <v>1.4525462967867497E-2</v>
          </cell>
          <cell r="N189">
            <v>20.916666673729196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https://search-rtdc-monitor-bjffxe2xuh6vdkpspy63sjmuny.us-east-1.es.amazonaws.com/_plugin/kibana/#/discover/Steve-Slow-Train-Analysis-(2080s-and-2083s)?_g=(refreshInterval:(display:Off,section:0,value:0),time:(from:'2016-08-04 16:09:46-0600',mode:absolute,to:'2016-08-04 18:32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5.8544</v>
          </cell>
          <cell r="Z189">
            <v>7.3300000000000004E-2</v>
          </cell>
          <cell r="AA189">
            <v>5.7811000000000003</v>
          </cell>
          <cell r="AB189" t="e">
            <v>#N/A</v>
          </cell>
          <cell r="AC189" t="e">
            <v>#N/A</v>
          </cell>
          <cell r="AD189" t="str">
            <v>0832-04</v>
          </cell>
          <cell r="AE18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0">
          <cell r="A190" t="str">
            <v>833-04</v>
          </cell>
          <cell r="B190">
            <v>4018</v>
          </cell>
          <cell r="C190" t="str">
            <v>DE.1.0.7.0</v>
          </cell>
          <cell r="D190" t="str">
            <v>204:944</v>
          </cell>
          <cell r="E190">
            <v>42586.709305555552</v>
          </cell>
          <cell r="F190">
            <v>42586.710277777776</v>
          </cell>
          <cell r="G190">
            <v>1</v>
          </cell>
          <cell r="H190" t="str">
            <v>300:26631</v>
          </cell>
          <cell r="I190">
            <v>42586.741018518522</v>
          </cell>
          <cell r="J190">
            <v>0</v>
          </cell>
          <cell r="K190" t="str">
            <v>4017/4018</v>
          </cell>
          <cell r="L190" t="str">
            <v>KILLION</v>
          </cell>
          <cell r="M190">
            <v>3.0740740745386574E-2</v>
          </cell>
          <cell r="P190">
            <v>47.850000006146729</v>
          </cell>
          <cell r="R190" t="str">
            <v>BNSF train issue on adjacent track, turned around for safety reasons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0" t="str">
            <v>Y</v>
          </cell>
          <cell r="X190">
            <v>1</v>
          </cell>
          <cell r="Y190">
            <v>9.4399999999999998E-2</v>
          </cell>
          <cell r="Z190">
            <v>2.6631</v>
          </cell>
          <cell r="AA190">
            <v>2.5687000000000002</v>
          </cell>
          <cell r="AB190" t="e">
            <v>#N/A</v>
          </cell>
          <cell r="AC190" t="e">
            <v>#N/A</v>
          </cell>
          <cell r="AD190" t="str">
            <v>0833-04</v>
          </cell>
          <cell r="AE19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1">
          <cell r="A191" t="str">
            <v>833-04</v>
          </cell>
          <cell r="B191">
            <v>4018</v>
          </cell>
          <cell r="C191" t="str">
            <v>DE.1.0.7.0</v>
          </cell>
          <cell r="D191" t="str">
            <v>300:26624</v>
          </cell>
          <cell r="E191">
            <v>42586.743414351855</v>
          </cell>
          <cell r="F191">
            <v>42586.744456018518</v>
          </cell>
          <cell r="G191">
            <v>1</v>
          </cell>
          <cell r="H191" t="str">
            <v>300:28761</v>
          </cell>
          <cell r="I191">
            <v>42586.746944444443</v>
          </cell>
          <cell r="J191">
            <v>2</v>
          </cell>
          <cell r="K191" t="str">
            <v>4017/4018</v>
          </cell>
          <cell r="L191" t="str">
            <v>KILLION</v>
          </cell>
          <cell r="M191">
            <v>2.488425925548654E-3</v>
          </cell>
          <cell r="T191" t="str">
            <v>NorthBound</v>
          </cell>
          <cell r="U191">
            <v>0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https://search-rtdc-monitor-bjffxe2xuh6vdkpspy63sjmuny.us-east-1.es.amazonaws.com/_plugin/kibana/#/discover/Steve-Slow-Train-Analysis-(2080s-and-2083s)?_g=(refreshInterval:(display:Off,section:0,value:0),time:(from:'2016-08-04 16:50:31-0600',mode:absolute,to:'2016-08-04 18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1" t="str">
            <v>Y</v>
          </cell>
          <cell r="X191">
            <v>0</v>
          </cell>
          <cell r="Y191">
            <v>2.6623999999999999</v>
          </cell>
          <cell r="Z191">
            <v>2.8761000000000001</v>
          </cell>
          <cell r="AA191">
            <v>0.21370000000000022</v>
          </cell>
          <cell r="AB191" t="e">
            <v>#N/A</v>
          </cell>
          <cell r="AC191" t="e">
            <v>#N/A</v>
          </cell>
          <cell r="AD191" t="str">
            <v>0833-04</v>
          </cell>
          <cell r="AE19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2">
          <cell r="A192" t="str">
            <v>834-04</v>
          </cell>
          <cell r="B192">
            <v>4017</v>
          </cell>
          <cell r="C192" t="str">
            <v>DE.1.0.7.0</v>
          </cell>
          <cell r="D192" t="str">
            <v>300:58604</v>
          </cell>
          <cell r="E192">
            <v>42586.753750000003</v>
          </cell>
          <cell r="F192">
            <v>42586.754930555559</v>
          </cell>
          <cell r="G192">
            <v>1</v>
          </cell>
          <cell r="H192" t="str">
            <v>300:58289</v>
          </cell>
          <cell r="I192">
            <v>42586.755555555559</v>
          </cell>
          <cell r="J192">
            <v>1</v>
          </cell>
          <cell r="K192" t="str">
            <v>4017/4018</v>
          </cell>
          <cell r="L192" t="str">
            <v>KILLION</v>
          </cell>
          <cell r="M192">
            <v>6.2500000058207661E-4</v>
          </cell>
          <cell r="P192">
            <v>0.90000000083819032</v>
          </cell>
          <cell r="R192" t="str">
            <v>Onboard in-route failure</v>
          </cell>
          <cell r="S192">
            <v>0</v>
          </cell>
          <cell r="T192" t="str">
            <v>Southbound</v>
          </cell>
          <cell r="U192">
            <v>0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https://search-rtdc-monitor-bjffxe2xuh6vdkpspy63sjmuny.us-east-1.es.amazonaws.com/_plugin/kibana/#/discover/Steve-Slow-Train-Analysis-(2080s-and-2083s)?_g=(refreshInterval:(display:Off,section:0,value:0),time:(from:'2016-08-04 17:05:24-0600',mode:absolute,to:'2016-08-04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2" t="str">
            <v>Y</v>
          </cell>
          <cell r="X192">
            <v>1</v>
          </cell>
          <cell r="Y192">
            <v>5.8604000000000003</v>
          </cell>
          <cell r="Z192">
            <v>5.8289</v>
          </cell>
          <cell r="AA192">
            <v>3.1500000000000306E-2</v>
          </cell>
          <cell r="AB192" t="e">
            <v>#N/A</v>
          </cell>
          <cell r="AC192" t="e">
            <v>#N/A</v>
          </cell>
          <cell r="AD192" t="str">
            <v>0834-04</v>
          </cell>
          <cell r="AE19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3">
          <cell r="A193" t="str">
            <v>835-04</v>
          </cell>
          <cell r="B193">
            <v>4042</v>
          </cell>
          <cell r="C193" t="str">
            <v>DE.1.0.7.0</v>
          </cell>
          <cell r="D193" t="str">
            <v>204:1021</v>
          </cell>
          <cell r="E193">
            <v>42586.743252314816</v>
          </cell>
          <cell r="F193">
            <v>42586.744351851848</v>
          </cell>
          <cell r="G193">
            <v>1</v>
          </cell>
          <cell r="H193" t="str">
            <v>300:58867</v>
          </cell>
          <cell r="I193">
            <v>42586.765115740738</v>
          </cell>
          <cell r="J193">
            <v>0</v>
          </cell>
          <cell r="K193" t="str">
            <v>4041/4042</v>
          </cell>
          <cell r="L193" t="str">
            <v>HAITHCOX</v>
          </cell>
          <cell r="M193">
            <v>2.0763888889632653E-2</v>
          </cell>
          <cell r="N193">
            <v>29.900000001071021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https://search-rtdc-monitor-bjffxe2xuh6vdkpspy63sjmuny.us-east-1.es.amazonaws.com/_plugin/kibana/#/discover/Steve-Slow-Train-Analysis-(2080s-and-2083s)?_g=(refreshInterval:(display:Off,section:0,value:0),time:(from:'2016-08-04 16:50:17-0600',mode:absolute,to:'2016-08-04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3" t="str">
            <v>N</v>
          </cell>
          <cell r="X193">
            <v>1</v>
          </cell>
          <cell r="Y193">
            <v>0.1021</v>
          </cell>
          <cell r="Z193">
            <v>5.8867000000000003</v>
          </cell>
          <cell r="AA193">
            <v>5.7846000000000002</v>
          </cell>
          <cell r="AB193" t="e">
            <v>#N/A</v>
          </cell>
          <cell r="AC193" t="e">
            <v>#N/A</v>
          </cell>
          <cell r="AD193" t="str">
            <v>0835-04</v>
          </cell>
          <cell r="AE193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4">
          <cell r="A194" t="str">
            <v>836-04</v>
          </cell>
          <cell r="B194">
            <v>4041</v>
          </cell>
          <cell r="C194" t="str">
            <v>DE.1.0.7.0</v>
          </cell>
          <cell r="D194" t="str">
            <v>300:58560</v>
          </cell>
          <cell r="E194">
            <v>42586.76599537037</v>
          </cell>
          <cell r="F194">
            <v>42586.767094907409</v>
          </cell>
          <cell r="G194">
            <v>1</v>
          </cell>
          <cell r="H194" t="str">
            <v>204:745</v>
          </cell>
          <cell r="I194">
            <v>42586.779247685183</v>
          </cell>
          <cell r="J194">
            <v>0</v>
          </cell>
          <cell r="K194" t="str">
            <v>4041/4042</v>
          </cell>
          <cell r="L194" t="str">
            <v>HAITHCOX</v>
          </cell>
          <cell r="M194">
            <v>1.2152777773735579E-2</v>
          </cell>
          <cell r="N194">
            <v>17.499999994179234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https://search-rtdc-monitor-bjffxe2xuh6vdkpspy63sjmuny.us-east-1.es.amazonaws.com/_plugin/kibana/#/discover/Steve-Slow-Train-Analysis-(2080s-and-2083s)?_g=(refreshInterval:(display:Off,section:0,value:0),time:(from:'2016-08-04 17:23:02-0600',mode:absolute,to:'2016-08-04 19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4" t="str">
            <v>N</v>
          </cell>
          <cell r="X194">
            <v>1</v>
          </cell>
          <cell r="Y194">
            <v>5.8559999999999999</v>
          </cell>
          <cell r="Z194">
            <v>7.4499999999999997E-2</v>
          </cell>
          <cell r="AA194">
            <v>5.7815000000000003</v>
          </cell>
          <cell r="AB194" t="e">
            <v>#N/A</v>
          </cell>
          <cell r="AC194" t="e">
            <v>#N/A</v>
          </cell>
          <cell r="AD194" t="str">
            <v>0836-04</v>
          </cell>
          <cell r="AE194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5">
          <cell r="A195" t="str">
            <v>837-04</v>
          </cell>
          <cell r="B195">
            <v>4018</v>
          </cell>
          <cell r="C195" t="str">
            <v>DE.1.0.7.0</v>
          </cell>
          <cell r="D195" t="str">
            <v>204:897</v>
          </cell>
          <cell r="E195">
            <v>42586.769837962966</v>
          </cell>
          <cell r="F195">
            <v>42586.770729166667</v>
          </cell>
          <cell r="G195">
            <v>1</v>
          </cell>
          <cell r="H195" t="str">
            <v>300:58909</v>
          </cell>
          <cell r="I195">
            <v>42586.781689814816</v>
          </cell>
          <cell r="J195">
            <v>0</v>
          </cell>
          <cell r="K195" t="str">
            <v>4017/4018</v>
          </cell>
          <cell r="L195" t="str">
            <v>KILLION</v>
          </cell>
          <cell r="M195">
            <v>1.096064814919373E-2</v>
          </cell>
          <cell r="N195">
            <v>15.783333334838971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https://search-rtdc-monitor-bjffxe2xuh6vdkpspy63sjmuny.us-east-1.es.amazonaws.com/_plugin/kibana/#/discover/Steve-Slow-Train-Analysis-(2080s-and-2083s)?_g=(refreshInterval:(display:Off,section:0,value:0),time:(from:'2016-08-04 17:28:34-0600',mode:absolute,to:'2016-08-04 19:45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5" t="str">
            <v>N</v>
          </cell>
          <cell r="X195">
            <v>1</v>
          </cell>
          <cell r="Y195">
            <v>8.9700000000000002E-2</v>
          </cell>
          <cell r="Z195">
            <v>5.8909000000000002</v>
          </cell>
          <cell r="AA195">
            <v>5.8012000000000006</v>
          </cell>
          <cell r="AB195" t="e">
            <v>#N/A</v>
          </cell>
          <cell r="AC195" t="e">
            <v>#N/A</v>
          </cell>
          <cell r="AD195" t="str">
            <v>0837-04</v>
          </cell>
          <cell r="AE195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6">
          <cell r="A196" t="str">
            <v>838-04</v>
          </cell>
          <cell r="B196">
            <v>4017</v>
          </cell>
          <cell r="C196" t="str">
            <v>DE.1.0.7.0</v>
          </cell>
          <cell r="D196" t="str">
            <v>300:58596</v>
          </cell>
          <cell r="E196">
            <v>42586.783101851855</v>
          </cell>
          <cell r="F196">
            <v>42586.784178240741</v>
          </cell>
          <cell r="G196">
            <v>1</v>
          </cell>
          <cell r="H196" t="str">
            <v>300:10708</v>
          </cell>
          <cell r="I196">
            <v>42586.791770833333</v>
          </cell>
          <cell r="J196">
            <v>1</v>
          </cell>
          <cell r="K196" t="str">
            <v>4017/4018</v>
          </cell>
          <cell r="L196" t="str">
            <v>KILLION</v>
          </cell>
          <cell r="M196">
            <v>7.5925925921183079E-3</v>
          </cell>
          <cell r="P196">
            <v>10.933333332650363</v>
          </cell>
          <cell r="R196" t="str">
            <v>NW0109XH (BNSF FUEL CROSSING) 14-2T 2S premature downgrade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https://search-rtdc-monitor-bjffxe2xuh6vdkpspy63sjmuny.us-east-1.es.amazonaws.com/_plugin/kibana/#/discover/Steve-Slow-Train-Analysis-(2080s-and-2083s)?_g=(refreshInterval:(display:Off,section:0,value:0),time:(from:'2016-08-04 17:47:40-0600',mode:absolute,to:'2016-08-04 20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6" t="str">
            <v>Y</v>
          </cell>
          <cell r="X196">
            <v>1</v>
          </cell>
          <cell r="Y196">
            <v>5.8596000000000004</v>
          </cell>
          <cell r="Z196">
            <v>1.0708</v>
          </cell>
          <cell r="AA196">
            <v>4.7888000000000002</v>
          </cell>
          <cell r="AB196" t="e">
            <v>#N/A</v>
          </cell>
          <cell r="AC196" t="e">
            <v>#N/A</v>
          </cell>
          <cell r="AD196" t="str">
            <v>0838-04</v>
          </cell>
          <cell r="AE196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7">
          <cell r="A197" t="str">
            <v>839-04</v>
          </cell>
          <cell r="B197">
            <v>4042</v>
          </cell>
          <cell r="C197" t="str">
            <v>DE.1.0.7.0</v>
          </cell>
          <cell r="D197" t="str">
            <v>204:1014</v>
          </cell>
          <cell r="E197">
            <v>42586.781550925924</v>
          </cell>
          <cell r="F197">
            <v>42586.78292824074</v>
          </cell>
          <cell r="G197">
            <v>1</v>
          </cell>
          <cell r="H197" t="str">
            <v>300:58865</v>
          </cell>
          <cell r="I197">
            <v>42586.796388888892</v>
          </cell>
          <cell r="J197">
            <v>0</v>
          </cell>
          <cell r="K197" t="str">
            <v>4041/4042</v>
          </cell>
          <cell r="L197" t="str">
            <v>HAITHCOX</v>
          </cell>
          <cell r="M197">
            <v>1.3460648151522037E-2</v>
          </cell>
          <cell r="N197">
            <v>19.383333338191733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https://search-rtdc-monitor-bjffxe2xuh6vdkpspy63sjmuny.us-east-1.es.amazonaws.com/_plugin/kibana/#/discover/Steve-Slow-Train-Analysis-(2080s-and-2083s)?_g=(refreshInterval:(display:Off,section:0,value:0),time:(from:'2016-08-04 17:45:26-0600',mode:absolute,to:'2016-08-04 20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7" t="str">
            <v>N</v>
          </cell>
          <cell r="X197">
            <v>1</v>
          </cell>
          <cell r="Y197">
            <v>0.1014</v>
          </cell>
          <cell r="Z197">
            <v>5.8864999999999998</v>
          </cell>
          <cell r="AA197">
            <v>5.7850999999999999</v>
          </cell>
          <cell r="AB197" t="e">
            <v>#N/A</v>
          </cell>
          <cell r="AC197" t="e">
            <v>#N/A</v>
          </cell>
          <cell r="AD197" t="str">
            <v>0839-04</v>
          </cell>
          <cell r="AE197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8">
          <cell r="A198" t="str">
            <v>840-04</v>
          </cell>
          <cell r="B198">
            <v>4017</v>
          </cell>
          <cell r="C198" t="str">
            <v>DE.1.0.7.0</v>
          </cell>
          <cell r="D198" t="str">
            <v>300:58596</v>
          </cell>
          <cell r="E198">
            <v>42586.81763888889</v>
          </cell>
          <cell r="F198">
            <v>42586.818726851852</v>
          </cell>
          <cell r="G198">
            <v>1</v>
          </cell>
          <cell r="H198" t="str">
            <v>204:624</v>
          </cell>
          <cell r="I198">
            <v>42586.831342592595</v>
          </cell>
          <cell r="J198">
            <v>1</v>
          </cell>
          <cell r="K198" t="str">
            <v>4017/4018</v>
          </cell>
          <cell r="L198" t="str">
            <v>KILLION</v>
          </cell>
          <cell r="M198">
            <v>1.2615740743058268E-2</v>
          </cell>
          <cell r="N198">
            <v>18.166666670003906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https://search-rtdc-monitor-bjffxe2xuh6vdkpspy63sjmuny.us-east-1.es.amazonaws.com/_plugin/kibana/#/discover/Steve-Slow-Train-Analysis-(2080s-and-2083s)?_g=(refreshInterval:(display:Off,section:0,value:0),time:(from:'2016-08-04 18:37:24-0600',mode:absolute,to:'2016-08-04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8" t="str">
            <v>N</v>
          </cell>
          <cell r="X198">
            <v>1</v>
          </cell>
          <cell r="Y198">
            <v>5.8596000000000004</v>
          </cell>
          <cell r="Z198">
            <v>6.2399999999999997E-2</v>
          </cell>
          <cell r="AA198">
            <v>5.7972000000000001</v>
          </cell>
          <cell r="AB198" t="e">
            <v>#N/A</v>
          </cell>
          <cell r="AC198" t="e">
            <v>#N/A</v>
          </cell>
          <cell r="AD198" t="str">
            <v>0840-04</v>
          </cell>
          <cell r="AE198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9">
          <cell r="A199" t="str">
            <v>841-04</v>
          </cell>
          <cell r="B199">
            <v>4018</v>
          </cell>
          <cell r="C199" t="str">
            <v>DE.1.0.7.0</v>
          </cell>
          <cell r="D199" t="str">
            <v>204:894</v>
          </cell>
          <cell r="E199">
            <v>42586.799004629633</v>
          </cell>
          <cell r="F199">
            <v>42586.800439814811</v>
          </cell>
          <cell r="G199">
            <v>2</v>
          </cell>
          <cell r="H199" t="str">
            <v>300:58909</v>
          </cell>
          <cell r="I199">
            <v>42586.816562499997</v>
          </cell>
          <cell r="J199">
            <v>0</v>
          </cell>
          <cell r="K199" t="str">
            <v>4017/4018</v>
          </cell>
          <cell r="L199" t="str">
            <v>KILLION</v>
          </cell>
          <cell r="M199">
            <v>1.6122685185109731E-2</v>
          </cell>
          <cell r="N199">
            <v>23.216666666558012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https://search-rtdc-monitor-bjffxe2xuh6vdkpspy63sjmuny.us-east-1.es.amazonaws.com/_plugin/kibana/#/discover/Steve-Slow-Train-Analysis-(2080s-and-2083s)?_g=(refreshInterval:(display:Off,section:0,value:0),time:(from:'2016-08-04 18:10:34-0600',mode:absolute,to:'2016-08-04 20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N</v>
          </cell>
          <cell r="X199">
            <v>1</v>
          </cell>
          <cell r="Y199">
            <v>8.9399999999999993E-2</v>
          </cell>
          <cell r="Z199">
            <v>5.8909000000000002</v>
          </cell>
          <cell r="AA199">
            <v>5.8014999999999999</v>
          </cell>
          <cell r="AB199" t="e">
            <v>#N/A</v>
          </cell>
          <cell r="AC199" t="e">
            <v>#N/A</v>
          </cell>
          <cell r="AD199" t="str">
            <v>0841-04</v>
          </cell>
          <cell r="AE199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0">
          <cell r="A200" t="str">
            <v>842-04</v>
          </cell>
          <cell r="B200">
            <v>4017</v>
          </cell>
          <cell r="C200" t="str">
            <v>DE.1.0.7.0</v>
          </cell>
          <cell r="D200" t="str">
            <v>300:58589</v>
          </cell>
          <cell r="E200">
            <v>42586.8596875</v>
          </cell>
          <cell r="F200">
            <v>42586.860451388886</v>
          </cell>
          <cell r="G200">
            <v>1</v>
          </cell>
          <cell r="H200" t="str">
            <v>204:719</v>
          </cell>
          <cell r="I200">
            <v>42586.874143518522</v>
          </cell>
          <cell r="J200">
            <v>1</v>
          </cell>
          <cell r="K200" t="str">
            <v>4017/4018</v>
          </cell>
          <cell r="L200" t="str">
            <v>KILLION</v>
          </cell>
          <cell r="M200">
            <v>1.3692129636183381E-2</v>
          </cell>
          <cell r="N200">
            <v>19.716666676104069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https://search-rtdc-monitor-bjffxe2xuh6vdkpspy63sjmuny.us-east-1.es.amazonaws.com/_plugin/kibana/#/discover/Steve-Slow-Train-Analysis-(2080s-and-2083s)?_g=(refreshInterval:(display:Off,section:0,value:0),time:(from:'2016-08-04 19:37:57-0600',mode:absolute,to:'2016-08-04 21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0" t="str">
            <v>N</v>
          </cell>
          <cell r="X200">
            <v>1</v>
          </cell>
          <cell r="Y200">
            <v>5.8589000000000002</v>
          </cell>
          <cell r="Z200">
            <v>7.1900000000000006E-2</v>
          </cell>
          <cell r="AA200">
            <v>5.7869999999999999</v>
          </cell>
          <cell r="AB200" t="e">
            <v>#N/A</v>
          </cell>
          <cell r="AC200" t="e">
            <v>#N/A</v>
          </cell>
          <cell r="AD200" t="str">
            <v>0842-04</v>
          </cell>
          <cell r="AE200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1">
          <cell r="A201" t="str">
            <v>843-04</v>
          </cell>
          <cell r="B201">
            <v>4018</v>
          </cell>
          <cell r="C201" t="str">
            <v>DE.1.0.7.0</v>
          </cell>
          <cell r="D201" t="str">
            <v>204:930</v>
          </cell>
          <cell r="E201">
            <v>42586.83829861111</v>
          </cell>
          <cell r="F201">
            <v>42586.83929398148</v>
          </cell>
          <cell r="G201">
            <v>1</v>
          </cell>
          <cell r="H201" t="str">
            <v>300:58909</v>
          </cell>
          <cell r="I201">
            <v>42586.858136574076</v>
          </cell>
          <cell r="J201">
            <v>0</v>
          </cell>
          <cell r="K201" t="str">
            <v>4017/4018</v>
          </cell>
          <cell r="L201" t="str">
            <v>KILLION</v>
          </cell>
          <cell r="M201">
            <v>1.8842592595319729E-2</v>
          </cell>
          <cell r="N201">
            <v>27.13333333726041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https://search-rtdc-monitor-bjffxe2xuh6vdkpspy63sjmuny.us-east-1.es.amazonaws.com/_plugin/kibana/#/discover/Steve-Slow-Train-Analysis-(2080s-and-2083s)?_g=(refreshInterval:(display:Off,section:0,value:0),time:(from:'2016-08-04 19:07:09-0600',mode:absolute,to:'2016-08-04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1" t="str">
            <v>N</v>
          </cell>
          <cell r="X201">
            <v>1</v>
          </cell>
          <cell r="Y201">
            <v>9.2999999999999999E-2</v>
          </cell>
          <cell r="Z201">
            <v>5.8909000000000002</v>
          </cell>
          <cell r="AA201">
            <v>5.7979000000000003</v>
          </cell>
          <cell r="AB201" t="e">
            <v>#N/A</v>
          </cell>
          <cell r="AC201" t="e">
            <v>#N/A</v>
          </cell>
          <cell r="AD201" t="str">
            <v>0843-04</v>
          </cell>
          <cell r="AE20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2">
          <cell r="A202" t="str">
            <v>844-04</v>
          </cell>
          <cell r="B202">
            <v>4017</v>
          </cell>
          <cell r="C202" t="str">
            <v>DE.1.0.7.0</v>
          </cell>
          <cell r="D202" t="str">
            <v>300:58570</v>
          </cell>
          <cell r="E202">
            <v>42586.901342592595</v>
          </cell>
          <cell r="F202">
            <v>42586.902766203704</v>
          </cell>
          <cell r="G202">
            <v>2</v>
          </cell>
          <cell r="H202" t="str">
            <v>204:670</v>
          </cell>
          <cell r="I202">
            <v>42586.928472222222</v>
          </cell>
          <cell r="J202">
            <v>1</v>
          </cell>
          <cell r="K202" t="str">
            <v>4017/4018</v>
          </cell>
          <cell r="L202" t="str">
            <v>STAMBAUGH</v>
          </cell>
          <cell r="M202">
            <v>2.5706018517666962E-2</v>
          </cell>
          <cell r="N202">
            <v>37.016666665440425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https://search-rtdc-monitor-bjffxe2xuh6vdkpspy63sjmuny.us-east-1.es.amazonaws.com/_plugin/kibana/#/discover/Steve-Slow-Train-Analysis-(2080s-and-2083s)?_g=(refreshInterval:(display:Off,section:0,value:0),time:(from:'2016-08-04 20:37:56-0600',mode:absolute,to:'2016-08-04 23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2" t="str">
            <v>N</v>
          </cell>
          <cell r="X202">
            <v>1</v>
          </cell>
          <cell r="Y202">
            <v>5.8570000000000002</v>
          </cell>
          <cell r="Z202">
            <v>6.7000000000000004E-2</v>
          </cell>
          <cell r="AA202">
            <v>5.79</v>
          </cell>
          <cell r="AB202" t="e">
            <v>#N/A</v>
          </cell>
          <cell r="AC202" t="e">
            <v>#N/A</v>
          </cell>
          <cell r="AD202" t="str">
            <v>0844-04</v>
          </cell>
          <cell r="AE20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3">
          <cell r="A203" t="str">
            <v>845-04</v>
          </cell>
          <cell r="B203">
            <v>4018</v>
          </cell>
          <cell r="C203" t="str">
            <v>DE.1.0.7.0</v>
          </cell>
          <cell r="D203" t="str">
            <v>204:1048</v>
          </cell>
          <cell r="E203">
            <v>42586.881435185183</v>
          </cell>
          <cell r="F203">
            <v>42586.883842592593</v>
          </cell>
          <cell r="G203">
            <v>3</v>
          </cell>
          <cell r="H203" t="str">
            <v>300:58894</v>
          </cell>
          <cell r="I203">
            <v>42586.900127314817</v>
          </cell>
          <cell r="J203">
            <v>0</v>
          </cell>
          <cell r="K203" t="str">
            <v>4017/4018</v>
          </cell>
          <cell r="L203" t="str">
            <v>STAMBAUGH</v>
          </cell>
          <cell r="M203">
            <v>1.6284722223645076E-2</v>
          </cell>
          <cell r="N203">
            <v>23.45000000204891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https://search-rtdc-monitor-bjffxe2xuh6vdkpspy63sjmuny.us-east-1.es.amazonaws.com/_plugin/kibana/#/discover/Steve-Slow-Train-Analysis-(2080s-and-2083s)?_g=(refreshInterval:(display:Off,section:0,value:0),time:(from:'2016-08-04 20:09:16-0600',mode:absolute,to:'2016-08-04 22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3" t="str">
            <v>N</v>
          </cell>
          <cell r="X203">
            <v>1</v>
          </cell>
          <cell r="Y203">
            <v>0.1048</v>
          </cell>
          <cell r="Z203">
            <v>5.8894000000000002</v>
          </cell>
          <cell r="AA203">
            <v>5.7846000000000002</v>
          </cell>
          <cell r="AB203" t="e">
            <v>#N/A</v>
          </cell>
          <cell r="AC203" t="e">
            <v>#N/A</v>
          </cell>
          <cell r="AD203" t="str">
            <v>0845-04</v>
          </cell>
          <cell r="AE203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4">
          <cell r="A204" t="str">
            <v>847-04</v>
          </cell>
          <cell r="B204">
            <v>4018</v>
          </cell>
          <cell r="C204" t="str">
            <v>DE.1.0.7.0</v>
          </cell>
          <cell r="D204" t="str">
            <v>204:971</v>
          </cell>
          <cell r="E204">
            <v>42586.927152777775</v>
          </cell>
          <cell r="F204">
            <v>42586.928217592591</v>
          </cell>
          <cell r="G204">
            <v>1</v>
          </cell>
          <cell r="H204" t="str">
            <v>300:58843</v>
          </cell>
          <cell r="I204">
            <v>42586.943124999998</v>
          </cell>
          <cell r="J204">
            <v>0</v>
          </cell>
          <cell r="K204" t="str">
            <v>4017/4018</v>
          </cell>
          <cell r="L204" t="str">
            <v>STAMBAUGH</v>
          </cell>
          <cell r="M204">
            <v>1.4907407407008577E-2</v>
          </cell>
          <cell r="N204">
            <v>21.466666666092351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https://search-rtdc-monitor-bjffxe2xuh6vdkpspy63sjmuny.us-east-1.es.amazonaws.com/_plugin/kibana/#/discover/Steve-Slow-Train-Analysis-(2080s-and-2083s)?_g=(refreshInterval:(display:Off,section:0,value:0),time:(from:'2016-08-04 21:15:06-0600',mode:absolute,to:'2016-08-04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2</v>
          </cell>
          <cell r="Y204">
            <v>9.7100000000000006E-2</v>
          </cell>
          <cell r="Z204">
            <v>5.8842999999999996</v>
          </cell>
          <cell r="AA204">
            <v>5.7871999999999995</v>
          </cell>
          <cell r="AB204" t="e">
            <v>#N/A</v>
          </cell>
          <cell r="AC204" t="e">
            <v>#N/A</v>
          </cell>
          <cell r="AD204" t="str">
            <v>0847-04</v>
          </cell>
          <cell r="AE20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5">
          <cell r="A205" t="str">
            <v>303-04</v>
          </cell>
          <cell r="B205">
            <v>4025</v>
          </cell>
          <cell r="C205" t="str">
            <v>DE.1.0.7.0</v>
          </cell>
          <cell r="D205" t="str">
            <v>204:458</v>
          </cell>
          <cell r="E205">
            <v>42586.776296296295</v>
          </cell>
          <cell r="F205">
            <v>42586.777314814812</v>
          </cell>
          <cell r="G205">
            <v>1</v>
          </cell>
          <cell r="H205" t="str">
            <v>204:19130</v>
          </cell>
          <cell r="I205">
            <v>42587.222743055558</v>
          </cell>
          <cell r="J205">
            <v>0</v>
          </cell>
          <cell r="K205" t="str">
            <v>4025/4026</v>
          </cell>
          <cell r="L205" t="str">
            <v>NEWELL</v>
          </cell>
          <cell r="M205">
            <v>0.44542824074596865</v>
          </cell>
          <cell r="N205">
            <v>641.41666667419486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https://search-rtdc-monitor-bjffxe2xuh6vdkpspy63sjmuny.us-east-1.es.amazonaws.com/_plugin/kibana/#/discover/Steve-Slow-Train-Analysis-(2080s-and-2083s)?_g=(refreshInterval:(display:Off,section:0,value:0),time:(from:'2016-08-04 17:37:52-0600',mode:absolute,to:'2016-08-05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5" t="str">
            <v>Y</v>
          </cell>
          <cell r="X205">
            <v>59</v>
          </cell>
          <cell r="Y205">
            <v>4.58E-2</v>
          </cell>
          <cell r="Z205">
            <v>1.913</v>
          </cell>
          <cell r="AA205">
            <v>1.8672</v>
          </cell>
          <cell r="AB205" t="e">
            <v>#N/A</v>
          </cell>
          <cell r="AC205" t="e">
            <v>#N/A</v>
          </cell>
          <cell r="AD205" t="str">
            <v>0303-04</v>
          </cell>
          <cell r="AE2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6">
          <cell r="A206" t="str">
            <v>305-04</v>
          </cell>
          <cell r="B206">
            <v>4031</v>
          </cell>
          <cell r="C206" t="str">
            <v>DE.1.0.7.0</v>
          </cell>
          <cell r="D206" t="str">
            <v>204:464</v>
          </cell>
          <cell r="E206">
            <v>42586.796284722222</v>
          </cell>
          <cell r="F206">
            <v>42586.797256944446</v>
          </cell>
          <cell r="G206">
            <v>1</v>
          </cell>
          <cell r="H206" t="str">
            <v>300:23166</v>
          </cell>
          <cell r="I206">
            <v>42586.802395833336</v>
          </cell>
          <cell r="J206">
            <v>0</v>
          </cell>
          <cell r="K206" t="str">
            <v>4031/4032</v>
          </cell>
          <cell r="L206" t="str">
            <v>HELVIE</v>
          </cell>
          <cell r="M206">
            <v>5.1388888896326534E-3</v>
          </cell>
          <cell r="N206">
            <v>7.400000001071021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https://search-rtdc-monitor-bjffxe2xuh6vdkpspy63sjmuny.us-east-1.es.amazonaws.com/_plugin/kibana/#/discover/Steve-Slow-Train-Analysis-(2080s-and-2083s)?_g=(refreshInterval:(display:Off,section:0,value:0),time:(from:'2016-08-04 18:06:39-0600',mode:absolute,to:'2016-08-04 20:15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2</v>
          </cell>
          <cell r="Y206">
            <v>4.6399999999999997E-2</v>
          </cell>
          <cell r="Z206">
            <v>2.3166000000000002</v>
          </cell>
          <cell r="AA206">
            <v>2.2702</v>
          </cell>
          <cell r="AB206" t="e">
            <v>#N/A</v>
          </cell>
          <cell r="AC206" t="e">
            <v>#N/A</v>
          </cell>
          <cell r="AD206" t="str">
            <v>0305-04</v>
          </cell>
          <cell r="AE206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07">
          <cell r="A207" t="str">
            <v>307-04</v>
          </cell>
          <cell r="B207">
            <v>4029</v>
          </cell>
          <cell r="C207" t="str">
            <v>DE.1.0.7.0</v>
          </cell>
          <cell r="D207" t="str">
            <v>204:488</v>
          </cell>
          <cell r="E207">
            <v>42586.816770833335</v>
          </cell>
          <cell r="F207">
            <v>42586.817708333336</v>
          </cell>
          <cell r="G207">
            <v>1</v>
          </cell>
          <cell r="H207" t="str">
            <v>300:23306</v>
          </cell>
          <cell r="I207">
            <v>42586.825520833336</v>
          </cell>
          <cell r="J207">
            <v>0</v>
          </cell>
          <cell r="K207" t="str">
            <v>4029/4030</v>
          </cell>
          <cell r="L207" t="str">
            <v>SWANSON</v>
          </cell>
          <cell r="M207">
            <v>7.8125E-3</v>
          </cell>
          <cell r="N207">
            <v>11.25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https://search-rtdc-monitor-bjffxe2xuh6vdkpspy63sjmuny.us-east-1.es.amazonaws.com/_plugin/kibana/#/discover/Steve-Slow-Train-Analysis-(2080s-and-2083s)?_g=(refreshInterval:(display:Off,section:0,value:0),time:(from:'2016-08-04 18:36:09-0600',mode:absolute,to:'2016-08-04 20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2</v>
          </cell>
          <cell r="Y207">
            <v>4.8800000000000003E-2</v>
          </cell>
          <cell r="Z207">
            <v>2.3306</v>
          </cell>
          <cell r="AA207">
            <v>2.2818000000000001</v>
          </cell>
          <cell r="AB207" t="e">
            <v>#N/A</v>
          </cell>
          <cell r="AC207" t="e">
            <v>#N/A</v>
          </cell>
          <cell r="AD207" t="str">
            <v>0307-04</v>
          </cell>
          <cell r="AE20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208">
          <cell r="A208" t="str">
            <v>309-04</v>
          </cell>
          <cell r="B208">
            <v>4038</v>
          </cell>
          <cell r="C208" t="str">
            <v>DE.1.0.7.0</v>
          </cell>
          <cell r="D208" t="str">
            <v>204:435</v>
          </cell>
          <cell r="E208">
            <v>42587.027870370373</v>
          </cell>
          <cell r="F208">
            <v>42587.028738425928</v>
          </cell>
          <cell r="G208">
            <v>1</v>
          </cell>
          <cell r="H208" t="str">
            <v>300:22081</v>
          </cell>
          <cell r="I208">
            <v>42587.035740740743</v>
          </cell>
          <cell r="J208">
            <v>0</v>
          </cell>
          <cell r="K208" t="str">
            <v>4037/4038</v>
          </cell>
          <cell r="L208" t="str">
            <v>ROBINSON</v>
          </cell>
          <cell r="M208">
            <v>7.0023148145992309E-3</v>
          </cell>
          <cell r="N208">
            <v>10.083333333022892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https://search-rtdc-monitor-bjffxe2xuh6vdkpspy63sjmuny.us-east-1.es.amazonaws.com/_plugin/kibana/#/discover/Steve-Slow-Train-Analysis-(2080s-and-2083s)?_g=(refreshInterval:(display:Off,section:0,value:0),time:(from:'2016-08-04 23:40:08-0600',mode:absolute,to:'2016-08-05 01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8" t="str">
            <v>Y</v>
          </cell>
          <cell r="X208">
            <v>2</v>
          </cell>
          <cell r="Y208">
            <v>4.3499999999999997E-2</v>
          </cell>
          <cell r="Z208">
            <v>2.2081</v>
          </cell>
          <cell r="AA208">
            <v>2.1646000000000001</v>
          </cell>
          <cell r="AB208" t="e">
            <v>#N/A</v>
          </cell>
          <cell r="AC208" t="e">
            <v>#N/A</v>
          </cell>
          <cell r="AD208" t="str">
            <v>0309-04</v>
          </cell>
          <cell r="AE208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09">
          <cell r="A209" t="str">
            <v>313-04</v>
          </cell>
          <cell r="B209">
            <v>4011</v>
          </cell>
          <cell r="C209" t="str">
            <v>DE.1.0.7.0</v>
          </cell>
          <cell r="D209" t="str">
            <v>204:475</v>
          </cell>
          <cell r="E209">
            <v>42587.069467592592</v>
          </cell>
          <cell r="F209">
            <v>42587.0703587963</v>
          </cell>
          <cell r="G209">
            <v>1</v>
          </cell>
          <cell r="H209" t="str">
            <v>300:23308</v>
          </cell>
          <cell r="I209">
            <v>42587.076956018522</v>
          </cell>
          <cell r="J209">
            <v>0</v>
          </cell>
          <cell r="K209" t="str">
            <v>4011/4012</v>
          </cell>
          <cell r="L209" t="str">
            <v>LEVIN</v>
          </cell>
          <cell r="M209">
            <v>6.5972222218988463E-3</v>
          </cell>
          <cell r="N209">
            <v>9.4999999995343387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00:40:02-0600',mode:absolute,to:'2016-08-05 02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9" t="str">
            <v>Y</v>
          </cell>
          <cell r="X209">
            <v>4</v>
          </cell>
          <cell r="Y209">
            <v>4.7500000000000001E-2</v>
          </cell>
          <cell r="Z209">
            <v>2.3308</v>
          </cell>
          <cell r="AA209">
            <v>2.2833000000000001</v>
          </cell>
          <cell r="AB209" t="e">
            <v>#N/A</v>
          </cell>
          <cell r="AC209" t="e">
            <v>#N/A</v>
          </cell>
          <cell r="AD209" t="str">
            <v>0313-04</v>
          </cell>
          <cell r="AE209" t="str">
            <v>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 &amp; 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</v>
          </cell>
        </row>
        <row r="210">
          <cell r="A210" t="str">
            <v>315-03</v>
          </cell>
          <cell r="B210">
            <v>4040</v>
          </cell>
          <cell r="C210" t="str">
            <v>DE.1.0.7.0</v>
          </cell>
          <cell r="D210" t="str">
            <v>204:488</v>
          </cell>
          <cell r="E210">
            <v>42586.088495370372</v>
          </cell>
          <cell r="F210">
            <v>42586.089618055557</v>
          </cell>
          <cell r="G210">
            <v>1</v>
          </cell>
          <cell r="H210" t="str">
            <v>300:22282</v>
          </cell>
          <cell r="I210">
            <v>42586.095289351855</v>
          </cell>
          <cell r="J210">
            <v>0</v>
          </cell>
          <cell r="K210" t="str">
            <v>4039/4040</v>
          </cell>
          <cell r="L210" t="str">
            <v>COOLAHAN</v>
          </cell>
          <cell r="M210">
            <v>5.6712962978053838E-3</v>
          </cell>
          <cell r="N210">
            <v>8.1666666688397527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2</v>
          </cell>
          <cell r="Y210">
            <v>4.8800000000000003E-2</v>
          </cell>
          <cell r="Z210">
            <v>2.2282000000000002</v>
          </cell>
          <cell r="AA210">
            <v>2.1794000000000002</v>
          </cell>
          <cell r="AB210" t="e">
            <v>#N/A</v>
          </cell>
          <cell r="AC210" t="e">
            <v>#N/A</v>
          </cell>
          <cell r="AD210" t="str">
            <v>0315-03</v>
          </cell>
          <cell r="AE210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1">
          <cell r="A211" t="str">
            <v>315-04</v>
          </cell>
          <cell r="B211">
            <v>4007</v>
          </cell>
          <cell r="C211" t="str">
            <v>DE.1.0.7.0</v>
          </cell>
          <cell r="D211" t="str">
            <v>204:471</v>
          </cell>
          <cell r="E211">
            <v>42587.091157407405</v>
          </cell>
          <cell r="F211">
            <v>42587.092152777775</v>
          </cell>
          <cell r="G211">
            <v>1</v>
          </cell>
          <cell r="H211" t="str">
            <v>300:23304</v>
          </cell>
          <cell r="I211">
            <v>42587.100266203706</v>
          </cell>
          <cell r="J211">
            <v>0</v>
          </cell>
          <cell r="K211" t="str">
            <v>4007/4008</v>
          </cell>
          <cell r="L211" t="str">
            <v>STURGEON</v>
          </cell>
          <cell r="M211">
            <v>8.1134259307873435E-3</v>
          </cell>
          <cell r="N211">
            <v>11.683333340333775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1" t="str">
            <v>Y</v>
          </cell>
          <cell r="X211">
            <v>0</v>
          </cell>
          <cell r="Y211">
            <v>4.7100000000000003E-2</v>
          </cell>
          <cell r="Z211">
            <v>2.3304</v>
          </cell>
          <cell r="AA211">
            <v>2.2833000000000001</v>
          </cell>
          <cell r="AB211" t="e">
            <v>#N/A</v>
          </cell>
          <cell r="AC211" t="e">
            <v>#N/A</v>
          </cell>
          <cell r="AD211" t="str">
            <v>0315-04</v>
          </cell>
          <cell r="AE211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212">
          <cell r="A212" t="str">
            <v>906-04</v>
          </cell>
          <cell r="B212">
            <v>4041</v>
          </cell>
          <cell r="C212" t="str">
            <v>DE.1.0.7.0</v>
          </cell>
          <cell r="D212" t="str">
            <v>300:58570</v>
          </cell>
          <cell r="E212">
            <v>42586.797465277778</v>
          </cell>
          <cell r="F212">
            <v>42586.798437500001</v>
          </cell>
          <cell r="G212">
            <v>1</v>
          </cell>
          <cell r="H212" t="str">
            <v>300:28793</v>
          </cell>
          <cell r="I212">
            <v>42586.804849537039</v>
          </cell>
          <cell r="J212">
            <v>0</v>
          </cell>
          <cell r="K212" t="str">
            <v>4041/4042</v>
          </cell>
          <cell r="L212" t="str">
            <v>HAITHCOX</v>
          </cell>
          <cell r="M212">
            <v>6.4120370370801538E-3</v>
          </cell>
          <cell r="N212">
            <v>9.2333333333954215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18:08:21-0600',mode:absolute,to:'2016-08-04 20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59</v>
          </cell>
          <cell r="Y212">
            <v>5.8570000000000002</v>
          </cell>
          <cell r="Z212">
            <v>2.8793000000000002</v>
          </cell>
          <cell r="AA212">
            <v>2.9777</v>
          </cell>
          <cell r="AB212" t="e">
            <v>#N/A</v>
          </cell>
          <cell r="AC212" t="e">
            <v>#N/A</v>
          </cell>
          <cell r="AD212" t="str">
            <v>0906-04</v>
          </cell>
          <cell r="AE212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213">
          <cell r="A213" t="str">
            <v>908-04</v>
          </cell>
          <cell r="B213">
            <v>4017</v>
          </cell>
          <cell r="C213" t="str">
            <v>DE.1.0.7.0</v>
          </cell>
          <cell r="D213" t="str">
            <v>300:58523</v>
          </cell>
          <cell r="E213">
            <v>42586.944340277776</v>
          </cell>
          <cell r="F213">
            <v>42586.945520833331</v>
          </cell>
          <cell r="G213">
            <v>1</v>
          </cell>
          <cell r="H213" t="str">
            <v>300:21896</v>
          </cell>
          <cell r="I213">
            <v>42586.952152777776</v>
          </cell>
          <cell r="J213">
            <v>0</v>
          </cell>
          <cell r="K213" t="str">
            <v>4017/4018</v>
          </cell>
          <cell r="L213" t="str">
            <v>STAMBAUGH</v>
          </cell>
          <cell r="M213">
            <v>6.6319444449618459E-3</v>
          </cell>
          <cell r="N213">
            <v>9.5500000007450581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https://search-rtdc-monitor-bjffxe2xuh6vdkpspy63sjmuny.us-east-1.es.amazonaws.com/_plugin/kibana/#/discover/Steve-Slow-Train-Analysis-(2080s-and-2083s)?_g=(refreshInterval:(display:Off,section:0,value:0),time:(from:'2016-08-04 21:39:51-0600',mode:absolute,to:'2016-08-04 23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13" t="str">
            <v>Y</v>
          </cell>
          <cell r="X213">
            <v>2</v>
          </cell>
          <cell r="Y213">
            <v>5.8522999999999996</v>
          </cell>
          <cell r="Z213">
            <v>2.1896</v>
          </cell>
          <cell r="AA213">
            <v>3.6626999999999996</v>
          </cell>
          <cell r="AB213" t="e">
            <v>#N/A</v>
          </cell>
          <cell r="AC213" t="e">
            <v>#N/A</v>
          </cell>
          <cell r="AD213" t="str">
            <v>0908-04</v>
          </cell>
          <cell r="AE21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</sheetData>
      <sheetData sheetId="1" refreshError="1"/>
      <sheetData sheetId="2" refreshError="1"/>
      <sheetData sheetId="3">
        <row r="1">
          <cell r="C1" t="str">
            <v>229-03</v>
          </cell>
          <cell r="D1">
            <v>1480000</v>
          </cell>
          <cell r="E1" t="str">
            <v>STURGEON</v>
          </cell>
        </row>
        <row r="2">
          <cell r="C2" t="str">
            <v>228-04</v>
          </cell>
          <cell r="D2">
            <v>1480000</v>
          </cell>
          <cell r="E2" t="str">
            <v>STURGEON</v>
          </cell>
        </row>
        <row r="3">
          <cell r="C3" t="str">
            <v>311-04</v>
          </cell>
          <cell r="D3">
            <v>1290000</v>
          </cell>
          <cell r="E3" t="str">
            <v>COOLAHAN</v>
          </cell>
        </row>
        <row r="4">
          <cell r="C4" t="str">
            <v>203-04</v>
          </cell>
          <cell r="D4">
            <v>2020000</v>
          </cell>
          <cell r="E4" t="str">
            <v>SHOOK</v>
          </cell>
        </row>
        <row r="5">
          <cell r="C5" t="str">
            <v>906-04</v>
          </cell>
          <cell r="D5">
            <v>2090000</v>
          </cell>
          <cell r="E5" t="str">
            <v>HAITHCOX</v>
          </cell>
        </row>
        <row r="6">
          <cell r="C6" t="str">
            <v>217-04</v>
          </cell>
          <cell r="D6">
            <v>1300000</v>
          </cell>
          <cell r="E6" t="str">
            <v>LEVIN</v>
          </cell>
        </row>
        <row r="7">
          <cell r="C7" t="str">
            <v>842-04</v>
          </cell>
          <cell r="D7">
            <v>2030000</v>
          </cell>
          <cell r="E7" t="str">
            <v>KILLION</v>
          </cell>
        </row>
        <row r="8">
          <cell r="C8" t="str">
            <v>101-05</v>
          </cell>
          <cell r="D8">
            <v>2010000</v>
          </cell>
          <cell r="E8" t="str">
            <v>MAELZER</v>
          </cell>
        </row>
        <row r="9">
          <cell r="C9" t="str">
            <v>803-05</v>
          </cell>
          <cell r="D9">
            <v>1830000</v>
          </cell>
          <cell r="E9" t="str">
            <v>YORK</v>
          </cell>
        </row>
        <row r="10">
          <cell r="C10" t="str">
            <v>125-05</v>
          </cell>
          <cell r="D10">
            <v>1360000</v>
          </cell>
          <cell r="E10" t="str">
            <v>SANTIZO</v>
          </cell>
        </row>
        <row r="11">
          <cell r="C11" t="str">
            <v>215-04</v>
          </cell>
          <cell r="D11">
            <v>2150000</v>
          </cell>
          <cell r="E11" t="str">
            <v>SWANSON</v>
          </cell>
        </row>
        <row r="12">
          <cell r="C12" t="str">
            <v>209-04</v>
          </cell>
          <cell r="D12">
            <v>2140000</v>
          </cell>
          <cell r="E12" t="str">
            <v>ROBINSON</v>
          </cell>
        </row>
        <row r="13">
          <cell r="C13" t="str">
            <v>209-04</v>
          </cell>
          <cell r="D13">
            <v>1540000</v>
          </cell>
          <cell r="E13" t="str">
            <v>HELVIE</v>
          </cell>
        </row>
        <row r="14">
          <cell r="C14" t="str">
            <v>847-04</v>
          </cell>
          <cell r="D14">
            <v>2000000</v>
          </cell>
          <cell r="E14" t="str">
            <v>STAMBAUGH</v>
          </cell>
        </row>
        <row r="15">
          <cell r="C15" t="str">
            <v>195-04</v>
          </cell>
          <cell r="D15">
            <v>1540000</v>
          </cell>
          <cell r="E15" t="str">
            <v>HELVIE</v>
          </cell>
        </row>
        <row r="16">
          <cell r="C16" t="str">
            <v>313-04</v>
          </cell>
          <cell r="D16">
            <v>1300000</v>
          </cell>
          <cell r="E16" t="str">
            <v>LEVIN</v>
          </cell>
        </row>
        <row r="17">
          <cell r="C17" t="str">
            <v>114-05</v>
          </cell>
          <cell r="D17">
            <v>2010000</v>
          </cell>
          <cell r="E17" t="str">
            <v>MAELZER</v>
          </cell>
        </row>
        <row r="18">
          <cell r="C18" t="str">
            <v>109-05</v>
          </cell>
          <cell r="D18">
            <v>2100000</v>
          </cell>
          <cell r="E18" t="str">
            <v>ISHMAEL</v>
          </cell>
        </row>
        <row r="19">
          <cell r="C19" t="str">
            <v>106-05</v>
          </cell>
          <cell r="D19">
            <v>1310000</v>
          </cell>
          <cell r="E19" t="str">
            <v>MALAVE</v>
          </cell>
        </row>
        <row r="20">
          <cell r="C20" t="str">
            <v>127-05</v>
          </cell>
          <cell r="D20">
            <v>2010000</v>
          </cell>
          <cell r="E20" t="str">
            <v>MAELZER</v>
          </cell>
        </row>
        <row r="21">
          <cell r="C21" t="str">
            <v>240-04</v>
          </cell>
          <cell r="D21">
            <v>1290000</v>
          </cell>
          <cell r="E21" t="str">
            <v>COOLAHAN</v>
          </cell>
        </row>
        <row r="22">
          <cell r="C22" t="str">
            <v>132-05</v>
          </cell>
          <cell r="D22">
            <v>1990000</v>
          </cell>
          <cell r="E22" t="str">
            <v>DAVIS</v>
          </cell>
        </row>
        <row r="23">
          <cell r="C23" t="str">
            <v>225-04</v>
          </cell>
          <cell r="D23">
            <v>1300000</v>
          </cell>
          <cell r="E23" t="str">
            <v>LEVIN</v>
          </cell>
        </row>
        <row r="24">
          <cell r="C24" t="str">
            <v>830-04</v>
          </cell>
          <cell r="D24">
            <v>2030000</v>
          </cell>
          <cell r="E24" t="str">
            <v>KILLION</v>
          </cell>
        </row>
        <row r="25">
          <cell r="C25" t="str">
            <v>204-04</v>
          </cell>
          <cell r="D25">
            <v>2020000</v>
          </cell>
          <cell r="E25" t="str">
            <v>SHOOK</v>
          </cell>
        </row>
        <row r="26">
          <cell r="C26" t="str">
            <v>237-04</v>
          </cell>
          <cell r="D26">
            <v>2140000</v>
          </cell>
          <cell r="E26" t="str">
            <v>ROBINSON</v>
          </cell>
        </row>
        <row r="27">
          <cell r="C27" t="str">
            <v>200-04</v>
          </cell>
          <cell r="D27">
            <v>2150000</v>
          </cell>
          <cell r="E27" t="str">
            <v>SWANSON</v>
          </cell>
        </row>
        <row r="28">
          <cell r="C28" t="str">
            <v>311-04</v>
          </cell>
          <cell r="D28">
            <v>1290000</v>
          </cell>
          <cell r="E28" t="str">
            <v>COOLAHAN</v>
          </cell>
        </row>
        <row r="29">
          <cell r="C29" t="str">
            <v>176-04</v>
          </cell>
          <cell r="D29">
            <v>2020000</v>
          </cell>
          <cell r="E29" t="str">
            <v>SHOOK</v>
          </cell>
        </row>
        <row r="30">
          <cell r="C30" t="str">
            <v>117-05</v>
          </cell>
          <cell r="D30">
            <v>1990000</v>
          </cell>
          <cell r="E30" t="str">
            <v>DAVIS</v>
          </cell>
        </row>
        <row r="31">
          <cell r="C31" t="str">
            <v>171-04</v>
          </cell>
          <cell r="D31">
            <v>2150000</v>
          </cell>
          <cell r="E31" t="str">
            <v>SWANSON</v>
          </cell>
        </row>
        <row r="32">
          <cell r="C32" t="str">
            <v>233-03</v>
          </cell>
          <cell r="D32">
            <v>1300000</v>
          </cell>
          <cell r="E32" t="str">
            <v>LEVIN</v>
          </cell>
        </row>
        <row r="33">
          <cell r="C33" t="str">
            <v>819-04</v>
          </cell>
          <cell r="D33">
            <v>2100000</v>
          </cell>
          <cell r="E33" t="str">
            <v>ISHMAEL</v>
          </cell>
        </row>
        <row r="34">
          <cell r="C34" t="str">
            <v>236-03</v>
          </cell>
          <cell r="D34">
            <v>1290000</v>
          </cell>
          <cell r="E34" t="str">
            <v>COOLAHAN</v>
          </cell>
        </row>
        <row r="35">
          <cell r="C35" t="str">
            <v>167-04</v>
          </cell>
          <cell r="D35">
            <v>1540000</v>
          </cell>
          <cell r="E35" t="str">
            <v>HELVIE</v>
          </cell>
        </row>
        <row r="36">
          <cell r="C36" t="str">
            <v>240-03</v>
          </cell>
          <cell r="D36">
            <v>2090000</v>
          </cell>
          <cell r="E36" t="str">
            <v>HAITHCOX</v>
          </cell>
        </row>
        <row r="37">
          <cell r="C37" t="str">
            <v>165-04</v>
          </cell>
          <cell r="D37">
            <v>1810000</v>
          </cell>
          <cell r="E37" t="str">
            <v>NEWELL</v>
          </cell>
        </row>
        <row r="38">
          <cell r="C38" t="str">
            <v>311-03</v>
          </cell>
          <cell r="D38">
            <v>2090000</v>
          </cell>
          <cell r="E38" t="str">
            <v>HAITHCOX</v>
          </cell>
        </row>
        <row r="39">
          <cell r="C39" t="str">
            <v>158-04</v>
          </cell>
          <cell r="D39">
            <v>930000</v>
          </cell>
          <cell r="E39" t="str">
            <v>CLARK</v>
          </cell>
        </row>
        <row r="40">
          <cell r="C40" t="str">
            <v>313-03</v>
          </cell>
          <cell r="D40">
            <v>1300000</v>
          </cell>
          <cell r="E40" t="str">
            <v>LEVIN</v>
          </cell>
        </row>
        <row r="41">
          <cell r="C41" t="str">
            <v>817-04</v>
          </cell>
          <cell r="D41">
            <v>2100000</v>
          </cell>
          <cell r="E41" t="str">
            <v>ISHMAEL</v>
          </cell>
        </row>
        <row r="42">
          <cell r="C42" t="str">
            <v>115-04</v>
          </cell>
          <cell r="D42">
            <v>1190000</v>
          </cell>
          <cell r="E42" t="str">
            <v>BRANNON</v>
          </cell>
        </row>
        <row r="43">
          <cell r="C43" t="str">
            <v>161-04</v>
          </cell>
          <cell r="D43">
            <v>2020000</v>
          </cell>
          <cell r="E43" t="str">
            <v>SHOOK</v>
          </cell>
        </row>
        <row r="44">
          <cell r="C44" t="str">
            <v>119-04</v>
          </cell>
          <cell r="D44">
            <v>1310000</v>
          </cell>
          <cell r="E44" t="str">
            <v>MALAVE</v>
          </cell>
        </row>
        <row r="45">
          <cell r="C45" t="str">
            <v>150-04</v>
          </cell>
          <cell r="D45">
            <v>1760000</v>
          </cell>
          <cell r="E45" t="str">
            <v>STRICKLAND</v>
          </cell>
        </row>
        <row r="46">
          <cell r="C46" t="str">
            <v>802-04</v>
          </cell>
          <cell r="D46">
            <v>1830000</v>
          </cell>
          <cell r="E46" t="str">
            <v>YORK</v>
          </cell>
        </row>
        <row r="47">
          <cell r="C47" t="str">
            <v>148-04</v>
          </cell>
          <cell r="D47">
            <v>1310000</v>
          </cell>
          <cell r="E47" t="str">
            <v>MALAVE</v>
          </cell>
        </row>
        <row r="48">
          <cell r="C48" t="str">
            <v>122-04</v>
          </cell>
          <cell r="D48">
            <v>1760000</v>
          </cell>
          <cell r="E48" t="str">
            <v>STRICKLAND</v>
          </cell>
        </row>
        <row r="49">
          <cell r="C49" t="str">
            <v>815-04</v>
          </cell>
          <cell r="D49">
            <v>2100000</v>
          </cell>
          <cell r="E49" t="str">
            <v>ISHMAEL</v>
          </cell>
        </row>
        <row r="50">
          <cell r="C50" t="str">
            <v>133-04</v>
          </cell>
          <cell r="D50">
            <v>1310000</v>
          </cell>
          <cell r="E50" t="str">
            <v>MALAVE</v>
          </cell>
        </row>
        <row r="51">
          <cell r="C51" t="str">
            <v>146-04</v>
          </cell>
          <cell r="D51">
            <v>1090000</v>
          </cell>
          <cell r="E51" t="str">
            <v>SPECTOR</v>
          </cell>
        </row>
        <row r="52">
          <cell r="C52" t="str">
            <v>147-04</v>
          </cell>
          <cell r="D52">
            <v>1310000</v>
          </cell>
          <cell r="E52" t="str">
            <v>MALAVE</v>
          </cell>
        </row>
        <row r="53">
          <cell r="C53" t="str">
            <v>142-04</v>
          </cell>
          <cell r="D53">
            <v>2010000</v>
          </cell>
          <cell r="E53" t="str">
            <v>MAELZER</v>
          </cell>
        </row>
        <row r="54">
          <cell r="C54" t="str">
            <v>151-04</v>
          </cell>
          <cell r="D54">
            <v>1360000</v>
          </cell>
          <cell r="E54" t="str">
            <v>SANTIZO</v>
          </cell>
        </row>
        <row r="55">
          <cell r="C55" t="str">
            <v>143-04</v>
          </cell>
          <cell r="D55">
            <v>930000</v>
          </cell>
          <cell r="E55" t="str">
            <v>CLARK</v>
          </cell>
        </row>
        <row r="56">
          <cell r="C56" t="str">
            <v>155-04</v>
          </cell>
          <cell r="D56">
            <v>1830000</v>
          </cell>
          <cell r="E56" t="str">
            <v>YORK</v>
          </cell>
        </row>
        <row r="57">
          <cell r="C57" t="str">
            <v>134-04</v>
          </cell>
          <cell r="D57">
            <v>1310000</v>
          </cell>
          <cell r="E57" t="str">
            <v>MALAVE</v>
          </cell>
        </row>
        <row r="58">
          <cell r="C58" t="str">
            <v>816-04</v>
          </cell>
          <cell r="D58">
            <v>2100000</v>
          </cell>
          <cell r="E58" t="str">
            <v>ISHMAEL</v>
          </cell>
        </row>
        <row r="59">
          <cell r="C59" t="str">
            <v>139-04</v>
          </cell>
          <cell r="D59">
            <v>1110000</v>
          </cell>
          <cell r="E59" t="str">
            <v>STARKS</v>
          </cell>
        </row>
        <row r="60">
          <cell r="C60" t="str">
            <v>159-04</v>
          </cell>
          <cell r="D60">
            <v>2110000</v>
          </cell>
          <cell r="E60" t="str">
            <v>OUN</v>
          </cell>
        </row>
        <row r="61">
          <cell r="C61" t="str">
            <v>132-04</v>
          </cell>
          <cell r="D61">
            <v>1090000</v>
          </cell>
          <cell r="E61" t="str">
            <v>SPECTOR</v>
          </cell>
        </row>
        <row r="62">
          <cell r="C62" t="str">
            <v>154-04</v>
          </cell>
          <cell r="D62">
            <v>1110000</v>
          </cell>
          <cell r="E62" t="str">
            <v>STARKS</v>
          </cell>
        </row>
        <row r="63">
          <cell r="C63" t="str">
            <v>130-04</v>
          </cell>
          <cell r="D63">
            <v>930000</v>
          </cell>
          <cell r="E63" t="str">
            <v>CLARK</v>
          </cell>
        </row>
        <row r="64">
          <cell r="C64" t="str">
            <v>156-04</v>
          </cell>
          <cell r="D64">
            <v>1830000</v>
          </cell>
          <cell r="E64" t="str">
            <v>YORK</v>
          </cell>
        </row>
        <row r="65">
          <cell r="C65" t="str">
            <v>135-04</v>
          </cell>
          <cell r="D65">
            <v>1760000</v>
          </cell>
          <cell r="E65" t="str">
            <v>STRICKLAND</v>
          </cell>
        </row>
        <row r="66">
          <cell r="C66" t="str">
            <v>180-04</v>
          </cell>
          <cell r="D66">
            <v>1810000</v>
          </cell>
          <cell r="E66" t="str">
            <v>NEWELL</v>
          </cell>
        </row>
        <row r="67">
          <cell r="C67" t="str">
            <v>128-04</v>
          </cell>
          <cell r="D67">
            <v>2010000</v>
          </cell>
          <cell r="E67" t="str">
            <v>MAELZER</v>
          </cell>
        </row>
        <row r="68">
          <cell r="C68" t="str">
            <v>841-04</v>
          </cell>
          <cell r="D68">
            <v>2030000</v>
          </cell>
          <cell r="E68" t="str">
            <v>KILLION</v>
          </cell>
        </row>
        <row r="69">
          <cell r="C69" t="str">
            <v>124-04</v>
          </cell>
          <cell r="D69">
            <v>1360000</v>
          </cell>
          <cell r="E69" t="str">
            <v>SANTIZO</v>
          </cell>
        </row>
        <row r="70">
          <cell r="C70" t="str">
            <v>840-04</v>
          </cell>
          <cell r="D70">
            <v>2030000</v>
          </cell>
          <cell r="E70" t="str">
            <v>KILLION</v>
          </cell>
        </row>
        <row r="71">
          <cell r="C71" t="str">
            <v>120-04</v>
          </cell>
          <cell r="D71">
            <v>1310000</v>
          </cell>
          <cell r="E71" t="str">
            <v>MALAVE</v>
          </cell>
        </row>
        <row r="72">
          <cell r="C72" t="str">
            <v>843-04</v>
          </cell>
          <cell r="D72">
            <v>2030000</v>
          </cell>
          <cell r="E72" t="str">
            <v>KILLION</v>
          </cell>
        </row>
        <row r="73">
          <cell r="C73" t="str">
            <v>120-04</v>
          </cell>
          <cell r="D73">
            <v>1310000</v>
          </cell>
          <cell r="E73" t="str">
            <v>MALAVE</v>
          </cell>
        </row>
        <row r="74">
          <cell r="C74" t="str">
            <v>103-05</v>
          </cell>
          <cell r="D74">
            <v>1990000</v>
          </cell>
          <cell r="E74" t="str">
            <v>DAVIS</v>
          </cell>
        </row>
        <row r="75">
          <cell r="C75" t="str">
            <v>118-04</v>
          </cell>
          <cell r="D75">
            <v>1090000</v>
          </cell>
          <cell r="E75" t="str">
            <v>SPECTOR</v>
          </cell>
        </row>
        <row r="76">
          <cell r="C76" t="str">
            <v>801-05</v>
          </cell>
          <cell r="D76">
            <v>1760000</v>
          </cell>
          <cell r="E76" t="str">
            <v>STRICKLAND</v>
          </cell>
        </row>
        <row r="77">
          <cell r="C77" t="str">
            <v>123-04</v>
          </cell>
          <cell r="D77">
            <v>1360000</v>
          </cell>
          <cell r="E77" t="str">
            <v>SANTIZO</v>
          </cell>
        </row>
        <row r="78">
          <cell r="C78" t="str">
            <v>120-05</v>
          </cell>
          <cell r="D78">
            <v>1310000</v>
          </cell>
          <cell r="E78" t="str">
            <v>MALAVE</v>
          </cell>
        </row>
        <row r="79">
          <cell r="C79" t="str">
            <v>803-04</v>
          </cell>
          <cell r="D79">
            <v>2100000</v>
          </cell>
          <cell r="E79" t="str">
            <v>ISHMAEL</v>
          </cell>
        </row>
        <row r="80">
          <cell r="C80" t="str">
            <v>807-05</v>
          </cell>
          <cell r="D80">
            <v>1830000</v>
          </cell>
          <cell r="E80" t="str">
            <v>YORK</v>
          </cell>
        </row>
        <row r="81">
          <cell r="C81" t="str">
            <v>113-04</v>
          </cell>
          <cell r="D81">
            <v>2010000</v>
          </cell>
          <cell r="E81" t="str">
            <v>MAELZER</v>
          </cell>
        </row>
        <row r="82">
          <cell r="C82" t="str">
            <v>811-05</v>
          </cell>
          <cell r="D82">
            <v>1830000</v>
          </cell>
          <cell r="E82" t="str">
            <v>YORK</v>
          </cell>
        </row>
        <row r="83">
          <cell r="C83" t="str">
            <v>308-04</v>
          </cell>
          <cell r="D83">
            <v>1760000</v>
          </cell>
          <cell r="E83" t="str">
            <v>STRICKLAND</v>
          </cell>
        </row>
        <row r="84">
          <cell r="C84" t="str">
            <v>169-04</v>
          </cell>
          <cell r="D84">
            <v>910000</v>
          </cell>
          <cell r="E84" t="str">
            <v>SUR</v>
          </cell>
        </row>
        <row r="85">
          <cell r="C85" t="str">
            <v>244-03</v>
          </cell>
          <cell r="D85">
            <v>1290000</v>
          </cell>
          <cell r="E85" t="str">
            <v>COOLAHAN</v>
          </cell>
        </row>
        <row r="86">
          <cell r="C86" t="str">
            <v>219-04</v>
          </cell>
          <cell r="D86">
            <v>1480000</v>
          </cell>
          <cell r="E86" t="str">
            <v>STURGEON</v>
          </cell>
        </row>
        <row r="87">
          <cell r="C87" t="str">
            <v>309-03</v>
          </cell>
          <cell r="D87">
            <v>1480000</v>
          </cell>
          <cell r="E87" t="str">
            <v>STURGEON</v>
          </cell>
        </row>
        <row r="88">
          <cell r="C88" t="str">
            <v>908-04</v>
          </cell>
          <cell r="D88">
            <v>2000000</v>
          </cell>
          <cell r="E88" t="str">
            <v>STAMBAUGH</v>
          </cell>
        </row>
        <row r="89">
          <cell r="C89" t="str">
            <v>241-03</v>
          </cell>
          <cell r="D89">
            <v>1300000</v>
          </cell>
          <cell r="E89" t="str">
            <v>LEVIN</v>
          </cell>
        </row>
        <row r="90">
          <cell r="C90" t="str">
            <v>243-04</v>
          </cell>
          <cell r="D90">
            <v>1480000</v>
          </cell>
          <cell r="E90" t="str">
            <v>STURGEON</v>
          </cell>
        </row>
        <row r="91">
          <cell r="C91" t="str">
            <v>237-03</v>
          </cell>
          <cell r="D91">
            <v>1480000</v>
          </cell>
          <cell r="E91" t="str">
            <v>STURGEON</v>
          </cell>
        </row>
        <row r="92">
          <cell r="C92" t="str">
            <v>117-05</v>
          </cell>
          <cell r="D92">
            <v>1990000</v>
          </cell>
          <cell r="E92" t="str">
            <v>DAVIS</v>
          </cell>
        </row>
        <row r="93">
          <cell r="C93" t="str">
            <v>908-03</v>
          </cell>
          <cell r="D93">
            <v>2140000</v>
          </cell>
          <cell r="E93" t="str">
            <v>ROBINSON</v>
          </cell>
        </row>
        <row r="94">
          <cell r="C94" t="str">
            <v>124-05</v>
          </cell>
          <cell r="D94">
            <v>2100000</v>
          </cell>
          <cell r="E94" t="str">
            <v>ISHMAEL</v>
          </cell>
        </row>
        <row r="95">
          <cell r="C95" t="str">
            <v>232-03</v>
          </cell>
          <cell r="D95">
            <v>2090000</v>
          </cell>
          <cell r="E95" t="str">
            <v>HAITHCOX</v>
          </cell>
        </row>
        <row r="96">
          <cell r="C96" t="str">
            <v>131-05</v>
          </cell>
          <cell r="D96">
            <v>1990000</v>
          </cell>
          <cell r="E96" t="str">
            <v>DAVIS</v>
          </cell>
        </row>
        <row r="97">
          <cell r="C97" t="str">
            <v>231-03</v>
          </cell>
          <cell r="D97">
            <v>2090000</v>
          </cell>
          <cell r="E97" t="str">
            <v>HAITHCOX</v>
          </cell>
        </row>
        <row r="98">
          <cell r="C98" t="str">
            <v>826-04</v>
          </cell>
          <cell r="D98">
            <v>2030000</v>
          </cell>
          <cell r="E98" t="str">
            <v>KILLION</v>
          </cell>
        </row>
        <row r="99">
          <cell r="C99" t="str">
            <v>137-05</v>
          </cell>
          <cell r="D99">
            <v>2100000</v>
          </cell>
          <cell r="E99" t="str">
            <v>ISHMAEL</v>
          </cell>
        </row>
        <row r="100">
          <cell r="C100" t="str">
            <v>199-04</v>
          </cell>
          <cell r="D100">
            <v>2150000</v>
          </cell>
          <cell r="E100" t="str">
            <v>SWANSON</v>
          </cell>
        </row>
        <row r="101">
          <cell r="C101" t="str">
            <v>800-05</v>
          </cell>
          <cell r="D101">
            <v>1760000</v>
          </cell>
          <cell r="E101" t="str">
            <v>STRICKLAND</v>
          </cell>
        </row>
        <row r="102">
          <cell r="C102" t="str">
            <v>837-04</v>
          </cell>
          <cell r="D102">
            <v>2030000</v>
          </cell>
          <cell r="E102" t="str">
            <v>KILLION</v>
          </cell>
        </row>
        <row r="103">
          <cell r="C103" t="str">
            <v>236-04</v>
          </cell>
          <cell r="D103">
            <v>1480000</v>
          </cell>
          <cell r="E103" t="str">
            <v>STURGEON</v>
          </cell>
        </row>
        <row r="104">
          <cell r="C104" t="str">
            <v>303-04</v>
          </cell>
          <cell r="D104">
            <v>1810000</v>
          </cell>
          <cell r="E104" t="str">
            <v>NEWELL</v>
          </cell>
        </row>
        <row r="105">
          <cell r="C105" t="str">
            <v>212-04</v>
          </cell>
          <cell r="D105">
            <v>1540000</v>
          </cell>
          <cell r="E105" t="str">
            <v>HELVIE</v>
          </cell>
        </row>
        <row r="106">
          <cell r="C106" t="str">
            <v>216-04</v>
          </cell>
          <cell r="D106">
            <v>2150000</v>
          </cell>
          <cell r="E106" t="str">
            <v>SWANSON</v>
          </cell>
        </row>
        <row r="107">
          <cell r="C107" t="str">
            <v>833-04</v>
          </cell>
          <cell r="D107">
            <v>2030000</v>
          </cell>
          <cell r="E107" t="str">
            <v>KILLION</v>
          </cell>
        </row>
        <row r="108">
          <cell r="C108" t="str">
            <v>838-04</v>
          </cell>
          <cell r="D108">
            <v>2030000</v>
          </cell>
          <cell r="E108" t="str">
            <v>KILLION</v>
          </cell>
        </row>
        <row r="109">
          <cell r="C109" t="str">
            <v>163-04</v>
          </cell>
          <cell r="D109">
            <v>2040000</v>
          </cell>
          <cell r="E109" t="str">
            <v>MOSES</v>
          </cell>
        </row>
        <row r="110">
          <cell r="C110" t="str">
            <v>305-04</v>
          </cell>
          <cell r="D110">
            <v>1540000</v>
          </cell>
          <cell r="E110" t="str">
            <v>HELVIE</v>
          </cell>
        </row>
        <row r="111">
          <cell r="C111" t="str">
            <v>126-04</v>
          </cell>
          <cell r="D111">
            <v>1110000</v>
          </cell>
          <cell r="E111" t="str">
            <v>STARKS</v>
          </cell>
        </row>
        <row r="112">
          <cell r="C112" t="str">
            <v>226-04</v>
          </cell>
          <cell r="D112">
            <v>1300000</v>
          </cell>
          <cell r="E112" t="str">
            <v>LEVIN</v>
          </cell>
        </row>
        <row r="113">
          <cell r="C113" t="str">
            <v>121-05</v>
          </cell>
          <cell r="D113">
            <v>1240000</v>
          </cell>
          <cell r="E113" t="str">
            <v>GRASTON</v>
          </cell>
        </row>
        <row r="114">
          <cell r="C114" t="str">
            <v>901-05</v>
          </cell>
          <cell r="D114">
            <v>1760000</v>
          </cell>
          <cell r="E114" t="str">
            <v>STRICKLAND</v>
          </cell>
        </row>
        <row r="115">
          <cell r="C115" t="str">
            <v>111-05</v>
          </cell>
          <cell r="D115">
            <v>1360000</v>
          </cell>
          <cell r="E115" t="str">
            <v>SANTIZO</v>
          </cell>
        </row>
        <row r="116">
          <cell r="C116" t="str">
            <v>128-05</v>
          </cell>
          <cell r="D116">
            <v>2010000</v>
          </cell>
          <cell r="E116" t="str">
            <v>MAELZER</v>
          </cell>
        </row>
        <row r="117">
          <cell r="C117" t="str">
            <v>309-04</v>
          </cell>
          <cell r="D117">
            <v>2140000</v>
          </cell>
          <cell r="E117" t="str">
            <v>ROBINSON</v>
          </cell>
        </row>
        <row r="118">
          <cell r="C118" t="str">
            <v>133-05</v>
          </cell>
          <cell r="D118">
            <v>1310000</v>
          </cell>
          <cell r="E118" t="str">
            <v>MALAVE</v>
          </cell>
        </row>
        <row r="119">
          <cell r="C119" t="str">
            <v>307-04</v>
          </cell>
          <cell r="D119">
            <v>2150000</v>
          </cell>
          <cell r="E119" t="str">
            <v>SWANSON</v>
          </cell>
        </row>
        <row r="120">
          <cell r="C120" t="str">
            <v>185-04</v>
          </cell>
          <cell r="D120">
            <v>2150000</v>
          </cell>
          <cell r="E120" t="str">
            <v>SWANSON</v>
          </cell>
        </row>
        <row r="121">
          <cell r="C121" t="str">
            <v>839-04</v>
          </cell>
          <cell r="D121">
            <v>2090000</v>
          </cell>
          <cell r="E121" t="str">
            <v>HAITHCOX</v>
          </cell>
        </row>
        <row r="122">
          <cell r="C122" t="str">
            <v>182-04</v>
          </cell>
          <cell r="D122">
            <v>1540000</v>
          </cell>
          <cell r="E122" t="str">
            <v>HELVIE</v>
          </cell>
        </row>
        <row r="123">
          <cell r="C123" t="str">
            <v>178-04</v>
          </cell>
          <cell r="D123">
            <v>2040000</v>
          </cell>
          <cell r="E123" t="str">
            <v>MOSES</v>
          </cell>
        </row>
        <row r="124">
          <cell r="C124" t="str">
            <v>202-04</v>
          </cell>
          <cell r="D124">
            <v>2110000</v>
          </cell>
          <cell r="E124" t="str">
            <v>OUN</v>
          </cell>
        </row>
        <row r="125">
          <cell r="C125" t="str">
            <v>174-04</v>
          </cell>
          <cell r="D125">
            <v>2110000</v>
          </cell>
          <cell r="E125" t="str">
            <v>OUN</v>
          </cell>
        </row>
        <row r="126">
          <cell r="C126" t="str">
            <v>315-04</v>
          </cell>
          <cell r="D126">
            <v>1480000</v>
          </cell>
          <cell r="E126" t="str">
            <v>STURGEON</v>
          </cell>
        </row>
        <row r="127">
          <cell r="C127" t="str">
            <v>129-04</v>
          </cell>
          <cell r="D127">
            <v>930000</v>
          </cell>
          <cell r="E127" t="str">
            <v>CLARK</v>
          </cell>
        </row>
        <row r="128">
          <cell r="C128" t="str">
            <v>GOLIGHTLY-04</v>
          </cell>
          <cell r="D128">
            <v>1410000</v>
          </cell>
          <cell r="E128" t="str">
            <v>GOLIGHTLY</v>
          </cell>
        </row>
        <row r="129">
          <cell r="C129" t="str">
            <v>110-05</v>
          </cell>
          <cell r="D129">
            <v>2100000</v>
          </cell>
          <cell r="E129" t="str">
            <v>ISHMAEL</v>
          </cell>
        </row>
        <row r="130">
          <cell r="C130" t="str">
            <v>102-05</v>
          </cell>
          <cell r="D130">
            <v>2010000</v>
          </cell>
          <cell r="E130" t="str">
            <v>MAELZER</v>
          </cell>
        </row>
        <row r="131">
          <cell r="C131" t="str">
            <v>104-05</v>
          </cell>
          <cell r="D131">
            <v>1990000</v>
          </cell>
          <cell r="E131" t="str">
            <v>DAVIS</v>
          </cell>
        </row>
        <row r="132">
          <cell r="C132" t="str">
            <v>808-05</v>
          </cell>
          <cell r="D132">
            <v>1830000</v>
          </cell>
          <cell r="E132" t="str">
            <v>YORK</v>
          </cell>
        </row>
        <row r="133">
          <cell r="C133" t="str">
            <v>107-05</v>
          </cell>
          <cell r="D133">
            <v>1240000</v>
          </cell>
          <cell r="E133" t="str">
            <v>GRASTON</v>
          </cell>
        </row>
        <row r="134">
          <cell r="C134" t="str">
            <v>828-04</v>
          </cell>
          <cell r="D134">
            <v>2090000</v>
          </cell>
          <cell r="E134" t="str">
            <v>HAITHCOX</v>
          </cell>
        </row>
        <row r="135">
          <cell r="C135" t="str">
            <v>242-04</v>
          </cell>
          <cell r="D135">
            <v>1300000</v>
          </cell>
          <cell r="E135" t="str">
            <v>LEVIN</v>
          </cell>
        </row>
        <row r="136">
          <cell r="C136" t="str">
            <v>211-04</v>
          </cell>
          <cell r="D136">
            <v>1540000</v>
          </cell>
          <cell r="E136" t="str">
            <v>HELVIE</v>
          </cell>
        </row>
        <row r="137">
          <cell r="C137" t="str">
            <v>829-04</v>
          </cell>
          <cell r="D137">
            <v>2030000</v>
          </cell>
          <cell r="E137" t="str">
            <v>KILLION</v>
          </cell>
        </row>
        <row r="138">
          <cell r="C138" t="str">
            <v>227-04</v>
          </cell>
          <cell r="D138">
            <v>1480000</v>
          </cell>
          <cell r="E138" t="str">
            <v>STURGEON</v>
          </cell>
        </row>
        <row r="139">
          <cell r="C139" t="str">
            <v>827-04</v>
          </cell>
          <cell r="D139">
            <v>2090000</v>
          </cell>
          <cell r="E139" t="str">
            <v>HAITHCOX</v>
          </cell>
        </row>
        <row r="140">
          <cell r="C140" t="str">
            <v>231-04</v>
          </cell>
          <cell r="D140">
            <v>1290000</v>
          </cell>
          <cell r="E140" t="str">
            <v>COOLAHAN</v>
          </cell>
        </row>
        <row r="141">
          <cell r="C141" t="str">
            <v>821-04</v>
          </cell>
          <cell r="D141">
            <v>2030000</v>
          </cell>
          <cell r="E141" t="str">
            <v>KILLION</v>
          </cell>
        </row>
        <row r="142">
          <cell r="C142" t="str">
            <v>230-04</v>
          </cell>
          <cell r="D142">
            <v>2140000</v>
          </cell>
          <cell r="E142" t="str">
            <v>ROBINSON</v>
          </cell>
        </row>
        <row r="143">
          <cell r="C143" t="str">
            <v>160-04</v>
          </cell>
          <cell r="D143">
            <v>2110000</v>
          </cell>
          <cell r="E143" t="str">
            <v>OUN</v>
          </cell>
        </row>
        <row r="144">
          <cell r="C144" t="str">
            <v>119-05</v>
          </cell>
          <cell r="D144">
            <v>1310000</v>
          </cell>
          <cell r="E144" t="str">
            <v>MALAVE</v>
          </cell>
        </row>
        <row r="145">
          <cell r="C145" t="str">
            <v>810-04</v>
          </cell>
          <cell r="D145">
            <v>1830000</v>
          </cell>
          <cell r="E145" t="str">
            <v>YORK</v>
          </cell>
        </row>
        <row r="146">
          <cell r="C146" t="str">
            <v>805-05</v>
          </cell>
          <cell r="D146">
            <v>1760000</v>
          </cell>
          <cell r="E146" t="str">
            <v>STRICKLAND</v>
          </cell>
        </row>
        <row r="147">
          <cell r="C147" t="str">
            <v>130-04</v>
          </cell>
          <cell r="D147">
            <v>930000</v>
          </cell>
          <cell r="E147" t="str">
            <v>CLARK</v>
          </cell>
        </row>
        <row r="148">
          <cell r="C148" t="str">
            <v>190-04</v>
          </cell>
          <cell r="D148">
            <v>2020000</v>
          </cell>
          <cell r="E148" t="str">
            <v>SHOOK</v>
          </cell>
        </row>
        <row r="149">
          <cell r="C149" t="str">
            <v>804-04</v>
          </cell>
          <cell r="D149">
            <v>2100000</v>
          </cell>
          <cell r="E149" t="str">
            <v>ISHMAEL</v>
          </cell>
        </row>
        <row r="150">
          <cell r="C150" t="str">
            <v>194-04</v>
          </cell>
          <cell r="D150">
            <v>1810000</v>
          </cell>
          <cell r="E150" t="str">
            <v>NEWELL</v>
          </cell>
        </row>
        <row r="151">
          <cell r="C151" t="str">
            <v>313-04</v>
          </cell>
          <cell r="D151">
            <v>1300000</v>
          </cell>
          <cell r="E151" t="str">
            <v>LEVIN</v>
          </cell>
        </row>
        <row r="152">
          <cell r="C152" t="str">
            <v>834-04</v>
          </cell>
          <cell r="D152">
            <v>2030000</v>
          </cell>
          <cell r="E152" t="str">
            <v>KILLION</v>
          </cell>
        </row>
        <row r="153">
          <cell r="C153" t="str">
            <v>239-04</v>
          </cell>
          <cell r="D153">
            <v>1290000</v>
          </cell>
          <cell r="E153" t="str">
            <v>COOLAHAN</v>
          </cell>
        </row>
        <row r="154">
          <cell r="C154" t="str">
            <v>218-04</v>
          </cell>
          <cell r="D154">
            <v>1300000</v>
          </cell>
          <cell r="E154" t="str">
            <v>LEVIN</v>
          </cell>
        </row>
        <row r="155">
          <cell r="C155" t="str">
            <v>221-04</v>
          </cell>
          <cell r="D155">
            <v>1540000</v>
          </cell>
          <cell r="E155" t="str">
            <v>HELVIE</v>
          </cell>
        </row>
        <row r="156">
          <cell r="C156" t="str">
            <v>115-05</v>
          </cell>
          <cell r="D156">
            <v>900000</v>
          </cell>
          <cell r="E156" t="str">
            <v>ROCHA</v>
          </cell>
        </row>
        <row r="157">
          <cell r="C157" t="str">
            <v>130-05</v>
          </cell>
          <cell r="D157">
            <v>900000</v>
          </cell>
          <cell r="E157" t="str">
            <v>ROCHA</v>
          </cell>
        </row>
        <row r="158">
          <cell r="C158" t="str">
            <v>129-05</v>
          </cell>
          <cell r="D158">
            <v>900000</v>
          </cell>
          <cell r="E158" t="str">
            <v>ROCHA</v>
          </cell>
        </row>
        <row r="159">
          <cell r="C159" t="str">
            <v>116-05</v>
          </cell>
          <cell r="D159">
            <v>900000</v>
          </cell>
          <cell r="E159" t="str">
            <v>ROCHA</v>
          </cell>
        </row>
        <row r="160">
          <cell r="C160" t="str">
            <v>842-03</v>
          </cell>
          <cell r="D160">
            <v>2040000</v>
          </cell>
          <cell r="E160" t="str">
            <v>MOSES</v>
          </cell>
        </row>
        <row r="161">
          <cell r="C161" t="str">
            <v>801-05</v>
          </cell>
          <cell r="D161">
            <v>1760000</v>
          </cell>
          <cell r="E161" t="str">
            <v>STRICKLAND</v>
          </cell>
        </row>
        <row r="162">
          <cell r="C162" t="str">
            <v>845-03</v>
          </cell>
          <cell r="D162">
            <v>2140000</v>
          </cell>
          <cell r="E162" t="str">
            <v>ROBINSON</v>
          </cell>
        </row>
        <row r="163">
          <cell r="C163" t="str">
            <v>800-05</v>
          </cell>
          <cell r="D163">
            <v>1760000</v>
          </cell>
          <cell r="E163" t="str">
            <v>STRICKLAND</v>
          </cell>
        </row>
        <row r="164">
          <cell r="C164" t="str">
            <v>844-03</v>
          </cell>
          <cell r="D164">
            <v>2140000</v>
          </cell>
          <cell r="E164" t="str">
            <v>ROBINSON</v>
          </cell>
        </row>
        <row r="165">
          <cell r="C165" t="str">
            <v>233-04</v>
          </cell>
          <cell r="D165">
            <v>1300000</v>
          </cell>
          <cell r="E165" t="str">
            <v>LEVIN</v>
          </cell>
        </row>
        <row r="166">
          <cell r="C166" t="str">
            <v>847-03</v>
          </cell>
          <cell r="D166">
            <v>2140000</v>
          </cell>
          <cell r="E166" t="str">
            <v>ROBINSON</v>
          </cell>
        </row>
        <row r="167">
          <cell r="C167" t="str">
            <v>208-04</v>
          </cell>
          <cell r="D167">
            <v>1810000</v>
          </cell>
          <cell r="E167" t="str">
            <v>NEWELL</v>
          </cell>
        </row>
        <row r="168">
          <cell r="C168" t="str">
            <v>238-03</v>
          </cell>
          <cell r="D168">
            <v>1480000</v>
          </cell>
          <cell r="E168" t="str">
            <v>STURGEON</v>
          </cell>
        </row>
        <row r="169">
          <cell r="C169" t="str">
            <v>831-04</v>
          </cell>
          <cell r="D169">
            <v>2090000</v>
          </cell>
          <cell r="E169" t="str">
            <v>HAITHCOX</v>
          </cell>
        </row>
        <row r="170">
          <cell r="C170" t="str">
            <v>242-03</v>
          </cell>
          <cell r="D170">
            <v>1300000</v>
          </cell>
          <cell r="E170" t="str">
            <v>LEVIN</v>
          </cell>
        </row>
        <row r="171">
          <cell r="C171" t="str">
            <v>189-04</v>
          </cell>
          <cell r="D171">
            <v>2020000</v>
          </cell>
          <cell r="E171" t="str">
            <v>SHOOK</v>
          </cell>
        </row>
        <row r="172">
          <cell r="C172" t="str">
            <v>313-03</v>
          </cell>
          <cell r="D172">
            <v>1300000</v>
          </cell>
          <cell r="E172" t="str">
            <v>LEVIN</v>
          </cell>
        </row>
        <row r="173">
          <cell r="C173" t="str">
            <v>152-04</v>
          </cell>
          <cell r="D173">
            <v>1360000</v>
          </cell>
          <cell r="E173" t="str">
            <v>SANTIZO</v>
          </cell>
        </row>
        <row r="174">
          <cell r="C174" t="str">
            <v>302-04</v>
          </cell>
          <cell r="D174">
            <v>2010000</v>
          </cell>
          <cell r="E174" t="str">
            <v>MAELZER</v>
          </cell>
        </row>
        <row r="175">
          <cell r="C175" t="str">
            <v>809-05</v>
          </cell>
          <cell r="D175">
            <v>1760000</v>
          </cell>
          <cell r="E175" t="str">
            <v>STRICKLAND</v>
          </cell>
        </row>
        <row r="176">
          <cell r="C176" t="str">
            <v>101-04</v>
          </cell>
          <cell r="D176">
            <v>2010000</v>
          </cell>
          <cell r="E176" t="str">
            <v>MAELZER</v>
          </cell>
        </row>
        <row r="177">
          <cell r="C177" t="str">
            <v>229-04</v>
          </cell>
          <cell r="D177">
            <v>1540000</v>
          </cell>
          <cell r="E177" t="str">
            <v>HELVIE</v>
          </cell>
        </row>
        <row r="178">
          <cell r="C178" t="str">
            <v>102-04</v>
          </cell>
          <cell r="D178">
            <v>2010000</v>
          </cell>
          <cell r="E178" t="str">
            <v>MAELZER</v>
          </cell>
        </row>
        <row r="179">
          <cell r="C179" t="str">
            <v>166-04</v>
          </cell>
          <cell r="D179">
            <v>1810000</v>
          </cell>
          <cell r="E179" t="str">
            <v>NEWELL</v>
          </cell>
        </row>
        <row r="180">
          <cell r="C180" t="str">
            <v>107-04</v>
          </cell>
          <cell r="D180">
            <v>1760000</v>
          </cell>
          <cell r="E180" t="str">
            <v>STRICKLAND</v>
          </cell>
        </row>
        <row r="181">
          <cell r="C181" t="str">
            <v>818-04</v>
          </cell>
          <cell r="D181">
            <v>2100000</v>
          </cell>
          <cell r="E181" t="str">
            <v>ISHMAEL</v>
          </cell>
        </row>
        <row r="182">
          <cell r="C182" t="str">
            <v>109-04</v>
          </cell>
          <cell r="D182">
            <v>1360000</v>
          </cell>
          <cell r="E182" t="str">
            <v>SANTIZO</v>
          </cell>
        </row>
        <row r="183">
          <cell r="C183" t="str">
            <v>145-04</v>
          </cell>
          <cell r="D183">
            <v>1090000</v>
          </cell>
          <cell r="E183" t="str">
            <v>SPECTOR</v>
          </cell>
        </row>
        <row r="184">
          <cell r="C184" t="str">
            <v>104-04</v>
          </cell>
          <cell r="D184">
            <v>1090000</v>
          </cell>
          <cell r="E184" t="str">
            <v>SPECTOR</v>
          </cell>
        </row>
        <row r="185">
          <cell r="C185" t="str">
            <v>808-04</v>
          </cell>
          <cell r="D185">
            <v>2100000</v>
          </cell>
          <cell r="E185" t="str">
            <v>ISHMAEL</v>
          </cell>
        </row>
        <row r="186">
          <cell r="C186" t="str">
            <v>111-04</v>
          </cell>
          <cell r="D186">
            <v>1110000</v>
          </cell>
          <cell r="E186" t="str">
            <v>STARKS</v>
          </cell>
        </row>
        <row r="187">
          <cell r="C187" t="str">
            <v>800-04</v>
          </cell>
          <cell r="D187">
            <v>1830000</v>
          </cell>
          <cell r="E187" t="str">
            <v>YORK</v>
          </cell>
        </row>
        <row r="188">
          <cell r="C188" t="str">
            <v>113-04</v>
          </cell>
          <cell r="D188">
            <v>2010000</v>
          </cell>
          <cell r="E188" t="str">
            <v>MAELZER</v>
          </cell>
        </row>
        <row r="189">
          <cell r="C189" t="str">
            <v>104-04</v>
          </cell>
          <cell r="D189">
            <v>1090000</v>
          </cell>
          <cell r="E189" t="str">
            <v>SPECTOR</v>
          </cell>
        </row>
        <row r="190">
          <cell r="C190" t="str">
            <v>108-04</v>
          </cell>
          <cell r="D190">
            <v>1760000</v>
          </cell>
          <cell r="E190" t="str">
            <v>STRICKLAND</v>
          </cell>
        </row>
        <row r="191">
          <cell r="C191" t="str">
            <v>239-03</v>
          </cell>
          <cell r="D191">
            <v>2090000</v>
          </cell>
          <cell r="E191" t="str">
            <v>HAITHCOX</v>
          </cell>
        </row>
        <row r="192">
          <cell r="C192" t="str">
            <v>110-04</v>
          </cell>
          <cell r="D192">
            <v>1360000</v>
          </cell>
          <cell r="E192" t="str">
            <v>SANTIZO</v>
          </cell>
        </row>
        <row r="193">
          <cell r="C193" t="str">
            <v>234-03</v>
          </cell>
          <cell r="D193">
            <v>1300000</v>
          </cell>
          <cell r="E193" t="str">
            <v>LEVIN</v>
          </cell>
        </row>
        <row r="194">
          <cell r="C194" t="str">
            <v>801-04</v>
          </cell>
          <cell r="D194">
            <v>1830000</v>
          </cell>
          <cell r="E194" t="str">
            <v>YORK</v>
          </cell>
        </row>
        <row r="195">
          <cell r="C195" t="str">
            <v>226-03</v>
          </cell>
          <cell r="D195">
            <v>1300000</v>
          </cell>
          <cell r="E195" t="str">
            <v>LEVIN</v>
          </cell>
        </row>
        <row r="196">
          <cell r="C196" t="str">
            <v>117-04</v>
          </cell>
          <cell r="D196">
            <v>1090000</v>
          </cell>
          <cell r="E196" t="str">
            <v>SPECTOR</v>
          </cell>
        </row>
        <row r="197">
          <cell r="C197" t="str">
            <v>810-05</v>
          </cell>
          <cell r="D197">
            <v>1760000</v>
          </cell>
          <cell r="E197" t="str">
            <v>STRICKLAND</v>
          </cell>
        </row>
        <row r="198">
          <cell r="C198" t="str">
            <v>112-04</v>
          </cell>
          <cell r="D198">
            <v>1110000</v>
          </cell>
          <cell r="E198" t="str">
            <v>STARKS</v>
          </cell>
        </row>
        <row r="199">
          <cell r="C199" t="str">
            <v>802-05</v>
          </cell>
          <cell r="D199">
            <v>1760000</v>
          </cell>
          <cell r="E199" t="str">
            <v>STRICKLAND</v>
          </cell>
        </row>
        <row r="200">
          <cell r="C200" t="str">
            <v>114-04</v>
          </cell>
          <cell r="D200">
            <v>2010000</v>
          </cell>
          <cell r="E200" t="str">
            <v>MAELZER</v>
          </cell>
        </row>
        <row r="201">
          <cell r="C201" t="str">
            <v>117-05</v>
          </cell>
          <cell r="D201">
            <v>1990000</v>
          </cell>
          <cell r="E201" t="str">
            <v>DAVIS</v>
          </cell>
        </row>
        <row r="202">
          <cell r="C202" t="str">
            <v>121-04</v>
          </cell>
          <cell r="D202">
            <v>1760000</v>
          </cell>
          <cell r="E202" t="str">
            <v>STRICKLAND</v>
          </cell>
        </row>
        <row r="203">
          <cell r="C203" t="str">
            <v>207-04</v>
          </cell>
          <cell r="D203">
            <v>1810000</v>
          </cell>
          <cell r="E203" t="str">
            <v>NEWELL</v>
          </cell>
        </row>
        <row r="204">
          <cell r="C204" t="str">
            <v>116-04</v>
          </cell>
          <cell r="D204">
            <v>930000</v>
          </cell>
          <cell r="E204" t="str">
            <v>CLARK</v>
          </cell>
        </row>
        <row r="205">
          <cell r="C205" t="str">
            <v>205-04</v>
          </cell>
          <cell r="D205">
            <v>2040000</v>
          </cell>
          <cell r="E205" t="str">
            <v>MOSES</v>
          </cell>
        </row>
        <row r="206">
          <cell r="C206" t="str">
            <v>805-04</v>
          </cell>
          <cell r="D206">
            <v>1830000</v>
          </cell>
          <cell r="E206" t="str">
            <v>YORK</v>
          </cell>
        </row>
        <row r="207">
          <cell r="C207" t="str">
            <v>157-04</v>
          </cell>
          <cell r="D207">
            <v>930000</v>
          </cell>
          <cell r="E207" t="str">
            <v>CLARK</v>
          </cell>
        </row>
        <row r="208">
          <cell r="C208" t="str">
            <v>125-04</v>
          </cell>
          <cell r="D208">
            <v>1110000</v>
          </cell>
          <cell r="E208" t="str">
            <v>STARKS</v>
          </cell>
        </row>
        <row r="209">
          <cell r="C209" t="str">
            <v>122-05</v>
          </cell>
          <cell r="D209">
            <v>1240000</v>
          </cell>
          <cell r="E209" t="str">
            <v>GRASTON</v>
          </cell>
        </row>
        <row r="210">
          <cell r="C210" t="str">
            <v>127-04</v>
          </cell>
          <cell r="D210">
            <v>2010000</v>
          </cell>
          <cell r="E210" t="str">
            <v>MAELZER</v>
          </cell>
        </row>
        <row r="211">
          <cell r="C211" t="str">
            <v>113-05</v>
          </cell>
          <cell r="D211">
            <v>2010000</v>
          </cell>
          <cell r="E211" t="str">
            <v>MAELZER</v>
          </cell>
        </row>
        <row r="212">
          <cell r="C212" t="str">
            <v>807-04</v>
          </cell>
          <cell r="D212">
            <v>2100000</v>
          </cell>
          <cell r="E212" t="str">
            <v>ISHMAEL</v>
          </cell>
        </row>
        <row r="213">
          <cell r="C213" t="str">
            <v>315-04</v>
          </cell>
          <cell r="D213">
            <v>1480000</v>
          </cell>
          <cell r="E213" t="str">
            <v>STURGEON</v>
          </cell>
        </row>
        <row r="214">
          <cell r="C214" t="str">
            <v>809-04</v>
          </cell>
          <cell r="D214">
            <v>1830000</v>
          </cell>
          <cell r="E214" t="str">
            <v>YORK</v>
          </cell>
        </row>
        <row r="215">
          <cell r="C215" t="str">
            <v>188-04</v>
          </cell>
          <cell r="D215">
            <v>2110000</v>
          </cell>
          <cell r="E215" t="str">
            <v>OUN</v>
          </cell>
        </row>
        <row r="216">
          <cell r="C216" t="str">
            <v>137-04</v>
          </cell>
          <cell r="D216">
            <v>1360000</v>
          </cell>
          <cell r="E216" t="str">
            <v>SANTIZO</v>
          </cell>
        </row>
        <row r="217">
          <cell r="C217" t="str">
            <v>187-04</v>
          </cell>
          <cell r="D217">
            <v>2110000</v>
          </cell>
          <cell r="E217" t="str">
            <v>OUN</v>
          </cell>
        </row>
        <row r="218">
          <cell r="C218" t="str">
            <v>811-04</v>
          </cell>
          <cell r="D218">
            <v>2100000</v>
          </cell>
          <cell r="E218" t="str">
            <v>ISHMAEL</v>
          </cell>
        </row>
        <row r="219">
          <cell r="C219" t="str">
            <v>814-04</v>
          </cell>
          <cell r="D219">
            <v>2100000</v>
          </cell>
          <cell r="E219" t="str">
            <v>ISHMAEL</v>
          </cell>
        </row>
        <row r="220">
          <cell r="C220" t="str">
            <v>813-04</v>
          </cell>
          <cell r="D220">
            <v>2100000</v>
          </cell>
          <cell r="E220" t="str">
            <v>ISHMAEL</v>
          </cell>
        </row>
        <row r="221">
          <cell r="C221" t="str">
            <v>136-04</v>
          </cell>
          <cell r="D221">
            <v>1760000</v>
          </cell>
          <cell r="E221" t="str">
            <v>STRICKLAND</v>
          </cell>
        </row>
        <row r="222">
          <cell r="C222" t="str">
            <v>177-04</v>
          </cell>
          <cell r="D222">
            <v>2040000</v>
          </cell>
          <cell r="E222" t="str">
            <v>MOSES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101-05</v>
          </cell>
          <cell r="B13">
            <v>4044</v>
          </cell>
          <cell r="C13" t="str">
            <v>DE.1.0.7.0</v>
          </cell>
          <cell r="D13" t="str">
            <v>204:37261</v>
          </cell>
          <cell r="E13">
            <v>42587.143831018519</v>
          </cell>
          <cell r="F13">
            <v>42587.144780092596</v>
          </cell>
          <cell r="G13">
            <v>1</v>
          </cell>
          <cell r="H13" t="str">
            <v>204:43527</v>
          </cell>
          <cell r="I13">
            <v>42587.146458333336</v>
          </cell>
          <cell r="J13">
            <v>1</v>
          </cell>
          <cell r="K13" t="str">
            <v>4043/4044</v>
          </cell>
          <cell r="L13" t="str">
            <v>MAELZER</v>
          </cell>
          <cell r="M13">
            <v>1.6782407401478849E-3</v>
          </cell>
          <cell r="P13">
            <v>2.4166666658129543</v>
          </cell>
          <cell r="R13" t="str">
            <v>Wayside messaging virtual machine failure</v>
          </cell>
          <cell r="S13">
            <v>8.3333333333333329E-2</v>
          </cell>
          <cell r="T13" t="str">
            <v>NorthBound</v>
          </cell>
          <cell r="U13">
            <v>1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" t="str">
            <v>Y</v>
          </cell>
          <cell r="X13" t="e">
            <v>#VALUE!</v>
          </cell>
          <cell r="Y13">
            <v>3.7261000000000002</v>
          </cell>
          <cell r="Z13">
            <v>4.3526999999999996</v>
          </cell>
          <cell r="AA13">
            <v>0.62659999999999938</v>
          </cell>
          <cell r="AB13">
            <v>20617</v>
          </cell>
          <cell r="AC13" t="str">
            <v>SIGNAL</v>
          </cell>
          <cell r="AD13" t="str">
            <v>0101-05</v>
          </cell>
          <cell r="AE1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">
          <cell r="A14" t="str">
            <v>101-05</v>
          </cell>
          <cell r="B14">
            <v>4044</v>
          </cell>
          <cell r="C14" t="str">
            <v>DE.1.0.7.0</v>
          </cell>
          <cell r="D14" t="str">
            <v>204:734</v>
          </cell>
          <cell r="E14">
            <v>42587.132430555554</v>
          </cell>
          <cell r="F14">
            <v>42587.133379629631</v>
          </cell>
          <cell r="G14">
            <v>1</v>
          </cell>
          <cell r="H14" t="str">
            <v>204:20575</v>
          </cell>
          <cell r="I14">
            <v>42587.141041666669</v>
          </cell>
          <cell r="J14">
            <v>1</v>
          </cell>
          <cell r="K14" t="str">
            <v>4043/4044</v>
          </cell>
          <cell r="L14" t="str">
            <v>MAELZER</v>
          </cell>
          <cell r="M14">
            <v>7.662037038244307E-3</v>
          </cell>
          <cell r="S14">
            <v>0</v>
          </cell>
          <cell r="T14" t="str">
            <v>NorthBound</v>
          </cell>
          <cell r="U14">
            <v>0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https://search-rtdc-monitor-bjffxe2xuh6vdkpspy63sjmuny.us-east-1.es.amazonaws.com/_plugin/kibana/#/discover/Steve-Slow-Train-Analysis-(2080s-and-2083s)?_g=(refreshInterval:(display:Off,section:0,value:0),time:(from:'2016-08-05 02:10:42-0600',mode:absolute,to:'2016-08-05 04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" t="str">
            <v>Y</v>
          </cell>
          <cell r="X14">
            <v>0</v>
          </cell>
          <cell r="Y14">
            <v>7.3400000000000007E-2</v>
          </cell>
          <cell r="Z14">
            <v>2.0575000000000001</v>
          </cell>
          <cell r="AA14">
            <v>1.9841000000000002</v>
          </cell>
          <cell r="AB14">
            <v>20617</v>
          </cell>
          <cell r="AC14" t="str">
            <v>SIGNAL</v>
          </cell>
          <cell r="AD14" t="str">
            <v>0101-05</v>
          </cell>
          <cell r="AE14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">
          <cell r="A15" t="str">
            <v>102-05</v>
          </cell>
          <cell r="B15">
            <v>4026</v>
          </cell>
          <cell r="C15" t="str">
            <v>DE.1.0.7.0</v>
          </cell>
          <cell r="D15" t="str">
            <v>204:127793</v>
          </cell>
          <cell r="E15">
            <v>42587.18681712963</v>
          </cell>
          <cell r="F15">
            <v>42587.187824074077</v>
          </cell>
          <cell r="G15">
            <v>1</v>
          </cell>
          <cell r="H15" t="str">
            <v>204:127530</v>
          </cell>
          <cell r="I15">
            <v>42587.188703703701</v>
          </cell>
          <cell r="J15">
            <v>1</v>
          </cell>
          <cell r="K15" t="str">
            <v>4025/4026</v>
          </cell>
          <cell r="L15" t="str">
            <v>MAELZER</v>
          </cell>
          <cell r="M15">
            <v>8.7962962425081059E-4</v>
          </cell>
          <cell r="P15">
            <v>1.2666666589211673</v>
          </cell>
          <cell r="R15" t="str">
            <v>Wayside messaging virtual machine failure</v>
          </cell>
          <cell r="S15">
            <v>0</v>
          </cell>
          <cell r="T15" t="str">
            <v>Southbound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" t="str">
            <v>Y</v>
          </cell>
          <cell r="X15">
            <v>1</v>
          </cell>
          <cell r="Y15">
            <v>12.779299999999999</v>
          </cell>
          <cell r="Z15">
            <v>12.753</v>
          </cell>
          <cell r="AA15">
            <v>2.6299999999999102E-2</v>
          </cell>
          <cell r="AB15">
            <v>127587</v>
          </cell>
          <cell r="AC15" t="str">
            <v>SIGNAL</v>
          </cell>
          <cell r="AD15" t="str">
            <v>0102-05</v>
          </cell>
          <cell r="AE15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6">
          <cell r="A16" t="str">
            <v>102-05</v>
          </cell>
          <cell r="B16">
            <v>4026</v>
          </cell>
          <cell r="C16" t="str">
            <v>DE.1.0.7.0</v>
          </cell>
          <cell r="D16" t="str">
            <v>204:232690</v>
          </cell>
          <cell r="E16">
            <v>42587.171226851853</v>
          </cell>
          <cell r="F16">
            <v>42587.172152777777</v>
          </cell>
          <cell r="G16">
            <v>1</v>
          </cell>
          <cell r="H16" t="str">
            <v>204:219972</v>
          </cell>
          <cell r="I16">
            <v>42587.178680555553</v>
          </cell>
          <cell r="J16">
            <v>0</v>
          </cell>
          <cell r="K16" t="str">
            <v>4025/4026</v>
          </cell>
          <cell r="L16" t="str">
            <v>MAELZER</v>
          </cell>
          <cell r="M16">
            <v>6.5277777757728472E-3</v>
          </cell>
          <cell r="S16">
            <v>0</v>
          </cell>
          <cell r="T16" t="str">
            <v>Southbound</v>
          </cell>
          <cell r="U16">
            <v>0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https://search-rtdc-monitor-bjffxe2xuh6vdkpspy63sjmuny.us-east-1.es.amazonaws.com/_plugin/kibana/#/discover/Steve-Slow-Train-Analysis-(2080s-and-2083s)?_g=(refreshInterval:(display:Off,section:0,value:0),time:(from:'2016-08-05 03:06:34-0600',mode:absolute,to:'2016-08-05 05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" t="str">
            <v>Y</v>
          </cell>
          <cell r="X16">
            <v>0</v>
          </cell>
          <cell r="Y16">
            <v>23.268999999999998</v>
          </cell>
          <cell r="Z16">
            <v>21.997199999999999</v>
          </cell>
          <cell r="AA16">
            <v>1.2717999999999989</v>
          </cell>
          <cell r="AB16">
            <v>127587</v>
          </cell>
          <cell r="AC16" t="str">
            <v>SIGNAL</v>
          </cell>
          <cell r="AD16" t="str">
            <v>0102-05</v>
          </cell>
          <cell r="AE1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7">
          <cell r="A17" t="str">
            <v>103-05</v>
          </cell>
          <cell r="B17">
            <v>4009</v>
          </cell>
          <cell r="C17" t="str">
            <v>DE.1.0.7.0</v>
          </cell>
          <cell r="D17" t="str">
            <v>204:64787</v>
          </cell>
          <cell r="E17">
            <v>42587.169571759259</v>
          </cell>
          <cell r="F17">
            <v>42587.170393518521</v>
          </cell>
          <cell r="G17">
            <v>1</v>
          </cell>
          <cell r="H17" t="str">
            <v>204:101568</v>
          </cell>
          <cell r="I17">
            <v>42587.178854166668</v>
          </cell>
          <cell r="J17">
            <v>1</v>
          </cell>
          <cell r="K17" t="str">
            <v>4009/4010</v>
          </cell>
          <cell r="L17" t="str">
            <v>DAVIS</v>
          </cell>
          <cell r="M17">
            <v>8.4606481468654238E-3</v>
          </cell>
          <cell r="P17">
            <v>12.18333333148621</v>
          </cell>
          <cell r="R17" t="str">
            <v>Wayside messaging virtual machine failure</v>
          </cell>
          <cell r="S17">
            <v>8.3333333333333329E-2</v>
          </cell>
          <cell r="T17" t="str">
            <v>NorthBound</v>
          </cell>
          <cell r="U17">
            <v>1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7" t="str">
            <v>Y</v>
          </cell>
          <cell r="X17">
            <v>1</v>
          </cell>
          <cell r="Y17">
            <v>6.4786999999999999</v>
          </cell>
          <cell r="Z17">
            <v>10.1568</v>
          </cell>
          <cell r="AA17">
            <v>3.6781000000000006</v>
          </cell>
          <cell r="AB17">
            <v>63995</v>
          </cell>
          <cell r="AC17" t="str">
            <v>SIGNAL</v>
          </cell>
          <cell r="AD17" t="str">
            <v>0103-05</v>
          </cell>
          <cell r="AE1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8">
          <cell r="A18" t="str">
            <v>103-05</v>
          </cell>
          <cell r="B18">
            <v>4009</v>
          </cell>
          <cell r="C18" t="str">
            <v>DE.1.0.7.0</v>
          </cell>
          <cell r="D18" t="str">
            <v>204:761</v>
          </cell>
          <cell r="E18">
            <v>42587.157222222224</v>
          </cell>
          <cell r="F18">
            <v>42587.158275462964</v>
          </cell>
          <cell r="G18">
            <v>1</v>
          </cell>
          <cell r="H18" t="str">
            <v>204:19318</v>
          </cell>
          <cell r="I18">
            <v>42587.163483796299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5.2083333357586525E-3</v>
          </cell>
          <cell r="S18">
            <v>0</v>
          </cell>
          <cell r="T18" t="str">
            <v>NorthBound</v>
          </cell>
          <cell r="U18">
            <v>0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https://search-rtdc-monitor-bjffxe2xuh6vdkpspy63sjmuny.us-east-1.es.amazonaws.com/_plugin/kibana/#/discover/Steve-Slow-Train-Analysis-(2080s-and-2083s)?_g=(refreshInterval:(display:Off,section:0,value:0),time:(from:'2016-08-05 02:46:24-0600',mode:absolute,to:'2016-08-05 04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8" t="str">
            <v>Y</v>
          </cell>
          <cell r="X18">
            <v>0</v>
          </cell>
          <cell r="Y18">
            <v>7.6100000000000001E-2</v>
          </cell>
          <cell r="Z18">
            <v>1.9318</v>
          </cell>
          <cell r="AA18">
            <v>1.8556999999999999</v>
          </cell>
          <cell r="AB18">
            <v>63995</v>
          </cell>
          <cell r="AC18" t="str">
            <v>SIGNAL</v>
          </cell>
          <cell r="AD18" t="str">
            <v>0103-05</v>
          </cell>
          <cell r="AE18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9">
          <cell r="A19" t="str">
            <v>104-05</v>
          </cell>
          <cell r="B19">
            <v>4030</v>
          </cell>
          <cell r="C19" t="str">
            <v>DE.1.0.7.0</v>
          </cell>
          <cell r="D19" t="str">
            <v>204:232656</v>
          </cell>
          <cell r="E19">
            <v>42587.195844907408</v>
          </cell>
          <cell r="F19">
            <v>42587.196666666663</v>
          </cell>
          <cell r="G19">
            <v>1</v>
          </cell>
          <cell r="H19" t="str">
            <v>204:222703</v>
          </cell>
          <cell r="I19">
            <v>42587.199861111112</v>
          </cell>
          <cell r="J19">
            <v>0</v>
          </cell>
          <cell r="K19" t="str">
            <v>4029/4030</v>
          </cell>
          <cell r="L19" t="str">
            <v>DAVIS</v>
          </cell>
          <cell r="M19">
            <v>3.1944444490363821E-3</v>
          </cell>
          <cell r="P19">
            <v>4.6000000066123903</v>
          </cell>
          <cell r="R19" t="str">
            <v>Wayside messaging virtual machine failure</v>
          </cell>
          <cell r="S19">
            <v>0</v>
          </cell>
          <cell r="T19" t="str">
            <v>Southbound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https://search-rtdc-monitor-bjffxe2xuh6vdkpspy63sjmuny.us-east-1.es.amazonaws.com/_plugin/kibana/#/discover/Steve-Slow-Train-Analysis-(2080s-and-2083s)?_g=(refreshInterval:(display:Off,section:0,value:0),time:(from:'2016-08-05 03:42:01-0600',mode:absolute,to:'2016-08-05 05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" t="str">
            <v>Y</v>
          </cell>
          <cell r="X19">
            <v>1</v>
          </cell>
          <cell r="Y19">
            <v>23.265599999999999</v>
          </cell>
          <cell r="Z19">
            <v>22.270299999999999</v>
          </cell>
          <cell r="AA19">
            <v>0.9953000000000003</v>
          </cell>
          <cell r="AB19" t="e">
            <v>#N/A</v>
          </cell>
          <cell r="AC19" t="e">
            <v>#N/A</v>
          </cell>
          <cell r="AD19" t="str">
            <v>0104-05</v>
          </cell>
          <cell r="AE19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20">
          <cell r="A20" t="str">
            <v>105-05</v>
          </cell>
          <cell r="B20">
            <v>4020</v>
          </cell>
          <cell r="C20" t="str">
            <v>DE.1.0.7.0</v>
          </cell>
          <cell r="D20" t="str">
            <v>204:64787</v>
          </cell>
          <cell r="E20">
            <v>42587.186805555553</v>
          </cell>
          <cell r="F20">
            <v>42587.1874537037</v>
          </cell>
          <cell r="G20">
            <v>0</v>
          </cell>
          <cell r="H20" t="str">
            <v>204:69808</v>
          </cell>
          <cell r="I20">
            <v>42587.189143518517</v>
          </cell>
          <cell r="J20">
            <v>0</v>
          </cell>
          <cell r="K20" t="str">
            <v>4019/4020</v>
          </cell>
          <cell r="L20" t="str">
            <v>MALAVE</v>
          </cell>
          <cell r="M20">
            <v>1.6898148169275373E-3</v>
          </cell>
          <cell r="P20">
            <v>2.4333333363756537</v>
          </cell>
          <cell r="R20" t="str">
            <v>Wayside messaging virtual machine failure</v>
          </cell>
          <cell r="S20">
            <v>0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https://search-rtdc-monitor-bjffxe2xuh6vdkpspy63sjmuny.us-east-1.es.amazonaws.com/_plugin/kibana/#/discover/Steve-Slow-Train-Analysis-(2080s-and-2083s)?_g=(refreshInterval:(display:Off,section:0,value:0),time:(from:'2016-08-05 03:29:00-0600',mode:absolute,to:'2016-08-05 05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" t="str">
            <v>Y</v>
          </cell>
          <cell r="X20">
            <v>1</v>
          </cell>
          <cell r="Y20">
            <v>6.4786999999999999</v>
          </cell>
          <cell r="Z20">
            <v>6.9808000000000003</v>
          </cell>
          <cell r="AA20">
            <v>0.50210000000000043</v>
          </cell>
          <cell r="AB20" t="e">
            <v>#N/A</v>
          </cell>
          <cell r="AC20" t="e">
            <v>#N/A</v>
          </cell>
          <cell r="AD20" t="str">
            <v>0105-05</v>
          </cell>
          <cell r="AE20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1">
          <cell r="A21" t="str">
            <v>105-05</v>
          </cell>
          <cell r="B21">
            <v>4020</v>
          </cell>
          <cell r="C21" t="str">
            <v>DE.1.0.7.0</v>
          </cell>
          <cell r="D21" t="str">
            <v>204:710</v>
          </cell>
          <cell r="E21">
            <v>42587.176319444443</v>
          </cell>
          <cell r="F21">
            <v>42587.177361111113</v>
          </cell>
          <cell r="G21">
            <v>1</v>
          </cell>
          <cell r="H21" t="str">
            <v>204:19204</v>
          </cell>
          <cell r="I21">
            <v>42587.180613425924</v>
          </cell>
          <cell r="J21">
            <v>0</v>
          </cell>
          <cell r="K21" t="str">
            <v>4019/4020</v>
          </cell>
          <cell r="L21" t="str">
            <v>MALAVE</v>
          </cell>
          <cell r="M21">
            <v>3.2523148111067712E-3</v>
          </cell>
          <cell r="S21">
            <v>0</v>
          </cell>
          <cell r="T21" t="str">
            <v>NorthBound</v>
          </cell>
          <cell r="U21">
            <v>0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https://search-rtdc-monitor-bjffxe2xuh6vdkpspy63sjmuny.us-east-1.es.amazonaws.com/_plugin/kibana/#/discover/Steve-Slow-Train-Analysis-(2080s-and-2083s)?_g=(refreshInterval:(display:Off,section:0,value:0),time:(from:'2016-08-05 03:13:54-0600',mode:absolute,to:'2016-08-05 05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" t="str">
            <v>Y</v>
          </cell>
          <cell r="X21">
            <v>0</v>
          </cell>
          <cell r="Y21">
            <v>7.0999999999999994E-2</v>
          </cell>
          <cell r="Z21">
            <v>1.9204000000000001</v>
          </cell>
          <cell r="AA21">
            <v>1.8494000000000002</v>
          </cell>
          <cell r="AB21" t="e">
            <v>#N/A</v>
          </cell>
          <cell r="AC21" t="e">
            <v>#N/A</v>
          </cell>
          <cell r="AD21" t="str">
            <v>0105-05</v>
          </cell>
          <cell r="AE2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2">
          <cell r="A22" t="str">
            <v>106-05</v>
          </cell>
          <cell r="B22">
            <v>4032</v>
          </cell>
          <cell r="C22" t="str">
            <v>DE.1.0.7.0</v>
          </cell>
          <cell r="D22" t="str">
            <v>204:232641</v>
          </cell>
          <cell r="E22">
            <v>42587.215104166666</v>
          </cell>
          <cell r="F22">
            <v>42587.216192129628</v>
          </cell>
          <cell r="G22">
            <v>1</v>
          </cell>
          <cell r="H22" t="str">
            <v>204:225004</v>
          </cell>
          <cell r="I22">
            <v>42587.217685185184</v>
          </cell>
          <cell r="J22">
            <v>0</v>
          </cell>
          <cell r="K22" t="str">
            <v>4031/4032</v>
          </cell>
          <cell r="L22" t="str">
            <v>MALAVE</v>
          </cell>
          <cell r="M22">
            <v>1.4930555553291924E-3</v>
          </cell>
          <cell r="P22">
            <v>2.1499999996740371</v>
          </cell>
          <cell r="R22" t="str">
            <v>Wayside messaging virtual machine failure</v>
          </cell>
          <cell r="S22">
            <v>0</v>
          </cell>
          <cell r="T22" t="str">
            <v>Southbound</v>
          </cell>
          <cell r="U22">
            <v>0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https://search-rtdc-monitor-bjffxe2xuh6vdkpspy63sjmuny.us-east-1.es.amazonaws.com/_plugin/kibana/#/discover/Steve-Slow-Train-Analysis-(2080s-and-2083s)?_g=(refreshInterval:(display:Off,section:0,value:0),time:(from:'2016-08-05 04:09:45-0600',mode:absolute,to:'2016-08-05 06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" t="str">
            <v>Y</v>
          </cell>
          <cell r="X22">
            <v>1</v>
          </cell>
          <cell r="Y22">
            <v>23.264099999999999</v>
          </cell>
          <cell r="Z22">
            <v>22.500399999999999</v>
          </cell>
          <cell r="AA22">
            <v>0.76370000000000005</v>
          </cell>
          <cell r="AB22" t="e">
            <v>#N/A</v>
          </cell>
          <cell r="AC22" t="e">
            <v>#N/A</v>
          </cell>
          <cell r="AD22" t="str">
            <v>0106-05</v>
          </cell>
          <cell r="AE22" t="str">
            <v>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 &amp; 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</v>
          </cell>
        </row>
        <row r="23">
          <cell r="A23" t="str">
            <v>107-05</v>
          </cell>
          <cell r="B23">
            <v>4038</v>
          </cell>
          <cell r="C23" t="str">
            <v>DE.1.0.7.0</v>
          </cell>
          <cell r="D23" t="str">
            <v>204:458</v>
          </cell>
          <cell r="E23">
            <v>42587.184247685182</v>
          </cell>
          <cell r="F23">
            <v>42587.185254629629</v>
          </cell>
          <cell r="G23">
            <v>1</v>
          </cell>
          <cell r="H23" t="str">
            <v>204:19133</v>
          </cell>
          <cell r="I23">
            <v>42587.190740740742</v>
          </cell>
          <cell r="J23">
            <v>0</v>
          </cell>
          <cell r="K23" t="str">
            <v>4037/4038</v>
          </cell>
          <cell r="L23" t="str">
            <v>GRASTON</v>
          </cell>
          <cell r="M23">
            <v>5.4861111129866913E-3</v>
          </cell>
          <cell r="P23">
            <v>7.9000000027008355</v>
          </cell>
          <cell r="R23" t="str">
            <v>Wayside messaging virtual machine failure</v>
          </cell>
          <cell r="S23">
            <v>0</v>
          </cell>
          <cell r="T23" t="str">
            <v>NorthBound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https://search-rtdc-monitor-bjffxe2xuh6vdkpspy63sjmuny.us-east-1.es.amazonaws.com/_plugin/kibana/#/discover/Steve-Slow-Train-Analysis-(2080s-and-2083s)?_g=(refreshInterval:(display:Off,section:0,value:0),time:(from:'2016-08-05 03:25:19-0600',mode:absolute,to:'2016-08-05 05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Y</v>
          </cell>
          <cell r="X23">
            <v>1</v>
          </cell>
          <cell r="Y23">
            <v>4.58E-2</v>
          </cell>
          <cell r="Z23">
            <v>1.9133</v>
          </cell>
          <cell r="AA23">
            <v>1.8674999999999999</v>
          </cell>
          <cell r="AB23" t="e">
            <v>#N/A</v>
          </cell>
          <cell r="AC23" t="e">
            <v>#N/A</v>
          </cell>
          <cell r="AD23" t="str">
            <v>0107-05</v>
          </cell>
          <cell r="AE2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4">
          <cell r="A24" t="str">
            <v>108-05</v>
          </cell>
          <cell r="B24">
            <v>4037</v>
          </cell>
          <cell r="C24" t="str">
            <v>DE.1.0.7.0</v>
          </cell>
          <cell r="D24" t="str">
            <v>204:232977</v>
          </cell>
          <cell r="E24">
            <v>42587.223773148151</v>
          </cell>
          <cell r="F24">
            <v>42587.224849537037</v>
          </cell>
          <cell r="G24">
            <v>1</v>
          </cell>
          <cell r="H24" t="str">
            <v>204:231608</v>
          </cell>
          <cell r="I24">
            <v>42587.227280092593</v>
          </cell>
          <cell r="J24">
            <v>0</v>
          </cell>
          <cell r="K24" t="str">
            <v>4037/4038</v>
          </cell>
          <cell r="L24" t="str">
            <v>GRASTON</v>
          </cell>
          <cell r="M24">
            <v>2.4305555562023073E-3</v>
          </cell>
          <cell r="P24">
            <v>3.5000000009313226</v>
          </cell>
          <cell r="R24" t="str">
            <v>Wayside messaging virtual machine failure</v>
          </cell>
          <cell r="S24">
            <v>0</v>
          </cell>
          <cell r="T24" t="str">
            <v>Southbound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https://search-rtdc-monitor-bjffxe2xuh6vdkpspy63sjmuny.us-east-1.es.amazonaws.com/_plugin/kibana/#/discover/Steve-Slow-Train-Analysis-(2080s-and-2083s)?_g=(refreshInterval:(display:Off,section:0,value:0),time:(from:'2016-08-05 04:22:14-0600',mode:absolute,to:'2016-08-05 06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Y</v>
          </cell>
          <cell r="X24">
            <v>1</v>
          </cell>
          <cell r="Y24">
            <v>23.297699999999999</v>
          </cell>
          <cell r="Z24">
            <v>23.160799999999998</v>
          </cell>
          <cell r="AA24">
            <v>0.13690000000000069</v>
          </cell>
          <cell r="AB24" t="e">
            <v>#N/A</v>
          </cell>
          <cell r="AC24" t="e">
            <v>#N/A</v>
          </cell>
          <cell r="AD24" t="str">
            <v>0108-05</v>
          </cell>
          <cell r="AE2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25">
          <cell r="A25" t="str">
            <v>109-05</v>
          </cell>
          <cell r="B25">
            <v>4027</v>
          </cell>
          <cell r="C25" t="str">
            <v>DE.1.0.7.0</v>
          </cell>
          <cell r="D25" t="str">
            <v>204:462</v>
          </cell>
          <cell r="E25">
            <v>42587.192662037036</v>
          </cell>
          <cell r="F25">
            <v>42587.193657407406</v>
          </cell>
          <cell r="G25">
            <v>1</v>
          </cell>
          <cell r="H25" t="str">
            <v>204:19122</v>
          </cell>
          <cell r="I25">
            <v>42587.20207175926</v>
          </cell>
          <cell r="J25">
            <v>0</v>
          </cell>
          <cell r="K25" t="str">
            <v>4027/4028</v>
          </cell>
          <cell r="L25" t="str">
            <v>ISHMAEL</v>
          </cell>
          <cell r="M25">
            <v>8.4143518542987294E-3</v>
          </cell>
          <cell r="P25">
            <v>12.11666667019017</v>
          </cell>
          <cell r="R25" t="str">
            <v>Wayside messaging virtual machine failure</v>
          </cell>
          <cell r="S25">
            <v>0</v>
          </cell>
          <cell r="T25" t="str">
            <v>NorthBound</v>
          </cell>
          <cell r="U25">
            <v>0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https://search-rtdc-monitor-bjffxe2xuh6vdkpspy63sjmuny.us-east-1.es.amazonaws.com/_plugin/kibana/#/discover/Steve-Slow-Train-Analysis-(2080s-and-2083s)?_g=(refreshInterval:(display:Off,section:0,value:0),time:(from:'2016-08-05 03:37:26-0600',mode:absolute,to:'2016-08-05 05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5" t="str">
            <v>Y</v>
          </cell>
          <cell r="X25">
            <v>1</v>
          </cell>
          <cell r="Y25">
            <v>4.6199999999999998E-2</v>
          </cell>
          <cell r="Z25">
            <v>1.9121999999999999</v>
          </cell>
          <cell r="AA25">
            <v>1.8659999999999999</v>
          </cell>
          <cell r="AB25" t="e">
            <v>#N/A</v>
          </cell>
          <cell r="AC25" t="e">
            <v>#N/A</v>
          </cell>
          <cell r="AD25" t="str">
            <v>0109-05</v>
          </cell>
          <cell r="AE2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6">
          <cell r="A26" t="str">
            <v>110-05</v>
          </cell>
          <cell r="B26" t="str">
            <v>-</v>
          </cell>
          <cell r="C26" t="str">
            <v>-</v>
          </cell>
          <cell r="D26" t="str">
            <v>-</v>
          </cell>
          <cell r="E26" t="str">
            <v>-</v>
          </cell>
          <cell r="F26" t="str">
            <v>-</v>
          </cell>
          <cell r="G26" t="str">
            <v>-</v>
          </cell>
          <cell r="H26" t="str">
            <v>-</v>
          </cell>
          <cell r="I26" t="str">
            <v>-</v>
          </cell>
          <cell r="J26" t="str">
            <v>-</v>
          </cell>
          <cell r="K26" t="e">
            <v>#VALUE!</v>
          </cell>
          <cell r="L26" t="str">
            <v>ISHMAEL</v>
          </cell>
          <cell r="M26" t="e">
            <v>#VALUE!</v>
          </cell>
          <cell r="P26">
            <v>1</v>
          </cell>
          <cell r="R26" t="str">
            <v>Wayside messaging virtual machine failure</v>
          </cell>
          <cell r="S26">
            <v>0</v>
          </cell>
          <cell r="T26" t="str">
            <v>Southbound</v>
          </cell>
          <cell r="U26">
            <v>0</v>
          </cell>
          <cell r="V26" t="e">
            <v>#VALUE!</v>
          </cell>
          <cell r="W26" t="e">
            <v>#VALUE!</v>
          </cell>
          <cell r="X26">
            <v>1</v>
          </cell>
          <cell r="Y26" t="e">
            <v>#VALUE!</v>
          </cell>
          <cell r="Z26" t="e">
            <v>#VALUE!</v>
          </cell>
          <cell r="AA26" t="e">
            <v>#VALUE!</v>
          </cell>
          <cell r="AB26" t="e">
            <v>#N/A</v>
          </cell>
          <cell r="AC26" t="e">
            <v>#N/A</v>
          </cell>
          <cell r="AD26" t="str">
            <v>0110-05</v>
          </cell>
          <cell r="AE26" t="e">
            <v>#VALUE!</v>
          </cell>
        </row>
        <row r="27">
          <cell r="A27" t="str">
            <v>111-05</v>
          </cell>
          <cell r="B27">
            <v>4044</v>
          </cell>
          <cell r="C27" t="str">
            <v>DE.1.0.7.0</v>
          </cell>
          <cell r="D27" t="str">
            <v>204:826</v>
          </cell>
          <cell r="E27">
            <v>42587.209710648145</v>
          </cell>
          <cell r="F27">
            <v>42587.210787037038</v>
          </cell>
          <cell r="G27">
            <v>1</v>
          </cell>
          <cell r="H27" t="str">
            <v>204:19894</v>
          </cell>
          <cell r="I27">
            <v>42587.215555555558</v>
          </cell>
          <cell r="J27">
            <v>0</v>
          </cell>
          <cell r="K27" t="str">
            <v>4043/4044</v>
          </cell>
          <cell r="L27" t="str">
            <v>SANTIZO</v>
          </cell>
          <cell r="M27">
            <v>4.7685185199952684E-3</v>
          </cell>
          <cell r="P27">
            <v>6.8666666687931865</v>
          </cell>
          <cell r="R27" t="str">
            <v>Wayside messaging virtual machine failure</v>
          </cell>
          <cell r="S27">
            <v>0</v>
          </cell>
          <cell r="T27" t="str">
            <v>NorthBound</v>
          </cell>
          <cell r="U27">
            <v>0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https://search-rtdc-monitor-bjffxe2xuh6vdkpspy63sjmuny.us-east-1.es.amazonaws.com/_plugin/kibana/#/discover/Steve-Slow-Train-Analysis-(2080s-and-2083s)?_g=(refreshInterval:(display:Off,section:0,value:0),time:(from:'2016-08-05 04:01:59-0600',mode:absolute,to:'2016-08-05 06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7" t="str">
            <v>Y</v>
          </cell>
          <cell r="X27">
            <v>1</v>
          </cell>
          <cell r="Y27">
            <v>8.2600000000000007E-2</v>
          </cell>
          <cell r="Z27">
            <v>1.9894000000000001</v>
          </cell>
          <cell r="AA27">
            <v>1.9068000000000001</v>
          </cell>
          <cell r="AB27" t="e">
            <v>#N/A</v>
          </cell>
          <cell r="AC27" t="e">
            <v>#N/A</v>
          </cell>
          <cell r="AD27" t="str">
            <v>0111-05</v>
          </cell>
          <cell r="AE2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28">
          <cell r="A28" t="str">
            <v>112-05</v>
          </cell>
          <cell r="B28">
            <v>4043</v>
          </cell>
          <cell r="C28" t="str">
            <v>DE.1.0.7.0</v>
          </cell>
          <cell r="D28" t="str">
            <v>204:233030</v>
          </cell>
          <cell r="E28">
            <v>42587.238055555557</v>
          </cell>
          <cell r="F28">
            <v>42587.239027777781</v>
          </cell>
          <cell r="G28">
            <v>1</v>
          </cell>
          <cell r="H28" t="str">
            <v>204:220159</v>
          </cell>
          <cell r="I28">
            <v>42587.250428240739</v>
          </cell>
          <cell r="J28">
            <v>0</v>
          </cell>
          <cell r="K28" t="str">
            <v>4043/4044</v>
          </cell>
          <cell r="L28" t="str">
            <v>SANTIZO</v>
          </cell>
          <cell r="M28">
            <v>1.1400462957681157E-2</v>
          </cell>
          <cell r="P28">
            <v>16.416666659060866</v>
          </cell>
          <cell r="R28" t="str">
            <v>Wayside messaging virtual machine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https://search-rtdc-monitor-bjffxe2xuh6vdkpspy63sjmuny.us-east-1.es.amazonaws.com/_plugin/kibana/#/discover/Steve-Slow-Train-Analysis-(2080s-and-2083s)?_g=(refreshInterval:(display:Off,section:0,value:0),time:(from:'2016-08-05 04:42:48-0600',mode:absolute,to:'2016-08-05 07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8" t="str">
            <v>Y</v>
          </cell>
          <cell r="X28">
            <v>1</v>
          </cell>
          <cell r="Y28">
            <v>23.303000000000001</v>
          </cell>
          <cell r="Z28">
            <v>22.015899999999998</v>
          </cell>
          <cell r="AA28">
            <v>1.2871000000000024</v>
          </cell>
          <cell r="AB28" t="e">
            <v>#N/A</v>
          </cell>
          <cell r="AC28" t="e">
            <v>#N/A</v>
          </cell>
          <cell r="AD28" t="str">
            <v>0112-05</v>
          </cell>
          <cell r="AE2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29">
          <cell r="A29" t="str">
            <v>113-05</v>
          </cell>
          <cell r="B29">
            <v>4025</v>
          </cell>
          <cell r="C29" t="str">
            <v>DE.1.0.7.0</v>
          </cell>
          <cell r="D29" t="str">
            <v>204:484</v>
          </cell>
          <cell r="E29">
            <v>42587.214444444442</v>
          </cell>
          <cell r="F29">
            <v>42587.215752314813</v>
          </cell>
          <cell r="G29">
            <v>1</v>
          </cell>
          <cell r="H29" t="str">
            <v>204:19130</v>
          </cell>
          <cell r="I29">
            <v>42587.222743055558</v>
          </cell>
          <cell r="J29">
            <v>0</v>
          </cell>
          <cell r="K29" t="str">
            <v>4025/4026</v>
          </cell>
          <cell r="L29" t="str">
            <v>MAELZER</v>
          </cell>
          <cell r="M29">
            <v>6.9907407450955361E-3</v>
          </cell>
          <cell r="P29">
            <v>10.066666672937572</v>
          </cell>
          <cell r="R29" t="str">
            <v>Wayside messaging virtual machine failure</v>
          </cell>
          <cell r="S29">
            <v>0</v>
          </cell>
          <cell r="T29" t="str">
            <v>NorthBound</v>
          </cell>
          <cell r="U29">
            <v>0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https://search-rtdc-monitor-bjffxe2xuh6vdkpspy63sjmuny.us-east-1.es.amazonaws.com/_plugin/kibana/#/discover/Steve-Slow-Train-Analysis-(2080s-and-2083s)?_g=(refreshInterval:(display:Off,section:0,value:0),time:(from:'2016-08-05 04:08:48-0600',mode:absolute,to:'2016-08-05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9" t="str">
            <v>Y</v>
          </cell>
          <cell r="X29">
            <v>1</v>
          </cell>
          <cell r="Y29">
            <v>4.8399999999999999E-2</v>
          </cell>
          <cell r="Z29">
            <v>1.913</v>
          </cell>
          <cell r="AA29">
            <v>1.8646</v>
          </cell>
          <cell r="AB29" t="e">
            <v>#N/A</v>
          </cell>
          <cell r="AC29" t="e">
            <v>#N/A</v>
          </cell>
          <cell r="AD29" t="str">
            <v>0113-05</v>
          </cell>
          <cell r="AE2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30">
          <cell r="A30" t="str">
            <v>114-05</v>
          </cell>
          <cell r="B30">
            <v>4026</v>
          </cell>
          <cell r="C30" t="str">
            <v>DE.1.0.7.0</v>
          </cell>
          <cell r="D30" t="str">
            <v>204:232977</v>
          </cell>
          <cell r="E30">
            <v>42587.255624999998</v>
          </cell>
          <cell r="F30">
            <v>42587.256458333337</v>
          </cell>
          <cell r="G30">
            <v>1</v>
          </cell>
          <cell r="H30" t="str">
            <v>204:225122</v>
          </cell>
          <cell r="I30">
            <v>42587.259814814817</v>
          </cell>
          <cell r="J30">
            <v>0</v>
          </cell>
          <cell r="K30" t="str">
            <v>4025/4026</v>
          </cell>
          <cell r="L30" t="str">
            <v>MAELZER</v>
          </cell>
          <cell r="M30">
            <v>3.3564814802957699E-3</v>
          </cell>
          <cell r="P30">
            <v>4.8333333316259086</v>
          </cell>
          <cell r="R30" t="str">
            <v>Wayside messaging virtual machine failure</v>
          </cell>
          <cell r="S30">
            <v>0</v>
          </cell>
          <cell r="T30" t="str">
            <v>Southbound</v>
          </cell>
          <cell r="U30">
            <v>0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https://search-rtdc-monitor-bjffxe2xuh6vdkpspy63sjmuny.us-east-1.es.amazonaws.com/_plugin/kibana/#/discover/Steve-Slow-Train-Analysis-(2080s-and-2083s)?_g=(refreshInterval:(display:Off,section:0,value:0),time:(from:'2016-08-05 05:08:06-0600',mode:absolute,to:'2016-08-05 07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0" t="str">
            <v>Y</v>
          </cell>
          <cell r="X30">
            <v>1</v>
          </cell>
          <cell r="Y30">
            <v>23.297699999999999</v>
          </cell>
          <cell r="Z30">
            <v>22.5122</v>
          </cell>
          <cell r="AA30">
            <v>0.78549999999999898</v>
          </cell>
          <cell r="AB30" t="e">
            <v>#N/A</v>
          </cell>
          <cell r="AC30" t="e">
            <v>#N/A</v>
          </cell>
          <cell r="AD30" t="str">
            <v>0114-05</v>
          </cell>
          <cell r="AE3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31">
          <cell r="A31" t="str">
            <v>115-05</v>
          </cell>
          <cell r="B31">
            <v>4009</v>
          </cell>
          <cell r="C31" t="str">
            <v>DE.1.0.7.0</v>
          </cell>
          <cell r="D31" t="str">
            <v>204:717</v>
          </cell>
          <cell r="E31">
            <v>42587.22923611111</v>
          </cell>
          <cell r="F31">
            <v>42587.230115740742</v>
          </cell>
          <cell r="G31">
            <v>1</v>
          </cell>
          <cell r="H31" t="str">
            <v>204:19128</v>
          </cell>
          <cell r="I31">
            <v>42587.233634259261</v>
          </cell>
          <cell r="J31">
            <v>0</v>
          </cell>
          <cell r="K31" t="str">
            <v>4009/4010</v>
          </cell>
          <cell r="L31" t="str">
            <v>ROCHA</v>
          </cell>
          <cell r="M31">
            <v>3.5185185188311152E-3</v>
          </cell>
          <cell r="P31">
            <v>5.0666666671168059</v>
          </cell>
          <cell r="R31" t="str">
            <v>Wayside messaging virtual machine failure</v>
          </cell>
          <cell r="S31">
            <v>0</v>
          </cell>
          <cell r="T31" t="str">
            <v>NorthBound</v>
          </cell>
          <cell r="U31">
            <v>0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https://search-rtdc-monitor-bjffxe2xuh6vdkpspy63sjmuny.us-east-1.es.amazonaws.com/_plugin/kibana/#/discover/Steve-Slow-Train-Analysis-(2080s-and-2083s)?_g=(refreshInterval:(display:Off,section:0,value:0),time:(from:'2016-08-05 04:30:06-0600',mode:absolute,to:'2016-08-05 06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1" t="str">
            <v>Y</v>
          </cell>
          <cell r="X31">
            <v>1</v>
          </cell>
          <cell r="Y31">
            <v>7.17E-2</v>
          </cell>
          <cell r="Z31">
            <v>1.9128000000000001</v>
          </cell>
          <cell r="AA31">
            <v>1.8411</v>
          </cell>
          <cell r="AB31" t="e">
            <v>#N/A</v>
          </cell>
          <cell r="AC31" t="e">
            <v>#N/A</v>
          </cell>
          <cell r="AD31" t="str">
            <v>0115-05</v>
          </cell>
          <cell r="AE3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32">
          <cell r="A32" t="str">
            <v>116-05</v>
          </cell>
          <cell r="B32">
            <v>4010</v>
          </cell>
          <cell r="C32" t="str">
            <v>DE.1.0.7.0</v>
          </cell>
          <cell r="D32" t="str">
            <v>204:232975</v>
          </cell>
          <cell r="E32">
            <v>42587.267418981479</v>
          </cell>
          <cell r="F32">
            <v>42587.268252314818</v>
          </cell>
          <cell r="G32">
            <v>1</v>
          </cell>
          <cell r="H32" t="str">
            <v>204:224036</v>
          </cell>
          <cell r="I32">
            <v>42587.270590277774</v>
          </cell>
          <cell r="J32">
            <v>0</v>
          </cell>
          <cell r="K32" t="str">
            <v>4009/4010</v>
          </cell>
          <cell r="L32" t="str">
            <v>ROCHA</v>
          </cell>
          <cell r="M32">
            <v>2.3379629565170035E-3</v>
          </cell>
          <cell r="P32">
            <v>3.366666657384485</v>
          </cell>
          <cell r="R32" t="str">
            <v>Wayside messaging virtual machine failure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https://search-rtdc-monitor-bjffxe2xuh6vdkpspy63sjmuny.us-east-1.es.amazonaws.com/_plugin/kibana/#/discover/Steve-Slow-Train-Analysis-(2080s-and-2083s)?_g=(refreshInterval:(display:Off,section:0,value:0),time:(from:'2016-08-05 05:25:05-0600',mode:absolute,to:'2016-08-05 07:29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2" t="str">
            <v>Y</v>
          </cell>
          <cell r="X32">
            <v>1</v>
          </cell>
          <cell r="Y32">
            <v>23.297499999999999</v>
          </cell>
          <cell r="Z32">
            <v>22.403600000000001</v>
          </cell>
          <cell r="AA32">
            <v>0.89389999999999858</v>
          </cell>
          <cell r="AB32" t="e">
            <v>#N/A</v>
          </cell>
          <cell r="AC32" t="e">
            <v>#N/A</v>
          </cell>
          <cell r="AD32" t="str">
            <v>0116-05</v>
          </cell>
          <cell r="AE3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33">
          <cell r="A33" t="str">
            <v>117-05</v>
          </cell>
          <cell r="B33">
            <v>4029</v>
          </cell>
          <cell r="C33" t="str">
            <v>DE.1.0.7.0</v>
          </cell>
          <cell r="D33" t="str">
            <v>204:462</v>
          </cell>
          <cell r="E33">
            <v>42587.235300925924</v>
          </cell>
          <cell r="F33">
            <v>42587.236157407409</v>
          </cell>
          <cell r="G33">
            <v>1</v>
          </cell>
          <cell r="H33" t="str">
            <v>204:19137</v>
          </cell>
          <cell r="I33">
            <v>42587.24324074074</v>
          </cell>
          <cell r="J33">
            <v>0</v>
          </cell>
          <cell r="K33" t="str">
            <v>4029/4030</v>
          </cell>
          <cell r="L33" t="str">
            <v>DAVIS</v>
          </cell>
          <cell r="M33">
            <v>7.0833333302289248E-3</v>
          </cell>
          <cell r="P33">
            <v>10.199999995529652</v>
          </cell>
          <cell r="R33" t="str">
            <v>Wayside messaging virtual machine failure</v>
          </cell>
          <cell r="S33">
            <v>0</v>
          </cell>
          <cell r="T33" t="str">
            <v>NorthBound</v>
          </cell>
          <cell r="U33">
            <v>0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https://search-rtdc-monitor-bjffxe2xuh6vdkpspy63sjmuny.us-east-1.es.amazonaws.com/_plugin/kibana/#/discover/Steve-Slow-Train-Analysis-(2080s-and-2083s)?_g=(refreshInterval:(display:Off,section:0,value:0),time:(from:'2016-08-05 04:38:50-0600',mode:absolute,to:'2016-08-05 06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3" t="str">
            <v>Y</v>
          </cell>
          <cell r="X33">
            <v>1</v>
          </cell>
          <cell r="Y33">
            <v>4.6199999999999998E-2</v>
          </cell>
          <cell r="Z33">
            <v>1.9137</v>
          </cell>
          <cell r="AA33">
            <v>1.8674999999999999</v>
          </cell>
          <cell r="AB33" t="e">
            <v>#N/A</v>
          </cell>
          <cell r="AC33" t="e">
            <v>#N/A</v>
          </cell>
          <cell r="AD33" t="str">
            <v>0117-05</v>
          </cell>
          <cell r="AE3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34">
          <cell r="A34" t="str">
            <v>118-05</v>
          </cell>
          <cell r="B34">
            <v>4030</v>
          </cell>
          <cell r="C34" t="str">
            <v>DE.1.0.7.0</v>
          </cell>
          <cell r="D34" t="str">
            <v>204:232989</v>
          </cell>
          <cell r="E34">
            <v>42587.27138888889</v>
          </cell>
          <cell r="F34">
            <v>42587.272280092591</v>
          </cell>
          <cell r="G34">
            <v>1</v>
          </cell>
          <cell r="H34" t="str">
            <v>204:224347</v>
          </cell>
          <cell r="I34">
            <v>42587.280474537038</v>
          </cell>
          <cell r="J34">
            <v>0</v>
          </cell>
          <cell r="K34" t="str">
            <v>4029/4030</v>
          </cell>
          <cell r="L34" t="str">
            <v>DAVIS</v>
          </cell>
          <cell r="M34">
            <v>8.1944444464170374E-3</v>
          </cell>
          <cell r="P34">
            <v>11.800000002840534</v>
          </cell>
          <cell r="R34" t="str">
            <v>Wayside messaging virtual machine failure</v>
          </cell>
          <cell r="S34">
            <v>0</v>
          </cell>
          <cell r="T34" t="str">
            <v>Southbound</v>
          </cell>
          <cell r="U34">
            <v>0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https://search-rtdc-monitor-bjffxe2xuh6vdkpspy63sjmuny.us-east-1.es.amazonaws.com/_plugin/kibana/#/discover/Steve-Slow-Train-Analysis-(2080s-and-2083s)?_g=(refreshInterval:(display:Off,section:0,value:0),time:(from:'2016-08-05 05:30:48-0600',mode:absolute,to:'2016-08-05 07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4" t="str">
            <v>Y</v>
          </cell>
          <cell r="X34">
            <v>1</v>
          </cell>
          <cell r="Y34">
            <v>23.2989</v>
          </cell>
          <cell r="Z34">
            <v>22.434699999999999</v>
          </cell>
          <cell r="AA34">
            <v>0.8642000000000003</v>
          </cell>
          <cell r="AB34" t="e">
            <v>#N/A</v>
          </cell>
          <cell r="AC34" t="e">
            <v>#N/A</v>
          </cell>
          <cell r="AD34" t="str">
            <v>0118-05</v>
          </cell>
          <cell r="AE3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35">
          <cell r="A35" t="str">
            <v>119-05</v>
          </cell>
          <cell r="B35">
            <v>4020</v>
          </cell>
          <cell r="C35" t="str">
            <v>DE.1.0.7.0</v>
          </cell>
          <cell r="D35" t="str">
            <v>204:781</v>
          </cell>
          <cell r="E35">
            <v>42587.248344907406</v>
          </cell>
          <cell r="F35">
            <v>42587.249513888892</v>
          </cell>
          <cell r="G35">
            <v>1</v>
          </cell>
          <cell r="H35" t="str">
            <v>204:19130</v>
          </cell>
          <cell r="I35">
            <v>42587.253379629627</v>
          </cell>
          <cell r="J35">
            <v>0</v>
          </cell>
          <cell r="K35" t="str">
            <v>4019/4020</v>
          </cell>
          <cell r="L35" t="str">
            <v>MALAVE</v>
          </cell>
          <cell r="M35">
            <v>3.8657407349091955E-3</v>
          </cell>
          <cell r="P35">
            <v>5.5666666582692415</v>
          </cell>
          <cell r="R35" t="str">
            <v>Wayside messaging virtual machine failure</v>
          </cell>
          <cell r="S35">
            <v>0</v>
          </cell>
          <cell r="T35" t="str">
            <v>NorthBound</v>
          </cell>
          <cell r="U35">
            <v>0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https://search-rtdc-monitor-bjffxe2xuh6vdkpspy63sjmuny.us-east-1.es.amazonaws.com/_plugin/kibana/#/discover/Steve-Slow-Train-Analysis-(2080s-and-2083s)?_g=(refreshInterval:(display:Off,section:0,value:0),time:(from:'2016-08-05 04:57:37-0600',mode:absolute,to:'2016-08-05 07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5" t="str">
            <v>Y</v>
          </cell>
          <cell r="X35">
            <v>1</v>
          </cell>
          <cell r="Y35">
            <v>7.8100000000000003E-2</v>
          </cell>
          <cell r="Z35">
            <v>1.913</v>
          </cell>
          <cell r="AA35">
            <v>1.8349</v>
          </cell>
          <cell r="AB35" t="e">
            <v>#N/A</v>
          </cell>
          <cell r="AC35" t="e">
            <v>#N/A</v>
          </cell>
          <cell r="AD35" t="str">
            <v>0119-05</v>
          </cell>
          <cell r="AE3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36">
          <cell r="A36" t="str">
            <v>120-05</v>
          </cell>
          <cell r="B36">
            <v>4019</v>
          </cell>
          <cell r="C36" t="str">
            <v>DE.1.0.7.0</v>
          </cell>
          <cell r="D36" t="str">
            <v>204:232955</v>
          </cell>
          <cell r="E36">
            <v>42587.287557870368</v>
          </cell>
          <cell r="F36">
            <v>42587.288726851853</v>
          </cell>
          <cell r="G36">
            <v>1</v>
          </cell>
          <cell r="H36" t="str">
            <v>204:226763</v>
          </cell>
          <cell r="I36">
            <v>42587.29111111111</v>
          </cell>
          <cell r="J36">
            <v>0</v>
          </cell>
          <cell r="K36" t="str">
            <v>4019/4020</v>
          </cell>
          <cell r="L36" t="str">
            <v>MALAVE</v>
          </cell>
          <cell r="M36">
            <v>2.3842592563596554E-3</v>
          </cell>
          <cell r="P36">
            <v>3.4333333291579038</v>
          </cell>
          <cell r="R36" t="str">
            <v>Wayside messaging virtual machine failure</v>
          </cell>
          <cell r="S36">
            <v>0</v>
          </cell>
          <cell r="T36" t="str">
            <v>Southbound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https://search-rtdc-monitor-bjffxe2xuh6vdkpspy63sjmuny.us-east-1.es.amazonaws.com/_plugin/kibana/#/discover/Steve-Slow-Train-Analysis-(2080s-and-2083s)?_g=(refreshInterval:(display:Off,section:0,value:0),time:(from:'2016-08-05 05:54:05-0600',mode:absolute,to:'2016-08-05 07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6" t="str">
            <v>Y</v>
          </cell>
          <cell r="X36">
            <v>1</v>
          </cell>
          <cell r="Y36">
            <v>23.295500000000001</v>
          </cell>
          <cell r="Z36">
            <v>22.676300000000001</v>
          </cell>
          <cell r="AA36">
            <v>0.61919999999999931</v>
          </cell>
          <cell r="AB36" t="e">
            <v>#N/A</v>
          </cell>
          <cell r="AC36" t="e">
            <v>#N/A</v>
          </cell>
          <cell r="AD36" t="str">
            <v>0120-05</v>
          </cell>
          <cell r="AE3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37">
          <cell r="A37" t="str">
            <v>121-05</v>
          </cell>
          <cell r="B37">
            <v>4038</v>
          </cell>
          <cell r="C37" t="str">
            <v>DE.1.0.7.0</v>
          </cell>
          <cell r="D37" t="str">
            <v>204:429</v>
          </cell>
          <cell r="E37">
            <v>42587.25744212963</v>
          </cell>
          <cell r="F37">
            <v>42587.258368055554</v>
          </cell>
          <cell r="G37">
            <v>1</v>
          </cell>
          <cell r="H37" t="str">
            <v>204:19130</v>
          </cell>
          <cell r="I37">
            <v>42587.263622685183</v>
          </cell>
          <cell r="J37">
            <v>0</v>
          </cell>
          <cell r="K37" t="str">
            <v>4037/4038</v>
          </cell>
          <cell r="L37" t="str">
            <v>GRASTON</v>
          </cell>
          <cell r="M37">
            <v>5.2546296283253469E-3</v>
          </cell>
          <cell r="P37">
            <v>7.5666666647884995</v>
          </cell>
          <cell r="R37" t="str">
            <v>Wayside messaging virtual machine failure</v>
          </cell>
          <cell r="S37">
            <v>0</v>
          </cell>
          <cell r="T37" t="str">
            <v>NorthBound</v>
          </cell>
          <cell r="U37">
            <v>0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https://search-rtdc-monitor-bjffxe2xuh6vdkpspy63sjmuny.us-east-1.es.amazonaws.com/_plugin/kibana/#/discover/Steve-Slow-Train-Analysis-(2080s-and-2083s)?_g=(refreshInterval:(display:Off,section:0,value:0),time:(from:'2016-08-05 05:10:43-0600',mode:absolute,to:'2016-08-05 07:19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Y</v>
          </cell>
          <cell r="X37">
            <v>1</v>
          </cell>
          <cell r="Y37">
            <v>4.2900000000000001E-2</v>
          </cell>
          <cell r="Z37">
            <v>1.913</v>
          </cell>
          <cell r="AA37">
            <v>1.8701000000000001</v>
          </cell>
          <cell r="AB37" t="e">
            <v>#N/A</v>
          </cell>
          <cell r="AC37" t="e">
            <v>#N/A</v>
          </cell>
          <cell r="AD37" t="str">
            <v>0121-05</v>
          </cell>
          <cell r="AE3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38">
          <cell r="A38" t="str">
            <v>122-05</v>
          </cell>
          <cell r="B38">
            <v>4037</v>
          </cell>
          <cell r="C38" t="str">
            <v>DE.1.0.7.0</v>
          </cell>
          <cell r="D38" t="str">
            <v>204:233013</v>
          </cell>
          <cell r="E38">
            <v>42587.296053240738</v>
          </cell>
          <cell r="F38">
            <v>42587.297083333331</v>
          </cell>
          <cell r="G38">
            <v>1</v>
          </cell>
          <cell r="H38" t="str">
            <v>204:228926</v>
          </cell>
          <cell r="I38">
            <v>42587.300810185188</v>
          </cell>
          <cell r="J38">
            <v>0</v>
          </cell>
          <cell r="K38" t="str">
            <v>4037/4038</v>
          </cell>
          <cell r="L38" t="str">
            <v>GRASTON</v>
          </cell>
          <cell r="M38">
            <v>3.7268518572091125E-3</v>
          </cell>
          <cell r="P38">
            <v>5.366666674381122</v>
          </cell>
          <cell r="R38" t="str">
            <v>Wayside messaging virtual machine failure</v>
          </cell>
          <cell r="S38">
            <v>0</v>
          </cell>
          <cell r="T38" t="str">
            <v>Southbound</v>
          </cell>
          <cell r="U38">
            <v>0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https://search-rtdc-monitor-bjffxe2xuh6vdkpspy63sjmuny.us-east-1.es.amazonaws.com/_plugin/kibana/#/discover/Steve-Slow-Train-Analysis-(2080s-and-2083s)?_g=(refreshInterval:(display:Off,section:0,value:0),time:(from:'2016-08-05 06:06:19-0600',mode:absolute,to:'2016-08-05 08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Y</v>
          </cell>
          <cell r="X38">
            <v>1</v>
          </cell>
          <cell r="Y38">
            <v>23.301300000000001</v>
          </cell>
          <cell r="Z38">
            <v>22.892600000000002</v>
          </cell>
          <cell r="AA38">
            <v>0.40869999999999962</v>
          </cell>
          <cell r="AB38" t="e">
            <v>#N/A</v>
          </cell>
          <cell r="AC38" t="e">
            <v>#N/A</v>
          </cell>
          <cell r="AD38" t="str">
            <v>0122-05</v>
          </cell>
          <cell r="AE3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39">
          <cell r="A39" t="str">
            <v>123-05</v>
          </cell>
          <cell r="B39">
            <v>4027</v>
          </cell>
          <cell r="C39" t="str">
            <v>DE.1.0.7.0</v>
          </cell>
          <cell r="D39" t="str">
            <v>204:457</v>
          </cell>
          <cell r="E39">
            <v>42587.266284722224</v>
          </cell>
          <cell r="F39">
            <v>42587.26730324074</v>
          </cell>
          <cell r="G39">
            <v>1</v>
          </cell>
          <cell r="H39" t="str">
            <v>204:19136</v>
          </cell>
          <cell r="I39">
            <v>42587.274317129632</v>
          </cell>
          <cell r="J39">
            <v>0</v>
          </cell>
          <cell r="K39" t="str">
            <v>4027/4028</v>
          </cell>
          <cell r="L39" t="str">
            <v>ISHMAEL</v>
          </cell>
          <cell r="M39">
            <v>7.0138888913788833E-3</v>
          </cell>
          <cell r="P39">
            <v>10.100000003585592</v>
          </cell>
          <cell r="R39" t="str">
            <v>Wayside messaging virtual machine failure</v>
          </cell>
          <cell r="S39">
            <v>0</v>
          </cell>
          <cell r="T39" t="str">
            <v>NorthBound</v>
          </cell>
          <cell r="U39">
            <v>0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https://search-rtdc-monitor-bjffxe2xuh6vdkpspy63sjmuny.us-east-1.es.amazonaws.com/_plugin/kibana/#/discover/Steve-Slow-Train-Analysis-(2080s-and-2083s)?_g=(refreshInterval:(display:Off,section:0,value:0),time:(from:'2016-08-05 05:23:27-0600',mode:absolute,to:'2016-08-05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9" t="str">
            <v>Y</v>
          </cell>
          <cell r="X39">
            <v>1</v>
          </cell>
          <cell r="Y39">
            <v>4.5699999999999998E-2</v>
          </cell>
          <cell r="Z39">
            <v>1.9136</v>
          </cell>
          <cell r="AA39">
            <v>1.8678999999999999</v>
          </cell>
          <cell r="AB39" t="e">
            <v>#N/A</v>
          </cell>
          <cell r="AC39" t="e">
            <v>#N/A</v>
          </cell>
          <cell r="AD39" t="str">
            <v>0123-05</v>
          </cell>
          <cell r="AE3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40">
          <cell r="A40" t="str">
            <v>124-05</v>
          </cell>
          <cell r="B40">
            <v>4028</v>
          </cell>
          <cell r="C40" t="str">
            <v>DE.1.0.7.0</v>
          </cell>
          <cell r="D40" t="str">
            <v>204:232998</v>
          </cell>
          <cell r="E40">
            <v>42587.300543981481</v>
          </cell>
          <cell r="F40">
            <v>42587.301585648151</v>
          </cell>
          <cell r="G40">
            <v>1</v>
          </cell>
          <cell r="H40" t="str">
            <v>204:224513</v>
          </cell>
          <cell r="I40">
            <v>42587.312407407408</v>
          </cell>
          <cell r="J40">
            <v>0</v>
          </cell>
          <cell r="K40" t="str">
            <v>4027/4028</v>
          </cell>
          <cell r="L40" t="str">
            <v>ISHMAEL</v>
          </cell>
          <cell r="M40">
            <v>1.0821759256941732E-2</v>
          </cell>
          <cell r="P40">
            <v>15.583333329996094</v>
          </cell>
          <cell r="R40" t="str">
            <v>Wayside messaging virtual machine failure</v>
          </cell>
          <cell r="S40">
            <v>0</v>
          </cell>
          <cell r="T40" t="str">
            <v>Southbound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https://search-rtdc-monitor-bjffxe2xuh6vdkpspy63sjmuny.us-east-1.es.amazonaws.com/_plugin/kibana/#/discover/Steve-Slow-Train-Analysis-(2080s-and-2083s)?_g=(refreshInterval:(display:Off,section:0,value:0),time:(from:'2016-08-05 06:12:47-0600',mode:absolute,to:'2016-08-05 08:29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0" t="str">
            <v>Y</v>
          </cell>
          <cell r="X40">
            <v>1</v>
          </cell>
          <cell r="Y40">
            <v>23.299800000000001</v>
          </cell>
          <cell r="Z40">
            <v>22.4513</v>
          </cell>
          <cell r="AA40">
            <v>0.84850000000000136</v>
          </cell>
          <cell r="AB40" t="e">
            <v>#N/A</v>
          </cell>
          <cell r="AC40" t="e">
            <v>#N/A</v>
          </cell>
          <cell r="AD40" t="str">
            <v>0124-05</v>
          </cell>
          <cell r="AE4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41">
          <cell r="A41" t="str">
            <v>125-05</v>
          </cell>
          <cell r="B41">
            <v>4044</v>
          </cell>
          <cell r="C41" t="str">
            <v>DE.1.0.7.0</v>
          </cell>
          <cell r="D41" t="str">
            <v>204:442</v>
          </cell>
          <cell r="E41">
            <v>42587.278275462966</v>
          </cell>
          <cell r="F41">
            <v>42587.279398148145</v>
          </cell>
          <cell r="G41">
            <v>1</v>
          </cell>
          <cell r="H41" t="str">
            <v>204:19958</v>
          </cell>
          <cell r="I41">
            <v>42587.285590277781</v>
          </cell>
          <cell r="J41">
            <v>0</v>
          </cell>
          <cell r="K41" t="str">
            <v>4043/4044</v>
          </cell>
          <cell r="L41" t="str">
            <v>SANTIZO</v>
          </cell>
          <cell r="M41">
            <v>6.1921296364744194E-3</v>
          </cell>
          <cell r="P41">
            <v>8.9166666765231639</v>
          </cell>
          <cell r="R41" t="str">
            <v>Wayside messaging virtual machine failure</v>
          </cell>
          <cell r="S41">
            <v>0</v>
          </cell>
          <cell r="T41" t="str">
            <v>NorthBound</v>
          </cell>
          <cell r="U41">
            <v>0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https://search-rtdc-monitor-bjffxe2xuh6vdkpspy63sjmuny.us-east-1.es.amazonaws.com/_plugin/kibana/#/discover/Steve-Slow-Train-Analysis-(2080s-and-2083s)?_g=(refreshInterval:(display:Off,section:0,value:0),time:(from:'2016-08-05 05:40:43-0600',mode:absolute,to:'2016-08-05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1" t="str">
            <v>Y</v>
          </cell>
          <cell r="X41">
            <v>1</v>
          </cell>
          <cell r="Y41">
            <v>4.4200000000000003E-2</v>
          </cell>
          <cell r="Z41">
            <v>1.9958</v>
          </cell>
          <cell r="AA41">
            <v>1.9516</v>
          </cell>
          <cell r="AB41" t="e">
            <v>#N/A</v>
          </cell>
          <cell r="AC41" t="e">
            <v>#N/A</v>
          </cell>
          <cell r="AD41" t="str">
            <v>0125-05</v>
          </cell>
          <cell r="AE4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42">
          <cell r="A42" t="str">
            <v>126-05</v>
          </cell>
          <cell r="B42">
            <v>4043</v>
          </cell>
          <cell r="C42" t="str">
            <v>DE.1.0.7.0</v>
          </cell>
          <cell r="D42" t="str">
            <v>204:233093</v>
          </cell>
          <cell r="E42">
            <v>42587.308333333334</v>
          </cell>
          <cell r="F42">
            <v>42587.309155092589</v>
          </cell>
          <cell r="G42">
            <v>1</v>
          </cell>
          <cell r="H42" t="str">
            <v>204:147</v>
          </cell>
          <cell r="I42">
            <v>42587.349722222221</v>
          </cell>
          <cell r="J42">
            <v>1</v>
          </cell>
          <cell r="K42" t="str">
            <v>4043/4044</v>
          </cell>
          <cell r="L42" t="str">
            <v>SANTIZO</v>
          </cell>
          <cell r="M42">
            <v>4.0567129632108845E-2</v>
          </cell>
          <cell r="N42">
            <v>58.416666670236737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2" t="str">
            <v>N</v>
          </cell>
          <cell r="X42">
            <v>1</v>
          </cell>
          <cell r="Y42">
            <v>23.3093</v>
          </cell>
          <cell r="Z42">
            <v>1.47E-2</v>
          </cell>
          <cell r="AA42">
            <v>23.294599999999999</v>
          </cell>
          <cell r="AB42" t="e">
            <v>#N/A</v>
          </cell>
          <cell r="AC42" t="e">
            <v>#N/A</v>
          </cell>
          <cell r="AD42" t="str">
            <v>0126-05</v>
          </cell>
          <cell r="AE4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43">
          <cell r="A43" t="str">
            <v>127-05</v>
          </cell>
          <cell r="B43">
            <v>4025</v>
          </cell>
          <cell r="C43" t="str">
            <v>DE.1.0.7.0</v>
          </cell>
          <cell r="D43" t="str">
            <v>204:447</v>
          </cell>
          <cell r="E43">
            <v>42587.287094907406</v>
          </cell>
          <cell r="F43">
            <v>42587.28802083333</v>
          </cell>
          <cell r="G43">
            <v>1</v>
          </cell>
          <cell r="H43" t="str">
            <v>204:19138</v>
          </cell>
          <cell r="I43">
            <v>42587.295300925929</v>
          </cell>
          <cell r="J43">
            <v>0</v>
          </cell>
          <cell r="K43" t="str">
            <v>4025/4026</v>
          </cell>
          <cell r="L43" t="str">
            <v>MAELZER</v>
          </cell>
          <cell r="M43">
            <v>7.2800925991032273E-3</v>
          </cell>
          <cell r="P43">
            <v>10.483333342708647</v>
          </cell>
          <cell r="R43" t="str">
            <v>Wayside messaging virtual machine failure</v>
          </cell>
          <cell r="S43">
            <v>0</v>
          </cell>
          <cell r="T43" t="str">
            <v>NorthBound</v>
          </cell>
          <cell r="U43">
            <v>0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https://search-rtdc-monitor-bjffxe2xuh6vdkpspy63sjmuny.us-east-1.es.amazonaws.com/_plugin/kibana/#/discover/Steve-Slow-Train-Analysis-(2080s-and-2083s)?_g=(refreshInterval:(display:Off,section:0,value:0),time:(from:'2016-08-05 05:53:25-0600',mode:absolute,to:'2016-08-05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3" t="str">
            <v>Y</v>
          </cell>
          <cell r="X43">
            <v>1</v>
          </cell>
          <cell r="Y43">
            <v>4.4699999999999997E-2</v>
          </cell>
          <cell r="Z43">
            <v>1.9137999999999999</v>
          </cell>
          <cell r="AA43">
            <v>1.8691</v>
          </cell>
          <cell r="AB43" t="e">
            <v>#N/A</v>
          </cell>
          <cell r="AC43" t="e">
            <v>#N/A</v>
          </cell>
          <cell r="AD43" t="str">
            <v>0127-05</v>
          </cell>
          <cell r="AE4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44">
          <cell r="A44" t="str">
            <v>128-05</v>
          </cell>
          <cell r="B44">
            <v>4026</v>
          </cell>
          <cell r="C44" t="str">
            <v>DE.1.0.7.0</v>
          </cell>
          <cell r="D44" t="str">
            <v>204:233025</v>
          </cell>
          <cell r="E44">
            <v>42587.321886574071</v>
          </cell>
          <cell r="F44">
            <v>42587.322615740741</v>
          </cell>
          <cell r="G44">
            <v>1</v>
          </cell>
          <cell r="H44" t="str">
            <v>204:139</v>
          </cell>
          <cell r="I44">
            <v>42587.360972222225</v>
          </cell>
          <cell r="J44">
            <v>0</v>
          </cell>
          <cell r="K44" t="str">
            <v>4025/4026</v>
          </cell>
          <cell r="L44" t="str">
            <v>MAELZER</v>
          </cell>
          <cell r="M44">
            <v>3.835648148378823E-2</v>
          </cell>
          <cell r="N44">
            <v>55.233333336655051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https://search-rtdc-monitor-bjffxe2xuh6vdkpspy63sjmuny.us-east-1.es.amazonaws.com/_plugin/kibana/#/discover/Steve-Slow-Train-Analysis-(2080s-and-2083s)?_g=(refreshInterval:(display:Off,section:0,value:0),time:(from:'2016-08-05 06:43:31-0600',mode:absolute,to:'2016-08-05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4" t="str">
            <v>N</v>
          </cell>
          <cell r="X44">
            <v>1</v>
          </cell>
          <cell r="Y44">
            <v>23.302499999999998</v>
          </cell>
          <cell r="Z44">
            <v>1.3899999999999999E-2</v>
          </cell>
          <cell r="AA44">
            <v>23.288599999999999</v>
          </cell>
          <cell r="AB44" t="e">
            <v>#N/A</v>
          </cell>
          <cell r="AC44" t="e">
            <v>#N/A</v>
          </cell>
          <cell r="AD44" t="str">
            <v>0128-05</v>
          </cell>
          <cell r="AE4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45">
          <cell r="A45" t="str">
            <v>129-05</v>
          </cell>
          <cell r="B45">
            <v>4009</v>
          </cell>
          <cell r="C45" t="str">
            <v>DE.1.0.7.0</v>
          </cell>
          <cell r="D45" t="str">
            <v>204:462</v>
          </cell>
          <cell r="E45">
            <v>42587.295520833337</v>
          </cell>
          <cell r="F45">
            <v>42587.296527777777</v>
          </cell>
          <cell r="G45">
            <v>1</v>
          </cell>
          <cell r="H45" t="str">
            <v>204:19160</v>
          </cell>
          <cell r="I45">
            <v>42587.30605324074</v>
          </cell>
          <cell r="J45">
            <v>0</v>
          </cell>
          <cell r="K45" t="str">
            <v>4009/4010</v>
          </cell>
          <cell r="L45" t="str">
            <v>ROCHA</v>
          </cell>
          <cell r="M45">
            <v>9.5254629632108845E-3</v>
          </cell>
          <cell r="P45">
            <v>13.716666667023674</v>
          </cell>
          <cell r="R45" t="str">
            <v>Wayside messaging virtual machine failure</v>
          </cell>
          <cell r="S45">
            <v>0</v>
          </cell>
          <cell r="T45" t="str">
            <v>NorthBound</v>
          </cell>
          <cell r="U45">
            <v>0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https://search-rtdc-monitor-bjffxe2xuh6vdkpspy63sjmuny.us-east-1.es.amazonaws.com/_plugin/kibana/#/discover/Steve-Slow-Train-Analysis-(2080s-and-2083s)?_g=(refreshInterval:(display:Off,section:0,value:0),time:(from:'2016-08-05 06:05:33-0600',mode:absolute,to:'2016-08-05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5" t="str">
            <v>Y</v>
          </cell>
          <cell r="X45">
            <v>1</v>
          </cell>
          <cell r="Y45">
            <v>4.6199999999999998E-2</v>
          </cell>
          <cell r="Z45">
            <v>1.9159999999999999</v>
          </cell>
          <cell r="AA45">
            <v>1.8697999999999999</v>
          </cell>
          <cell r="AB45" t="e">
            <v>#N/A</v>
          </cell>
          <cell r="AC45" t="e">
            <v>#N/A</v>
          </cell>
          <cell r="AD45" t="str">
            <v>0129-05</v>
          </cell>
          <cell r="AE4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46">
          <cell r="A46" t="str">
            <v>130-05</v>
          </cell>
          <cell r="B46">
            <v>4010</v>
          </cell>
          <cell r="C46" t="str">
            <v>DE.1.0.7.0</v>
          </cell>
          <cell r="D46" t="str">
            <v>204:233004</v>
          </cell>
          <cell r="E46">
            <v>42587.339988425927</v>
          </cell>
          <cell r="F46">
            <v>42587.341226851851</v>
          </cell>
          <cell r="G46">
            <v>1</v>
          </cell>
          <cell r="H46" t="str">
            <v>204:147</v>
          </cell>
          <cell r="I46">
            <v>42587.370983796296</v>
          </cell>
          <cell r="J46">
            <v>0</v>
          </cell>
          <cell r="K46" t="str">
            <v>4009/4010</v>
          </cell>
          <cell r="L46" t="str">
            <v>ROCHA</v>
          </cell>
          <cell r="M46">
            <v>2.9756944444670808E-2</v>
          </cell>
          <cell r="N46">
            <v>42.850000000325963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https://search-rtdc-monitor-bjffxe2xuh6vdkpspy63sjmuny.us-east-1.es.amazonaws.com/_plugin/kibana/#/discover/Steve-Slow-Train-Analysis-(2080s-and-2083s)?_g=(refreshInterval:(display:Off,section:0,value:0),time:(from:'2016-08-05 07:09:35-0600',mode:absolute,to:'2016-08-05 09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6" t="str">
            <v>N</v>
          </cell>
          <cell r="X46">
            <v>1</v>
          </cell>
          <cell r="Y46">
            <v>23.3004</v>
          </cell>
          <cell r="Z46">
            <v>1.47E-2</v>
          </cell>
          <cell r="AA46">
            <v>23.285699999999999</v>
          </cell>
          <cell r="AB46" t="e">
            <v>#N/A</v>
          </cell>
          <cell r="AC46" t="e">
            <v>#N/A</v>
          </cell>
          <cell r="AD46" t="str">
            <v>0130-05</v>
          </cell>
          <cell r="AE4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47">
          <cell r="A47" t="str">
            <v>131-05</v>
          </cell>
          <cell r="B47">
            <v>4029</v>
          </cell>
          <cell r="C47" t="str">
            <v>DE.1.0.7.0</v>
          </cell>
          <cell r="D47" t="str">
            <v>204:444</v>
          </cell>
          <cell r="E47">
            <v>42587.310115740744</v>
          </cell>
          <cell r="F47">
            <v>42587.311041666668</v>
          </cell>
          <cell r="G47">
            <v>1</v>
          </cell>
          <cell r="H47" t="str">
            <v>204:19129</v>
          </cell>
          <cell r="I47">
            <v>42587.315949074073</v>
          </cell>
          <cell r="J47">
            <v>0</v>
          </cell>
          <cell r="K47" t="str">
            <v>4029/4030</v>
          </cell>
          <cell r="L47" t="str">
            <v>DAVIS</v>
          </cell>
          <cell r="M47">
            <v>4.907407404971309E-3</v>
          </cell>
          <cell r="P47">
            <v>7.066666663158685</v>
          </cell>
          <cell r="R47" t="str">
            <v>Wayside messaging virtual machine failure</v>
          </cell>
          <cell r="S47">
            <v>0</v>
          </cell>
          <cell r="T47" t="str">
            <v>NorthBound</v>
          </cell>
          <cell r="U47">
            <v>0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https://search-rtdc-monitor-bjffxe2xuh6vdkpspy63sjmuny.us-east-1.es.amazonaws.com/_plugin/kibana/#/discover/Steve-Slow-Train-Analysis-(2080s-and-2083s)?_g=(refreshInterval:(display:Off,section:0,value:0),time:(from:'2016-08-05 06:26:34-0600',mode:absolute,to:'2016-08-05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7" t="str">
            <v>Y</v>
          </cell>
          <cell r="X47">
            <v>1</v>
          </cell>
          <cell r="Y47">
            <v>4.4400000000000002E-2</v>
          </cell>
          <cell r="Z47">
            <v>1.9129</v>
          </cell>
          <cell r="AA47">
            <v>1.8685</v>
          </cell>
          <cell r="AB47" t="e">
            <v>#N/A</v>
          </cell>
          <cell r="AC47" t="e">
            <v>#N/A</v>
          </cell>
          <cell r="AD47" t="str">
            <v>0131-05</v>
          </cell>
          <cell r="AE4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48">
          <cell r="A48" t="str">
            <v>132-05</v>
          </cell>
          <cell r="B48">
            <v>4030</v>
          </cell>
          <cell r="C48" t="str">
            <v>DE.1.0.7.0</v>
          </cell>
          <cell r="D48" t="str">
            <v>204:232980</v>
          </cell>
          <cell r="E48">
            <v>42587.346863425926</v>
          </cell>
          <cell r="F48">
            <v>42587.347777777781</v>
          </cell>
          <cell r="G48">
            <v>1</v>
          </cell>
          <cell r="H48" t="str">
            <v>204:180</v>
          </cell>
          <cell r="I48">
            <v>42587.382673611108</v>
          </cell>
          <cell r="J48">
            <v>0</v>
          </cell>
          <cell r="K48" t="str">
            <v>4029/4030</v>
          </cell>
          <cell r="L48" t="str">
            <v>DAVIS</v>
          </cell>
          <cell r="M48">
            <v>3.4895833327027503E-2</v>
          </cell>
          <cell r="N48">
            <v>50.249999990919605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https://search-rtdc-monitor-bjffxe2xuh6vdkpspy63sjmuny.us-east-1.es.amazonaws.com/_plugin/kibana/#/discover/Steve-Slow-Train-Analysis-(2080s-and-2083s)?_g=(refreshInterval:(display:Off,section:0,value:0),time:(from:'2016-08-05 07:19:29-0600',mode:absolute,to:'2016-08-05 10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8" t="str">
            <v>N</v>
          </cell>
          <cell r="X48">
            <v>1</v>
          </cell>
          <cell r="Y48">
            <v>23.297999999999998</v>
          </cell>
          <cell r="Z48">
            <v>1.7999999999999999E-2</v>
          </cell>
          <cell r="AA48">
            <v>23.279999999999998</v>
          </cell>
          <cell r="AB48" t="e">
            <v>#N/A</v>
          </cell>
          <cell r="AC48" t="e">
            <v>#N/A</v>
          </cell>
          <cell r="AD48" t="str">
            <v>0132-05</v>
          </cell>
          <cell r="AE4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49">
          <cell r="A49" t="str">
            <v>133-05</v>
          </cell>
          <cell r="B49">
            <v>4020</v>
          </cell>
          <cell r="C49" t="str">
            <v>DE.1.0.7.0</v>
          </cell>
          <cell r="D49" t="str">
            <v>204:446</v>
          </cell>
          <cell r="E49">
            <v>42587.321944444448</v>
          </cell>
          <cell r="F49">
            <v>42587.322789351849</v>
          </cell>
          <cell r="G49">
            <v>1</v>
          </cell>
          <cell r="H49" t="str">
            <v>204:233274</v>
          </cell>
          <cell r="I49">
            <v>42587.351458333331</v>
          </cell>
          <cell r="J49">
            <v>0</v>
          </cell>
          <cell r="K49" t="str">
            <v>4019/4020</v>
          </cell>
          <cell r="L49" t="str">
            <v>MALAVE</v>
          </cell>
          <cell r="M49">
            <v>2.8668981482042E-2</v>
          </cell>
          <cell r="N49">
            <v>41.28333333414048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https://search-rtdc-monitor-bjffxe2xuh6vdkpspy63sjmuny.us-east-1.es.amazonaws.com/_plugin/kibana/#/discover/Steve-Slow-Train-Analysis-(2080s-and-2083s)?_g=(refreshInterval:(display:Off,section:0,value:0),time:(from:'2016-08-05 06:43:36-0600',mode:absolute,to:'2016-08-05 09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9" t="str">
            <v>N</v>
          </cell>
          <cell r="X49">
            <v>1</v>
          </cell>
          <cell r="Y49">
            <v>4.4600000000000001E-2</v>
          </cell>
          <cell r="Z49">
            <v>23.327400000000001</v>
          </cell>
          <cell r="AA49">
            <v>23.282800000000002</v>
          </cell>
          <cell r="AB49" t="e">
            <v>#N/A</v>
          </cell>
          <cell r="AC49" t="e">
            <v>#N/A</v>
          </cell>
          <cell r="AD49" t="str">
            <v>0133-05</v>
          </cell>
          <cell r="AE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50">
          <cell r="A50" t="str">
            <v>134-05</v>
          </cell>
          <cell r="B50">
            <v>4019</v>
          </cell>
          <cell r="C50" t="str">
            <v>DE.1.0.7.0</v>
          </cell>
          <cell r="D50" t="str">
            <v>204:232957</v>
          </cell>
          <cell r="E50">
            <v>42587.360231481478</v>
          </cell>
          <cell r="F50">
            <v>42587.361192129632</v>
          </cell>
          <cell r="G50">
            <v>1</v>
          </cell>
          <cell r="H50" t="str">
            <v>204:156</v>
          </cell>
          <cell r="I50">
            <v>42587.398877314816</v>
          </cell>
          <cell r="J50">
            <v>0</v>
          </cell>
          <cell r="K50" t="str">
            <v>4019/4020</v>
          </cell>
          <cell r="L50" t="str">
            <v>MALAVE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https://search-rtdc-monitor-bjffxe2xuh6vdkpspy63sjmuny.us-east-1.es.amazonaws.com/_plugin/kibana/#/discover/Steve-Slow-Train-Analysis-(2080s-and-2083s)?_g=(refreshInterval:(display:Off,section:0,value:0),time:(from:'2016-08-05 07:38:44-0600',mode:absolute,to:'2016-08-05 10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0" t="str">
            <v>N</v>
          </cell>
          <cell r="X50">
            <v>1</v>
          </cell>
          <cell r="Y50">
            <v>23.2957</v>
          </cell>
          <cell r="Z50">
            <v>1.5599999999999999E-2</v>
          </cell>
          <cell r="AA50">
            <v>23.280100000000001</v>
          </cell>
          <cell r="AB50" t="e">
            <v>#N/A</v>
          </cell>
          <cell r="AC50" t="e">
            <v>#N/A</v>
          </cell>
          <cell r="AD50" t="str">
            <v>0134-05</v>
          </cell>
          <cell r="AE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51">
          <cell r="A51" t="str">
            <v>135-05</v>
          </cell>
          <cell r="B51">
            <v>4038</v>
          </cell>
          <cell r="C51" t="str">
            <v>DE.1.0.7.0</v>
          </cell>
          <cell r="D51" t="str">
            <v>204:447</v>
          </cell>
          <cell r="E51">
            <v>42587.32984953704</v>
          </cell>
          <cell r="F51">
            <v>42587.330543981479</v>
          </cell>
          <cell r="G51">
            <v>0</v>
          </cell>
          <cell r="H51" t="str">
            <v>204:233311</v>
          </cell>
          <cell r="I51">
            <v>42587.3593287037</v>
          </cell>
          <cell r="J51">
            <v>0</v>
          </cell>
          <cell r="K51" t="str">
            <v>4037/4038</v>
          </cell>
          <cell r="L51" t="str">
            <v>GRASTON</v>
          </cell>
          <cell r="M51">
            <v>2.8784722220734693E-2</v>
          </cell>
          <cell r="N51">
            <v>41.449999997857958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https://search-rtdc-monitor-bjffxe2xuh6vdkpspy63sjmuny.us-east-1.es.amazonaws.com/_plugin/kibana/#/discover/Steve-Slow-Train-Analysis-(2080s-and-2083s)?_g=(refreshInterval:(display:Off,section:0,value:0),time:(from:'2016-08-05 06:54:59-0600',mode:absolute,to:'2016-08-05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4.4699999999999997E-2</v>
          </cell>
          <cell r="Z51">
            <v>23.331099999999999</v>
          </cell>
          <cell r="AA51">
            <v>23.2864</v>
          </cell>
          <cell r="AB51" t="e">
            <v>#N/A</v>
          </cell>
          <cell r="AC51" t="e">
            <v>#N/A</v>
          </cell>
          <cell r="AD51" t="str">
            <v>0135-05</v>
          </cell>
          <cell r="AE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52">
          <cell r="A52" t="str">
            <v>136-05</v>
          </cell>
          <cell r="B52">
            <v>4037</v>
          </cell>
          <cell r="C52" t="str">
            <v>DE.1.0.7.0</v>
          </cell>
          <cell r="D52" t="str">
            <v>204:232986</v>
          </cell>
          <cell r="E52">
            <v>42587.369270833333</v>
          </cell>
          <cell r="F52">
            <v>42587.370254629626</v>
          </cell>
          <cell r="G52">
            <v>1</v>
          </cell>
          <cell r="H52" t="str">
            <v>204:147</v>
          </cell>
          <cell r="I52">
            <v>42587.412083333336</v>
          </cell>
          <cell r="J52">
            <v>0</v>
          </cell>
          <cell r="K52" t="str">
            <v>4037/4038</v>
          </cell>
          <cell r="L52" t="str">
            <v>GRASTON</v>
          </cell>
          <cell r="M52">
            <v>4.182870371005265E-2</v>
          </cell>
          <cell r="N52">
            <v>60.233333342475817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https://search-rtdc-monitor-bjffxe2xuh6vdkpspy63sjmuny.us-east-1.es.amazonaws.com/_plugin/kibana/#/discover/Steve-Slow-Train-Analysis-(2080s-and-2083s)?_g=(refreshInterval:(display:Off,section:0,value:0),time:(from:'2016-08-05 07:51:45-0600',mode:absolute,to:'2016-08-05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23.2986</v>
          </cell>
          <cell r="Z52">
            <v>1.47E-2</v>
          </cell>
          <cell r="AA52">
            <v>23.283899999999999</v>
          </cell>
          <cell r="AB52" t="e">
            <v>#N/A</v>
          </cell>
          <cell r="AC52" t="e">
            <v>#N/A</v>
          </cell>
          <cell r="AD52" t="str">
            <v>0136-05</v>
          </cell>
          <cell r="AE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53">
          <cell r="A53" t="str">
            <v>137-05</v>
          </cell>
          <cell r="B53">
            <v>4027</v>
          </cell>
          <cell r="C53" t="str">
            <v>DE.1.0.7.0</v>
          </cell>
          <cell r="D53" t="str">
            <v>204:464</v>
          </cell>
          <cell r="E53">
            <v>42587.339050925926</v>
          </cell>
          <cell r="F53">
            <v>42587.339988425927</v>
          </cell>
          <cell r="G53">
            <v>1</v>
          </cell>
          <cell r="H53" t="str">
            <v>204:233295</v>
          </cell>
          <cell r="I53">
            <v>42587.371932870374</v>
          </cell>
          <cell r="J53">
            <v>0</v>
          </cell>
          <cell r="K53" t="str">
            <v>4027/4028</v>
          </cell>
          <cell r="L53" t="str">
            <v>ISHMAEL</v>
          </cell>
          <cell r="M53">
            <v>3.1944444446708076E-2</v>
          </cell>
          <cell r="N53">
            <v>46.000000003259629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https://search-rtdc-monitor-bjffxe2xuh6vdkpspy63sjmuny.us-east-1.es.amazonaws.com/_plugin/kibana/#/discover/Steve-Slow-Train-Analysis-(2080s-and-2083s)?_g=(refreshInterval:(display:Off,section:0,value:0),time:(from:'2016-08-05 07:08:14-0600',mode:absolute,to:'2016-08-05 09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3" t="str">
            <v>N</v>
          </cell>
          <cell r="X53">
            <v>1</v>
          </cell>
          <cell r="Y53">
            <v>4.6399999999999997E-2</v>
          </cell>
          <cell r="Z53">
            <v>23.329499999999999</v>
          </cell>
          <cell r="AA53">
            <v>23.283100000000001</v>
          </cell>
          <cell r="AB53" t="e">
            <v>#N/A</v>
          </cell>
          <cell r="AC53" t="e">
            <v>#N/A</v>
          </cell>
          <cell r="AD53" t="str">
            <v>0137-05</v>
          </cell>
          <cell r="AE5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54">
          <cell r="A54" t="str">
            <v>138-05</v>
          </cell>
          <cell r="B54">
            <v>4028</v>
          </cell>
          <cell r="C54" t="str">
            <v>DE.1.0.7.0</v>
          </cell>
          <cell r="D54" t="str">
            <v>204:232979</v>
          </cell>
          <cell r="E54">
            <v>42587.381678240738</v>
          </cell>
          <cell r="F54">
            <v>42587.383831018517</v>
          </cell>
          <cell r="G54">
            <v>3</v>
          </cell>
          <cell r="H54" t="str">
            <v>204:125</v>
          </cell>
          <cell r="I54">
            <v>42587.417314814818</v>
          </cell>
          <cell r="J54">
            <v>1</v>
          </cell>
          <cell r="K54" t="str">
            <v>4027/4028</v>
          </cell>
          <cell r="L54" t="str">
            <v>ISHMAEL</v>
          </cell>
          <cell r="M54">
            <v>3.348379630187992E-2</v>
          </cell>
          <cell r="N54">
            <v>48.216666674707085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4" t="str">
            <v>N</v>
          </cell>
          <cell r="X54">
            <v>1</v>
          </cell>
          <cell r="Y54">
            <v>23.297899999999998</v>
          </cell>
          <cell r="Z54">
            <v>1.2500000000000001E-2</v>
          </cell>
          <cell r="AA54">
            <v>23.285399999999999</v>
          </cell>
          <cell r="AB54" t="e">
            <v>#N/A</v>
          </cell>
          <cell r="AC54" t="e">
            <v>#N/A</v>
          </cell>
          <cell r="AD54" t="str">
            <v>0138-05</v>
          </cell>
          <cell r="AE5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55">
          <cell r="A55" t="str">
            <v>139-05</v>
          </cell>
          <cell r="B55">
            <v>4044</v>
          </cell>
          <cell r="C55" t="str">
            <v>DE.1.0.7.0</v>
          </cell>
          <cell r="D55" t="str">
            <v>204:442</v>
          </cell>
          <cell r="E55">
            <v>42587.352881944447</v>
          </cell>
          <cell r="F55">
            <v>42587.353865740741</v>
          </cell>
          <cell r="G55">
            <v>1</v>
          </cell>
          <cell r="H55" t="str">
            <v>204:233324</v>
          </cell>
          <cell r="I55">
            <v>42587.391631944447</v>
          </cell>
          <cell r="J55">
            <v>0</v>
          </cell>
          <cell r="K55" t="str">
            <v>4043/4044</v>
          </cell>
          <cell r="L55" t="str">
            <v>SANTIZO</v>
          </cell>
          <cell r="M55">
            <v>3.7766203706269152E-2</v>
          </cell>
          <cell r="N55">
            <v>54.38333333702758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https://search-rtdc-monitor-bjffxe2xuh6vdkpspy63sjmuny.us-east-1.es.amazonaws.com/_plugin/kibana/#/discover/Steve-Slow-Train-Analysis-(2080s-and-2083s)?_g=(refreshInterval:(display:Off,section:0,value:0),time:(from:'2016-08-05 07:28:09-0600',mode:absolute,to:'2016-08-05 10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5" t="str">
            <v>N</v>
          </cell>
          <cell r="X55">
            <v>1</v>
          </cell>
          <cell r="Y55">
            <v>4.4200000000000003E-2</v>
          </cell>
          <cell r="Z55">
            <v>23.3324</v>
          </cell>
          <cell r="AA55">
            <v>23.2882</v>
          </cell>
          <cell r="AB55" t="e">
            <v>#N/A</v>
          </cell>
          <cell r="AC55" t="e">
            <v>#N/A</v>
          </cell>
          <cell r="AD55" t="str">
            <v>0139-05</v>
          </cell>
          <cell r="AE5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56">
          <cell r="A56" t="str">
            <v>140-05</v>
          </cell>
          <cell r="B56">
            <v>4043</v>
          </cell>
          <cell r="C56" t="str">
            <v>DE.1.0.7.0</v>
          </cell>
          <cell r="D56" t="str">
            <v>204:233001</v>
          </cell>
          <cell r="E56">
            <v>42587.394375000003</v>
          </cell>
          <cell r="F56">
            <v>42587.395162037035</v>
          </cell>
          <cell r="G56">
            <v>1</v>
          </cell>
          <cell r="H56" t="str">
            <v>204:139</v>
          </cell>
          <cell r="I56">
            <v>42587.423564814817</v>
          </cell>
          <cell r="J56">
            <v>1</v>
          </cell>
          <cell r="K56" t="str">
            <v>4043/4044</v>
          </cell>
          <cell r="L56" t="str">
            <v>SANTIZO</v>
          </cell>
          <cell r="M56">
            <v>2.8402777781593613E-2</v>
          </cell>
          <cell r="N56">
            <v>40.900000005494803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6" t="str">
            <v>N</v>
          </cell>
          <cell r="X56">
            <v>1</v>
          </cell>
          <cell r="Y56">
            <v>23.3001</v>
          </cell>
          <cell r="Z56">
            <v>1.3899999999999999E-2</v>
          </cell>
          <cell r="AA56">
            <v>23.286200000000001</v>
          </cell>
          <cell r="AB56" t="e">
            <v>#N/A</v>
          </cell>
          <cell r="AC56" t="e">
            <v>#N/A</v>
          </cell>
          <cell r="AD56" t="str">
            <v>0140-05</v>
          </cell>
          <cell r="AE5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57">
          <cell r="A57" t="str">
            <v>141-05</v>
          </cell>
          <cell r="B57">
            <v>4025</v>
          </cell>
          <cell r="C57" t="str">
            <v>DE.1.0.7.0</v>
          </cell>
          <cell r="D57" t="str">
            <v>204:442</v>
          </cell>
          <cell r="E57">
            <v>42587.362349537034</v>
          </cell>
          <cell r="F57">
            <v>42587.363263888888</v>
          </cell>
          <cell r="G57">
            <v>1</v>
          </cell>
          <cell r="H57" t="str">
            <v>204:233329</v>
          </cell>
          <cell r="I57">
            <v>42587.400370370371</v>
          </cell>
          <cell r="J57">
            <v>0</v>
          </cell>
          <cell r="K57" t="str">
            <v>4025/4026</v>
          </cell>
          <cell r="L57" t="str">
            <v>MAELZER</v>
          </cell>
          <cell r="M57">
            <v>3.7106481482624076E-2</v>
          </cell>
          <cell r="N57">
            <v>53.43333333497867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https://search-rtdc-monitor-bjffxe2xuh6vdkpspy63sjmuny.us-east-1.es.amazonaws.com/_plugin/kibana/#/discover/Steve-Slow-Train-Analysis-(2080s-and-2083s)?_g=(refreshInterval:(display:Off,section:0,value:0),time:(from:'2016-08-05 07:41:47-0600',mode:absolute,to:'2016-08-05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23.332899999999999</v>
          </cell>
          <cell r="AA57">
            <v>23.288699999999999</v>
          </cell>
          <cell r="AB57" t="e">
            <v>#N/A</v>
          </cell>
          <cell r="AC57" t="e">
            <v>#N/A</v>
          </cell>
          <cell r="AD57" t="str">
            <v>0141-05</v>
          </cell>
          <cell r="AE5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58">
          <cell r="A58" t="str">
            <v>142-05</v>
          </cell>
          <cell r="B58">
            <v>4026</v>
          </cell>
          <cell r="C58" t="str">
            <v>DE.1.0.7.0</v>
          </cell>
          <cell r="D58" t="str">
            <v>204:233011</v>
          </cell>
          <cell r="E58">
            <v>42587.403715277775</v>
          </cell>
          <cell r="F58">
            <v>42587.404374999998</v>
          </cell>
          <cell r="G58">
            <v>0</v>
          </cell>
          <cell r="H58" t="str">
            <v>204:139</v>
          </cell>
          <cell r="I58">
            <v>42587.436712962961</v>
          </cell>
          <cell r="J58">
            <v>2</v>
          </cell>
          <cell r="K58" t="str">
            <v>4025/4026</v>
          </cell>
          <cell r="L58" t="str">
            <v>MAELZER</v>
          </cell>
          <cell r="M58">
            <v>3.2337962962628808E-2</v>
          </cell>
          <cell r="N58">
            <v>46.566666666185483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8" t="str">
            <v>N</v>
          </cell>
          <cell r="X58">
            <v>1</v>
          </cell>
          <cell r="Y58">
            <v>23.301100000000002</v>
          </cell>
          <cell r="Z58">
            <v>1.3899999999999999E-2</v>
          </cell>
          <cell r="AA58">
            <v>23.287200000000002</v>
          </cell>
          <cell r="AB58">
            <v>21848</v>
          </cell>
          <cell r="AC58" t="str">
            <v>PERMANENT SPEED RESTRICTION</v>
          </cell>
          <cell r="AD58" t="str">
            <v>0142-05</v>
          </cell>
          <cell r="AE5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59">
          <cell r="A59" t="str">
            <v>143-05</v>
          </cell>
          <cell r="B59">
            <v>4009</v>
          </cell>
          <cell r="C59" t="str">
            <v>DE.1.0.7.0</v>
          </cell>
          <cell r="D59" t="str">
            <v>204:460</v>
          </cell>
          <cell r="E59">
            <v>42587.373217592591</v>
          </cell>
          <cell r="F59">
            <v>42587.374108796299</v>
          </cell>
          <cell r="G59">
            <v>1</v>
          </cell>
          <cell r="H59" t="str">
            <v>204:233307</v>
          </cell>
          <cell r="I59">
            <v>42587.401990740742</v>
          </cell>
          <cell r="J59">
            <v>0</v>
          </cell>
          <cell r="K59" t="str">
            <v>4009/4010</v>
          </cell>
          <cell r="L59" t="str">
            <v>ROCHA</v>
          </cell>
          <cell r="M59">
            <v>2.7881944442924578E-2</v>
          </cell>
          <cell r="N59">
            <v>40.149999997811392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https://search-rtdc-monitor-bjffxe2xuh6vdkpspy63sjmuny.us-east-1.es.amazonaws.com/_plugin/kibana/#/discover/Steve-Slow-Train-Analysis-(2080s-and-2083s)?_g=(refreshInterval:(display:Off,section:0,value:0),time:(from:'2016-08-05 07:57:26-0600',mode:absolute,to:'2016-08-05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23.3307</v>
          </cell>
          <cell r="AA59">
            <v>23.284700000000001</v>
          </cell>
          <cell r="AB59" t="e">
            <v>#N/A</v>
          </cell>
          <cell r="AC59" t="e">
            <v>#N/A</v>
          </cell>
          <cell r="AD59" t="str">
            <v>0143-05</v>
          </cell>
          <cell r="AE5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60">
          <cell r="A60" t="str">
            <v>144-05</v>
          </cell>
          <cell r="B60">
            <v>4010</v>
          </cell>
          <cell r="C60" t="str">
            <v>DE.1.0.7.0</v>
          </cell>
          <cell r="D60" t="str">
            <v>204:232978</v>
          </cell>
          <cell r="E60">
            <v>42587.413148148145</v>
          </cell>
          <cell r="F60">
            <v>42587.41474537037</v>
          </cell>
          <cell r="G60">
            <v>2</v>
          </cell>
          <cell r="H60" t="str">
            <v>204:143</v>
          </cell>
          <cell r="I60">
            <v>42587.441770833335</v>
          </cell>
          <cell r="J60">
            <v>0</v>
          </cell>
          <cell r="K60" t="str">
            <v>4009/4010</v>
          </cell>
          <cell r="L60" t="str">
            <v>ROCHA</v>
          </cell>
          <cell r="M60">
            <v>2.7025462964957114E-2</v>
          </cell>
          <cell r="N60">
            <v>38.916666669538245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https://search-rtdc-monitor-bjffxe2xuh6vdkpspy63sjmuny.us-east-1.es.amazonaws.com/_plugin/kibana/#/discover/Steve-Slow-Train-Analysis-(2080s-and-2083s)?_g=(refreshInterval:(display:Off,section:0,value:0),time:(from:'2016-08-05 08:54:56-0600',mode:absolute,to:'2016-08-05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0" t="str">
            <v>N</v>
          </cell>
          <cell r="X60">
            <v>1</v>
          </cell>
          <cell r="Y60">
            <v>23.297799999999999</v>
          </cell>
          <cell r="Z60">
            <v>1.43E-2</v>
          </cell>
          <cell r="AA60">
            <v>23.2835</v>
          </cell>
          <cell r="AB60" t="e">
            <v>#N/A</v>
          </cell>
          <cell r="AC60" t="e">
            <v>#N/A</v>
          </cell>
          <cell r="AD60" t="str">
            <v>0144-05</v>
          </cell>
          <cell r="AE6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61">
          <cell r="A61" t="str">
            <v>145-05</v>
          </cell>
          <cell r="B61">
            <v>4029</v>
          </cell>
          <cell r="C61" t="str">
            <v>DE.1.0.7.0</v>
          </cell>
          <cell r="D61" t="str">
            <v>204:464</v>
          </cell>
          <cell r="E61">
            <v>42587.384548611109</v>
          </cell>
          <cell r="F61">
            <v>42587.385474537034</v>
          </cell>
          <cell r="G61">
            <v>1</v>
          </cell>
          <cell r="H61" t="str">
            <v>204:233297</v>
          </cell>
          <cell r="I61">
            <v>42587.415335648147</v>
          </cell>
          <cell r="J61">
            <v>0</v>
          </cell>
          <cell r="K61" t="str">
            <v>4029/4030</v>
          </cell>
          <cell r="L61" t="str">
            <v>DAVIS</v>
          </cell>
          <cell r="M61">
            <v>2.9861111113859806E-2</v>
          </cell>
          <cell r="N61">
            <v>43.000000003958121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https://search-rtdc-monitor-bjffxe2xuh6vdkpspy63sjmuny.us-east-1.es.amazonaws.com/_plugin/kibana/#/discover/Steve-Slow-Train-Analysis-(2080s-and-2083s)?_g=(refreshInterval:(display:Off,section:0,value:0),time:(from:'2016-08-05 08:13:45-0600',mode:absolute,to:'2016-08-05 10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23.329699999999999</v>
          </cell>
          <cell r="AA61">
            <v>23.283300000000001</v>
          </cell>
          <cell r="AB61" t="e">
            <v>#N/A</v>
          </cell>
          <cell r="AC61" t="e">
            <v>#N/A</v>
          </cell>
          <cell r="AD61" t="str">
            <v>0145-05</v>
          </cell>
          <cell r="AE6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62">
          <cell r="A62" t="str">
            <v>146-05</v>
          </cell>
          <cell r="B62">
            <v>4030</v>
          </cell>
          <cell r="C62" t="str">
            <v>DE.1.0.7.0</v>
          </cell>
          <cell r="D62" t="str">
            <v>204:232993</v>
          </cell>
          <cell r="E62">
            <v>42587.417650462965</v>
          </cell>
          <cell r="F62">
            <v>42587.418391203704</v>
          </cell>
          <cell r="G62">
            <v>1</v>
          </cell>
          <cell r="H62" t="str">
            <v>204:150</v>
          </cell>
          <cell r="I62">
            <v>42587.453379629631</v>
          </cell>
          <cell r="J62">
            <v>1</v>
          </cell>
          <cell r="K62" t="str">
            <v>4029/4030</v>
          </cell>
          <cell r="L62" t="str">
            <v>DAVIS</v>
          </cell>
          <cell r="M62">
            <v>3.4988425926712807E-2</v>
          </cell>
          <cell r="N62">
            <v>50.383333334466442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2" t="str">
            <v>N</v>
          </cell>
          <cell r="X62">
            <v>1</v>
          </cell>
          <cell r="Y62">
            <v>23.299299999999999</v>
          </cell>
          <cell r="Z62">
            <v>1.4999999999999999E-2</v>
          </cell>
          <cell r="AA62">
            <v>23.284299999999998</v>
          </cell>
          <cell r="AB62">
            <v>190834</v>
          </cell>
          <cell r="AC62" t="str">
            <v>PERMANENT SPEED RESTRICTION</v>
          </cell>
          <cell r="AD62" t="str">
            <v>0146-05</v>
          </cell>
          <cell r="AE6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63">
          <cell r="A63" t="str">
            <v>147-05</v>
          </cell>
          <cell r="B63">
            <v>4020</v>
          </cell>
          <cell r="C63" t="str">
            <v>DE.1.0.7.0</v>
          </cell>
          <cell r="D63" t="str">
            <v>204:467</v>
          </cell>
          <cell r="E63">
            <v>42587.399884259263</v>
          </cell>
          <cell r="F63">
            <v>42587.400729166664</v>
          </cell>
          <cell r="G63">
            <v>1</v>
          </cell>
          <cell r="H63" t="str">
            <v>204:233284</v>
          </cell>
          <cell r="I63">
            <v>42587.428263888891</v>
          </cell>
          <cell r="J63">
            <v>0</v>
          </cell>
          <cell r="K63" t="str">
            <v>4019/4020</v>
          </cell>
          <cell r="L63" t="str">
            <v>MALAVE</v>
          </cell>
          <cell r="M63">
            <v>2.7534722226846498E-2</v>
          </cell>
          <cell r="N63">
            <v>39.650000006658956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https://search-rtdc-monitor-bjffxe2xuh6vdkpspy63sjmuny.us-east-1.es.amazonaws.com/_plugin/kibana/#/discover/Steve-Slow-Train-Analysis-(2080s-and-2083s)?_g=(refreshInterval:(display:Off,section:0,value:0),time:(from:'2016-08-05 08:35:50-0600',mode:absolute,to:'2016-08-05 11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3" t="str">
            <v>N</v>
          </cell>
          <cell r="X63">
            <v>1</v>
          </cell>
          <cell r="Y63">
            <v>4.6699999999999998E-2</v>
          </cell>
          <cell r="Z63">
            <v>23.328399999999998</v>
          </cell>
          <cell r="AA63">
            <v>23.281699999999997</v>
          </cell>
          <cell r="AB63" t="e">
            <v>#N/A</v>
          </cell>
          <cell r="AC63" t="e">
            <v>#N/A</v>
          </cell>
          <cell r="AD63" t="str">
            <v>0147-05</v>
          </cell>
          <cell r="AE6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64">
          <cell r="A64" t="str">
            <v>148-05</v>
          </cell>
          <cell r="B64">
            <v>4019</v>
          </cell>
          <cell r="C64" t="str">
            <v>DE.1.0.7.0</v>
          </cell>
          <cell r="D64" t="str">
            <v>204:232965</v>
          </cell>
          <cell r="E64">
            <v>42587.433368055557</v>
          </cell>
          <cell r="F64">
            <v>42587.434212962966</v>
          </cell>
          <cell r="G64">
            <v>1</v>
          </cell>
          <cell r="H64" t="str">
            <v>204:156</v>
          </cell>
          <cell r="I64">
            <v>42587.463506944441</v>
          </cell>
          <cell r="J64">
            <v>0</v>
          </cell>
          <cell r="K64" t="str">
            <v>4019/4020</v>
          </cell>
          <cell r="L64" t="str">
            <v>MALAVE</v>
          </cell>
          <cell r="M64">
            <v>2.9293981475348119E-2</v>
          </cell>
          <cell r="N64">
            <v>42.183333324501291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https://search-rtdc-monitor-bjffxe2xuh6vdkpspy63sjmuny.us-east-1.es.amazonaws.com/_plugin/kibana/#/discover/Steve-Slow-Train-Analysis-(2080s-and-2083s)?_g=(refreshInterval:(display:Off,section:0,value:0),time:(from:'2016-08-05 09:24:03-0600',mode:absolute,to:'2016-08-05 12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4" t="str">
            <v>N</v>
          </cell>
          <cell r="X64">
            <v>1</v>
          </cell>
          <cell r="Y64">
            <v>23.296500000000002</v>
          </cell>
          <cell r="Z64">
            <v>1.5599999999999999E-2</v>
          </cell>
          <cell r="AA64">
            <v>23.280900000000003</v>
          </cell>
          <cell r="AB64" t="e">
            <v>#N/A</v>
          </cell>
          <cell r="AC64" t="e">
            <v>#N/A</v>
          </cell>
          <cell r="AD64" t="str">
            <v>0148-05</v>
          </cell>
          <cell r="AE6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65">
          <cell r="A65" t="str">
            <v>149-05</v>
          </cell>
          <cell r="B65">
            <v>4038</v>
          </cell>
          <cell r="C65" t="str">
            <v>DE.1.0.7.0</v>
          </cell>
          <cell r="D65" t="str">
            <v>204:462</v>
          </cell>
          <cell r="E65">
            <v>42587.414803240739</v>
          </cell>
          <cell r="F65">
            <v>42587.415763888886</v>
          </cell>
          <cell r="G65">
            <v>1</v>
          </cell>
          <cell r="H65" t="str">
            <v>204:233315</v>
          </cell>
          <cell r="I65">
            <v>42587.443287037036</v>
          </cell>
          <cell r="J65">
            <v>0</v>
          </cell>
          <cell r="K65" t="str">
            <v>4037/4038</v>
          </cell>
          <cell r="L65" t="str">
            <v>GRASTON</v>
          </cell>
          <cell r="M65">
            <v>2.7523148150066845E-2</v>
          </cell>
          <cell r="N65">
            <v>39.633333336096257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https://search-rtdc-monitor-bjffxe2xuh6vdkpspy63sjmuny.us-east-1.es.amazonaws.com/_plugin/kibana/#/discover/Steve-Slow-Train-Analysis-(2080s-and-2083s)?_g=(refreshInterval:(display:Off,section:0,value:0),time:(from:'2016-08-05 08:57:19-0600',mode:absolute,to:'2016-08-05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4.6199999999999998E-2</v>
          </cell>
          <cell r="Z65">
            <v>23.331499999999998</v>
          </cell>
          <cell r="AA65">
            <v>23.285299999999999</v>
          </cell>
          <cell r="AB65" t="e">
            <v>#N/A</v>
          </cell>
          <cell r="AC65" t="e">
            <v>#N/A</v>
          </cell>
          <cell r="AD65" t="str">
            <v>0149-05</v>
          </cell>
          <cell r="AE6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66">
          <cell r="A66" t="str">
            <v>150-05</v>
          </cell>
          <cell r="B66">
            <v>4037</v>
          </cell>
          <cell r="C66" t="str">
            <v>DE.1.0.7.0</v>
          </cell>
          <cell r="D66" t="str">
            <v>204:233000</v>
          </cell>
          <cell r="E66">
            <v>42587.44431712963</v>
          </cell>
          <cell r="F66">
            <v>42587.445150462961</v>
          </cell>
          <cell r="G66">
            <v>1</v>
          </cell>
          <cell r="H66" t="str">
            <v>204:163</v>
          </cell>
          <cell r="I66">
            <v>42587.474814814814</v>
          </cell>
          <cell r="J66">
            <v>0</v>
          </cell>
          <cell r="K66" t="str">
            <v>4037/4038</v>
          </cell>
          <cell r="L66" t="str">
            <v>GRASTON</v>
          </cell>
          <cell r="M66">
            <v>2.9664351852261461E-2</v>
          </cell>
          <cell r="N66">
            <v>42.716666667256504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https://search-rtdc-monitor-bjffxe2xuh6vdkpspy63sjmuny.us-east-1.es.amazonaws.com/_plugin/kibana/#/discover/Steve-Slow-Train-Analysis-(2080s-and-2083s)?_g=(refreshInterval:(display:Off,section:0,value:0),time:(from:'2016-08-05 09:39:49-0600',mode:absolute,to:'2016-08-05 12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23.3</v>
          </cell>
          <cell r="Z66">
            <v>1.6299999999999999E-2</v>
          </cell>
          <cell r="AA66">
            <v>23.2837</v>
          </cell>
          <cell r="AB66" t="e">
            <v>#N/A</v>
          </cell>
          <cell r="AC66" t="e">
            <v>#N/A</v>
          </cell>
          <cell r="AD66" t="str">
            <v>0150-05</v>
          </cell>
          <cell r="AE6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67">
          <cell r="A67" t="str">
            <v>151-05</v>
          </cell>
          <cell r="B67">
            <v>4027</v>
          </cell>
          <cell r="C67" t="str">
            <v>DE.1.0.7.0</v>
          </cell>
          <cell r="D67" t="str">
            <v>204:431</v>
          </cell>
          <cell r="E67">
            <v>42587.41851851852</v>
          </cell>
          <cell r="F67">
            <v>42587.419652777775</v>
          </cell>
          <cell r="G67">
            <v>1</v>
          </cell>
          <cell r="H67" t="str">
            <v>204:233278</v>
          </cell>
          <cell r="I67">
            <v>42587.450497685182</v>
          </cell>
          <cell r="J67">
            <v>0</v>
          </cell>
          <cell r="K67" t="str">
            <v>4027/4028</v>
          </cell>
          <cell r="L67" t="str">
            <v>ISHMAEL</v>
          </cell>
          <cell r="M67">
            <v>3.0844907407299615E-2</v>
          </cell>
          <cell r="N67">
            <v>44.416666666511446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https://search-rtdc-monitor-bjffxe2xuh6vdkpspy63sjmuny.us-east-1.es.amazonaws.com/_plugin/kibana/#/discover/Steve-Slow-Train-Analysis-(2080s-and-2083s)?_g=(refreshInterval:(display:Off,section:0,value:0),time:(from:'2016-08-05 09:02:40-0600',mode:absolute,to:'2016-08-05 11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7" t="str">
            <v>N</v>
          </cell>
          <cell r="X67">
            <v>1</v>
          </cell>
          <cell r="Y67">
            <v>4.3099999999999999E-2</v>
          </cell>
          <cell r="Z67">
            <v>23.3278</v>
          </cell>
          <cell r="AA67">
            <v>23.284700000000001</v>
          </cell>
          <cell r="AB67" t="e">
            <v>#N/A</v>
          </cell>
          <cell r="AC67" t="e">
            <v>#N/A</v>
          </cell>
          <cell r="AD67" t="str">
            <v>0151-05</v>
          </cell>
          <cell r="AE67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68">
          <cell r="A68" t="str">
            <v>152-05</v>
          </cell>
          <cell r="B68">
            <v>4028</v>
          </cell>
          <cell r="C68" t="str">
            <v>DE.1.0.7.0</v>
          </cell>
          <cell r="D68" t="str">
            <v>204:232971</v>
          </cell>
          <cell r="E68">
            <v>42587.451666666668</v>
          </cell>
          <cell r="F68">
            <v>42587.45239583333</v>
          </cell>
          <cell r="G68">
            <v>1</v>
          </cell>
          <cell r="H68" t="str">
            <v>204:158</v>
          </cell>
          <cell r="I68">
            <v>42587.484849537039</v>
          </cell>
          <cell r="J68">
            <v>0</v>
          </cell>
          <cell r="K68" t="str">
            <v>4027/4028</v>
          </cell>
          <cell r="L68" t="str">
            <v>ISHMAEL</v>
          </cell>
          <cell r="M68">
            <v>3.2453703708597459E-2</v>
          </cell>
          <cell r="N68">
            <v>46.733333340380341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https://search-rtdc-monitor-bjffxe2xuh6vdkpspy63sjmuny.us-east-1.es.amazonaws.com/_plugin/kibana/#/discover/Steve-Slow-Train-Analysis-(2080s-and-2083s)?_g=(refreshInterval:(display:Off,section:0,value:0),time:(from:'2016-08-05 09:50:24-0600',mode:absolute,to:'2016-08-05 12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8" t="str">
            <v>N</v>
          </cell>
          <cell r="X68">
            <v>1</v>
          </cell>
          <cell r="Y68">
            <v>23.2971</v>
          </cell>
          <cell r="Z68">
            <v>1.5800000000000002E-2</v>
          </cell>
          <cell r="AA68">
            <v>23.281300000000002</v>
          </cell>
          <cell r="AB68" t="e">
            <v>#N/A</v>
          </cell>
          <cell r="AC68" t="e">
            <v>#N/A</v>
          </cell>
          <cell r="AD68" t="str">
            <v>0152-05</v>
          </cell>
          <cell r="AE68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69">
          <cell r="A69" t="str">
            <v>153-05</v>
          </cell>
          <cell r="B69">
            <v>4044</v>
          </cell>
          <cell r="C69" t="str">
            <v>DE.1.0.7.0</v>
          </cell>
          <cell r="D69" t="str">
            <v>204:446</v>
          </cell>
          <cell r="E69">
            <v>42587.42523148148</v>
          </cell>
          <cell r="F69">
            <v>42587.426145833335</v>
          </cell>
          <cell r="G69">
            <v>1</v>
          </cell>
          <cell r="H69" t="str">
            <v>204:233308</v>
          </cell>
          <cell r="I69">
            <v>42587.454212962963</v>
          </cell>
          <cell r="J69">
            <v>0</v>
          </cell>
          <cell r="K69" t="str">
            <v>4043/4044</v>
          </cell>
          <cell r="L69" t="str">
            <v>SANTIZO</v>
          </cell>
          <cell r="M69">
            <v>2.806712962774327E-2</v>
          </cell>
          <cell r="N69">
            <v>40.416666663950309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https://search-rtdc-monitor-bjffxe2xuh6vdkpspy63sjmuny.us-east-1.es.amazonaws.com/_plugin/kibana/#/discover/Steve-Slow-Train-Analysis-(2080s-and-2083s)?_g=(refreshInterval:(display:Off,section:0,value:0),time:(from:'2016-08-05 09:12:20-0600',mode:absolute,to:'2016-08-05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23.3308</v>
          </cell>
          <cell r="AA69">
            <v>23.286200000000001</v>
          </cell>
          <cell r="AB69" t="e">
            <v>#N/A</v>
          </cell>
          <cell r="AC69" t="e">
            <v>#N/A</v>
          </cell>
          <cell r="AD69" t="str">
            <v>0153-05</v>
          </cell>
          <cell r="AE69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70">
          <cell r="A70" t="str">
            <v>154-05</v>
          </cell>
          <cell r="B70">
            <v>4043</v>
          </cell>
          <cell r="C70" t="str">
            <v>DE.1.0.7.0</v>
          </cell>
          <cell r="D70" t="str">
            <v>204:233000</v>
          </cell>
          <cell r="E70">
            <v>42587.455509259256</v>
          </cell>
          <cell r="F70">
            <v>42587.456400462965</v>
          </cell>
          <cell r="G70">
            <v>1</v>
          </cell>
          <cell r="H70" t="str">
            <v>204:147</v>
          </cell>
          <cell r="I70">
            <v>42587.495127314818</v>
          </cell>
          <cell r="J70">
            <v>1</v>
          </cell>
          <cell r="K70" t="str">
            <v>4043/4044</v>
          </cell>
          <cell r="L70" t="str">
            <v>SANTIZO</v>
          </cell>
          <cell r="M70">
            <v>3.8726851853425615E-2</v>
          </cell>
          <cell r="N70">
            <v>55.766666668932885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1.47E-2</v>
          </cell>
          <cell r="AA70">
            <v>23.285299999999999</v>
          </cell>
          <cell r="AB70">
            <v>127587</v>
          </cell>
          <cell r="AC70" t="str">
            <v>SIGNAL</v>
          </cell>
          <cell r="AD70" t="str">
            <v>0154-05</v>
          </cell>
          <cell r="AE70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71">
          <cell r="A71" t="str">
            <v>155-05</v>
          </cell>
          <cell r="B71">
            <v>4025</v>
          </cell>
          <cell r="C71" t="str">
            <v>DE.1.0.7.0</v>
          </cell>
          <cell r="D71" t="str">
            <v>204:460</v>
          </cell>
          <cell r="E71">
            <v>42587.437881944446</v>
          </cell>
          <cell r="F71">
            <v>42587.440520833334</v>
          </cell>
          <cell r="G71">
            <v>3</v>
          </cell>
          <cell r="H71" t="str">
            <v>204:233253</v>
          </cell>
          <cell r="I71">
            <v>42587.472962962966</v>
          </cell>
          <cell r="J71">
            <v>0</v>
          </cell>
          <cell r="K71" t="str">
            <v>4025/4026</v>
          </cell>
          <cell r="L71" t="str">
            <v>STRICKLAND</v>
          </cell>
          <cell r="M71">
            <v>3.2442129631817807E-2</v>
          </cell>
          <cell r="N71">
            <v>46.716666669817641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https://search-rtdc-monitor-bjffxe2xuh6vdkpspy63sjmuny.us-east-1.es.amazonaws.com/_plugin/kibana/#/discover/Steve-Slow-Train-Analysis-(2080s-and-2083s)?_g=(refreshInterval:(display:Off,section:0,value:0),time:(from:'2016-08-05 09:30:33-0600',mode:absolute,to:'2016-08-05 12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23.325299999999999</v>
          </cell>
          <cell r="AA71">
            <v>23.279299999999999</v>
          </cell>
          <cell r="AB71" t="e">
            <v>#N/A</v>
          </cell>
          <cell r="AC71" t="e">
            <v>#N/A</v>
          </cell>
          <cell r="AD71" t="str">
            <v>0155-05</v>
          </cell>
          <cell r="AE71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72">
          <cell r="A72" t="str">
            <v>156-05</v>
          </cell>
          <cell r="B72">
            <v>4026</v>
          </cell>
          <cell r="C72" t="str">
            <v>DE.1.0.7.0</v>
          </cell>
          <cell r="D72" t="str">
            <v>204:232959</v>
          </cell>
          <cell r="E72">
            <v>42587.474074074074</v>
          </cell>
          <cell r="F72">
            <v>42587.475497685184</v>
          </cell>
          <cell r="G72">
            <v>2</v>
          </cell>
          <cell r="H72" t="str">
            <v>204:158</v>
          </cell>
          <cell r="I72">
            <v>42587.507719907408</v>
          </cell>
          <cell r="J72">
            <v>0</v>
          </cell>
          <cell r="K72" t="str">
            <v>4025/4026</v>
          </cell>
          <cell r="L72" t="str">
            <v>STRICKLAND</v>
          </cell>
          <cell r="M72">
            <v>3.2222222223936114E-2</v>
          </cell>
          <cell r="N72">
            <v>46.400000002468005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https://search-rtdc-monitor-bjffxe2xuh6vdkpspy63sjmuny.us-east-1.es.amazonaws.com/_plugin/kibana/#/discover/Steve-Slow-Train-Analysis-(2080s-and-2083s)?_g=(refreshInterval:(display:Off,section:0,value:0),time:(from:'2016-08-05 10:22:40-0600',mode:absolute,to:'2016-08-05 13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2" t="str">
            <v>N</v>
          </cell>
          <cell r="X72">
            <v>1</v>
          </cell>
          <cell r="Y72">
            <v>23.2959</v>
          </cell>
          <cell r="Z72">
            <v>1.5800000000000002E-2</v>
          </cell>
          <cell r="AA72">
            <v>23.280100000000001</v>
          </cell>
          <cell r="AB72" t="e">
            <v>#N/A</v>
          </cell>
          <cell r="AC72" t="e">
            <v>#N/A</v>
          </cell>
          <cell r="AD72" t="str">
            <v>0156-05</v>
          </cell>
          <cell r="AE72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73">
          <cell r="A73" t="str">
            <v>157-05</v>
          </cell>
          <cell r="B73">
            <v>4009</v>
          </cell>
          <cell r="C73" t="str">
            <v>DE.1.0.7.0</v>
          </cell>
          <cell r="D73" t="str">
            <v>204:437</v>
          </cell>
          <cell r="E73">
            <v>42587.44462962963</v>
          </cell>
          <cell r="F73">
            <v>42587.445613425924</v>
          </cell>
          <cell r="G73">
            <v>1</v>
          </cell>
          <cell r="H73" t="str">
            <v>204:233312</v>
          </cell>
          <cell r="I73">
            <v>42587.475046296298</v>
          </cell>
          <cell r="J73">
            <v>0</v>
          </cell>
          <cell r="K73" t="str">
            <v>4009/4010</v>
          </cell>
          <cell r="L73" t="str">
            <v>ROCHA</v>
          </cell>
          <cell r="M73">
            <v>2.9432870374876074E-2</v>
          </cell>
          <cell r="N73">
            <v>42.383333339821547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https://search-rtdc-monitor-bjffxe2xuh6vdkpspy63sjmuny.us-east-1.es.amazonaws.com/_plugin/kibana/#/discover/Steve-Slow-Train-Analysis-(2080s-and-2083s)?_g=(refreshInterval:(display:Off,section:0,value:0),time:(from:'2016-08-05 09:40:16-0600',mode:absolute,to:'2016-08-05 12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3" t="str">
            <v>N</v>
          </cell>
          <cell r="X73">
            <v>1</v>
          </cell>
          <cell r="Y73">
            <v>4.3700000000000003E-2</v>
          </cell>
          <cell r="Z73">
            <v>23.331199999999999</v>
          </cell>
          <cell r="AA73">
            <v>23.287499999999998</v>
          </cell>
          <cell r="AB73" t="e">
            <v>#N/A</v>
          </cell>
          <cell r="AC73" t="e">
            <v>#N/A</v>
          </cell>
          <cell r="AD73" t="str">
            <v>0157-05</v>
          </cell>
          <cell r="AE73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74">
          <cell r="A74" t="str">
            <v>158-05</v>
          </cell>
          <cell r="B74">
            <v>4010</v>
          </cell>
          <cell r="C74" t="str">
            <v>DE.1.0.7.0</v>
          </cell>
          <cell r="D74" t="str">
            <v>204:232998</v>
          </cell>
          <cell r="E74">
            <v>42587.485289351855</v>
          </cell>
          <cell r="F74">
            <v>42587.485902777778</v>
          </cell>
          <cell r="G74">
            <v>0</v>
          </cell>
          <cell r="H74" t="str">
            <v>204:143</v>
          </cell>
          <cell r="I74">
            <v>42587.515219907407</v>
          </cell>
          <cell r="J74">
            <v>0</v>
          </cell>
          <cell r="K74" t="str">
            <v>4009/4010</v>
          </cell>
          <cell r="L74" t="str">
            <v>ROCHA</v>
          </cell>
          <cell r="M74">
            <v>2.9317129628907423E-2</v>
          </cell>
          <cell r="N74">
            <v>42.21666666562669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https://search-rtdc-monitor-bjffxe2xuh6vdkpspy63sjmuny.us-east-1.es.amazonaws.com/_plugin/kibana/#/discover/Steve-Slow-Train-Analysis-(2080s-and-2083s)?_g=(refreshInterval:(display:Off,section:0,value:0),time:(from:'2016-08-05 10:38:49-0600',mode:absolute,to:'2016-08-05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4" t="str">
            <v>N</v>
          </cell>
          <cell r="X74">
            <v>1</v>
          </cell>
          <cell r="Y74">
            <v>23.299800000000001</v>
          </cell>
          <cell r="Z74">
            <v>1.43E-2</v>
          </cell>
          <cell r="AA74">
            <v>23.285500000000003</v>
          </cell>
          <cell r="AB74" t="e">
            <v>#N/A</v>
          </cell>
          <cell r="AC74" t="e">
            <v>#N/A</v>
          </cell>
          <cell r="AD74" t="str">
            <v>0158-05</v>
          </cell>
          <cell r="AE74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75">
          <cell r="A75" t="str">
            <v>159-05</v>
          </cell>
          <cell r="B75">
            <v>4029</v>
          </cell>
          <cell r="C75" t="str">
            <v>DE.1.0.7.0</v>
          </cell>
          <cell r="D75" t="str">
            <v>204:464</v>
          </cell>
          <cell r="E75">
            <v>42587.455983796295</v>
          </cell>
          <cell r="F75">
            <v>42587.457245370373</v>
          </cell>
          <cell r="G75">
            <v>1</v>
          </cell>
          <cell r="H75" t="str">
            <v>204:233276</v>
          </cell>
          <cell r="I75">
            <v>42587.486203703702</v>
          </cell>
          <cell r="J75">
            <v>1</v>
          </cell>
          <cell r="K75" t="str">
            <v>4029/4030</v>
          </cell>
          <cell r="L75" t="str">
            <v>STEWART</v>
          </cell>
          <cell r="M75">
            <v>2.8958333328773733E-2</v>
          </cell>
          <cell r="N75">
            <v>41.699999993434176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23.3276</v>
          </cell>
          <cell r="AA75">
            <v>23.281200000000002</v>
          </cell>
          <cell r="AB75">
            <v>27333</v>
          </cell>
          <cell r="AC75" t="str">
            <v>PERMANENT SPEED RESTRICTION</v>
          </cell>
          <cell r="AD75" t="str">
            <v>0159-05</v>
          </cell>
          <cell r="AE75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76">
          <cell r="A76" t="str">
            <v>160-05</v>
          </cell>
          <cell r="B76">
            <v>4030</v>
          </cell>
          <cell r="C76" t="str">
            <v>DE.1.0.7.0</v>
          </cell>
          <cell r="D76" t="str">
            <v>204:232955</v>
          </cell>
          <cell r="E76">
            <v>42587.492743055554</v>
          </cell>
          <cell r="F76">
            <v>42587.493819444448</v>
          </cell>
          <cell r="G76">
            <v>1</v>
          </cell>
          <cell r="H76" t="str">
            <v>204:139</v>
          </cell>
          <cell r="I76">
            <v>42587.526863425926</v>
          </cell>
          <cell r="J76">
            <v>0</v>
          </cell>
          <cell r="K76" t="str">
            <v>4029/4030</v>
          </cell>
          <cell r="L76" t="str">
            <v>STEWART</v>
          </cell>
          <cell r="M76">
            <v>3.3043981478840578E-2</v>
          </cell>
          <cell r="N76">
            <v>47.583333329530433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https://search-rtdc-monitor-bjffxe2xuh6vdkpspy63sjmuny.us-east-1.es.amazonaws.com/_plugin/kibana/#/discover/Steve-Slow-Train-Analysis-(2080s-and-2083s)?_g=(refreshInterval:(display:Off,section:0,value:0),time:(from:'2016-08-05 10:49:33-0600',mode:absolute,to:'2016-08-05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6" t="str">
            <v>N</v>
          </cell>
          <cell r="X76">
            <v>1</v>
          </cell>
          <cell r="Y76">
            <v>23.295500000000001</v>
          </cell>
          <cell r="Z76">
            <v>1.3899999999999999E-2</v>
          </cell>
          <cell r="AA76">
            <v>23.281600000000001</v>
          </cell>
          <cell r="AB76" t="e">
            <v>#N/A</v>
          </cell>
          <cell r="AC76" t="e">
            <v>#N/A</v>
          </cell>
          <cell r="AD76" t="str">
            <v>0160-05</v>
          </cell>
          <cell r="AE76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77">
          <cell r="A77" t="str">
            <v>161-05</v>
          </cell>
          <cell r="B77">
            <v>4020</v>
          </cell>
          <cell r="C77" t="str">
            <v>DE.1.0.7.0</v>
          </cell>
          <cell r="D77" t="str">
            <v>204:464</v>
          </cell>
          <cell r="E77">
            <v>42587.466666666667</v>
          </cell>
          <cell r="F77">
            <v>42587.467615740738</v>
          </cell>
          <cell r="G77">
            <v>1</v>
          </cell>
          <cell r="H77" t="str">
            <v>204:233287</v>
          </cell>
          <cell r="I77">
            <v>42587.496539351851</v>
          </cell>
          <cell r="J77">
            <v>1</v>
          </cell>
          <cell r="K77" t="str">
            <v>4019/4020</v>
          </cell>
          <cell r="L77" t="str">
            <v>MAYBERRY</v>
          </cell>
          <cell r="M77">
            <v>2.8923611112986691E-2</v>
          </cell>
          <cell r="N77">
            <v>41.650000002700835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23.328700000000001</v>
          </cell>
          <cell r="AA77">
            <v>23.282300000000003</v>
          </cell>
          <cell r="AB77">
            <v>33137</v>
          </cell>
          <cell r="AC77" t="str">
            <v>GRADE CROSSING</v>
          </cell>
          <cell r="AD77" t="str">
            <v>0161-05</v>
          </cell>
          <cell r="AE7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78">
          <cell r="A78" t="str">
            <v>162-05</v>
          </cell>
          <cell r="B78">
            <v>4019</v>
          </cell>
          <cell r="C78" t="str">
            <v>DE.1.0.7.0</v>
          </cell>
          <cell r="D78" t="str">
            <v>204:232966</v>
          </cell>
          <cell r="E78">
            <v>42587.502835648149</v>
          </cell>
          <cell r="F78">
            <v>42587.504386574074</v>
          </cell>
          <cell r="G78">
            <v>2</v>
          </cell>
          <cell r="H78" t="str">
            <v>204:152</v>
          </cell>
          <cell r="I78">
            <v>42587.535856481481</v>
          </cell>
          <cell r="J78">
            <v>0</v>
          </cell>
          <cell r="K78" t="str">
            <v>4019/4020</v>
          </cell>
          <cell r="L78" t="str">
            <v>MAYBERRY</v>
          </cell>
          <cell r="M78">
            <v>3.1469907407881692E-2</v>
          </cell>
          <cell r="N78">
            <v>45.316666667349637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https://search-rtdc-monitor-bjffxe2xuh6vdkpspy63sjmuny.us-east-1.es.amazonaws.com/_plugin/kibana/#/discover/Steve-Slow-Train-Analysis-(2080s-and-2083s)?_g=(refreshInterval:(display:Off,section:0,value:0),time:(from:'2016-08-05 11:04:05-0600',mode:absolute,to:'2016-08-05 13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8" t="str">
            <v>N</v>
          </cell>
          <cell r="X78">
            <v>1</v>
          </cell>
          <cell r="Y78">
            <v>23.296600000000002</v>
          </cell>
          <cell r="Z78">
            <v>1.52E-2</v>
          </cell>
          <cell r="AA78">
            <v>23.281400000000001</v>
          </cell>
          <cell r="AB78" t="e">
            <v>#N/A</v>
          </cell>
          <cell r="AC78" t="e">
            <v>#N/A</v>
          </cell>
          <cell r="AD78" t="str">
            <v>0162-05</v>
          </cell>
          <cell r="AE78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79">
          <cell r="A79" t="str">
            <v>163-05</v>
          </cell>
          <cell r="B79">
            <v>4038</v>
          </cell>
          <cell r="C79" t="str">
            <v>DE.1.0.7.0</v>
          </cell>
          <cell r="D79" t="str">
            <v>204:457</v>
          </cell>
          <cell r="E79">
            <v>42587.476736111108</v>
          </cell>
          <cell r="F79">
            <v>42587.477638888886</v>
          </cell>
          <cell r="G79">
            <v>1</v>
          </cell>
          <cell r="H79" t="str">
            <v>204:233311</v>
          </cell>
          <cell r="I79">
            <v>42587.506493055553</v>
          </cell>
          <cell r="J79">
            <v>1</v>
          </cell>
          <cell r="K79" t="str">
            <v>4037/4038</v>
          </cell>
          <cell r="L79" t="str">
            <v>OUN</v>
          </cell>
          <cell r="M79">
            <v>2.8854166666860692E-2</v>
          </cell>
          <cell r="N79">
            <v>41.550000000279397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4.5699999999999998E-2</v>
          </cell>
          <cell r="Z79">
            <v>23.331099999999999</v>
          </cell>
          <cell r="AA79">
            <v>23.285399999999999</v>
          </cell>
          <cell r="AB79">
            <v>108954</v>
          </cell>
          <cell r="AC79" t="str">
            <v>GRADE CROSSING</v>
          </cell>
          <cell r="AD79" t="str">
            <v>0163-05</v>
          </cell>
          <cell r="AE79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80">
          <cell r="A80" t="str">
            <v>164-05</v>
          </cell>
          <cell r="B80">
            <v>4037</v>
          </cell>
          <cell r="C80" t="str">
            <v>DE.1.0.7.0</v>
          </cell>
          <cell r="D80" t="str">
            <v>204:232992</v>
          </cell>
          <cell r="E80">
            <v>42587.515300925923</v>
          </cell>
          <cell r="F80">
            <v>42587.518217592595</v>
          </cell>
          <cell r="G80">
            <v>1</v>
          </cell>
          <cell r="H80" t="str">
            <v>204:152</v>
          </cell>
          <cell r="I80">
            <v>42587.544814814813</v>
          </cell>
          <cell r="J80">
            <v>0</v>
          </cell>
          <cell r="K80" t="str">
            <v>4037/4038</v>
          </cell>
          <cell r="L80" t="str">
            <v>OUN</v>
          </cell>
          <cell r="M80">
            <v>2.6597222218697425E-2</v>
          </cell>
          <cell r="N80">
            <v>38.299999994924292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https://search-rtdc-monitor-bjffxe2xuh6vdkpspy63sjmuny.us-east-1.es.amazonaws.com/_plugin/kibana/#/discover/Steve-Slow-Train-Analysis-(2080s-and-2083s)?_g=(refreshInterval:(display:Off,section:0,value:0),time:(from:'2016-08-05 11:22:02-0600',mode:absolute,to:'2016-08-05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23.299199999999999</v>
          </cell>
          <cell r="Z80">
            <v>1.52E-2</v>
          </cell>
          <cell r="AA80">
            <v>23.283999999999999</v>
          </cell>
          <cell r="AB80" t="e">
            <v>#N/A</v>
          </cell>
          <cell r="AC80" t="e">
            <v>#N/A</v>
          </cell>
          <cell r="AD80" t="str">
            <v>0164-05</v>
          </cell>
          <cell r="AE80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81">
          <cell r="A81" t="str">
            <v>165-05</v>
          </cell>
          <cell r="B81">
            <v>4027</v>
          </cell>
          <cell r="C81" t="str">
            <v>DE.1.0.7.0</v>
          </cell>
          <cell r="D81" t="str">
            <v>204:469</v>
          </cell>
          <cell r="E81">
            <v>42587.487997685188</v>
          </cell>
          <cell r="F81">
            <v>42587.489282407405</v>
          </cell>
          <cell r="G81">
            <v>1</v>
          </cell>
          <cell r="H81" t="str">
            <v>204:233317</v>
          </cell>
          <cell r="I81">
            <v>42587.516944444447</v>
          </cell>
          <cell r="J81">
            <v>0</v>
          </cell>
          <cell r="K81" t="str">
            <v>4027/4028</v>
          </cell>
          <cell r="L81" t="str">
            <v>MOSES</v>
          </cell>
          <cell r="M81">
            <v>2.7662037042318843E-2</v>
          </cell>
          <cell r="N81">
            <v>39.833333340939134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https://search-rtdc-monitor-bjffxe2xuh6vdkpspy63sjmuny.us-east-1.es.amazonaws.com/_plugin/kibana/#/discover/Steve-Slow-Train-Analysis-(2080s-and-2083s)?_g=(refreshInterval:(display:Off,section:0,value:0),time:(from:'2016-08-05 10:42:43-0600',mode:absolute,to:'2016-08-05 13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1" t="str">
            <v>N</v>
          </cell>
          <cell r="X81">
            <v>1</v>
          </cell>
          <cell r="Y81">
            <v>4.6899999999999997E-2</v>
          </cell>
          <cell r="Z81">
            <v>23.331700000000001</v>
          </cell>
          <cell r="AA81">
            <v>23.284800000000001</v>
          </cell>
          <cell r="AB81" t="e">
            <v>#N/A</v>
          </cell>
          <cell r="AC81" t="e">
            <v>#N/A</v>
          </cell>
          <cell r="AD81" t="str">
            <v>0165-05</v>
          </cell>
          <cell r="AE81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82">
          <cell r="A82" t="str">
            <v>166-05</v>
          </cell>
          <cell r="B82">
            <v>4028</v>
          </cell>
          <cell r="C82" t="str">
            <v>DE.1.0.7.0</v>
          </cell>
          <cell r="D82" t="str">
            <v>204:233015</v>
          </cell>
          <cell r="E82">
            <v>42587.525034722225</v>
          </cell>
          <cell r="F82">
            <v>42587.526550925926</v>
          </cell>
          <cell r="G82">
            <v>2</v>
          </cell>
          <cell r="H82" t="str">
            <v>204:143</v>
          </cell>
          <cell r="I82">
            <v>42587.55568287037</v>
          </cell>
          <cell r="J82">
            <v>0</v>
          </cell>
          <cell r="K82" t="str">
            <v>4027/4028</v>
          </cell>
          <cell r="L82" t="str">
            <v>MOSES</v>
          </cell>
          <cell r="M82">
            <v>2.9131944444088731E-2</v>
          </cell>
          <cell r="N82">
            <v>41.949999999487773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https://search-rtdc-monitor-bjffxe2xuh6vdkpspy63sjmuny.us-east-1.es.amazonaws.com/_plugin/kibana/#/discover/Steve-Slow-Train-Analysis-(2080s-and-2083s)?_g=(refreshInterval:(display:Off,section:0,value:0),time:(from:'2016-08-05 11:36:03-0600',mode:absolute,to:'2016-08-05 14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2" t="str">
            <v>N</v>
          </cell>
          <cell r="X82">
            <v>1</v>
          </cell>
          <cell r="Y82">
            <v>23.301500000000001</v>
          </cell>
          <cell r="Z82">
            <v>1.43E-2</v>
          </cell>
          <cell r="AA82">
            <v>23.287200000000002</v>
          </cell>
          <cell r="AB82" t="e">
            <v>#N/A</v>
          </cell>
          <cell r="AC82" t="e">
            <v>#N/A</v>
          </cell>
          <cell r="AD82" t="str">
            <v>0166-05</v>
          </cell>
          <cell r="AE8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83">
          <cell r="A83" t="str">
            <v>167-05</v>
          </cell>
          <cell r="B83">
            <v>4044</v>
          </cell>
          <cell r="C83" t="str">
            <v>DE.1.0.7.0</v>
          </cell>
          <cell r="D83" t="str">
            <v>204:455</v>
          </cell>
          <cell r="E83">
            <v>42587.496932870374</v>
          </cell>
          <cell r="F83">
            <v>42587.498425925929</v>
          </cell>
          <cell r="G83">
            <v>2</v>
          </cell>
          <cell r="H83" t="str">
            <v>204:233318</v>
          </cell>
          <cell r="I83">
            <v>42587.525694444441</v>
          </cell>
          <cell r="J83">
            <v>0</v>
          </cell>
          <cell r="K83" t="str">
            <v>4043/4044</v>
          </cell>
          <cell r="L83" t="str">
            <v>HELVIE</v>
          </cell>
          <cell r="M83">
            <v>2.7268518511846196E-2</v>
          </cell>
          <cell r="N83">
            <v>39.266666657058522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13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23.331800000000001</v>
          </cell>
          <cell r="AA83">
            <v>23.286300000000001</v>
          </cell>
          <cell r="AB83" t="e">
            <v>#N/A</v>
          </cell>
          <cell r="AC83" t="e">
            <v>#N/A</v>
          </cell>
          <cell r="AD83" t="str">
            <v>0167-05</v>
          </cell>
          <cell r="AE8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84">
          <cell r="A84" t="str">
            <v>168-05</v>
          </cell>
          <cell r="B84">
            <v>4043</v>
          </cell>
          <cell r="C84" t="str">
            <v>DE.1.0.7.0</v>
          </cell>
          <cell r="D84" t="str">
            <v>204:455</v>
          </cell>
          <cell r="E84">
            <v>42587.496932870374</v>
          </cell>
          <cell r="F84">
            <v>42587.5390625</v>
          </cell>
          <cell r="G84">
            <v>2</v>
          </cell>
          <cell r="H84" t="str">
            <v>204:233318</v>
          </cell>
          <cell r="I84">
            <v>42587.566388888888</v>
          </cell>
          <cell r="J84">
            <v>0</v>
          </cell>
          <cell r="K84" t="str">
            <v>4043/4044</v>
          </cell>
          <cell r="L84" t="str">
            <v>HELVIE</v>
          </cell>
          <cell r="M84">
            <v>2.73263888884685E-2</v>
          </cell>
          <cell r="N84">
            <v>39.34999999939464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14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4" t="str">
            <v>N</v>
          </cell>
          <cell r="X84">
            <v>1</v>
          </cell>
          <cell r="Y84">
            <v>23.2</v>
          </cell>
          <cell r="Z84">
            <v>0.04</v>
          </cell>
          <cell r="AA84">
            <v>23.16</v>
          </cell>
          <cell r="AB84" t="e">
            <v>#N/A</v>
          </cell>
          <cell r="AC84" t="e">
            <v>#N/A</v>
          </cell>
          <cell r="AD84" t="str">
            <v>0168-05</v>
          </cell>
          <cell r="AE8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85">
          <cell r="A85" t="str">
            <v>169-05</v>
          </cell>
          <cell r="B85">
            <v>4025</v>
          </cell>
          <cell r="C85" t="str">
            <v>DE.1.0.7.0</v>
          </cell>
          <cell r="D85" t="str">
            <v>204:464</v>
          </cell>
          <cell r="E85">
            <v>42587.509837962964</v>
          </cell>
          <cell r="F85">
            <v>42587.510972222219</v>
          </cell>
          <cell r="G85">
            <v>1</v>
          </cell>
          <cell r="H85" t="str">
            <v>204:233331</v>
          </cell>
          <cell r="I85">
            <v>42587.543263888889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3.2291666670062114E-2</v>
          </cell>
          <cell r="N85">
            <v>46.500000004889444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https://search-rtdc-monitor-bjffxe2xuh6vdkpspy63sjmuny.us-east-1.es.amazonaws.com/_plugin/kibana/#/discover/Steve-Slow-Train-Analysis-(2080s-and-2083s)?_g=(refreshInterval:(display:Off,section:0,value:0),time:(from:'2016-08-05 11:14:10-0600',mode:absolute,to:'2016-08-05 14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5" t="str">
            <v>N</v>
          </cell>
          <cell r="X85">
            <v>1</v>
          </cell>
          <cell r="Y85">
            <v>4.6399999999999997E-2</v>
          </cell>
          <cell r="Z85">
            <v>23.333100000000002</v>
          </cell>
          <cell r="AA85">
            <v>23.286700000000003</v>
          </cell>
          <cell r="AB85" t="e">
            <v>#N/A</v>
          </cell>
          <cell r="AC85" t="e">
            <v>#N/A</v>
          </cell>
          <cell r="AD85" t="str">
            <v>0169-05</v>
          </cell>
          <cell r="AE85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86">
          <cell r="A86" t="str">
            <v>170-05</v>
          </cell>
          <cell r="B86">
            <v>4026</v>
          </cell>
          <cell r="C86" t="str">
            <v>DE.1.0.7.0</v>
          </cell>
          <cell r="D86" t="str">
            <v>204:233064</v>
          </cell>
          <cell r="E86">
            <v>42587.546249999999</v>
          </cell>
          <cell r="F86">
            <v>42587.54760416667</v>
          </cell>
          <cell r="G86">
            <v>1</v>
          </cell>
          <cell r="H86" t="str">
            <v>204:145</v>
          </cell>
          <cell r="I86">
            <v>42587.577673611115</v>
          </cell>
          <cell r="J86">
            <v>0</v>
          </cell>
          <cell r="K86" t="str">
            <v>4025/4026</v>
          </cell>
          <cell r="L86" t="str">
            <v>SHOOK</v>
          </cell>
          <cell r="M86">
            <v>3.0069444444961846E-2</v>
          </cell>
          <cell r="N86">
            <v>43.300000000745058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https://search-rtdc-monitor-bjffxe2xuh6vdkpspy63sjmuny.us-east-1.es.amazonaws.com/_plugin/kibana/#/discover/Steve-Slow-Train-Analysis-(2080s-and-2083s)?_g=(refreshInterval:(display:Off,section:0,value:0),time:(from:'2016-08-05 12:06:36-0600',mode:absolute,to:'2016-08-05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6" t="str">
            <v>N</v>
          </cell>
          <cell r="X86">
            <v>1</v>
          </cell>
          <cell r="Y86">
            <v>23.3064</v>
          </cell>
          <cell r="Z86">
            <v>1.4500000000000001E-2</v>
          </cell>
          <cell r="AA86">
            <v>23.291899999999998</v>
          </cell>
          <cell r="AB86" t="e">
            <v>#N/A</v>
          </cell>
          <cell r="AC86" t="e">
            <v>#N/A</v>
          </cell>
          <cell r="AD86" t="str">
            <v>0170-05</v>
          </cell>
          <cell r="AE8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87">
          <cell r="A87" t="str">
            <v>171-05</v>
          </cell>
          <cell r="B87">
            <v>4009</v>
          </cell>
          <cell r="C87" t="str">
            <v>DE.1.0.7.0</v>
          </cell>
          <cell r="D87" t="str">
            <v>204:451</v>
          </cell>
          <cell r="E87">
            <v>42587.518043981479</v>
          </cell>
          <cell r="F87">
            <v>42587.52065972222</v>
          </cell>
          <cell r="G87">
            <v>3</v>
          </cell>
          <cell r="H87" t="str">
            <v>204:233293</v>
          </cell>
          <cell r="I87">
            <v>42587.548298611109</v>
          </cell>
          <cell r="J87">
            <v>0</v>
          </cell>
          <cell r="K87" t="str">
            <v>4009/4010</v>
          </cell>
          <cell r="L87" t="str">
            <v>SWANSON</v>
          </cell>
          <cell r="M87">
            <v>2.7638888888759539E-2</v>
          </cell>
          <cell r="N87">
            <v>39.799999999813735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https://search-rtdc-monitor-bjffxe2xuh6vdkpspy63sjmuny.us-east-1.es.amazonaws.com/_plugin/kibana/#/discover/Steve-Slow-Train-Analysis-(2080s-and-2083s)?_g=(refreshInterval:(display:Off,section:0,value:0),time:(from:'2016-08-05 11:25:59-0600',mode:absolute,to:'2016-08-05 14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23.3293</v>
          </cell>
          <cell r="AA87">
            <v>23.284199999999998</v>
          </cell>
          <cell r="AB87" t="e">
            <v>#N/A</v>
          </cell>
          <cell r="AC87" t="e">
            <v>#N/A</v>
          </cell>
          <cell r="AD87" t="str">
            <v>0171-05</v>
          </cell>
          <cell r="AE8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88">
          <cell r="A88" t="str">
            <v>172-05</v>
          </cell>
          <cell r="B88">
            <v>4010</v>
          </cell>
          <cell r="C88" t="str">
            <v>DE.1.0.7.0</v>
          </cell>
          <cell r="D88" t="str">
            <v>204:232971</v>
          </cell>
          <cell r="E88">
            <v>42587.556215277778</v>
          </cell>
          <cell r="F88">
            <v>42587.557291666664</v>
          </cell>
          <cell r="G88">
            <v>1</v>
          </cell>
          <cell r="H88" t="str">
            <v>204:150</v>
          </cell>
          <cell r="I88">
            <v>42587.588368055556</v>
          </cell>
          <cell r="J88">
            <v>0</v>
          </cell>
          <cell r="K88" t="str">
            <v>4009/4010</v>
          </cell>
          <cell r="L88" t="str">
            <v>SWANSON</v>
          </cell>
          <cell r="M88">
            <v>3.107638889196096E-2</v>
          </cell>
          <cell r="N88">
            <v>44.750000004423782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https://search-rtdc-monitor-bjffxe2xuh6vdkpspy63sjmuny.us-east-1.es.amazonaws.com/_plugin/kibana/#/discover/Steve-Slow-Train-Analysis-(2080s-and-2083s)?_g=(refreshInterval:(display:Off,section:0,value:0),time:(from:'2016-08-05 12:20:57-0600',mode:absolute,to:'2016-08-05 15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8" t="str">
            <v>N</v>
          </cell>
          <cell r="X88">
            <v>1</v>
          </cell>
          <cell r="Y88">
            <v>23.2971</v>
          </cell>
          <cell r="Z88">
            <v>1.4999999999999999E-2</v>
          </cell>
          <cell r="AA88">
            <v>23.2821</v>
          </cell>
          <cell r="AB88" t="e">
            <v>#N/A</v>
          </cell>
          <cell r="AC88" t="e">
            <v>#N/A</v>
          </cell>
          <cell r="AD88" t="str">
            <v>0172-05</v>
          </cell>
          <cell r="AE8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89">
          <cell r="A89" t="str">
            <v>173-05</v>
          </cell>
          <cell r="B89">
            <v>4029</v>
          </cell>
          <cell r="C89" t="str">
            <v>DE.1.0.7.0</v>
          </cell>
          <cell r="D89" t="str">
            <v>204:462</v>
          </cell>
          <cell r="E89">
            <v>42587.52921296296</v>
          </cell>
          <cell r="F89">
            <v>42587.530115740738</v>
          </cell>
          <cell r="G89">
            <v>1</v>
          </cell>
          <cell r="H89" t="str">
            <v>204:233310</v>
          </cell>
          <cell r="I89">
            <v>42587.557557870372</v>
          </cell>
          <cell r="J89">
            <v>0</v>
          </cell>
          <cell r="K89" t="str">
            <v>4029/4030</v>
          </cell>
          <cell r="L89" t="str">
            <v>STEWART</v>
          </cell>
          <cell r="M89">
            <v>2.7442129634437151E-2</v>
          </cell>
          <cell r="N89">
            <v>39.516666673589498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https://search-rtdc-monitor-bjffxe2xuh6vdkpspy63sjmuny.us-east-1.es.amazonaws.com/_plugin/kibana/#/discover/Steve-Slow-Train-Analysis-(2080s-and-2083s)?_g=(refreshInterval:(display:Off,section:0,value:0),time:(from:'2016-08-05 11:42:04-0600',mode:absolute,to:'2016-08-05 14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9" t="str">
            <v>N</v>
          </cell>
          <cell r="X89">
            <v>1</v>
          </cell>
          <cell r="Y89">
            <v>4.6199999999999998E-2</v>
          </cell>
          <cell r="Z89">
            <v>23.331</v>
          </cell>
          <cell r="AA89">
            <v>23.284800000000001</v>
          </cell>
          <cell r="AB89" t="e">
            <v>#N/A</v>
          </cell>
          <cell r="AC89" t="e">
            <v>#N/A</v>
          </cell>
          <cell r="AD89" t="str">
            <v>0173-05</v>
          </cell>
          <cell r="AE89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90">
          <cell r="A90" t="str">
            <v>174-05</v>
          </cell>
          <cell r="B90">
            <v>4030</v>
          </cell>
          <cell r="C90" t="str">
            <v>DE.1.0.7.0</v>
          </cell>
          <cell r="D90" t="str">
            <v>204:233002</v>
          </cell>
          <cell r="E90">
            <v>42587.567025462966</v>
          </cell>
          <cell r="F90">
            <v>42587.567974537036</v>
          </cell>
          <cell r="G90">
            <v>1</v>
          </cell>
          <cell r="H90" t="str">
            <v>204:145</v>
          </cell>
          <cell r="I90">
            <v>42587.599016203705</v>
          </cell>
          <cell r="J90">
            <v>0</v>
          </cell>
          <cell r="K90" t="str">
            <v>4029/4030</v>
          </cell>
          <cell r="L90" t="str">
            <v>STEWART</v>
          </cell>
          <cell r="M90">
            <v>3.104166666889796E-2</v>
          </cell>
          <cell r="N90">
            <v>44.700000003213063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https://search-rtdc-monitor-bjffxe2xuh6vdkpspy63sjmuny.us-east-1.es.amazonaws.com/_plugin/kibana/#/discover/Steve-Slow-Train-Analysis-(2080s-and-2083s)?_g=(refreshInterval:(display:Off,section:0,value:0),time:(from:'2016-08-05 12:36:31-0600',mode:absolute,to:'2016-08-05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0" t="str">
            <v>N</v>
          </cell>
          <cell r="X90">
            <v>1</v>
          </cell>
          <cell r="Y90">
            <v>23.3002</v>
          </cell>
          <cell r="Z90">
            <v>1.4500000000000001E-2</v>
          </cell>
          <cell r="AA90">
            <v>23.285699999999999</v>
          </cell>
          <cell r="AB90" t="e">
            <v>#N/A</v>
          </cell>
          <cell r="AC90" t="e">
            <v>#N/A</v>
          </cell>
          <cell r="AD90" t="str">
            <v>0174-05</v>
          </cell>
          <cell r="AE90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91">
          <cell r="A91" t="str">
            <v>175-05</v>
          </cell>
          <cell r="B91">
            <v>4020</v>
          </cell>
          <cell r="C91" t="str">
            <v>DE.1.0.7.0</v>
          </cell>
          <cell r="D91" t="str">
            <v>204:466</v>
          </cell>
          <cell r="E91">
            <v>42587.537314814814</v>
          </cell>
          <cell r="F91">
            <v>42587.538495370369</v>
          </cell>
          <cell r="G91">
            <v>1</v>
          </cell>
          <cell r="H91" t="str">
            <v>204:233303</v>
          </cell>
          <cell r="I91">
            <v>42587.56689814815</v>
          </cell>
          <cell r="J91">
            <v>1</v>
          </cell>
          <cell r="K91" t="str">
            <v>4019/4020</v>
          </cell>
          <cell r="L91" t="str">
            <v>MAYBERRY</v>
          </cell>
          <cell r="M91">
            <v>2.8402777781593613E-2</v>
          </cell>
          <cell r="N91">
            <v>40.900000005494803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1" t="str">
            <v>N</v>
          </cell>
          <cell r="X91">
            <v>1</v>
          </cell>
          <cell r="Y91">
            <v>4.6600000000000003E-2</v>
          </cell>
          <cell r="Z91">
            <v>23.330300000000001</v>
          </cell>
          <cell r="AA91">
            <v>23.2837</v>
          </cell>
          <cell r="AB91">
            <v>17867</v>
          </cell>
          <cell r="AC91" t="str">
            <v>PERMANENT SPEED RESTRICTION</v>
          </cell>
          <cell r="AD91" t="str">
            <v>0175-05</v>
          </cell>
          <cell r="AE9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92">
          <cell r="A92" t="str">
            <v>176-05</v>
          </cell>
          <cell r="B92">
            <v>4019</v>
          </cell>
          <cell r="C92" t="str">
            <v>DE.1.0.7.0</v>
          </cell>
          <cell r="D92" t="str">
            <v>204:232973</v>
          </cell>
          <cell r="E92">
            <v>42587.577349537038</v>
          </cell>
          <cell r="F92">
            <v>42587.5784375</v>
          </cell>
          <cell r="G92">
            <v>1</v>
          </cell>
          <cell r="H92" t="str">
            <v>204:150</v>
          </cell>
          <cell r="I92">
            <v>42587.610509259262</v>
          </cell>
          <cell r="J92">
            <v>3</v>
          </cell>
          <cell r="K92" t="str">
            <v>4019/4020</v>
          </cell>
          <cell r="L92" t="str">
            <v>MAYBERRY</v>
          </cell>
          <cell r="M92">
            <v>3.2071759262180422E-2</v>
          </cell>
          <cell r="N92">
            <v>46.183333337539807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1.4999999999999999E-2</v>
          </cell>
          <cell r="AA92">
            <v>23.282299999999999</v>
          </cell>
          <cell r="AB92">
            <v>127587</v>
          </cell>
          <cell r="AC92" t="str">
            <v>SIGNAL</v>
          </cell>
          <cell r="AD92" t="str">
            <v>0176-05</v>
          </cell>
          <cell r="AE9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93">
          <cell r="A93" t="str">
            <v>177-05</v>
          </cell>
          <cell r="B93">
            <v>4038</v>
          </cell>
          <cell r="C93" t="str">
            <v>DE.1.0.7.0</v>
          </cell>
          <cell r="D93" t="str">
            <v>204:446</v>
          </cell>
          <cell r="E93">
            <v>42587.546087962961</v>
          </cell>
          <cell r="F93">
            <v>42587.547175925924</v>
          </cell>
          <cell r="G93">
            <v>1</v>
          </cell>
          <cell r="H93" t="str">
            <v>204:233315</v>
          </cell>
          <cell r="I93">
            <v>42587.579004629632</v>
          </cell>
          <cell r="J93">
            <v>0</v>
          </cell>
          <cell r="K93" t="str">
            <v>4037/4038</v>
          </cell>
          <cell r="L93" t="str">
            <v>OUN</v>
          </cell>
          <cell r="M93">
            <v>3.1828703708015382E-2</v>
          </cell>
          <cell r="N93">
            <v>45.83333333954215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https://search-rtdc-monitor-bjffxe2xuh6vdkpspy63sjmuny.us-east-1.es.amazonaws.com/_plugin/kibana/#/discover/Steve-Slow-Train-Analysis-(2080s-and-2083s)?_g=(refreshInterval:(display:Off,section:0,value:0),time:(from:'2016-08-05 12:06:22-0600',mode:absolute,to:'2016-08-05 14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4.4600000000000001E-2</v>
          </cell>
          <cell r="Z93">
            <v>23.331499999999998</v>
          </cell>
          <cell r="AA93">
            <v>23.286899999999999</v>
          </cell>
          <cell r="AB93" t="e">
            <v>#N/A</v>
          </cell>
          <cell r="AC93" t="e">
            <v>#N/A</v>
          </cell>
          <cell r="AD93" t="str">
            <v>0177-05</v>
          </cell>
          <cell r="AE9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94">
          <cell r="A94" t="str">
            <v>178-05</v>
          </cell>
          <cell r="B94">
            <v>4037</v>
          </cell>
          <cell r="C94" t="str">
            <v>DE.1.0.7.0</v>
          </cell>
          <cell r="D94" t="str">
            <v>204:232994</v>
          </cell>
          <cell r="E94">
            <v>42587.586168981485</v>
          </cell>
          <cell r="F94">
            <v>42587.587337962963</v>
          </cell>
          <cell r="G94">
            <v>1</v>
          </cell>
          <cell r="H94" t="str">
            <v>204:178</v>
          </cell>
          <cell r="I94">
            <v>42587.621921296297</v>
          </cell>
          <cell r="J94">
            <v>0</v>
          </cell>
          <cell r="K94" t="str">
            <v>4037/4038</v>
          </cell>
          <cell r="L94" t="str">
            <v>OUN</v>
          </cell>
          <cell r="M94">
            <v>3.4583333334012423E-2</v>
          </cell>
          <cell r="N94">
            <v>49.800000000977889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https://search-rtdc-monitor-bjffxe2xuh6vdkpspy63sjmuny.us-east-1.es.amazonaws.com/_plugin/kibana/#/discover/Steve-Slow-Train-Analysis-(2080s-and-2083s)?_g=(refreshInterval:(display:Off,section:0,value:0),time:(from:'2016-08-05 13:04:05-0600',mode:absolute,to:'2016-08-05 15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23.299399999999999</v>
          </cell>
          <cell r="Z94">
            <v>1.78E-2</v>
          </cell>
          <cell r="AA94">
            <v>23.281599999999997</v>
          </cell>
          <cell r="AB94" t="e">
            <v>#N/A</v>
          </cell>
          <cell r="AC94" t="e">
            <v>#N/A</v>
          </cell>
          <cell r="AD94" t="str">
            <v>0178-05</v>
          </cell>
          <cell r="AE9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95">
          <cell r="A95" t="str">
            <v>179-05</v>
          </cell>
          <cell r="B95">
            <v>4027</v>
          </cell>
          <cell r="C95" t="str">
            <v>DE.1.0.7.0</v>
          </cell>
          <cell r="D95" t="str">
            <v>204:457</v>
          </cell>
          <cell r="E95">
            <v>42587.558738425927</v>
          </cell>
          <cell r="F95">
            <v>42587.559988425928</v>
          </cell>
          <cell r="G95">
            <v>1</v>
          </cell>
          <cell r="H95" t="str">
            <v>204:233266</v>
          </cell>
          <cell r="I95">
            <v>42587.58834490741</v>
          </cell>
          <cell r="J95">
            <v>1</v>
          </cell>
          <cell r="K95" t="str">
            <v>4027/4028</v>
          </cell>
          <cell r="L95" t="str">
            <v>MOSES</v>
          </cell>
          <cell r="M95">
            <v>2.8356481481750961E-2</v>
          </cell>
          <cell r="N95">
            <v>40.833333333721384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5" t="str">
            <v>N</v>
          </cell>
          <cell r="X95">
            <v>1</v>
          </cell>
          <cell r="Y95">
            <v>4.5699999999999998E-2</v>
          </cell>
          <cell r="Z95">
            <v>23.326599999999999</v>
          </cell>
          <cell r="AA95">
            <v>23.280899999999999</v>
          </cell>
          <cell r="AB95" t="e">
            <v>#N/A</v>
          </cell>
          <cell r="AC95" t="e">
            <v>#N/A</v>
          </cell>
          <cell r="AD95" t="str">
            <v>0179-05</v>
          </cell>
          <cell r="AE9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96">
          <cell r="A96" t="str">
            <v>180-05</v>
          </cell>
          <cell r="B96">
            <v>4028</v>
          </cell>
          <cell r="C96" t="str">
            <v>DE.1.0.7.0</v>
          </cell>
          <cell r="D96" t="str">
            <v>204:232952</v>
          </cell>
          <cell r="E96">
            <v>42587.597175925926</v>
          </cell>
          <cell r="F96">
            <v>42587.598854166667</v>
          </cell>
          <cell r="G96">
            <v>2</v>
          </cell>
          <cell r="H96" t="str">
            <v>204:138</v>
          </cell>
          <cell r="I96">
            <v>42587.634756944448</v>
          </cell>
          <cell r="J96">
            <v>2</v>
          </cell>
          <cell r="K96" t="str">
            <v>4027/4028</v>
          </cell>
          <cell r="L96" t="str">
            <v>MOSES</v>
          </cell>
          <cell r="M96">
            <v>3.5902777781302575E-2</v>
          </cell>
          <cell r="N96">
            <v>51.700000005075708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6" t="str">
            <v>N</v>
          </cell>
          <cell r="X96">
            <v>1</v>
          </cell>
          <cell r="Y96">
            <v>23.295200000000001</v>
          </cell>
          <cell r="Z96">
            <v>1.38E-2</v>
          </cell>
          <cell r="AA96">
            <v>23.281400000000001</v>
          </cell>
          <cell r="AB96">
            <v>78469</v>
          </cell>
          <cell r="AC96" t="str">
            <v>GRADE CROSSING</v>
          </cell>
          <cell r="AD96" t="str">
            <v>0180-05</v>
          </cell>
          <cell r="AE96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97">
          <cell r="A97" t="str">
            <v>181-05</v>
          </cell>
          <cell r="B97">
            <v>4044</v>
          </cell>
          <cell r="C97" t="str">
            <v>DE.1.0.7.0</v>
          </cell>
          <cell r="D97" t="str">
            <v>204:469</v>
          </cell>
          <cell r="E97">
            <v>42587.570219907408</v>
          </cell>
          <cell r="F97">
            <v>42587.571238425924</v>
          </cell>
          <cell r="G97">
            <v>1</v>
          </cell>
          <cell r="H97" t="str">
            <v>204:233291</v>
          </cell>
          <cell r="I97">
            <v>42587.600798611114</v>
          </cell>
          <cell r="J97">
            <v>1</v>
          </cell>
          <cell r="K97" t="str">
            <v>4043/4044</v>
          </cell>
          <cell r="L97" t="str">
            <v>HELVIE</v>
          </cell>
          <cell r="M97">
            <v>2.956018519034842E-2</v>
          </cell>
          <cell r="N97">
            <v>42.566666674101725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97" t="str">
            <v>N</v>
          </cell>
          <cell r="X97">
            <v>1</v>
          </cell>
          <cell r="Y97">
            <v>4.6899999999999997E-2</v>
          </cell>
          <cell r="Z97">
            <v>23.3291</v>
          </cell>
          <cell r="AA97">
            <v>23.2822</v>
          </cell>
          <cell r="AB97">
            <v>63069</v>
          </cell>
          <cell r="AC97" t="str">
            <v>GRADE CROSSING</v>
          </cell>
          <cell r="AD97" t="str">
            <v>0181-05</v>
          </cell>
          <cell r="AE9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98">
          <cell r="A98" t="str">
            <v>182-05</v>
          </cell>
          <cell r="B98">
            <v>4043</v>
          </cell>
          <cell r="C98" t="str">
            <v>DE.1.0.7.0</v>
          </cell>
          <cell r="D98" t="str">
            <v>204:232979</v>
          </cell>
          <cell r="E98">
            <v>42587.609085648146</v>
          </cell>
          <cell r="F98">
            <v>42587.610231481478</v>
          </cell>
          <cell r="G98">
            <v>1</v>
          </cell>
          <cell r="H98" t="str">
            <v>204:152</v>
          </cell>
          <cell r="I98">
            <v>42587.639884259261</v>
          </cell>
          <cell r="J98">
            <v>0</v>
          </cell>
          <cell r="K98" t="str">
            <v>4043/4044</v>
          </cell>
          <cell r="L98" t="str">
            <v>HELVIE</v>
          </cell>
          <cell r="M98">
            <v>2.9652777782757767E-2</v>
          </cell>
          <cell r="N98">
            <v>42.700000007171184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https://search-rtdc-monitor-bjffxe2xuh6vdkpspy63sjmuny.us-east-1.es.amazonaws.com/_plugin/kibana/#/discover/Steve-Slow-Train-Analysis-(2080s-and-2083s)?_g=(refreshInterval:(display:Off,section:0,value:0),time:(from:'2016-08-05 13:37:05-0600',mode:absolute,to:'2016-08-05 16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8" t="str">
            <v>N</v>
          </cell>
          <cell r="X98">
            <v>1</v>
          </cell>
          <cell r="Y98">
            <v>23.297899999999998</v>
          </cell>
          <cell r="Z98">
            <v>1.52E-2</v>
          </cell>
          <cell r="AA98">
            <v>23.282699999999998</v>
          </cell>
          <cell r="AB98" t="e">
            <v>#N/A</v>
          </cell>
          <cell r="AC98" t="e">
            <v>#N/A</v>
          </cell>
          <cell r="AD98" t="str">
            <v>0182-05</v>
          </cell>
          <cell r="AE9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99">
          <cell r="A99" t="str">
            <v>183-05</v>
          </cell>
          <cell r="B99">
            <v>4025</v>
          </cell>
          <cell r="C99" t="str">
            <v>DE.1.0.7.0</v>
          </cell>
          <cell r="D99" t="str">
            <v>204:466</v>
          </cell>
          <cell r="E99">
            <v>42587.579722222225</v>
          </cell>
          <cell r="F99">
            <v>42587.580740740741</v>
          </cell>
          <cell r="G99">
            <v>1</v>
          </cell>
          <cell r="H99" t="str">
            <v>204:233339</v>
          </cell>
          <cell r="I99">
            <v>42587.613946759258</v>
          </cell>
          <cell r="J99">
            <v>1</v>
          </cell>
          <cell r="K99" t="str">
            <v>4025/4026</v>
          </cell>
          <cell r="L99" t="str">
            <v>SHOOK</v>
          </cell>
          <cell r="M99">
            <v>3.3206018517375924E-2</v>
          </cell>
          <cell r="N99">
            <v>47.81666666502133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23.3339</v>
          </cell>
          <cell r="AA99">
            <v>23.287299999999998</v>
          </cell>
          <cell r="AB99" t="e">
            <v>#N/A</v>
          </cell>
          <cell r="AC99" t="e">
            <v>#N/A</v>
          </cell>
          <cell r="AD99" t="str">
            <v>0183-05</v>
          </cell>
          <cell r="AE9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00">
          <cell r="A100" t="str">
            <v>184-05</v>
          </cell>
          <cell r="B100">
            <v>4026</v>
          </cell>
          <cell r="C100" t="str">
            <v>DE.1.0.7.0</v>
          </cell>
          <cell r="D100" t="str">
            <v>204:233025</v>
          </cell>
          <cell r="E100">
            <v>42587.618344907409</v>
          </cell>
          <cell r="F100">
            <v>42587.619212962964</v>
          </cell>
          <cell r="G100">
            <v>1</v>
          </cell>
          <cell r="H100" t="str">
            <v>204:147</v>
          </cell>
          <cell r="I100">
            <v>42587.650972222225</v>
          </cell>
          <cell r="J100">
            <v>0</v>
          </cell>
          <cell r="K100" t="str">
            <v>4025/4026</v>
          </cell>
          <cell r="L100" t="str">
            <v>SHOOK</v>
          </cell>
          <cell r="M100">
            <v>3.1759259261889383E-2</v>
          </cell>
          <cell r="N100">
            <v>45.733333337120712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https://search-rtdc-monitor-bjffxe2xuh6vdkpspy63sjmuny.us-east-1.es.amazonaws.com/_plugin/kibana/#/discover/Steve-Slow-Train-Analysis-(2080s-and-2083s)?_g=(refreshInterval:(display:Off,section:0,value:0),time:(from:'2016-08-05 13:50:25-0600',mode:absolute,to:'2016-08-05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0" t="str">
            <v>N</v>
          </cell>
          <cell r="X100">
            <v>1</v>
          </cell>
          <cell r="Y100">
            <v>23.302499999999998</v>
          </cell>
          <cell r="Z100">
            <v>1.47E-2</v>
          </cell>
          <cell r="AA100">
            <v>23.287799999999997</v>
          </cell>
          <cell r="AB100" t="e">
            <v>#N/A</v>
          </cell>
          <cell r="AC100" t="e">
            <v>#N/A</v>
          </cell>
          <cell r="AD100" t="str">
            <v>0184-05</v>
          </cell>
          <cell r="AE10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01">
          <cell r="A101" t="str">
            <v>185-05</v>
          </cell>
          <cell r="B101">
            <v>4009</v>
          </cell>
          <cell r="C101" t="str">
            <v>DE.1.0.7.0</v>
          </cell>
          <cell r="D101" t="str">
            <v>204:473</v>
          </cell>
          <cell r="E101">
            <v>42587.590243055558</v>
          </cell>
          <cell r="F101">
            <v>42587.591284722221</v>
          </cell>
          <cell r="G101">
            <v>1</v>
          </cell>
          <cell r="H101" t="str">
            <v>204:233293</v>
          </cell>
          <cell r="I101">
            <v>42587.621041666665</v>
          </cell>
          <cell r="J101">
            <v>0</v>
          </cell>
          <cell r="K101" t="str">
            <v>4009/4010</v>
          </cell>
          <cell r="L101" t="str">
            <v>SWANSON</v>
          </cell>
          <cell r="M101">
            <v>2.9756944444670808E-2</v>
          </cell>
          <cell r="N101">
            <v>42.850000000325963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https://search-rtdc-monitor-bjffxe2xuh6vdkpspy63sjmuny.us-east-1.es.amazonaws.com/_plugin/kibana/#/discover/Steve-Slow-Train-Analysis-(2080s-and-2083s)?_g=(refreshInterval:(display:Off,section:0,value:0),time:(from:'2016-08-05 13:09:57-0600',mode:absolute,to:'2016-08-05 15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1" t="str">
            <v>N</v>
          </cell>
          <cell r="X101">
            <v>1</v>
          </cell>
          <cell r="Y101">
            <v>4.7300000000000002E-2</v>
          </cell>
          <cell r="Z101">
            <v>23.3293</v>
          </cell>
          <cell r="AA101">
            <v>23.282</v>
          </cell>
          <cell r="AB101" t="e">
            <v>#N/A</v>
          </cell>
          <cell r="AC101" t="e">
            <v>#N/A</v>
          </cell>
          <cell r="AD101" t="str">
            <v>0185-05</v>
          </cell>
          <cell r="AE10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02">
          <cell r="A102" t="str">
            <v>186-05</v>
          </cell>
          <cell r="B102">
            <v>4010</v>
          </cell>
          <cell r="C102" t="str">
            <v>DE.1.0.7.0</v>
          </cell>
          <cell r="D102" t="str">
            <v>204:232959</v>
          </cell>
          <cell r="E102">
            <v>42587.628159722219</v>
          </cell>
          <cell r="F102">
            <v>42587.628923611112</v>
          </cell>
          <cell r="G102">
            <v>1</v>
          </cell>
          <cell r="H102" t="str">
            <v>204:150</v>
          </cell>
          <cell r="I102">
            <v>42587.663437499999</v>
          </cell>
          <cell r="J102">
            <v>0</v>
          </cell>
          <cell r="K102" t="str">
            <v>4009/4010</v>
          </cell>
          <cell r="L102" t="str">
            <v>SWANSON</v>
          </cell>
          <cell r="M102">
            <v>3.4513888887886424E-2</v>
          </cell>
          <cell r="N102">
            <v>49.69999999855645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https://search-rtdc-monitor-bjffxe2xuh6vdkpspy63sjmuny.us-east-1.es.amazonaws.com/_plugin/kibana/#/discover/Steve-Slow-Train-Analysis-(2080s-and-2083s)?_g=(refreshInterval:(display:Off,section:0,value:0),time:(from:'2016-08-05 14:04:33-0600',mode:absolute,to:'2016-08-05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2" t="str">
            <v>N</v>
          </cell>
          <cell r="X102">
            <v>1</v>
          </cell>
          <cell r="Y102">
            <v>23.2959</v>
          </cell>
          <cell r="Z102">
            <v>1.4999999999999999E-2</v>
          </cell>
          <cell r="AA102">
            <v>23.280899999999999</v>
          </cell>
          <cell r="AB102" t="e">
            <v>#N/A</v>
          </cell>
          <cell r="AC102" t="e">
            <v>#N/A</v>
          </cell>
          <cell r="AD102" t="str">
            <v>0186-05</v>
          </cell>
          <cell r="AE10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03">
          <cell r="A103" t="str">
            <v>187-05</v>
          </cell>
          <cell r="B103">
            <v>4029</v>
          </cell>
          <cell r="C103" t="str">
            <v>DE.1.0.7.0</v>
          </cell>
          <cell r="D103" t="str">
            <v>204:464</v>
          </cell>
          <cell r="E103">
            <v>42587.601111111115</v>
          </cell>
          <cell r="F103">
            <v>42587.602569444447</v>
          </cell>
          <cell r="G103">
            <v>2</v>
          </cell>
          <cell r="H103" t="str">
            <v>204:233312</v>
          </cell>
          <cell r="I103">
            <v>42587.630324074074</v>
          </cell>
          <cell r="J103">
            <v>0</v>
          </cell>
          <cell r="K103" t="str">
            <v>4029/4030</v>
          </cell>
          <cell r="L103" t="str">
            <v>STEWART</v>
          </cell>
          <cell r="M103">
            <v>2.7754629627452232E-2</v>
          </cell>
          <cell r="N103">
            <v>39.966666663531214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https://search-rtdc-monitor-bjffxe2xuh6vdkpspy63sjmuny.us-east-1.es.amazonaws.com/_plugin/kibana/#/discover/Steve-Slow-Train-Analysis-(2080s-and-2083s)?_g=(refreshInterval:(display:Off,section:0,value:0),time:(from:'2016-08-05 13:25:36-0600',mode:absolute,to:'2016-08-05 16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3" t="str">
            <v>N</v>
          </cell>
          <cell r="X103">
            <v>1</v>
          </cell>
          <cell r="Y103">
            <v>4.6399999999999997E-2</v>
          </cell>
          <cell r="Z103">
            <v>23.331199999999999</v>
          </cell>
          <cell r="AA103">
            <v>23.284800000000001</v>
          </cell>
          <cell r="AB103" t="e">
            <v>#N/A</v>
          </cell>
          <cell r="AC103" t="e">
            <v>#N/A</v>
          </cell>
          <cell r="AD103" t="str">
            <v>0187-05</v>
          </cell>
          <cell r="AE10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04">
          <cell r="A104" t="str">
            <v>188-05</v>
          </cell>
          <cell r="B104">
            <v>4030</v>
          </cell>
          <cell r="C104" t="str">
            <v>DE.1.0.7.0</v>
          </cell>
          <cell r="D104" t="str">
            <v>204:232980</v>
          </cell>
          <cell r="E104">
            <v>42587.63957175926</v>
          </cell>
          <cell r="F104">
            <v>42587.640532407408</v>
          </cell>
          <cell r="G104">
            <v>1</v>
          </cell>
          <cell r="H104" t="str">
            <v>204:170</v>
          </cell>
          <cell r="I104">
            <v>42587.673460648148</v>
          </cell>
          <cell r="J104">
            <v>0</v>
          </cell>
          <cell r="K104" t="str">
            <v>4029/4030</v>
          </cell>
          <cell r="L104" t="str">
            <v>STEWART</v>
          </cell>
          <cell r="M104">
            <v>3.2928240740147885E-2</v>
          </cell>
          <cell r="N104">
            <v>47.416666665812954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https://search-rtdc-monitor-bjffxe2xuh6vdkpspy63sjmuny.us-east-1.es.amazonaws.com/_plugin/kibana/#/discover/Steve-Slow-Train-Analysis-(2080s-and-2083s)?_g=(refreshInterval:(display:Off,section:0,value:0),time:(from:'2016-08-05 14:20:59-0600',mode:absolute,to:'2016-08-05 17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4" t="str">
            <v>N</v>
          </cell>
          <cell r="X104">
            <v>1</v>
          </cell>
          <cell r="Y104">
            <v>23.297999999999998</v>
          </cell>
          <cell r="Z104">
            <v>1.7000000000000001E-2</v>
          </cell>
          <cell r="AA104">
            <v>23.280999999999999</v>
          </cell>
          <cell r="AB104" t="e">
            <v>#N/A</v>
          </cell>
          <cell r="AC104" t="e">
            <v>#N/A</v>
          </cell>
          <cell r="AD104" t="str">
            <v>0188-05</v>
          </cell>
          <cell r="AE10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05">
          <cell r="A105" t="str">
            <v>189-05</v>
          </cell>
          <cell r="B105">
            <v>4020</v>
          </cell>
          <cell r="C105" t="str">
            <v>DE.1.0.7.0</v>
          </cell>
          <cell r="D105" t="str">
            <v>204:462</v>
          </cell>
          <cell r="E105">
            <v>42587.611597222225</v>
          </cell>
          <cell r="F105">
            <v>42587.612546296295</v>
          </cell>
          <cell r="G105">
            <v>1</v>
          </cell>
          <cell r="H105" t="str">
            <v>204:233310</v>
          </cell>
          <cell r="I105">
            <v>42587.64162037037</v>
          </cell>
          <cell r="J105">
            <v>1</v>
          </cell>
          <cell r="K105" t="str">
            <v>4019/4020</v>
          </cell>
          <cell r="L105" t="str">
            <v>MAYBERRY</v>
          </cell>
          <cell r="M105">
            <v>2.9074074074742384E-2</v>
          </cell>
          <cell r="N105">
            <v>41.866666667629033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5" t="str">
            <v>N</v>
          </cell>
          <cell r="X105">
            <v>1</v>
          </cell>
          <cell r="Y105">
            <v>4.6199999999999998E-2</v>
          </cell>
          <cell r="Z105">
            <v>23.331</v>
          </cell>
          <cell r="AA105">
            <v>23.284800000000001</v>
          </cell>
          <cell r="AB105">
            <v>230436</v>
          </cell>
          <cell r="AC105" t="str">
            <v>PERMANENT SPEED RESTRICTION</v>
          </cell>
          <cell r="AD105" t="str">
            <v>0189-05</v>
          </cell>
          <cell r="AE10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06">
          <cell r="A106" t="str">
            <v>190-05</v>
          </cell>
          <cell r="B106">
            <v>4019</v>
          </cell>
          <cell r="C106" t="str">
            <v>DE.1.0.7.0</v>
          </cell>
          <cell r="D106" t="str">
            <v>204:232981</v>
          </cell>
          <cell r="E106">
            <v>42587.6483912037</v>
          </cell>
          <cell r="F106">
            <v>42587.653101851851</v>
          </cell>
          <cell r="G106">
            <v>6</v>
          </cell>
          <cell r="H106" t="str">
            <v>204:163</v>
          </cell>
          <cell r="I106">
            <v>42587.685254629629</v>
          </cell>
          <cell r="J106">
            <v>0</v>
          </cell>
          <cell r="K106" t="str">
            <v>4019/4020</v>
          </cell>
          <cell r="L106" t="str">
            <v>MAYBERRY</v>
          </cell>
          <cell r="M106">
            <v>3.2152777777810115E-2</v>
          </cell>
          <cell r="N106">
            <v>46.300000000046566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https://search-rtdc-monitor-bjffxe2xuh6vdkpspy63sjmuny.us-east-1.es.amazonaws.com/_plugin/kibana/#/discover/Steve-Slow-Train-Analysis-(2080s-and-2083s)?_g=(refreshInterval:(display:Off,section:0,value:0),time:(from:'2016-08-05 14:33:41-0600',mode:absolute,to:'2016-08-05 17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6" t="str">
            <v>N</v>
          </cell>
          <cell r="X106">
            <v>1</v>
          </cell>
          <cell r="Y106">
            <v>23.298100000000002</v>
          </cell>
          <cell r="Z106">
            <v>1.6299999999999999E-2</v>
          </cell>
          <cell r="AA106">
            <v>23.2818</v>
          </cell>
          <cell r="AB106" t="e">
            <v>#N/A</v>
          </cell>
          <cell r="AC106" t="e">
            <v>#N/A</v>
          </cell>
          <cell r="AD106" t="str">
            <v>0190-05</v>
          </cell>
          <cell r="AE10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07">
          <cell r="A107" t="str">
            <v>191-05</v>
          </cell>
          <cell r="B107">
            <v>4038</v>
          </cell>
          <cell r="C107" t="str">
            <v>DE.1.0.7.0</v>
          </cell>
          <cell r="D107" t="str">
            <v>204:464</v>
          </cell>
          <cell r="E107">
            <v>42587.623379629629</v>
          </cell>
          <cell r="F107">
            <v>42587.624409722222</v>
          </cell>
          <cell r="G107">
            <v>1</v>
          </cell>
          <cell r="H107" t="str">
            <v>204:233295</v>
          </cell>
          <cell r="I107">
            <v>42587.652094907404</v>
          </cell>
          <cell r="J107">
            <v>1</v>
          </cell>
          <cell r="K107" t="str">
            <v>4037/4038</v>
          </cell>
          <cell r="L107" t="str">
            <v>OUN</v>
          </cell>
          <cell r="M107">
            <v>2.7685185181326233E-2</v>
          </cell>
          <cell r="N107">
            <v>39.866666661109775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4.6399999999999997E-2</v>
          </cell>
          <cell r="Z107">
            <v>23.329499999999999</v>
          </cell>
          <cell r="AA107">
            <v>23.283100000000001</v>
          </cell>
          <cell r="AB107">
            <v>4677</v>
          </cell>
          <cell r="AC107" t="str">
            <v>PERMANENT SPEED RESTRICTION</v>
          </cell>
          <cell r="AD107" t="str">
            <v>0191-05</v>
          </cell>
          <cell r="AE10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08">
          <cell r="A108" t="str">
            <v>192-05</v>
          </cell>
          <cell r="B108">
            <v>4037</v>
          </cell>
          <cell r="C108" t="str">
            <v>DE.1.0.7.0</v>
          </cell>
          <cell r="D108" t="str">
            <v>204:232959</v>
          </cell>
          <cell r="E108">
            <v>42587.65929398148</v>
          </cell>
          <cell r="F108">
            <v>42587.660439814812</v>
          </cell>
          <cell r="G108">
            <v>1</v>
          </cell>
          <cell r="H108" t="str">
            <v>204:138</v>
          </cell>
          <cell r="I108">
            <v>42587.692974537036</v>
          </cell>
          <cell r="J108">
            <v>0</v>
          </cell>
          <cell r="K108" t="str">
            <v>4037/4038</v>
          </cell>
          <cell r="L108" t="str">
            <v>OUN</v>
          </cell>
          <cell r="M108">
            <v>3.2534722224227153E-2</v>
          </cell>
          <cell r="N108">
            <v>46.8500000028871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https://search-rtdc-monitor-bjffxe2xuh6vdkpspy63sjmuny.us-east-1.es.amazonaws.com/_plugin/kibana/#/discover/Steve-Slow-Train-Analysis-(2080s-and-2083s)?_g=(refreshInterval:(display:Off,section:0,value:0),time:(from:'2016-08-05 14:49:23-0600',mode:absolute,to:'2016-08-05 17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23.2959</v>
          </cell>
          <cell r="Z108">
            <v>1.38E-2</v>
          </cell>
          <cell r="AA108">
            <v>23.2821</v>
          </cell>
          <cell r="AB108" t="e">
            <v>#N/A</v>
          </cell>
          <cell r="AC108" t="e">
            <v>#N/A</v>
          </cell>
          <cell r="AD108" t="str">
            <v>0192-05</v>
          </cell>
          <cell r="AE10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09">
          <cell r="A109" t="str">
            <v>193-05</v>
          </cell>
          <cell r="B109">
            <v>4027</v>
          </cell>
          <cell r="C109" t="str">
            <v>DE.1.0.7.0</v>
          </cell>
          <cell r="D109" t="str">
            <v>204:453</v>
          </cell>
          <cell r="E109">
            <v>42587.636192129627</v>
          </cell>
          <cell r="F109">
            <v>42587.637337962966</v>
          </cell>
          <cell r="G109">
            <v>1</v>
          </cell>
          <cell r="H109" t="str">
            <v>204:233331</v>
          </cell>
          <cell r="I109">
            <v>42587.663425925923</v>
          </cell>
          <cell r="J109">
            <v>0</v>
          </cell>
          <cell r="K109" t="str">
            <v>4027/4028</v>
          </cell>
          <cell r="L109" t="str">
            <v>MOSES</v>
          </cell>
          <cell r="M109">
            <v>2.6087962956808042E-2</v>
          </cell>
          <cell r="N109">
            <v>37.56666665780358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https://search-rtdc-monitor-bjffxe2xuh6vdkpspy63sjmuny.us-east-1.es.amazonaws.com/_plugin/kibana/#/discover/Steve-Slow-Train-Analysis-(2080s-and-2083s)?_g=(refreshInterval:(display:Off,section:0,value:0),time:(from:'2016-08-05 14:16:07-0600',mode:absolute,to:'2016-08-05 16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9" t="str">
            <v>N</v>
          </cell>
          <cell r="X109">
            <v>1</v>
          </cell>
          <cell r="Y109">
            <v>4.53E-2</v>
          </cell>
          <cell r="Z109">
            <v>23.333100000000002</v>
          </cell>
          <cell r="AA109">
            <v>23.287800000000001</v>
          </cell>
          <cell r="AB109" t="e">
            <v>#N/A</v>
          </cell>
          <cell r="AC109" t="e">
            <v>#N/A</v>
          </cell>
          <cell r="AD109" t="str">
            <v>0193-05</v>
          </cell>
          <cell r="AE10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10">
          <cell r="A110" t="str">
            <v>194-05</v>
          </cell>
          <cell r="B110">
            <v>4028</v>
          </cell>
          <cell r="C110" t="str">
            <v>DE.1.0.7.0</v>
          </cell>
          <cell r="D110" t="str">
            <v>204:233002</v>
          </cell>
          <cell r="E110">
            <v>42587.669525462959</v>
          </cell>
          <cell r="F110">
            <v>42587.67050925926</v>
          </cell>
          <cell r="G110">
            <v>1</v>
          </cell>
          <cell r="H110" t="str">
            <v>204:141</v>
          </cell>
          <cell r="I110">
            <v>42587.704965277779</v>
          </cell>
          <cell r="J110">
            <v>0</v>
          </cell>
          <cell r="K110" t="str">
            <v>4027/4028</v>
          </cell>
          <cell r="L110" t="str">
            <v>MOSES</v>
          </cell>
          <cell r="M110">
            <v>3.4456018518540077E-2</v>
          </cell>
          <cell r="N110">
            <v>49.616666666697711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https://search-rtdc-monitor-bjffxe2xuh6vdkpspy63sjmuny.us-east-1.es.amazonaws.com/_plugin/kibana/#/discover/Steve-Slow-Train-Analysis-(2080s-and-2083s)?_g=(refreshInterval:(display:Off,section:0,value:0),time:(from:'2016-08-05 15:04:07-0600',mode:absolute,to:'2016-08-05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0" t="str">
            <v>N</v>
          </cell>
          <cell r="X110">
            <v>1</v>
          </cell>
          <cell r="Y110">
            <v>23.3002</v>
          </cell>
          <cell r="Z110">
            <v>1.41E-2</v>
          </cell>
          <cell r="AA110">
            <v>23.286100000000001</v>
          </cell>
          <cell r="AB110" t="e">
            <v>#N/A</v>
          </cell>
          <cell r="AC110" t="e">
            <v>#N/A</v>
          </cell>
          <cell r="AD110" t="str">
            <v>0194-05</v>
          </cell>
          <cell r="AE11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11">
          <cell r="A111" t="str">
            <v>195-05</v>
          </cell>
          <cell r="B111">
            <v>4044</v>
          </cell>
          <cell r="C111" t="str">
            <v>DE.1.0.7.0</v>
          </cell>
          <cell r="D111" t="str">
            <v>204:458</v>
          </cell>
          <cell r="E111">
            <v>42587.643831018519</v>
          </cell>
          <cell r="F111">
            <v>42587.644745370373</v>
          </cell>
          <cell r="G111">
            <v>1</v>
          </cell>
          <cell r="H111" t="str">
            <v>204:233289</v>
          </cell>
          <cell r="I111">
            <v>42587.672662037039</v>
          </cell>
          <cell r="J111">
            <v>0</v>
          </cell>
          <cell r="K111" t="str">
            <v>4043/4044</v>
          </cell>
          <cell r="L111" t="str">
            <v>HELVIE</v>
          </cell>
          <cell r="M111">
            <v>2.7916666665987577E-2</v>
          </cell>
          <cell r="N111">
            <v>40.199999999022111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https://search-rtdc-monitor-bjffxe2xuh6vdkpspy63sjmuny.us-east-1.es.amazonaws.com/_plugin/kibana/#/discover/Steve-Slow-Train-Analysis-(2080s-and-2083s)?_g=(refreshInterval:(display:Off,section:0,value:0),time:(from:'2016-08-05 14:27:07-0600',mode:absolute,to:'2016-08-05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1" t="str">
            <v>N</v>
          </cell>
          <cell r="X111">
            <v>1</v>
          </cell>
          <cell r="Y111">
            <v>4.58E-2</v>
          </cell>
          <cell r="Z111">
            <v>23.328900000000001</v>
          </cell>
          <cell r="AA111">
            <v>23.283100000000001</v>
          </cell>
          <cell r="AB111" t="e">
            <v>#N/A</v>
          </cell>
          <cell r="AC111" t="e">
            <v>#N/A</v>
          </cell>
          <cell r="AD111" t="str">
            <v>0195-05</v>
          </cell>
          <cell r="AE11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12">
          <cell r="A112" t="str">
            <v>196-05</v>
          </cell>
          <cell r="B112">
            <v>4043</v>
          </cell>
          <cell r="C112" t="str">
            <v>DE.1.0.7.0</v>
          </cell>
          <cell r="D112" t="str">
            <v>204:232971</v>
          </cell>
          <cell r="E112">
            <v>42587.68204861111</v>
          </cell>
          <cell r="F112">
            <v>42587.683240740742</v>
          </cell>
          <cell r="G112">
            <v>1</v>
          </cell>
          <cell r="H112" t="str">
            <v>204:161</v>
          </cell>
          <cell r="I112">
            <v>42587.715763888889</v>
          </cell>
          <cell r="J112">
            <v>0</v>
          </cell>
          <cell r="K112" t="str">
            <v>4043/4044</v>
          </cell>
          <cell r="L112" t="str">
            <v>HELVIE</v>
          </cell>
          <cell r="M112">
            <v>3.25231481474475E-2</v>
          </cell>
          <cell r="N112">
            <v>46.833333332324401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https://search-rtdc-monitor-bjffxe2xuh6vdkpspy63sjmuny.us-east-1.es.amazonaws.com/_plugin/kibana/#/discover/Steve-Slow-Train-Analysis-(2080s-and-2083s)?_g=(refreshInterval:(display:Off,section:0,value:0),time:(from:'2016-08-05 15:22:09-0600',mode:absolute,to:'2016-08-05 18:10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1.61E-2</v>
          </cell>
          <cell r="AA112">
            <v>23.280999999999999</v>
          </cell>
          <cell r="AB112" t="e">
            <v>#N/A</v>
          </cell>
          <cell r="AC112" t="e">
            <v>#N/A</v>
          </cell>
          <cell r="AD112" t="str">
            <v>0196-05</v>
          </cell>
          <cell r="AE11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13">
          <cell r="A113" t="str">
            <v>197-05</v>
          </cell>
          <cell r="B113">
            <v>4025</v>
          </cell>
          <cell r="C113" t="str">
            <v>DE.1.0.7.0</v>
          </cell>
          <cell r="D113" t="str">
            <v>204:446</v>
          </cell>
          <cell r="E113">
            <v>42587.652291666665</v>
          </cell>
          <cell r="F113">
            <v>42587.656527777777</v>
          </cell>
          <cell r="G113">
            <v>6</v>
          </cell>
          <cell r="H113" t="str">
            <v>204:233374</v>
          </cell>
          <cell r="I113">
            <v>42587.682858796295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2.6331018518249039E-2</v>
          </cell>
          <cell r="N113">
            <v>37.916666666278616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https://search-rtdc-monitor-bjffxe2xuh6vdkpspy63sjmuny.us-east-1.es.amazonaws.com/_plugin/kibana/#/discover/Steve-Slow-Train-Analysis-(2080s-and-2083s)?_g=(refreshInterval:(display:Off,section:0,value:0),time:(from:'2016-08-05 14:39:18-0600',mode:absolute,to:'2016-08-05 17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3" t="str">
            <v>N</v>
          </cell>
          <cell r="X113">
            <v>1</v>
          </cell>
          <cell r="Y113">
            <v>4.4600000000000001E-2</v>
          </cell>
          <cell r="Z113">
            <v>23.337399999999999</v>
          </cell>
          <cell r="AA113">
            <v>23.2928</v>
          </cell>
          <cell r="AB113" t="e">
            <v>#N/A</v>
          </cell>
          <cell r="AC113" t="e">
            <v>#N/A</v>
          </cell>
          <cell r="AD113" t="str">
            <v>0197-05</v>
          </cell>
          <cell r="AE11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14">
          <cell r="A114" t="str">
            <v>198-05</v>
          </cell>
          <cell r="B114">
            <v>4026</v>
          </cell>
          <cell r="C114" t="str">
            <v>DE.1.0.7.0</v>
          </cell>
          <cell r="D114" t="str">
            <v>204:233064</v>
          </cell>
          <cell r="E114">
            <v>42587.688854166663</v>
          </cell>
          <cell r="F114">
            <v>42587.690775462965</v>
          </cell>
          <cell r="G114">
            <v>2</v>
          </cell>
          <cell r="H114" t="str">
            <v>204:145</v>
          </cell>
          <cell r="I114">
            <v>42587.725925925923</v>
          </cell>
          <cell r="J114">
            <v>1</v>
          </cell>
          <cell r="K114" t="str">
            <v>4025/4026</v>
          </cell>
          <cell r="L114" t="str">
            <v>SHOOK</v>
          </cell>
          <cell r="M114">
            <v>3.5150462957972195E-2</v>
          </cell>
          <cell r="N114">
            <v>50.616666659479961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4" t="str">
            <v>N</v>
          </cell>
          <cell r="X114">
            <v>1</v>
          </cell>
          <cell r="Y114">
            <v>23.3064</v>
          </cell>
          <cell r="Z114">
            <v>1.4500000000000001E-2</v>
          </cell>
          <cell r="AA114">
            <v>23.291899999999998</v>
          </cell>
          <cell r="AB114" t="e">
            <v>#N/A</v>
          </cell>
          <cell r="AC114" t="e">
            <v>#N/A</v>
          </cell>
          <cell r="AD114" t="str">
            <v>0198-05</v>
          </cell>
          <cell r="AE11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15">
          <cell r="A115" t="str">
            <v>199-05</v>
          </cell>
          <cell r="B115">
            <v>4009</v>
          </cell>
          <cell r="C115" t="str">
            <v>DE.1.0.7.0</v>
          </cell>
          <cell r="D115" t="str">
            <v>204:464</v>
          </cell>
          <cell r="E115">
            <v>42587.665659722225</v>
          </cell>
          <cell r="F115">
            <v>42587.666678240741</v>
          </cell>
          <cell r="G115">
            <v>1</v>
          </cell>
          <cell r="H115" t="str">
            <v>204:233305</v>
          </cell>
          <cell r="I115">
            <v>42587.693969907406</v>
          </cell>
          <cell r="J115">
            <v>0</v>
          </cell>
          <cell r="K115" t="str">
            <v>4009/4010</v>
          </cell>
          <cell r="L115" t="str">
            <v>SWANSON</v>
          </cell>
          <cell r="M115">
            <v>2.7291666665405501E-2</v>
          </cell>
          <cell r="N115">
            <v>39.299999998183921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https://search-rtdc-monitor-bjffxe2xuh6vdkpspy63sjmuny.us-east-1.es.amazonaws.com/_plugin/kibana/#/discover/Steve-Slow-Train-Analysis-(2080s-and-2083s)?_g=(refreshInterval:(display:Off,section:0,value:0),time:(from:'2016-08-05 14:58:33-0600',mode:absolute,to:'2016-08-05 17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5" t="str">
            <v>N</v>
          </cell>
          <cell r="X115">
            <v>1</v>
          </cell>
          <cell r="Y115">
            <v>4.6399999999999997E-2</v>
          </cell>
          <cell r="Z115">
            <v>23.330500000000001</v>
          </cell>
          <cell r="AA115">
            <v>23.284100000000002</v>
          </cell>
          <cell r="AB115" t="e">
            <v>#N/A</v>
          </cell>
          <cell r="AC115" t="e">
            <v>#N/A</v>
          </cell>
          <cell r="AD115" t="str">
            <v>0199-05</v>
          </cell>
          <cell r="AE11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16">
          <cell r="A116" t="str">
            <v>200-05</v>
          </cell>
          <cell r="B116">
            <v>4010</v>
          </cell>
          <cell r="C116" t="str">
            <v>DE.1.0.7.0</v>
          </cell>
          <cell r="D116" t="str">
            <v>204:232980</v>
          </cell>
          <cell r="E116">
            <v>42587.703750000001</v>
          </cell>
          <cell r="F116">
            <v>42587.704687500001</v>
          </cell>
          <cell r="G116">
            <v>1</v>
          </cell>
          <cell r="H116" t="str">
            <v>204:143</v>
          </cell>
          <cell r="I116">
            <v>42587.734988425924</v>
          </cell>
          <cell r="J116">
            <v>0</v>
          </cell>
          <cell r="K116" t="str">
            <v>4009/4010</v>
          </cell>
          <cell r="L116" t="str">
            <v>SWANSON</v>
          </cell>
          <cell r="M116">
            <v>3.0300925922347233E-2</v>
          </cell>
          <cell r="N116">
            <v>43.633333328180015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https://search-rtdc-monitor-bjffxe2xuh6vdkpspy63sjmuny.us-east-1.es.amazonaws.com/_plugin/kibana/#/discover/Steve-Slow-Train-Analysis-(2080s-and-2083s)?_g=(refreshInterval:(display:Off,section:0,value:0),time:(from:'2016-08-05 15:53:24-0600',mode:absolute,to:'2016-08-05 18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6" t="str">
            <v>N</v>
          </cell>
          <cell r="X116">
            <v>1</v>
          </cell>
          <cell r="Y116">
            <v>23.297999999999998</v>
          </cell>
          <cell r="Z116">
            <v>1.43E-2</v>
          </cell>
          <cell r="AA116">
            <v>23.2837</v>
          </cell>
          <cell r="AB116" t="e">
            <v>#N/A</v>
          </cell>
          <cell r="AC116" t="e">
            <v>#N/A</v>
          </cell>
          <cell r="AD116" t="str">
            <v>0200-05</v>
          </cell>
          <cell r="AE11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17">
          <cell r="A117" t="str">
            <v>201-05</v>
          </cell>
          <cell r="B117">
            <v>4029</v>
          </cell>
          <cell r="C117" t="str">
            <v>DE.1.0.7.0</v>
          </cell>
          <cell r="D117" t="str">
            <v>204:477</v>
          </cell>
          <cell r="E117">
            <v>42587.676481481481</v>
          </cell>
          <cell r="F117">
            <v>42587.677557870367</v>
          </cell>
          <cell r="G117">
            <v>1</v>
          </cell>
          <cell r="H117" t="str">
            <v>204:233281</v>
          </cell>
          <cell r="I117">
            <v>42587.704907407409</v>
          </cell>
          <cell r="J117">
            <v>1</v>
          </cell>
          <cell r="K117" t="str">
            <v>4029/4030</v>
          </cell>
          <cell r="L117" t="str">
            <v>STEWART</v>
          </cell>
          <cell r="M117">
            <v>2.7349537042027805E-2</v>
          </cell>
          <cell r="N117">
            <v>39.383333340520039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7" t="str">
            <v>N</v>
          </cell>
          <cell r="X117">
            <v>1</v>
          </cell>
          <cell r="Y117">
            <v>4.7699999999999999E-2</v>
          </cell>
          <cell r="Z117">
            <v>23.328099999999999</v>
          </cell>
          <cell r="AA117">
            <v>23.2804</v>
          </cell>
          <cell r="AB117" t="e">
            <v>#N/A</v>
          </cell>
          <cell r="AC117" t="e">
            <v>#N/A</v>
          </cell>
          <cell r="AD117" t="str">
            <v>0201-05</v>
          </cell>
          <cell r="AE11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18">
          <cell r="A118" t="str">
            <v>202-05</v>
          </cell>
          <cell r="B118">
            <v>4030</v>
          </cell>
          <cell r="C118" t="str">
            <v>DE.1.0.7.0</v>
          </cell>
          <cell r="D118" t="str">
            <v>204:232966</v>
          </cell>
          <cell r="E118">
            <v>42587.711192129631</v>
          </cell>
          <cell r="F118">
            <v>42587.71533564815</v>
          </cell>
          <cell r="G118">
            <v>5</v>
          </cell>
          <cell r="H118" t="str">
            <v>204:163</v>
          </cell>
          <cell r="I118">
            <v>42587.746851851851</v>
          </cell>
          <cell r="J118">
            <v>0</v>
          </cell>
          <cell r="K118" t="str">
            <v>4029/4030</v>
          </cell>
          <cell r="L118" t="str">
            <v>STEWART</v>
          </cell>
          <cell r="M118">
            <v>3.1516203700448386E-2</v>
          </cell>
          <cell r="N118">
            <v>45.383333328645676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https://search-rtdc-monitor-bjffxe2xuh6vdkpspy63sjmuny.us-east-1.es.amazonaws.com/_plugin/kibana/#/discover/Steve-Slow-Train-Analysis-(2080s-and-2083s)?_g=(refreshInterval:(display:Off,section:0,value:0),time:(from:'2016-08-05 16:04:07-0600',mode:absolute,to:'2016-08-05 18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8" t="str">
            <v>N</v>
          </cell>
          <cell r="X118">
            <v>1</v>
          </cell>
          <cell r="Y118">
            <v>23.296600000000002</v>
          </cell>
          <cell r="Z118">
            <v>1.6299999999999999E-2</v>
          </cell>
          <cell r="AA118">
            <v>23.2803</v>
          </cell>
          <cell r="AB118" t="e">
            <v>#N/A</v>
          </cell>
          <cell r="AC118" t="e">
            <v>#N/A</v>
          </cell>
          <cell r="AD118" t="str">
            <v>0202-05</v>
          </cell>
          <cell r="AE11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19">
          <cell r="A119" t="str">
            <v>203-05</v>
          </cell>
          <cell r="B119">
            <v>4020</v>
          </cell>
          <cell r="C119" t="str">
            <v>DE.1.0.7.0</v>
          </cell>
          <cell r="D119" t="str">
            <v>204:438</v>
          </cell>
          <cell r="E119">
            <v>42587.686666666668</v>
          </cell>
          <cell r="F119">
            <v>42587.6878125</v>
          </cell>
          <cell r="G119">
            <v>1</v>
          </cell>
          <cell r="H119" t="str">
            <v>204:233291</v>
          </cell>
          <cell r="I119">
            <v>42587.714571759258</v>
          </cell>
          <cell r="J119">
            <v>0</v>
          </cell>
          <cell r="K119" t="str">
            <v>4019/4020</v>
          </cell>
          <cell r="L119" t="str">
            <v>MAYBERRY</v>
          </cell>
          <cell r="M119">
            <v>2.675925925723277E-2</v>
          </cell>
          <cell r="N119">
            <v>38.533333330415189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https://search-rtdc-monitor-bjffxe2xuh6vdkpspy63sjmuny.us-east-1.es.amazonaws.com/_plugin/kibana/#/discover/Steve-Slow-Train-Analysis-(2080s-and-2083s)?_g=(refreshInterval:(display:Off,section:0,value:0),time:(from:'2016-08-05 15:28:48-0600',mode:absolute,to:'2016-08-05 18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9" t="str">
            <v>N</v>
          </cell>
          <cell r="X119">
            <v>1</v>
          </cell>
          <cell r="Y119">
            <v>4.3799999999999999E-2</v>
          </cell>
          <cell r="Z119">
            <v>23.3291</v>
          </cell>
          <cell r="AA119">
            <v>23.285299999999999</v>
          </cell>
          <cell r="AB119" t="e">
            <v>#N/A</v>
          </cell>
          <cell r="AC119" t="e">
            <v>#N/A</v>
          </cell>
          <cell r="AD119" t="str">
            <v>0203-05</v>
          </cell>
          <cell r="AE11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20">
          <cell r="A120" t="str">
            <v>204-05</v>
          </cell>
          <cell r="B120">
            <v>4019</v>
          </cell>
          <cell r="C120" t="str">
            <v>DE.1.0.7.0</v>
          </cell>
          <cell r="D120" t="str">
            <v>204:232984</v>
          </cell>
          <cell r="E120">
            <v>42587.723194444443</v>
          </cell>
          <cell r="F120">
            <v>42587.724131944444</v>
          </cell>
          <cell r="G120">
            <v>1</v>
          </cell>
          <cell r="H120" t="str">
            <v>204:152</v>
          </cell>
          <cell r="I120">
            <v>42587.753958333335</v>
          </cell>
          <cell r="J120">
            <v>0</v>
          </cell>
          <cell r="K120" t="str">
            <v>4019/4020</v>
          </cell>
          <cell r="L120" t="str">
            <v>MAYBERRY</v>
          </cell>
          <cell r="M120">
            <v>2.9826388890796807E-2</v>
          </cell>
          <cell r="N120">
            <v>42.950000002747402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https://search-rtdc-monitor-bjffxe2xuh6vdkpspy63sjmuny.us-east-1.es.amazonaws.com/_plugin/kibana/#/discover/Steve-Slow-Train-Analysis-(2080s-and-2083s)?_g=(refreshInterval:(display:Off,section:0,value:0),time:(from:'2016-08-05 16:21:24-0600',mode:absolute,to:'2016-08-05 19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20" t="str">
            <v>N</v>
          </cell>
          <cell r="X120">
            <v>1</v>
          </cell>
          <cell r="Y120">
            <v>23.298400000000001</v>
          </cell>
          <cell r="Z120">
            <v>1.52E-2</v>
          </cell>
          <cell r="AA120">
            <v>23.283200000000001</v>
          </cell>
          <cell r="AB120" t="e">
            <v>#N/A</v>
          </cell>
          <cell r="AC120" t="e">
            <v>#N/A</v>
          </cell>
          <cell r="AD120" t="str">
            <v>0204-05</v>
          </cell>
          <cell r="AE12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21">
          <cell r="A121" t="str">
            <v>205-05</v>
          </cell>
          <cell r="B121">
            <v>4038</v>
          </cell>
          <cell r="C121" t="str">
            <v>DE.1.0.7.0</v>
          </cell>
          <cell r="D121" t="str">
            <v>204:440</v>
          </cell>
          <cell r="E121">
            <v>42587.694293981483</v>
          </cell>
          <cell r="F121">
            <v>42587.695601851854</v>
          </cell>
          <cell r="G121">
            <v>1</v>
          </cell>
          <cell r="H121" t="str">
            <v>204:233300</v>
          </cell>
          <cell r="I121">
            <v>42587.726585648146</v>
          </cell>
          <cell r="J121">
            <v>0</v>
          </cell>
          <cell r="K121" t="str">
            <v>4037/4038</v>
          </cell>
          <cell r="L121" t="str">
            <v>OUN</v>
          </cell>
          <cell r="M121">
            <v>3.0983796292275656E-2</v>
          </cell>
          <cell r="N121">
            <v>44.616666660876945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https://search-rtdc-monitor-bjffxe2xuh6vdkpspy63sjmuny.us-east-1.es.amazonaws.com/_plugin/kibana/#/discover/Steve-Slow-Train-Analysis-(2080s-and-2083s)?_g=(refreshInterval:(display:Off,section:0,value:0),time:(from:'2016-08-05 15:39:47-0600',mode:absolute,to:'2016-08-05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4.3999999999999997E-2</v>
          </cell>
          <cell r="Z121">
            <v>23.33</v>
          </cell>
          <cell r="AA121">
            <v>23.285999999999998</v>
          </cell>
          <cell r="AB121" t="e">
            <v>#N/A</v>
          </cell>
          <cell r="AC121" t="e">
            <v>#N/A</v>
          </cell>
          <cell r="AD121" t="str">
            <v>0205-05</v>
          </cell>
          <cell r="AE12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22">
          <cell r="A122" t="str">
            <v>206-05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42587.732210648152</v>
          </cell>
          <cell r="F122">
            <v>42587.733124999999</v>
          </cell>
          <cell r="G122">
            <v>1</v>
          </cell>
          <cell r="H122" t="str">
            <v>204:149</v>
          </cell>
          <cell r="I122">
            <v>42587.763368055559</v>
          </cell>
          <cell r="J122">
            <v>1</v>
          </cell>
          <cell r="K122" t="str">
            <v>4037/4038</v>
          </cell>
          <cell r="L122" t="str">
            <v>OUN</v>
          </cell>
          <cell r="M122">
            <v>3.0243055560276844E-2</v>
          </cell>
          <cell r="N122">
            <v>43.550000006798655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1.49E-2</v>
          </cell>
          <cell r="AA122">
            <v>23.283799999999999</v>
          </cell>
          <cell r="AB122" t="e">
            <v>#N/A</v>
          </cell>
          <cell r="AC122" t="e">
            <v>#N/A</v>
          </cell>
          <cell r="AD122" t="str">
            <v>0206-05</v>
          </cell>
          <cell r="AE12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23">
          <cell r="A123" t="str">
            <v>207-05</v>
          </cell>
          <cell r="B123">
            <v>4027</v>
          </cell>
          <cell r="C123" t="str">
            <v>DE.1.0.7.0</v>
          </cell>
          <cell r="D123" t="str">
            <v>204:457</v>
          </cell>
          <cell r="E123">
            <v>42587.706273148149</v>
          </cell>
          <cell r="F123">
            <v>42587.707546296297</v>
          </cell>
          <cell r="G123">
            <v>1</v>
          </cell>
          <cell r="H123" t="str">
            <v>204:233297</v>
          </cell>
          <cell r="I123">
            <v>42587.735219907408</v>
          </cell>
          <cell r="J123">
            <v>0</v>
          </cell>
          <cell r="K123" t="str">
            <v>4027/4028</v>
          </cell>
          <cell r="L123" t="str">
            <v>MOSES</v>
          </cell>
          <cell r="M123">
            <v>2.7673611111822538E-2</v>
          </cell>
          <cell r="N123">
            <v>39.850000001024455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https://search-rtdc-monitor-bjffxe2xuh6vdkpspy63sjmuny.us-east-1.es.amazonaws.com/_plugin/kibana/#/discover/Steve-Slow-Train-Analysis-(2080s-and-2083s)?_g=(refreshInterval:(display:Off,section:0,value:0),time:(from:'2016-08-05 15:57:02-0600',mode:absolute,to:'2016-08-05 18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3" t="str">
            <v>N</v>
          </cell>
          <cell r="X123">
            <v>1</v>
          </cell>
          <cell r="Y123">
            <v>4.5699999999999998E-2</v>
          </cell>
          <cell r="Z123">
            <v>23.329699999999999</v>
          </cell>
          <cell r="AA123">
            <v>23.283999999999999</v>
          </cell>
          <cell r="AB123" t="e">
            <v>#N/A</v>
          </cell>
          <cell r="AC123" t="e">
            <v>#N/A</v>
          </cell>
          <cell r="AD123" t="str">
            <v>0207-05</v>
          </cell>
          <cell r="AE12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24">
          <cell r="A124" t="str">
            <v>208-05</v>
          </cell>
          <cell r="B124">
            <v>4028</v>
          </cell>
          <cell r="C124" t="str">
            <v>DE.1.0.7.0</v>
          </cell>
          <cell r="D124" t="str">
            <v>204:232988</v>
          </cell>
          <cell r="E124">
            <v>42587.745115740741</v>
          </cell>
          <cell r="F124">
            <v>42587.745868055557</v>
          </cell>
          <cell r="G124">
            <v>1</v>
          </cell>
          <cell r="H124" t="str">
            <v>204:139</v>
          </cell>
          <cell r="I124">
            <v>42587.774606481478</v>
          </cell>
          <cell r="J124">
            <v>0</v>
          </cell>
          <cell r="K124" t="str">
            <v>4027/4028</v>
          </cell>
          <cell r="L124" t="str">
            <v>MOSES</v>
          </cell>
          <cell r="M124">
            <v>2.8738425920892041E-2</v>
          </cell>
          <cell r="N124">
            <v>41.383333326084539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https://search-rtdc-monitor-bjffxe2xuh6vdkpspy63sjmuny.us-east-1.es.amazonaws.com/_plugin/kibana/#/discover/Steve-Slow-Train-Analysis-(2080s-and-2083s)?_g=(refreshInterval:(display:Off,section:0,value:0),time:(from:'2016-08-05 16:52:58-0600',mode:absolute,to:'2016-08-05 19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4" t="str">
            <v>N</v>
          </cell>
          <cell r="X124">
            <v>1</v>
          </cell>
          <cell r="Y124">
            <v>23.2988</v>
          </cell>
          <cell r="Z124">
            <v>1.3899999999999999E-2</v>
          </cell>
          <cell r="AA124">
            <v>23.2849</v>
          </cell>
          <cell r="AB124" t="e">
            <v>#N/A</v>
          </cell>
          <cell r="AC124" t="e">
            <v>#N/A</v>
          </cell>
          <cell r="AD124" t="str">
            <v>0208-05</v>
          </cell>
          <cell r="AE12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25">
          <cell r="A125" t="str">
            <v>209-05</v>
          </cell>
          <cell r="B125">
            <v>4044</v>
          </cell>
          <cell r="C125" t="str">
            <v>DE.1.0.7.0</v>
          </cell>
          <cell r="D125" t="str">
            <v>204:464</v>
          </cell>
          <cell r="E125">
            <v>42587.716921296298</v>
          </cell>
          <cell r="F125">
            <v>42587.717916666668</v>
          </cell>
          <cell r="G125">
            <v>1</v>
          </cell>
          <cell r="H125" t="str">
            <v>204:233304</v>
          </cell>
          <cell r="I125">
            <v>42587.743854166663</v>
          </cell>
          <cell r="J125">
            <v>0</v>
          </cell>
          <cell r="K125" t="str">
            <v>4043/4044</v>
          </cell>
          <cell r="L125" t="str">
            <v>HELVIE</v>
          </cell>
          <cell r="M125">
            <v>2.5937499995052349E-2</v>
          </cell>
          <cell r="N125">
            <v>37.349999992875382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https://search-rtdc-monitor-bjffxe2xuh6vdkpspy63sjmuny.us-east-1.es.amazonaws.com/_plugin/kibana/#/discover/Steve-Slow-Train-Analysis-(2080s-and-2083s)?_g=(refreshInterval:(display:Off,section:0,value:0),time:(from:'2016-08-05 16:12:22-0600',mode:absolute,to:'2016-08-05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5" t="str">
            <v>N</v>
          </cell>
          <cell r="X125">
            <v>1</v>
          </cell>
          <cell r="Y125">
            <v>4.6399999999999997E-2</v>
          </cell>
          <cell r="Z125">
            <v>23.330400000000001</v>
          </cell>
          <cell r="AA125">
            <v>23.284000000000002</v>
          </cell>
          <cell r="AB125" t="e">
            <v>#N/A</v>
          </cell>
          <cell r="AC125" t="e">
            <v>#N/A</v>
          </cell>
          <cell r="AD125" t="str">
            <v>0209-05</v>
          </cell>
          <cell r="AE12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26">
          <cell r="A126" t="str">
            <v>210-05</v>
          </cell>
          <cell r="B126">
            <v>4043</v>
          </cell>
          <cell r="C126" t="str">
            <v>DE.1.0.7.0</v>
          </cell>
          <cell r="D126" t="str">
            <v>204:232994</v>
          </cell>
          <cell r="E126">
            <v>42587.754293981481</v>
          </cell>
          <cell r="F126">
            <v>42587.755115740743</v>
          </cell>
          <cell r="G126">
            <v>1</v>
          </cell>
          <cell r="H126" t="str">
            <v>204:165</v>
          </cell>
          <cell r="I126">
            <v>42587.787002314813</v>
          </cell>
          <cell r="J126">
            <v>0</v>
          </cell>
          <cell r="K126" t="str">
            <v>4043/4044</v>
          </cell>
          <cell r="L126" t="str">
            <v>HELVIE</v>
          </cell>
          <cell r="M126">
            <v>3.1886574070085771E-2</v>
          </cell>
          <cell r="N126">
            <v>45.916666660923511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https://search-rtdc-monitor-bjffxe2xuh6vdkpspy63sjmuny.us-east-1.es.amazonaws.com/_plugin/kibana/#/discover/Steve-Slow-Train-Analysis-(2080s-and-2083s)?_g=(refreshInterval:(display:Off,section:0,value:0),time:(from:'2016-08-05 17:06:11-0600',mode:absolute,to:'2016-08-05 19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6" t="str">
            <v>N</v>
          </cell>
          <cell r="X126">
            <v>1</v>
          </cell>
          <cell r="Y126">
            <v>23.299399999999999</v>
          </cell>
          <cell r="Z126">
            <v>1.6500000000000001E-2</v>
          </cell>
          <cell r="AA126">
            <v>23.282899999999998</v>
          </cell>
          <cell r="AB126" t="e">
            <v>#N/A</v>
          </cell>
          <cell r="AC126" t="e">
            <v>#N/A</v>
          </cell>
          <cell r="AD126" t="str">
            <v>0210-05</v>
          </cell>
          <cell r="AE12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27">
          <cell r="A127" t="str">
            <v>211-05</v>
          </cell>
          <cell r="B127">
            <v>4025</v>
          </cell>
          <cell r="C127" t="str">
            <v>DE.1.0.7.0</v>
          </cell>
          <cell r="D127" t="str">
            <v>204:449</v>
          </cell>
          <cell r="E127">
            <v>42587.728263888886</v>
          </cell>
          <cell r="F127">
            <v>42587.72934027778</v>
          </cell>
          <cell r="G127">
            <v>1</v>
          </cell>
          <cell r="H127" t="str">
            <v>204:233374</v>
          </cell>
          <cell r="I127">
            <v>42587.755196759259</v>
          </cell>
          <cell r="J127">
            <v>0</v>
          </cell>
          <cell r="K127" t="str">
            <v>4025/4026</v>
          </cell>
          <cell r="L127" t="str">
            <v>SHOOK</v>
          </cell>
          <cell r="M127">
            <v>2.5856481479422655E-2</v>
          </cell>
          <cell r="N127">
            <v>37.233333330368623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https://search-rtdc-monitor-bjffxe2xuh6vdkpspy63sjmuny.us-east-1.es.amazonaws.com/_plugin/kibana/#/discover/Steve-Slow-Train-Analysis-(2080s-and-2083s)?_g=(refreshInterval:(display:Off,section:0,value:0),time:(from:'2016-08-05 16:28:42-0600',mode:absolute,to:'2016-08-05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7" t="str">
            <v>N</v>
          </cell>
          <cell r="X127">
            <v>1</v>
          </cell>
          <cell r="Y127">
            <v>4.4900000000000002E-2</v>
          </cell>
          <cell r="Z127">
            <v>23.337399999999999</v>
          </cell>
          <cell r="AA127">
            <v>23.2925</v>
          </cell>
          <cell r="AB127" t="e">
            <v>#N/A</v>
          </cell>
          <cell r="AC127" t="e">
            <v>#N/A</v>
          </cell>
          <cell r="AD127" t="str">
            <v>0211-05</v>
          </cell>
          <cell r="AE12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28">
          <cell r="A128" t="str">
            <v>212-05</v>
          </cell>
          <cell r="B128">
            <v>4026</v>
          </cell>
          <cell r="C128" t="str">
            <v>DE.1.0.7.0</v>
          </cell>
          <cell r="D128" t="str">
            <v>204:233034</v>
          </cell>
          <cell r="E128">
            <v>42587.762175925927</v>
          </cell>
          <cell r="F128">
            <v>42587.763171296298</v>
          </cell>
          <cell r="G128">
            <v>1</v>
          </cell>
          <cell r="H128">
            <v>8.5361111111111114</v>
          </cell>
          <cell r="I128">
            <v>42587.796180555553</v>
          </cell>
          <cell r="J128">
            <v>1</v>
          </cell>
          <cell r="K128" t="str">
            <v>4025/4026</v>
          </cell>
          <cell r="L128" t="str">
            <v>SHOOK</v>
          </cell>
          <cell r="M128">
            <v>3.3009259255777579E-2</v>
          </cell>
          <cell r="N128">
            <v>47.533333328319713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8" t="str">
            <v>N</v>
          </cell>
          <cell r="X128">
            <v>1</v>
          </cell>
          <cell r="Y128">
            <v>23.270800000000001</v>
          </cell>
          <cell r="Z128">
            <v>0.15</v>
          </cell>
          <cell r="AA128">
            <v>23.120800000000003</v>
          </cell>
          <cell r="AB128" t="e">
            <v>#N/A</v>
          </cell>
          <cell r="AC128" t="e">
            <v>#N/A</v>
          </cell>
          <cell r="AD128" t="str">
            <v>0212-05</v>
          </cell>
          <cell r="AE12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29">
          <cell r="A129" t="str">
            <v>213-05</v>
          </cell>
          <cell r="B129">
            <v>4009</v>
          </cell>
          <cell r="C129" t="str">
            <v>DE.1.0.7.0</v>
          </cell>
          <cell r="D129" t="str">
            <v>204:447</v>
          </cell>
          <cell r="E129">
            <v>42587.736655092594</v>
          </cell>
          <cell r="F129">
            <v>42587.739189814813</v>
          </cell>
          <cell r="G129">
            <v>3</v>
          </cell>
          <cell r="H129" t="str">
            <v>204:233314</v>
          </cell>
          <cell r="I129">
            <v>42587.765115740738</v>
          </cell>
          <cell r="J129">
            <v>0</v>
          </cell>
          <cell r="K129" t="str">
            <v>4009/4010</v>
          </cell>
          <cell r="L129" t="str">
            <v>HAITHCOX</v>
          </cell>
          <cell r="M129">
            <v>2.5925925925548654E-2</v>
          </cell>
          <cell r="N129">
            <v>37.333333332790062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https://search-rtdc-monitor-bjffxe2xuh6vdkpspy63sjmuny.us-east-1.es.amazonaws.com/_plugin/kibana/#/discover/Steve-Slow-Train-Analysis-(2080s-and-2083s)?_g=(refreshInterval:(display:Off,section:0,value:0),time:(from:'2016-08-05 16:40:47-0600',mode:absolute,to:'2016-08-05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9" t="str">
            <v>N</v>
          </cell>
          <cell r="X129">
            <v>1</v>
          </cell>
          <cell r="Y129">
            <v>4.4699999999999997E-2</v>
          </cell>
          <cell r="Z129">
            <v>23.331399999999999</v>
          </cell>
          <cell r="AA129">
            <v>23.2867</v>
          </cell>
          <cell r="AB129" t="e">
            <v>#N/A</v>
          </cell>
          <cell r="AC129" t="e">
            <v>#N/A</v>
          </cell>
          <cell r="AD129" t="str">
            <v>0213-05</v>
          </cell>
          <cell r="AE12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30">
          <cell r="A130" t="str">
            <v>214-05</v>
          </cell>
          <cell r="B130">
            <v>4010</v>
          </cell>
          <cell r="C130" t="str">
            <v>DE.1.0.7.0</v>
          </cell>
          <cell r="D130" t="str">
            <v>204:233000</v>
          </cell>
          <cell r="E130">
            <v>42587.771828703706</v>
          </cell>
          <cell r="F130">
            <v>42587.773321759261</v>
          </cell>
          <cell r="G130">
            <v>2</v>
          </cell>
          <cell r="H130" t="str">
            <v>204:152</v>
          </cell>
          <cell r="I130">
            <v>42587.806157407409</v>
          </cell>
          <cell r="J130">
            <v>0</v>
          </cell>
          <cell r="K130" t="str">
            <v>4009/4010</v>
          </cell>
          <cell r="L130" t="str">
            <v>HAITHCOX</v>
          </cell>
          <cell r="M130">
            <v>3.2835648147738539E-2</v>
          </cell>
          <cell r="N130">
            <v>47.283333332743496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https://search-rtdc-monitor-bjffxe2xuh6vdkpspy63sjmuny.us-east-1.es.amazonaws.com/_plugin/kibana/#/discover/Steve-Slow-Train-Analysis-(2080s-and-2083s)?_g=(refreshInterval:(display:Off,section:0,value:0),time:(from:'2016-08-05 17:31:26-0600',mode:absolute,to:'2016-08-05 20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0" t="str">
            <v>N</v>
          </cell>
          <cell r="X130">
            <v>1</v>
          </cell>
          <cell r="Y130">
            <v>23.3</v>
          </cell>
          <cell r="Z130">
            <v>1.52E-2</v>
          </cell>
          <cell r="AA130">
            <v>23.284800000000001</v>
          </cell>
          <cell r="AB130" t="e">
            <v>#N/A</v>
          </cell>
          <cell r="AC130" t="e">
            <v>#N/A</v>
          </cell>
          <cell r="AD130" t="str">
            <v>0214-05</v>
          </cell>
          <cell r="AE13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31">
          <cell r="A131" t="str">
            <v>215-05</v>
          </cell>
          <cell r="B131">
            <v>4029</v>
          </cell>
          <cell r="C131" t="str">
            <v>DE.1.0.7.0</v>
          </cell>
          <cell r="D131" t="str">
            <v>204:460</v>
          </cell>
          <cell r="E131">
            <v>42587.748854166668</v>
          </cell>
          <cell r="F131">
            <v>42587.750243055554</v>
          </cell>
          <cell r="G131">
            <v>2</v>
          </cell>
          <cell r="H131" t="str">
            <v>204:233320</v>
          </cell>
          <cell r="I131">
            <v>42587.775949074072</v>
          </cell>
          <cell r="J131">
            <v>0</v>
          </cell>
          <cell r="K131" t="str">
            <v>4029/4030</v>
          </cell>
          <cell r="L131" t="str">
            <v>SWANSON</v>
          </cell>
          <cell r="M131">
            <v>2.5706018517666962E-2</v>
          </cell>
          <cell r="N131">
            <v>37.016666665440425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https://search-rtdc-monitor-bjffxe2xuh6vdkpspy63sjmuny.us-east-1.es.amazonaws.com/_plugin/kibana/#/discover/Steve-Slow-Train-Analysis-(2080s-and-2083s)?_g=(refreshInterval:(display:Off,section:0,value:0),time:(from:'2016-08-05 16:58:21-0600',mode:absolute,to:'2016-08-05 19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1" t="str">
            <v>N</v>
          </cell>
          <cell r="X131">
            <v>1</v>
          </cell>
          <cell r="Y131">
            <v>4.5999999999999999E-2</v>
          </cell>
          <cell r="Z131">
            <v>23.332000000000001</v>
          </cell>
          <cell r="AA131">
            <v>23.286000000000001</v>
          </cell>
          <cell r="AB131" t="e">
            <v>#N/A</v>
          </cell>
          <cell r="AC131" t="e">
            <v>#N/A</v>
          </cell>
          <cell r="AD131" t="str">
            <v>0215-05</v>
          </cell>
          <cell r="AE13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32">
          <cell r="A132" t="str">
            <v>216-05</v>
          </cell>
          <cell r="B132">
            <v>4030</v>
          </cell>
          <cell r="C132" t="str">
            <v>DE.1.0.7.0</v>
          </cell>
          <cell r="D132" t="str">
            <v>204:232977</v>
          </cell>
          <cell r="E132">
            <v>42587.785960648151</v>
          </cell>
          <cell r="F132">
            <v>42587.787708333337</v>
          </cell>
          <cell r="G132">
            <v>2</v>
          </cell>
          <cell r="H132" t="str">
            <v>204:232977</v>
          </cell>
          <cell r="I132">
            <v>42587.787708333337</v>
          </cell>
          <cell r="J132">
            <v>0</v>
          </cell>
          <cell r="K132" t="str">
            <v>4029/4030</v>
          </cell>
          <cell r="L132" t="str">
            <v>SWANSON</v>
          </cell>
          <cell r="M132">
            <v>0</v>
          </cell>
          <cell r="P132">
            <v>1</v>
          </cell>
          <cell r="R132" t="str">
            <v>Onboard in-route failure</v>
          </cell>
          <cell r="S132">
            <v>0</v>
          </cell>
          <cell r="T132" t="str">
            <v>Southbound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https://search-rtdc-monitor-bjffxe2xuh6vdkpspy63sjmuny.us-east-1.es.amazonaws.com/_plugin/kibana/#/discover/Steve-Slow-Train-Analysis-(2080s-and-2083s)?_g=(refreshInterval:(display:Off,section:0,value:0),time:(from:'2016-08-05 17:51:47-0600',mode:absolute,to:'2016-08-05 19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str">
            <v>Y</v>
          </cell>
          <cell r="X132">
            <v>1</v>
          </cell>
          <cell r="Y132">
            <v>23.297699999999999</v>
          </cell>
          <cell r="Z132">
            <v>23.297699999999999</v>
          </cell>
          <cell r="AA132">
            <v>0</v>
          </cell>
          <cell r="AB132" t="e">
            <v>#N/A</v>
          </cell>
          <cell r="AC132" t="e">
            <v>#N/A</v>
          </cell>
          <cell r="AD132" t="str">
            <v>0216-05</v>
          </cell>
          <cell r="AE13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33">
          <cell r="A133" t="str">
            <v>217-05</v>
          </cell>
          <cell r="B133">
            <v>4020</v>
          </cell>
          <cell r="C133" t="str">
            <v>DE.1.0.7.0</v>
          </cell>
          <cell r="D133" t="str">
            <v>204:457</v>
          </cell>
          <cell r="E133">
            <v>42587.759594907409</v>
          </cell>
          <cell r="F133">
            <v>42587.760972222219</v>
          </cell>
          <cell r="G133">
            <v>1</v>
          </cell>
          <cell r="H133" t="str">
            <v>204:233315</v>
          </cell>
          <cell r="I133">
            <v>42587.786481481482</v>
          </cell>
          <cell r="J133">
            <v>0</v>
          </cell>
          <cell r="K133" t="str">
            <v>4019/4020</v>
          </cell>
          <cell r="L133" t="str">
            <v>CHANDLER</v>
          </cell>
          <cell r="M133">
            <v>2.5509259263344575E-2</v>
          </cell>
          <cell r="N133">
            <v>36.733333339216188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https://search-rtdc-monitor-bjffxe2xuh6vdkpspy63sjmuny.us-east-1.es.amazonaws.com/_plugin/kibana/#/discover/Steve-Slow-Train-Analysis-(2080s-and-2083s)?_g=(refreshInterval:(display:Off,section:0,value:0),time:(from:'2016-08-05 17:13:49-0600',mode:absolute,to:'2016-08-05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3" t="str">
            <v>N</v>
          </cell>
          <cell r="X133">
            <v>1</v>
          </cell>
          <cell r="Y133">
            <v>4.5699999999999998E-2</v>
          </cell>
          <cell r="Z133">
            <v>23.331499999999998</v>
          </cell>
          <cell r="AA133">
            <v>23.285799999999998</v>
          </cell>
          <cell r="AB133" t="e">
            <v>#N/A</v>
          </cell>
          <cell r="AC133" t="e">
            <v>#N/A</v>
          </cell>
          <cell r="AD133" t="str">
            <v>0217-05</v>
          </cell>
          <cell r="AE13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34">
          <cell r="A134" t="str">
            <v>218-05</v>
          </cell>
          <cell r="B134">
            <v>4019</v>
          </cell>
          <cell r="C134" t="str">
            <v>DE.1.0.7.0</v>
          </cell>
          <cell r="D134" t="str">
            <v>204:232987</v>
          </cell>
          <cell r="E134">
            <v>42587.799039351848</v>
          </cell>
          <cell r="F134">
            <v>42587.800011574072</v>
          </cell>
          <cell r="G134">
            <v>1</v>
          </cell>
          <cell r="H134" t="str">
            <v>204:149</v>
          </cell>
          <cell r="I134">
            <v>42587.827094907407</v>
          </cell>
          <cell r="J134">
            <v>0</v>
          </cell>
          <cell r="K134" t="str">
            <v>4019/4020</v>
          </cell>
          <cell r="L134" t="str">
            <v>CHANDLER</v>
          </cell>
          <cell r="M134">
            <v>2.7083333334303461E-2</v>
          </cell>
          <cell r="N134">
            <v>39.000000001396984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https://search-rtdc-monitor-bjffxe2xuh6vdkpspy63sjmuny.us-east-1.es.amazonaws.com/_plugin/kibana/#/discover/Steve-Slow-Train-Analysis-(2080s-and-2083s)?_g=(refreshInterval:(display:Off,section:0,value:0),time:(from:'2016-08-05 18:10:37-0600',mode:absolute,to:'2016-08-05 20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4" t="str">
            <v>N</v>
          </cell>
          <cell r="X134">
            <v>1</v>
          </cell>
          <cell r="Y134">
            <v>23.2987</v>
          </cell>
          <cell r="Z134">
            <v>1.49E-2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0218-05</v>
          </cell>
          <cell r="AE13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35">
          <cell r="A135" t="str">
            <v>219-05</v>
          </cell>
          <cell r="B135">
            <v>4038</v>
          </cell>
          <cell r="C135" t="str">
            <v>DE.1.0.7.0</v>
          </cell>
          <cell r="D135" t="str">
            <v>204:458</v>
          </cell>
          <cell r="E135">
            <v>42587.765567129631</v>
          </cell>
          <cell r="F135">
            <v>42587.766759259262</v>
          </cell>
          <cell r="G135">
            <v>1</v>
          </cell>
          <cell r="H135" t="str">
            <v>204:233303</v>
          </cell>
          <cell r="I135">
            <v>42587.797175925924</v>
          </cell>
          <cell r="J135">
            <v>0</v>
          </cell>
          <cell r="K135" t="str">
            <v>4037/4038</v>
          </cell>
          <cell r="L135" t="str">
            <v>OUN</v>
          </cell>
          <cell r="M135">
            <v>3.0416666661039926E-2</v>
          </cell>
          <cell r="N135">
            <v>43.799999991897494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https://search-rtdc-monitor-bjffxe2xuh6vdkpspy63sjmuny.us-east-1.es.amazonaws.com/_plugin/kibana/#/discover/Steve-Slow-Train-Analysis-(2080s-and-2083s)?_g=(refreshInterval:(display:Off,section:0,value:0),time:(from:'2016-08-05 17:22:25-0600',mode:absolute,to:'2016-08-05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5" t="str">
            <v>N</v>
          </cell>
          <cell r="X135">
            <v>1</v>
          </cell>
          <cell r="Y135">
            <v>4.58E-2</v>
          </cell>
          <cell r="Z135">
            <v>23.330300000000001</v>
          </cell>
          <cell r="AA135">
            <v>23.284500000000001</v>
          </cell>
          <cell r="AB135" t="e">
            <v>#N/A</v>
          </cell>
          <cell r="AC135" t="e">
            <v>#N/A</v>
          </cell>
          <cell r="AD135" t="str">
            <v>0219-05</v>
          </cell>
          <cell r="AE13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36">
          <cell r="A136" t="str">
            <v>220-05</v>
          </cell>
          <cell r="B136">
            <v>4037</v>
          </cell>
          <cell r="C136" t="str">
            <v>DE.1.0.7.0</v>
          </cell>
          <cell r="D136" t="str">
            <v>204:232965</v>
          </cell>
          <cell r="E136">
            <v>42587.804131944446</v>
          </cell>
          <cell r="F136">
            <v>42587.805104166669</v>
          </cell>
          <cell r="G136">
            <v>1</v>
          </cell>
          <cell r="H136" t="str">
            <v>204:156</v>
          </cell>
          <cell r="I136">
            <v>42587.837916666664</v>
          </cell>
          <cell r="J136">
            <v>0</v>
          </cell>
          <cell r="K136" t="str">
            <v>4037/4038</v>
          </cell>
          <cell r="L136" t="str">
            <v>ROBINSON</v>
          </cell>
          <cell r="M136">
            <v>3.2812499994179234E-2</v>
          </cell>
          <cell r="N136">
            <v>47.249999991618097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https://search-rtdc-monitor-bjffxe2xuh6vdkpspy63sjmuny.us-east-1.es.amazonaws.com/_plugin/kibana/#/discover/Steve-Slow-Train-Analysis-(2080s-and-2083s)?_g=(refreshInterval:(display:Off,section:0,value:0),time:(from:'2016-08-05 18:17:57-0600',mode:absolute,to:'2016-08-05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6" t="str">
            <v>N</v>
          </cell>
          <cell r="X136">
            <v>1</v>
          </cell>
          <cell r="Y136">
            <v>23.296500000000002</v>
          </cell>
          <cell r="Z136">
            <v>1.5599999999999999E-2</v>
          </cell>
          <cell r="AA136">
            <v>23.280900000000003</v>
          </cell>
          <cell r="AB136" t="e">
            <v>#N/A</v>
          </cell>
          <cell r="AC136" t="e">
            <v>#N/A</v>
          </cell>
          <cell r="AD136" t="str">
            <v>0220-05</v>
          </cell>
          <cell r="AE13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37">
          <cell r="A137" t="str">
            <v>221-05</v>
          </cell>
          <cell r="B137">
            <v>4044</v>
          </cell>
          <cell r="C137" t="str">
            <v>DE.1.0.7.0</v>
          </cell>
          <cell r="D137" t="str">
            <v>204:455</v>
          </cell>
          <cell r="E137">
            <v>42587.789282407408</v>
          </cell>
          <cell r="F137">
            <v>42587.790995370371</v>
          </cell>
          <cell r="G137">
            <v>2</v>
          </cell>
          <cell r="H137" t="str">
            <v>204:233300</v>
          </cell>
          <cell r="I137">
            <v>42587.81659722222</v>
          </cell>
          <cell r="J137">
            <v>0</v>
          </cell>
          <cell r="K137" t="str">
            <v>4043/4044</v>
          </cell>
          <cell r="L137" t="str">
            <v>LEVIN</v>
          </cell>
          <cell r="M137">
            <v>2.5601851848477963E-2</v>
          </cell>
          <cell r="N137">
            <v>36.866666661808267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https://search-rtdc-monitor-bjffxe2xuh6vdkpspy63sjmuny.us-east-1.es.amazonaws.com/_plugin/kibana/#/discover/Steve-Slow-Train-Analysis-(2080s-and-2083s)?_g=(refreshInterval:(display:Off,section:0,value:0),time:(from:'2016-08-05 17:56:34-0600',mode:absolute,to:'2016-08-05 20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23.33</v>
          </cell>
          <cell r="AA137">
            <v>23.284499999999998</v>
          </cell>
          <cell r="AB137" t="e">
            <v>#N/A</v>
          </cell>
          <cell r="AC137" t="e">
            <v>#N/A</v>
          </cell>
          <cell r="AD137" t="str">
            <v>0221-05</v>
          </cell>
          <cell r="AE13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38">
          <cell r="A138" t="str">
            <v>222-05</v>
          </cell>
          <cell r="B138">
            <v>4043</v>
          </cell>
          <cell r="C138" t="str">
            <v>DE.1.0.7.0</v>
          </cell>
          <cell r="D138" t="str">
            <v>204:233021</v>
          </cell>
          <cell r="E138">
            <v>42587.825069444443</v>
          </cell>
          <cell r="F138">
            <v>42587.82608796296</v>
          </cell>
          <cell r="G138">
            <v>1</v>
          </cell>
          <cell r="H138" t="str">
            <v>204:145</v>
          </cell>
          <cell r="I138">
            <v>42587.857372685183</v>
          </cell>
          <cell r="J138">
            <v>0</v>
          </cell>
          <cell r="K138" t="str">
            <v>4043/4044</v>
          </cell>
          <cell r="L138" t="str">
            <v>LEVIN</v>
          </cell>
          <cell r="M138">
            <v>3.1284722223063E-2</v>
          </cell>
          <cell r="N138">
            <v>45.050000001210719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https://search-rtdc-monitor-bjffxe2xuh6vdkpspy63sjmuny.us-east-1.es.amazonaws.com/_plugin/kibana/#/discover/Steve-Slow-Train-Analysis-(2080s-and-2083s)?_g=(refreshInterval:(display:Off,section:0,value:0),time:(from:'2016-08-05 18:48:06-0600',mode:absolute,to:'2016-08-05 21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8" t="str">
            <v>N</v>
          </cell>
          <cell r="X138">
            <v>1</v>
          </cell>
          <cell r="Y138">
            <v>23.302099999999999</v>
          </cell>
          <cell r="Z138">
            <v>1.4500000000000001E-2</v>
          </cell>
          <cell r="AA138">
            <v>23.287599999999998</v>
          </cell>
          <cell r="AB138" t="e">
            <v>#N/A</v>
          </cell>
          <cell r="AC138" t="e">
            <v>#N/A</v>
          </cell>
          <cell r="AD138" t="str">
            <v>0222-05</v>
          </cell>
          <cell r="AE13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39">
          <cell r="A139" t="str">
            <v>223-05</v>
          </cell>
          <cell r="B139">
            <v>4009</v>
          </cell>
          <cell r="C139" t="str">
            <v>DE.1.0.7.0</v>
          </cell>
          <cell r="D139" t="str">
            <v>204:433</v>
          </cell>
          <cell r="E139">
            <v>42587.807754629626</v>
          </cell>
          <cell r="F139">
            <v>42587.808900462966</v>
          </cell>
          <cell r="G139">
            <v>1</v>
          </cell>
          <cell r="H139" t="str">
            <v>204:233282</v>
          </cell>
          <cell r="I139">
            <v>42587.837881944448</v>
          </cell>
          <cell r="J139">
            <v>0</v>
          </cell>
          <cell r="K139" t="str">
            <v>4009/4010</v>
          </cell>
          <cell r="L139" t="str">
            <v>HAITHCOX</v>
          </cell>
          <cell r="M139">
            <v>2.8981481482333038E-2</v>
          </cell>
          <cell r="N139">
            <v>41.733333334559575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https://search-rtdc-monitor-bjffxe2xuh6vdkpspy63sjmuny.us-east-1.es.amazonaws.com/_plugin/kibana/#/discover/Steve-Slow-Train-Analysis-(2080s-and-2083s)?_g=(refreshInterval:(display:Off,section:0,value:0),time:(from:'2016-08-05 18:23:10-0600',mode:absolute,to:'2016-08-05 21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4.3299999999999998E-2</v>
          </cell>
          <cell r="Z139">
            <v>23.328199999999999</v>
          </cell>
          <cell r="AA139">
            <v>23.2849</v>
          </cell>
          <cell r="AB139" t="e">
            <v>#N/A</v>
          </cell>
          <cell r="AC139" t="e">
            <v>#N/A</v>
          </cell>
          <cell r="AD139" t="str">
            <v>0223-05</v>
          </cell>
          <cell r="AE13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0">
          <cell r="A140" t="str">
            <v>224-05</v>
          </cell>
          <cell r="B140">
            <v>4010</v>
          </cell>
          <cell r="C140" t="str">
            <v>DE.1.0.7.0</v>
          </cell>
          <cell r="D140" t="str">
            <v>204:232957</v>
          </cell>
          <cell r="E140">
            <v>42587.844409722224</v>
          </cell>
          <cell r="F140">
            <v>42587.845613425925</v>
          </cell>
          <cell r="G140">
            <v>1</v>
          </cell>
          <cell r="H140" t="str">
            <v>204:160</v>
          </cell>
          <cell r="I140">
            <v>42587.878877314812</v>
          </cell>
          <cell r="J140">
            <v>0</v>
          </cell>
          <cell r="K140" t="str">
            <v>4009/4010</v>
          </cell>
          <cell r="L140" t="str">
            <v>HAITHCOX</v>
          </cell>
          <cell r="M140">
            <v>3.326388888672227E-2</v>
          </cell>
          <cell r="N140">
            <v>47.899999996880069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https://search-rtdc-monitor-bjffxe2xuh6vdkpspy63sjmuny.us-east-1.es.amazonaws.com/_plugin/kibana/#/discover/Steve-Slow-Train-Analysis-(2080s-and-2083s)?_g=(refreshInterval:(display:Off,section:0,value:0),time:(from:'2016-08-05 19:15:57-0600',mode:absolute,to:'2016-08-05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0" t="str">
            <v>N</v>
          </cell>
          <cell r="X140">
            <v>1</v>
          </cell>
          <cell r="Y140">
            <v>23.2957</v>
          </cell>
          <cell r="Z140">
            <v>1.6E-2</v>
          </cell>
          <cell r="AA140">
            <v>23.279700000000002</v>
          </cell>
          <cell r="AB140" t="e">
            <v>#N/A</v>
          </cell>
          <cell r="AC140" t="e">
            <v>#N/A</v>
          </cell>
          <cell r="AD140" t="str">
            <v>0224-05</v>
          </cell>
          <cell r="AE14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1">
          <cell r="A141" t="str">
            <v>225-05</v>
          </cell>
          <cell r="B141">
            <v>4020</v>
          </cell>
          <cell r="C141" t="str">
            <v>DE.1.0.7.0</v>
          </cell>
          <cell r="D141" t="str">
            <v>204:471</v>
          </cell>
          <cell r="E141">
            <v>42587.832384259258</v>
          </cell>
          <cell r="F141">
            <v>42587.83357638889</v>
          </cell>
          <cell r="G141">
            <v>1</v>
          </cell>
          <cell r="H141" t="str">
            <v>204:233280</v>
          </cell>
          <cell r="I141">
            <v>42587.859479166669</v>
          </cell>
          <cell r="J141">
            <v>0</v>
          </cell>
          <cell r="K141" t="str">
            <v>4019/4020</v>
          </cell>
          <cell r="L141" t="str">
            <v>CHANDLER</v>
          </cell>
          <cell r="M141">
            <v>2.5902777779265307E-2</v>
          </cell>
          <cell r="N141">
            <v>37.300000002142042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https://search-rtdc-monitor-bjffxe2xuh6vdkpspy63sjmuny.us-east-1.es.amazonaws.com/_plugin/kibana/#/discover/Steve-Slow-Train-Analysis-(2080s-and-2083s)?_g=(refreshInterval:(display:Off,section:0,value:0),time:(from:'2016-08-05 18:58:38-0600',mode:absolute,to:'2016-08-05 21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1" t="str">
            <v>N</v>
          </cell>
          <cell r="X141">
            <v>1</v>
          </cell>
          <cell r="Y141">
            <v>4.7100000000000003E-2</v>
          </cell>
          <cell r="Z141">
            <v>23.327999999999999</v>
          </cell>
          <cell r="AA141">
            <v>23.280899999999999</v>
          </cell>
          <cell r="AB141" t="e">
            <v>#N/A</v>
          </cell>
          <cell r="AC141" t="e">
            <v>#N/A</v>
          </cell>
          <cell r="AD141" t="str">
            <v>0225-05</v>
          </cell>
          <cell r="AE14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42">
          <cell r="A142" t="str">
            <v>226-05</v>
          </cell>
          <cell r="B142">
            <v>4019</v>
          </cell>
          <cell r="C142" t="str">
            <v>DE.1.0.7.0</v>
          </cell>
          <cell r="D142" t="str">
            <v>204:232974</v>
          </cell>
          <cell r="E142">
            <v>42587.870486111111</v>
          </cell>
          <cell r="F142">
            <v>42587.871331018519</v>
          </cell>
          <cell r="G142">
            <v>1</v>
          </cell>
          <cell r="H142" t="str">
            <v>204:154</v>
          </cell>
          <cell r="I142">
            <v>42587.90215277778</v>
          </cell>
          <cell r="J142">
            <v>0</v>
          </cell>
          <cell r="K142" t="str">
            <v>4019/4020</v>
          </cell>
          <cell r="L142" t="str">
            <v>CHANDLER</v>
          </cell>
          <cell r="M142">
            <v>3.0821759261016268E-2</v>
          </cell>
          <cell r="N142">
            <v>44.383333335863426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https://search-rtdc-monitor-bjffxe2xuh6vdkpspy63sjmuny.us-east-1.es.amazonaws.com/_plugin/kibana/#/discover/Steve-Slow-Train-Analysis-(2080s-and-2083s)?_g=(refreshInterval:(display:Off,section:0,value:0),time:(from:'2016-08-05 19:53:30-0600',mode:absolute,to:'2016-08-05 22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2" t="str">
            <v>N</v>
          </cell>
          <cell r="X142">
            <v>1</v>
          </cell>
          <cell r="Y142">
            <v>23.2974</v>
          </cell>
          <cell r="Z142">
            <v>1.54E-2</v>
          </cell>
          <cell r="AA142">
            <v>23.282</v>
          </cell>
          <cell r="AB142" t="e">
            <v>#N/A</v>
          </cell>
          <cell r="AC142" t="e">
            <v>#N/A</v>
          </cell>
          <cell r="AD142" t="str">
            <v>0226-05</v>
          </cell>
          <cell r="AE14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43">
          <cell r="A143" t="str">
            <v>227-05</v>
          </cell>
          <cell r="B143">
            <v>4038</v>
          </cell>
          <cell r="C143" t="str">
            <v>DE.1.0.7.0</v>
          </cell>
          <cell r="D143" t="str">
            <v>204:440</v>
          </cell>
          <cell r="E143">
            <v>42587.846365740741</v>
          </cell>
          <cell r="F143">
            <v>42587.847673611112</v>
          </cell>
          <cell r="G143">
            <v>1</v>
          </cell>
          <cell r="H143" t="str">
            <v>204:233276</v>
          </cell>
          <cell r="I143">
            <v>42587.881481481483</v>
          </cell>
          <cell r="J143">
            <v>0</v>
          </cell>
          <cell r="K143" t="str">
            <v>4037/4038</v>
          </cell>
          <cell r="L143" t="str">
            <v>ROBINSON</v>
          </cell>
          <cell r="M143">
            <v>3.3807870371674653E-2</v>
          </cell>
          <cell r="N143">
            <v>48.683333335211501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https://search-rtdc-monitor-bjffxe2xuh6vdkpspy63sjmuny.us-east-1.es.amazonaws.com/_plugin/kibana/#/discover/Steve-Slow-Train-Analysis-(2080s-and-2083s)?_g=(refreshInterval:(display:Off,section:0,value:0),time:(from:'2016-08-05 19:18:46-0600',mode:absolute,to:'2016-08-05 22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3" t="str">
            <v>N</v>
          </cell>
          <cell r="X143">
            <v>1</v>
          </cell>
          <cell r="Y143">
            <v>4.3999999999999997E-2</v>
          </cell>
          <cell r="Z143">
            <v>23.3276</v>
          </cell>
          <cell r="AA143">
            <v>23.2836</v>
          </cell>
          <cell r="AB143" t="e">
            <v>#N/A</v>
          </cell>
          <cell r="AC143" t="e">
            <v>#N/A</v>
          </cell>
          <cell r="AD143" t="str">
            <v>0227-05</v>
          </cell>
          <cell r="AE14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44">
          <cell r="A144" t="str">
            <v>228-05</v>
          </cell>
          <cell r="B144">
            <v>4037</v>
          </cell>
          <cell r="C144" t="str">
            <v>DE.1.0.7.0</v>
          </cell>
          <cell r="D144" t="str">
            <v>204:232950</v>
          </cell>
          <cell r="E144">
            <v>42587.88585648148</v>
          </cell>
          <cell r="F144">
            <v>42587.886736111112</v>
          </cell>
          <cell r="G144">
            <v>1</v>
          </cell>
          <cell r="H144" t="str">
            <v>204:147</v>
          </cell>
          <cell r="I144">
            <v>42587.921307870369</v>
          </cell>
          <cell r="J144">
            <v>0</v>
          </cell>
          <cell r="K144" t="str">
            <v>4037/4038</v>
          </cell>
          <cell r="L144" t="str">
            <v>ROBINSON</v>
          </cell>
          <cell r="M144">
            <v>3.457175925723277E-2</v>
          </cell>
          <cell r="N144">
            <v>49.783333330415189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https://search-rtdc-monitor-bjffxe2xuh6vdkpspy63sjmuny.us-east-1.es.amazonaws.com/_plugin/kibana/#/discover/Steve-Slow-Train-Analysis-(2080s-and-2083s)?_g=(refreshInterval:(display:Off,section:0,value:0),time:(from:'2016-08-05 20:15:38-0600',mode:absolute,to:'2016-08-05 23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4" t="str">
            <v>N</v>
          </cell>
          <cell r="X144">
            <v>1</v>
          </cell>
          <cell r="Y144">
            <v>23.295000000000002</v>
          </cell>
          <cell r="Z144">
            <v>1.47E-2</v>
          </cell>
          <cell r="AA144">
            <v>23.2803</v>
          </cell>
          <cell r="AB144" t="e">
            <v>#N/A</v>
          </cell>
          <cell r="AC144" t="e">
            <v>#N/A</v>
          </cell>
          <cell r="AD144" t="str">
            <v>0228-05</v>
          </cell>
          <cell r="AE14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45">
          <cell r="A145" t="str">
            <v>229-05</v>
          </cell>
          <cell r="B145">
            <v>4044</v>
          </cell>
          <cell r="C145" t="str">
            <v>DE.1.0.7.0</v>
          </cell>
          <cell r="D145" t="str">
            <v>204:460</v>
          </cell>
          <cell r="E145">
            <v>42587.863761574074</v>
          </cell>
          <cell r="F145">
            <v>42587.864710648151</v>
          </cell>
          <cell r="G145">
            <v>1</v>
          </cell>
          <cell r="H145" t="str">
            <v>204:233310</v>
          </cell>
          <cell r="I145">
            <v>42587.90011574074</v>
          </cell>
          <cell r="J145">
            <v>0</v>
          </cell>
          <cell r="K145" t="str">
            <v>4043/4044</v>
          </cell>
          <cell r="L145" t="str">
            <v>LEVIN</v>
          </cell>
          <cell r="M145">
            <v>3.5405092588916887E-2</v>
          </cell>
          <cell r="N145">
            <v>50.983333328040317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https://search-rtdc-monitor-bjffxe2xuh6vdkpspy63sjmuny.us-east-1.es.amazonaws.com/_plugin/kibana/#/discover/Steve-Slow-Train-Analysis-(2080s-and-2083s)?_g=(refreshInterval:(display:Off,section:0,value:0),time:(from:'2016-08-05 19:43:49-0600',mode:absolute,to:'2016-08-05 22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5" t="str">
            <v>N</v>
          </cell>
          <cell r="X145">
            <v>1</v>
          </cell>
          <cell r="Y145">
            <v>4.5999999999999999E-2</v>
          </cell>
          <cell r="Z145">
            <v>23.331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0229-05</v>
          </cell>
          <cell r="AE14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6">
          <cell r="A146" t="str">
            <v>230-05</v>
          </cell>
          <cell r="B146">
            <v>4043</v>
          </cell>
          <cell r="C146" t="str">
            <v>DE.1.0.7.0</v>
          </cell>
          <cell r="D146" t="str">
            <v>204:232994</v>
          </cell>
          <cell r="E146">
            <v>42587.907453703701</v>
          </cell>
          <cell r="F146">
            <v>42587.908356481479</v>
          </cell>
          <cell r="G146">
            <v>1</v>
          </cell>
          <cell r="H146" t="str">
            <v>204:150</v>
          </cell>
          <cell r="I146">
            <v>42587.943194444444</v>
          </cell>
          <cell r="J146">
            <v>0</v>
          </cell>
          <cell r="K146" t="str">
            <v>4043/4044</v>
          </cell>
          <cell r="L146" t="str">
            <v>LEVIN</v>
          </cell>
          <cell r="M146">
            <v>3.4837962964957114E-2</v>
          </cell>
          <cell r="N146">
            <v>50.166666669538245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https://search-rtdc-monitor-bjffxe2xuh6vdkpspy63sjmuny.us-east-1.es.amazonaws.com/_plugin/kibana/#/discover/Steve-Slow-Train-Analysis-(2080s-and-2083s)?_g=(refreshInterval:(display:Off,section:0,value:0),time:(from:'2016-08-05 20:46:44-0600',mode:absolute,to:'2016-08-05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1.4999999999999999E-2</v>
          </cell>
          <cell r="AA146">
            <v>23.284399999999998</v>
          </cell>
          <cell r="AB146" t="e">
            <v>#N/A</v>
          </cell>
          <cell r="AC146" t="e">
            <v>#N/A</v>
          </cell>
          <cell r="AD146" t="str">
            <v>0230-05</v>
          </cell>
          <cell r="AE14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47">
          <cell r="A147" t="str">
            <v>231-05</v>
          </cell>
          <cell r="B147">
            <v>4009</v>
          </cell>
          <cell r="C147" t="str">
            <v>DE.1.0.7.0</v>
          </cell>
          <cell r="D147" t="str">
            <v>204:457</v>
          </cell>
          <cell r="E147">
            <v>42587.891365740739</v>
          </cell>
          <cell r="F147">
            <v>42587.892384259256</v>
          </cell>
          <cell r="G147">
            <v>1</v>
          </cell>
          <cell r="H147" t="str">
            <v>204:233303</v>
          </cell>
          <cell r="I147">
            <v>42587.924525462964</v>
          </cell>
          <cell r="J147">
            <v>0</v>
          </cell>
          <cell r="K147" t="str">
            <v>4009/4010</v>
          </cell>
          <cell r="L147" t="str">
            <v>HAITHCOX</v>
          </cell>
          <cell r="M147">
            <v>3.2141203708306421E-2</v>
          </cell>
          <cell r="N147">
            <v>46.283333339961246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https://search-rtdc-monitor-bjffxe2xuh6vdkpspy63sjmuny.us-east-1.es.amazonaws.com/_plugin/kibana/#/discover/Steve-Slow-Train-Analysis-(2080s-and-2083s)?_g=(refreshInterval:(display:Off,section:0,value:0),time:(from:'2016-08-05 20:23:34-0600',mode:absolute,to:'2016-08-05 23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4.5699999999999998E-2</v>
          </cell>
          <cell r="Z147">
            <v>23.330300000000001</v>
          </cell>
          <cell r="AA147">
            <v>23.284600000000001</v>
          </cell>
          <cell r="AB147" t="e">
            <v>#N/A</v>
          </cell>
          <cell r="AC147" t="e">
            <v>#N/A</v>
          </cell>
          <cell r="AD147" t="str">
            <v>0231-05</v>
          </cell>
          <cell r="AE14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8">
          <cell r="A148" t="str">
            <v>232-05</v>
          </cell>
          <cell r="B148">
            <v>4010</v>
          </cell>
          <cell r="C148" t="str">
            <v>DE.1.0.7.0</v>
          </cell>
          <cell r="D148" t="str">
            <v>204:232994</v>
          </cell>
          <cell r="E148">
            <v>42587.931944444441</v>
          </cell>
          <cell r="F148">
            <v>42587.932685185187</v>
          </cell>
          <cell r="G148">
            <v>1</v>
          </cell>
          <cell r="H148" t="str">
            <v>204:141</v>
          </cell>
          <cell r="I148">
            <v>42587.964131944442</v>
          </cell>
          <cell r="J148">
            <v>0</v>
          </cell>
          <cell r="K148" t="str">
            <v>4009/4010</v>
          </cell>
          <cell r="L148" t="str">
            <v>HAITHCOX</v>
          </cell>
          <cell r="M148">
            <v>3.1446759254322387E-2</v>
          </cell>
          <cell r="N148">
            <v>45.283333326224238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https://search-rtdc-monitor-bjffxe2xuh6vdkpspy63sjmuny.us-east-1.es.amazonaws.com/_plugin/kibana/#/discover/Steve-Slow-Train-Analysis-(2080s-and-2083s)?_g=(refreshInterval:(display:Off,section:0,value:0),time:(from:'2016-08-05 21:22:00-0600',mode:absolute,to:'2016-08-06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N</v>
          </cell>
          <cell r="X148">
            <v>1</v>
          </cell>
          <cell r="Y148">
            <v>23.299399999999999</v>
          </cell>
          <cell r="Z148">
            <v>1.41E-2</v>
          </cell>
          <cell r="AA148">
            <v>23.285299999999999</v>
          </cell>
          <cell r="AB148" t="e">
            <v>#N/A</v>
          </cell>
          <cell r="AC148" t="e">
            <v>#N/A</v>
          </cell>
          <cell r="AD148" t="str">
            <v>0232-05</v>
          </cell>
          <cell r="AE14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9">
          <cell r="A149" t="str">
            <v>233-05</v>
          </cell>
          <cell r="B149">
            <v>4020</v>
          </cell>
          <cell r="C149" t="str">
            <v>DE.1.0.7.0</v>
          </cell>
          <cell r="D149" t="str">
            <v>204:469</v>
          </cell>
          <cell r="E149">
            <v>42587.914629629631</v>
          </cell>
          <cell r="F149">
            <v>42587.915543981479</v>
          </cell>
          <cell r="G149">
            <v>1</v>
          </cell>
          <cell r="H149" t="str">
            <v>204:233293</v>
          </cell>
          <cell r="I149">
            <v>42587.942407407405</v>
          </cell>
          <cell r="J149">
            <v>0</v>
          </cell>
          <cell r="K149" t="str">
            <v>4019/4020</v>
          </cell>
          <cell r="L149" t="str">
            <v>CHANDLER</v>
          </cell>
          <cell r="M149">
            <v>2.6863425926421769E-2</v>
          </cell>
          <cell r="N149">
            <v>38.683333334047347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https://search-rtdc-monitor-bjffxe2xuh6vdkpspy63sjmuny.us-east-1.es.amazonaws.com/_plugin/kibana/#/discover/Steve-Slow-Train-Analysis-(2080s-and-2083s)?_g=(refreshInterval:(display:Off,section:0,value:0),time:(from:'2016-08-05 20:57:04-0600',mode:absolute,to:'2016-08-05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9" t="str">
            <v>N</v>
          </cell>
          <cell r="X149">
            <v>1</v>
          </cell>
          <cell r="Y149">
            <v>4.6899999999999997E-2</v>
          </cell>
          <cell r="Z149">
            <v>23.3293</v>
          </cell>
          <cell r="AA149">
            <v>23.282399999999999</v>
          </cell>
          <cell r="AB149" t="e">
            <v>#N/A</v>
          </cell>
          <cell r="AC149" t="e">
            <v>#N/A</v>
          </cell>
          <cell r="AD149" t="str">
            <v>0233-05</v>
          </cell>
          <cell r="AE1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0">
          <cell r="A150" t="str">
            <v>234-05</v>
          </cell>
          <cell r="B150">
            <v>4019</v>
          </cell>
          <cell r="C150" t="str">
            <v>DE.1.0.7.0</v>
          </cell>
          <cell r="D150" t="str">
            <v>204:232963</v>
          </cell>
          <cell r="E150">
            <v>42587.953356481485</v>
          </cell>
          <cell r="F150">
            <v>42587.954236111109</v>
          </cell>
          <cell r="G150">
            <v>1</v>
          </cell>
          <cell r="H150" t="str">
            <v>204:176</v>
          </cell>
          <cell r="I150">
            <v>42587.988483796296</v>
          </cell>
          <cell r="J150">
            <v>0</v>
          </cell>
          <cell r="K150" t="str">
            <v>4019/4020</v>
          </cell>
          <cell r="L150" t="str">
            <v>CHANDLER</v>
          </cell>
          <cell r="M150">
            <v>3.4247685187438037E-2</v>
          </cell>
          <cell r="N150">
            <v>49.316666669910774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https://search-rtdc-monitor-bjffxe2xuh6vdkpspy63sjmuny.us-east-1.es.amazonaws.com/_plugin/kibana/#/discover/Steve-Slow-Train-Analysis-(2080s-and-2083s)?_g=(refreshInterval:(display:Off,section:0,value:0),time:(from:'2016-08-05 21:52:50-0600',mode:absolute,to:'2016-08-06 00:43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0" t="str">
            <v>N</v>
          </cell>
          <cell r="X150">
            <v>1</v>
          </cell>
          <cell r="Y150">
            <v>23.296299999999999</v>
          </cell>
          <cell r="Z150">
            <v>1.7600000000000001E-2</v>
          </cell>
          <cell r="AA150">
            <v>23.278699999999997</v>
          </cell>
          <cell r="AB150" t="e">
            <v>#N/A</v>
          </cell>
          <cell r="AC150" t="e">
            <v>#N/A</v>
          </cell>
          <cell r="AD150" t="str">
            <v>0234-05</v>
          </cell>
          <cell r="AE1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51">
          <cell r="A151" t="str">
            <v>235-05</v>
          </cell>
          <cell r="B151">
            <v>4038</v>
          </cell>
          <cell r="C151" t="str">
            <v>DE.1.0.7.0</v>
          </cell>
          <cell r="D151" t="str">
            <v>204:471</v>
          </cell>
          <cell r="E151">
            <v>42587.928611111114</v>
          </cell>
          <cell r="F151">
            <v>42587.929629629631</v>
          </cell>
          <cell r="G151">
            <v>1</v>
          </cell>
          <cell r="H151" t="str">
            <v>204:233278</v>
          </cell>
          <cell r="I151">
            <v>42587.969571759262</v>
          </cell>
          <cell r="J151">
            <v>0</v>
          </cell>
          <cell r="K151" t="str">
            <v>4037/4038</v>
          </cell>
          <cell r="L151" t="str">
            <v>ROBINSON</v>
          </cell>
          <cell r="M151">
            <v>3.9942129631526768E-2</v>
          </cell>
          <cell r="N151">
            <v>57.516666669398546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https://search-rtdc-monitor-bjffxe2xuh6vdkpspy63sjmuny.us-east-1.es.amazonaws.com/_plugin/kibana/#/discover/Steve-Slow-Train-Analysis-(2080s-and-2083s)?_g=(refreshInterval:(display:Off,section:0,value:0),time:(from:'2016-08-05 21:17:12-0600',mode:absolute,to:'2016-08-06 00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1" t="str">
            <v>N</v>
          </cell>
          <cell r="X151">
            <v>1</v>
          </cell>
          <cell r="Y151">
            <v>4.7100000000000003E-2</v>
          </cell>
          <cell r="Z151">
            <v>23.3278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0235-05</v>
          </cell>
          <cell r="AE1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52">
          <cell r="A152" t="str">
            <v>236-05</v>
          </cell>
          <cell r="B152">
            <v>4037</v>
          </cell>
          <cell r="C152" t="str">
            <v>DE.1.0.7.0</v>
          </cell>
          <cell r="D152" t="str">
            <v>204:232953</v>
          </cell>
          <cell r="E152">
            <v>42587.971655092595</v>
          </cell>
          <cell r="F152">
            <v>42587.972395833334</v>
          </cell>
          <cell r="G152">
            <v>1</v>
          </cell>
          <cell r="H152" t="str">
            <v>204:154</v>
          </cell>
          <cell r="I152">
            <v>42588.00508101852</v>
          </cell>
          <cell r="J152">
            <v>0</v>
          </cell>
          <cell r="K152" t="str">
            <v>4037/4038</v>
          </cell>
          <cell r="L152" t="str">
            <v>ROBINSON</v>
          </cell>
          <cell r="M152">
            <v>3.2685185185982846E-2</v>
          </cell>
          <cell r="N152">
            <v>47.066666667815298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https://search-rtdc-monitor-bjffxe2xuh6vdkpspy63sjmuny.us-east-1.es.amazonaws.com/_plugin/kibana/#/discover/Steve-Slow-Train-Analysis-(2080s-and-2083s)?_g=(refreshInterval:(display:Off,section:0,value:0),time:(from:'2016-08-05 22:19:11-0600',mode:absolute,to:'2016-08-06 01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2" t="str">
            <v>N</v>
          </cell>
          <cell r="X152">
            <v>1</v>
          </cell>
          <cell r="Y152">
            <v>23.295300000000001</v>
          </cell>
          <cell r="Z152">
            <v>1.54E-2</v>
          </cell>
          <cell r="AA152">
            <v>23.279900000000001</v>
          </cell>
          <cell r="AB152" t="e">
            <v>#N/A</v>
          </cell>
          <cell r="AC152" t="e">
            <v>#N/A</v>
          </cell>
          <cell r="AD152" t="str">
            <v>0236-05</v>
          </cell>
          <cell r="AE1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53">
          <cell r="A153" t="str">
            <v>237-05</v>
          </cell>
          <cell r="B153">
            <v>4044</v>
          </cell>
          <cell r="C153" t="str">
            <v>DE.1.0.7.0</v>
          </cell>
          <cell r="D153" t="str">
            <v>204:451</v>
          </cell>
          <cell r="E153">
            <v>42587.953020833331</v>
          </cell>
          <cell r="F153">
            <v>42587.95484953704</v>
          </cell>
          <cell r="G153">
            <v>2</v>
          </cell>
          <cell r="H153" t="str">
            <v>204:233318</v>
          </cell>
          <cell r="I153">
            <v>42587.983796296299</v>
          </cell>
          <cell r="J153">
            <v>1</v>
          </cell>
          <cell r="K153" t="str">
            <v>4043/4044</v>
          </cell>
          <cell r="L153" t="str">
            <v>LEVIN</v>
          </cell>
          <cell r="M153">
            <v>2.8946759259270038E-2</v>
          </cell>
          <cell r="N153">
            <v>41.683333333348855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3" t="str">
            <v>N</v>
          </cell>
          <cell r="X153">
            <v>1</v>
          </cell>
          <cell r="Y153">
            <v>4.5100000000000001E-2</v>
          </cell>
          <cell r="Z153">
            <v>23.331800000000001</v>
          </cell>
          <cell r="AA153">
            <v>23.2867</v>
          </cell>
          <cell r="AB153">
            <v>33137</v>
          </cell>
          <cell r="AC153" t="str">
            <v>GRADE CROSSING</v>
          </cell>
          <cell r="AD153" t="str">
            <v>0237-05</v>
          </cell>
          <cell r="AE15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4">
          <cell r="A154" t="str">
            <v>238-05</v>
          </cell>
          <cell r="B154">
            <v>4043</v>
          </cell>
          <cell r="C154" t="str">
            <v>DE.1.0.7.0</v>
          </cell>
          <cell r="D154" t="str">
            <v>204:232996</v>
          </cell>
          <cell r="E154">
            <v>42587.991666666669</v>
          </cell>
          <cell r="F154">
            <v>42587.992488425924</v>
          </cell>
          <cell r="G154">
            <v>1</v>
          </cell>
          <cell r="H154" t="str">
            <v>204:145</v>
          </cell>
          <cell r="I154">
            <v>42588.025335648148</v>
          </cell>
          <cell r="J154">
            <v>0</v>
          </cell>
          <cell r="K154" t="str">
            <v>4043/4044</v>
          </cell>
          <cell r="L154" t="str">
            <v>LEVIN</v>
          </cell>
          <cell r="M154">
            <v>3.2847222224518191E-2</v>
          </cell>
          <cell r="N154">
            <v>47.300000003306195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https://search-rtdc-monitor-bjffxe2xuh6vdkpspy63sjmuny.us-east-1.es.amazonaws.com/_plugin/kibana/#/discover/Steve-Slow-Train-Analysis-(2080s-and-2083s)?_g=(refreshInterval:(display:Off,section:0,value:0),time:(from:'2016-08-05 22:48:00-0600',mode:absolute,to:'2016-08-06 01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4" t="str">
            <v>N</v>
          </cell>
          <cell r="X154">
            <v>1</v>
          </cell>
          <cell r="Y154">
            <v>23.299600000000002</v>
          </cell>
          <cell r="Z154">
            <v>1.4500000000000001E-2</v>
          </cell>
          <cell r="AA154">
            <v>23.2851</v>
          </cell>
          <cell r="AB154" t="e">
            <v>#N/A</v>
          </cell>
          <cell r="AC154" t="e">
            <v>#N/A</v>
          </cell>
          <cell r="AD154" t="str">
            <v>0238-05</v>
          </cell>
          <cell r="AE15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55">
          <cell r="A155" t="str">
            <v>239-05</v>
          </cell>
          <cell r="B155">
            <v>4009</v>
          </cell>
          <cell r="C155" t="str">
            <v>DE.1.0.7.0</v>
          </cell>
          <cell r="D155" t="str">
            <v>204:467</v>
          </cell>
          <cell r="E155">
            <v>42587.965289351851</v>
          </cell>
          <cell r="F155">
            <v>42587.966238425928</v>
          </cell>
          <cell r="G155">
            <v>1</v>
          </cell>
          <cell r="H155" t="str">
            <v>204:233311</v>
          </cell>
          <cell r="I155">
            <v>42588.005266203705</v>
          </cell>
          <cell r="J155">
            <v>1</v>
          </cell>
          <cell r="K155" t="str">
            <v>4009/4010</v>
          </cell>
          <cell r="L155" t="str">
            <v>HAITHCOX</v>
          </cell>
          <cell r="M155">
            <v>3.9027777776937E-2</v>
          </cell>
          <cell r="N155">
            <v>56.199999998789281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23.331099999999999</v>
          </cell>
          <cell r="AA155">
            <v>23.284399999999998</v>
          </cell>
          <cell r="AB155">
            <v>33137</v>
          </cell>
          <cell r="AC155" t="str">
            <v>GRADE CROSSING</v>
          </cell>
          <cell r="AD155" t="str">
            <v>0239-05</v>
          </cell>
          <cell r="AE15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56">
          <cell r="A156" t="str">
            <v>240-05</v>
          </cell>
          <cell r="B156">
            <v>4010</v>
          </cell>
          <cell r="C156" t="str">
            <v>DE.1.0.7.0</v>
          </cell>
          <cell r="D156" t="str">
            <v>204:232982</v>
          </cell>
          <cell r="E156">
            <v>42588.006921296299</v>
          </cell>
          <cell r="F156">
            <v>42588.007754629631</v>
          </cell>
          <cell r="G156">
            <v>1</v>
          </cell>
          <cell r="H156" t="str">
            <v>204:147</v>
          </cell>
          <cell r="I156">
            <v>42588.046412037038</v>
          </cell>
          <cell r="J156">
            <v>0</v>
          </cell>
          <cell r="K156" t="str">
            <v>4009/4010</v>
          </cell>
          <cell r="L156" t="str">
            <v>HAITHCOX</v>
          </cell>
          <cell r="M156">
            <v>3.8657407407299615E-2</v>
          </cell>
          <cell r="N156">
            <v>55.666666666511446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23:09:58-0600',mode:absolute,to:'2016-08-06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6" t="str">
            <v>N</v>
          </cell>
          <cell r="X156">
            <v>1</v>
          </cell>
          <cell r="Y156">
            <v>23.298200000000001</v>
          </cell>
          <cell r="Z156">
            <v>1.47E-2</v>
          </cell>
          <cell r="AA156">
            <v>23.2835</v>
          </cell>
          <cell r="AB156" t="e">
            <v>#N/A</v>
          </cell>
          <cell r="AC156" t="e">
            <v>#N/A</v>
          </cell>
          <cell r="AD156" t="str">
            <v>0240-05</v>
          </cell>
          <cell r="AE156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57">
          <cell r="A157" t="str">
            <v>241-05</v>
          </cell>
          <cell r="B157">
            <v>4020</v>
          </cell>
          <cell r="C157" t="str">
            <v>DE.1.0.7.0</v>
          </cell>
          <cell r="D157" t="str">
            <v>204:477</v>
          </cell>
          <cell r="E157">
            <v>42587.99627314815</v>
          </cell>
          <cell r="F157">
            <v>42587.999965277777</v>
          </cell>
          <cell r="G157">
            <v>5</v>
          </cell>
          <cell r="H157" t="str">
            <v>204:233299</v>
          </cell>
          <cell r="I157">
            <v>42588.026828703703</v>
          </cell>
          <cell r="J157">
            <v>0</v>
          </cell>
          <cell r="K157" t="str">
            <v>4019/4020</v>
          </cell>
          <cell r="L157" t="str">
            <v>CHANDLER</v>
          </cell>
          <cell r="M157">
            <v>2.6863425926421769E-2</v>
          </cell>
          <cell r="N157">
            <v>38.683333334047347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https://search-rtdc-monitor-bjffxe2xuh6vdkpspy63sjmuny.us-east-1.es.amazonaws.com/_plugin/kibana/#/discover/Steve-Slow-Train-Analysis-(2080s-and-2083s)?_g=(refreshInterval:(display:Off,section:0,value:0),time:(from:'2016-08-05 22:54:38-0600',mode:absolute,to:'2016-08-06 01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7" t="str">
            <v>N</v>
          </cell>
          <cell r="X157">
            <v>1</v>
          </cell>
          <cell r="Y157">
            <v>4.7699999999999999E-2</v>
          </cell>
          <cell r="Z157">
            <v>23.329899999999999</v>
          </cell>
          <cell r="AA157">
            <v>23.2822</v>
          </cell>
          <cell r="AB157" t="e">
            <v>#N/A</v>
          </cell>
          <cell r="AC157" t="e">
            <v>#N/A</v>
          </cell>
          <cell r="AD157" t="str">
            <v>0241-05</v>
          </cell>
          <cell r="AE15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8">
          <cell r="A158" t="str">
            <v>242-05</v>
          </cell>
          <cell r="B158">
            <v>4019</v>
          </cell>
          <cell r="C158" t="str">
            <v>DE.1.0.7.0</v>
          </cell>
          <cell r="D158" t="str">
            <v>204:232980</v>
          </cell>
          <cell r="E158">
            <v>42588.038159722222</v>
          </cell>
          <cell r="F158">
            <v>42588.039120370369</v>
          </cell>
          <cell r="G158">
            <v>1</v>
          </cell>
          <cell r="H158" t="str">
            <v>204:154</v>
          </cell>
          <cell r="I158">
            <v>42588.067870370367</v>
          </cell>
          <cell r="J158">
            <v>0</v>
          </cell>
          <cell r="K158" t="str">
            <v>4019/4020</v>
          </cell>
          <cell r="L158" t="str">
            <v>CHANDLER</v>
          </cell>
          <cell r="M158">
            <v>2.8749999997671694E-2</v>
          </cell>
          <cell r="N158">
            <v>41.399999996647239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https://search-rtdc-monitor-bjffxe2xuh6vdkpspy63sjmuny.us-east-1.es.amazonaws.com/_plugin/kibana/#/discover/Steve-Slow-Train-Analysis-(2080s-and-2083s)?_g=(refreshInterval:(display:Off,section:0,value:0),time:(from:'2016-08-05 23:54:57-0600',mode:absolute,to:'2016-08-06 02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1.54E-2</v>
          </cell>
          <cell r="AA158">
            <v>23.282599999999999</v>
          </cell>
          <cell r="AB158" t="e">
            <v>#N/A</v>
          </cell>
          <cell r="AC158" t="e">
            <v>#N/A</v>
          </cell>
          <cell r="AD158" t="str">
            <v>0242-05</v>
          </cell>
          <cell r="AE158" t="str">
            <v>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 &amp; 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</v>
          </cell>
        </row>
        <row r="159">
          <cell r="A159" t="str">
            <v>243-05</v>
          </cell>
          <cell r="B159">
            <v>4038</v>
          </cell>
          <cell r="C159" t="str">
            <v>DE.1.0.7.0</v>
          </cell>
          <cell r="D159" t="str">
            <v>204:451</v>
          </cell>
          <cell r="E159">
            <v>42588.011574074073</v>
          </cell>
          <cell r="F159">
            <v>42588.012569444443</v>
          </cell>
          <cell r="G159">
            <v>1</v>
          </cell>
          <cell r="H159" t="str">
            <v>204:233276</v>
          </cell>
          <cell r="I159">
            <v>42588.048796296294</v>
          </cell>
          <cell r="J159">
            <v>0</v>
          </cell>
          <cell r="K159" t="str">
            <v>4037/4038</v>
          </cell>
          <cell r="L159" t="str">
            <v>ROBINSON</v>
          </cell>
          <cell r="M159">
            <v>3.6226851851097308E-2</v>
          </cell>
          <cell r="N159">
            <v>52.166666665580124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https://search-rtdc-monitor-bjffxe2xuh6vdkpspy63sjmuny.us-east-1.es.amazonaws.com/_plugin/kibana/#/discover/Steve-Slow-Train-Analysis-(2080s-and-2083s)?_g=(refreshInterval:(display:Off,section:0,value:0),time:(from:'2016-08-05 23:16:40-0600',mode:absolute,to:'2016-08-06 02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23.3276</v>
          </cell>
          <cell r="AA159">
            <v>23.282499999999999</v>
          </cell>
          <cell r="AB159" t="e">
            <v>#N/A</v>
          </cell>
          <cell r="AC159" t="e">
            <v>#N/A</v>
          </cell>
          <cell r="AD159" t="str">
            <v>0243-05</v>
          </cell>
          <cell r="AE15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160">
          <cell r="A160" t="str">
            <v>244-05</v>
          </cell>
          <cell r="B160">
            <v>4037</v>
          </cell>
          <cell r="C160" t="str">
            <v>DE.1.0.7.0</v>
          </cell>
          <cell r="D160" t="str">
            <v>204:232955</v>
          </cell>
          <cell r="E160">
            <v>42588.05300925926</v>
          </cell>
          <cell r="F160">
            <v>42588.054155092592</v>
          </cell>
          <cell r="G160">
            <v>1</v>
          </cell>
          <cell r="H160" t="str">
            <v>204:156</v>
          </cell>
          <cell r="I160">
            <v>42588.088020833333</v>
          </cell>
          <cell r="J160">
            <v>0</v>
          </cell>
          <cell r="K160" t="str">
            <v>4037/4038</v>
          </cell>
          <cell r="L160" t="str">
            <v>ROBINSON</v>
          </cell>
          <cell r="M160">
            <v>3.3865740741021E-2</v>
          </cell>
          <cell r="N160">
            <v>48.76666666707024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00:16:20-0600',mode:absolute,to:'2016-08-06 03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23.295500000000001</v>
          </cell>
          <cell r="Z160">
            <v>1.5599999999999999E-2</v>
          </cell>
          <cell r="AA160">
            <v>23.279900000000001</v>
          </cell>
          <cell r="AB160" t="e">
            <v>#N/A</v>
          </cell>
          <cell r="AC160" t="e">
            <v>#N/A</v>
          </cell>
          <cell r="AD160" t="str">
            <v>0244-05</v>
          </cell>
          <cell r="AE160" t="str">
            <v>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 &amp; 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</v>
          </cell>
        </row>
        <row r="161">
          <cell r="A161" t="str">
            <v>245-05</v>
          </cell>
          <cell r="B161">
            <v>4044</v>
          </cell>
          <cell r="C161" t="str">
            <v>DE.1.0.7.0</v>
          </cell>
          <cell r="D161" t="str">
            <v>204:451</v>
          </cell>
          <cell r="E161">
            <v>42588.032731481479</v>
          </cell>
          <cell r="F161">
            <v>42588.03392361111</v>
          </cell>
          <cell r="G161">
            <v>1</v>
          </cell>
          <cell r="H161" t="str">
            <v>204:233314</v>
          </cell>
          <cell r="I161">
            <v>42588.066793981481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3.2870370370801538E-2</v>
          </cell>
          <cell r="N161">
            <v>47.333333333954215</v>
          </cell>
          <cell r="S161">
            <v>1</v>
          </cell>
          <cell r="T161" t="str">
            <v>NorthBound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https://search-rtdc-monitor-bjffxe2xuh6vdkpspy63sjmuny.us-east-1.es.amazonaws.com/_plugin/kibana/#/discover/Steve-Slow-Train-Analysis-(2080s-and-2083s)?_g=(refreshInterval:(display:Off,section:0,value:0),time:(from:'2016-08-05 23:47:08-0600',mode:absolute,to:'2016-08-06 02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4.5100000000000001E-2</v>
          </cell>
          <cell r="Z161">
            <v>23.331399999999999</v>
          </cell>
          <cell r="AA161">
            <v>23.286299999999997</v>
          </cell>
          <cell r="AB161" t="e">
            <v>#N/A</v>
          </cell>
          <cell r="AC161" t="e">
            <v>#N/A</v>
          </cell>
          <cell r="AD161" t="str">
            <v>0245-05</v>
          </cell>
          <cell r="AE161" t="str">
            <v>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 &amp; 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</v>
          </cell>
        </row>
        <row r="162">
          <cell r="A162" t="str">
            <v>246-05</v>
          </cell>
          <cell r="B162">
            <v>4043</v>
          </cell>
          <cell r="C162" t="str">
            <v>DE.1.0.7.0</v>
          </cell>
          <cell r="D162" t="str">
            <v>204:232992</v>
          </cell>
          <cell r="E162">
            <v>42588.074166666665</v>
          </cell>
          <cell r="F162">
            <v>42588.074953703705</v>
          </cell>
          <cell r="G162">
            <v>1</v>
          </cell>
          <cell r="H162" t="str">
            <v>204:156</v>
          </cell>
          <cell r="I162">
            <v>42588.10659722222</v>
          </cell>
          <cell r="J162">
            <v>0</v>
          </cell>
          <cell r="K162" t="str">
            <v>4043/4044</v>
          </cell>
          <cell r="L162" t="str">
            <v>LEVIN</v>
          </cell>
          <cell r="M162">
            <v>3.1643518515920732E-2</v>
          </cell>
          <cell r="N162">
            <v>45.566666662925854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23.299199999999999</v>
          </cell>
          <cell r="Z162">
            <v>1.5599999999999999E-2</v>
          </cell>
          <cell r="AA162">
            <v>23.2836</v>
          </cell>
          <cell r="AB162" t="e">
            <v>#N/A</v>
          </cell>
          <cell r="AC162" t="e">
            <v>#N/A</v>
          </cell>
          <cell r="AD162" t="str">
            <v>0246-05</v>
          </cell>
          <cell r="AE162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3">
          <cell r="A163" t="str">
            <v>800-05</v>
          </cell>
          <cell r="B163">
            <v>4017</v>
          </cell>
          <cell r="C163" t="str">
            <v>DE.1.0.7.0</v>
          </cell>
          <cell r="D163" t="str">
            <v>300:57346</v>
          </cell>
          <cell r="E163">
            <v>42587.215983796297</v>
          </cell>
          <cell r="F163">
            <v>42587.216643518521</v>
          </cell>
          <cell r="G163">
            <v>0</v>
          </cell>
          <cell r="H163" t="str">
            <v>300:34835</v>
          </cell>
          <cell r="I163">
            <v>42587.222488425927</v>
          </cell>
          <cell r="J163">
            <v>1</v>
          </cell>
          <cell r="K163" t="str">
            <v>4017/4018</v>
          </cell>
          <cell r="L163" t="str">
            <v>STRICKLAND</v>
          </cell>
          <cell r="M163">
            <v>5.8449074058444239E-3</v>
          </cell>
          <cell r="P163">
            <v>10.866666660876945</v>
          </cell>
          <cell r="R163" t="str">
            <v>Wayside messaging virtual machine failure</v>
          </cell>
          <cell r="S163">
            <v>0</v>
          </cell>
          <cell r="T163" t="str">
            <v>Southbound</v>
          </cell>
          <cell r="U163">
            <v>0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3" t="str">
            <v>Y</v>
          </cell>
          <cell r="X163" t="e">
            <v>#REF!</v>
          </cell>
          <cell r="Y163">
            <v>5.7346000000000004</v>
          </cell>
          <cell r="Z163">
            <v>3.4834999999999998</v>
          </cell>
          <cell r="AA163">
            <v>2.2511000000000005</v>
          </cell>
          <cell r="AB163" t="e">
            <v>#N/A</v>
          </cell>
          <cell r="AC163" t="e">
            <v>#N/A</v>
          </cell>
          <cell r="AD163" t="str">
            <v>0800-05</v>
          </cell>
          <cell r="AE16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4">
          <cell r="A164" t="str">
            <v>800-05</v>
          </cell>
          <cell r="B164">
            <v>4017</v>
          </cell>
          <cell r="C164" t="str">
            <v>DE.1.0.7.0</v>
          </cell>
          <cell r="D164" t="str">
            <v>300:58653</v>
          </cell>
          <cell r="E164">
            <v>42587.212106481478</v>
          </cell>
          <cell r="F164">
            <v>42587.21334490741</v>
          </cell>
          <cell r="G164">
            <v>1</v>
          </cell>
          <cell r="H164" t="str">
            <v>300:58366</v>
          </cell>
          <cell r="I164">
            <v>42587.215046296296</v>
          </cell>
          <cell r="J164">
            <v>3</v>
          </cell>
          <cell r="K164" t="str">
            <v>4017/4018</v>
          </cell>
          <cell r="L164" t="str">
            <v>STRICKLAND</v>
          </cell>
          <cell r="M164">
            <v>1.7013888864312321E-3</v>
          </cell>
          <cell r="R164" t="str">
            <v>Wayside messaging virtual machine failure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https://search-rtdc-monitor-bjffxe2xuh6vdkpspy63sjmuny.us-east-1.es.amazonaws.com/_plugin/kibana/#/discover/Steve-Slow-Train-Analysis-(2080s-and-2083s)?_g=(refreshInterval:(display:Off,section:0,value:0),time:(from:'2016-08-05 04:05:26-0600',mode:absolute,to:'2016-08-05 06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4" t="str">
            <v>Y</v>
          </cell>
          <cell r="X164">
            <v>0</v>
          </cell>
          <cell r="Y164">
            <v>5.8653000000000004</v>
          </cell>
          <cell r="Z164">
            <v>5.8365999999999998</v>
          </cell>
          <cell r="AA164">
            <v>2.8700000000000614E-2</v>
          </cell>
          <cell r="AB164" t="e">
            <v>#N/A</v>
          </cell>
          <cell r="AC164" t="e">
            <v>#N/A</v>
          </cell>
          <cell r="AD164" t="str">
            <v>0800-05</v>
          </cell>
          <cell r="AE164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5">
          <cell r="A165" t="str">
            <v>801-05</v>
          </cell>
          <cell r="B165">
            <v>4018</v>
          </cell>
          <cell r="C165" t="str">
            <v>DE.1.0.7.0</v>
          </cell>
          <cell r="D165" t="str">
            <v>204:1021</v>
          </cell>
          <cell r="E165">
            <v>42587.232187499998</v>
          </cell>
          <cell r="F165">
            <v>42587.233310185184</v>
          </cell>
          <cell r="G165">
            <v>1</v>
          </cell>
          <cell r="H165" t="str">
            <v>300:16244</v>
          </cell>
          <cell r="I165">
            <v>42587.250185185185</v>
          </cell>
          <cell r="J165">
            <v>1</v>
          </cell>
          <cell r="K165" t="str">
            <v>4017/4018</v>
          </cell>
          <cell r="L165" t="str">
            <v>STRICKLAND</v>
          </cell>
          <cell r="M165">
            <v>1.6875000001164153E-2</v>
          </cell>
          <cell r="P165">
            <v>37.48333333642222</v>
          </cell>
          <cell r="R165" t="str">
            <v>Wayside messaging virtual machine failure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5" t="str">
            <v>Y</v>
          </cell>
          <cell r="X165">
            <v>1</v>
          </cell>
          <cell r="Y165">
            <v>0.1021</v>
          </cell>
          <cell r="Z165">
            <v>1.6244000000000001</v>
          </cell>
          <cell r="AA165">
            <v>1.5223</v>
          </cell>
          <cell r="AB165" t="e">
            <v>#N/A</v>
          </cell>
          <cell r="AC165" t="e">
            <v>#N/A</v>
          </cell>
          <cell r="AD165" t="str">
            <v>0801-05</v>
          </cell>
          <cell r="AE165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6">
          <cell r="A166" t="str">
            <v>801-05</v>
          </cell>
          <cell r="B166">
            <v>4018</v>
          </cell>
          <cell r="C166" t="str">
            <v>DE.1.0.7.0</v>
          </cell>
          <cell r="D166" t="str">
            <v>204:1034</v>
          </cell>
          <cell r="E166">
            <v>42587.239907407406</v>
          </cell>
          <cell r="F166">
            <v>42587.241030092591</v>
          </cell>
          <cell r="G166">
            <v>1</v>
          </cell>
          <cell r="H166" t="str">
            <v>300:16244</v>
          </cell>
          <cell r="I166">
            <v>42587.250185185185</v>
          </cell>
          <cell r="J166">
            <v>1</v>
          </cell>
          <cell r="K166" t="str">
            <v>4017/4018</v>
          </cell>
          <cell r="L166" t="str">
            <v>STRICKLAND</v>
          </cell>
          <cell r="M166">
            <v>9.1550925935734995E-3</v>
          </cell>
          <cell r="R166" t="str">
            <v>Wayside messaging virtual machine failure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https://search-rtdc-monitor-bjffxe2xuh6vdkpspy63sjmuny.us-east-1.es.amazonaws.com/_plugin/kibana/#/discover/Steve-Slow-Train-Analysis-(2080s-and-2083s)?_g=(refreshInterval:(display:Off,section:0,value:0),time:(from:'2016-08-05 04:45:28-0600',mode:absolute,to:'2016-08-05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6" t="str">
            <v>Y</v>
          </cell>
          <cell r="X166">
            <v>0</v>
          </cell>
          <cell r="Y166">
            <v>0.10340000000000001</v>
          </cell>
          <cell r="Z166">
            <v>1.6244000000000001</v>
          </cell>
          <cell r="AA166">
            <v>1.5210000000000001</v>
          </cell>
          <cell r="AB166" t="e">
            <v>#N/A</v>
          </cell>
          <cell r="AC166" t="e">
            <v>#N/A</v>
          </cell>
          <cell r="AD166" t="str">
            <v>0801-05</v>
          </cell>
          <cell r="AE16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7">
          <cell r="A167" t="str">
            <v>802-05</v>
          </cell>
          <cell r="B167">
            <v>4017</v>
          </cell>
          <cell r="C167" t="str">
            <v>DE.1.0.7.0</v>
          </cell>
          <cell r="D167" t="str">
            <v>300:58655</v>
          </cell>
          <cell r="E167">
            <v>42587.258252314816</v>
          </cell>
          <cell r="F167">
            <v>42587.259259259263</v>
          </cell>
          <cell r="G167">
            <v>1</v>
          </cell>
          <cell r="H167" t="str">
            <v>300:58289</v>
          </cell>
          <cell r="I167">
            <v>42587.260034722225</v>
          </cell>
          <cell r="J167">
            <v>1</v>
          </cell>
          <cell r="K167" t="str">
            <v>4017/4018</v>
          </cell>
          <cell r="L167" t="str">
            <v>STRICKLAND</v>
          </cell>
          <cell r="M167">
            <v>7.7546296233776957E-4</v>
          </cell>
          <cell r="P167">
            <v>1.1166666657663882</v>
          </cell>
          <cell r="R167" t="str">
            <v>Wayside messaging virtual machine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7" t="str">
            <v>Y</v>
          </cell>
          <cell r="X167">
            <v>1</v>
          </cell>
          <cell r="Y167">
            <v>5.8654999999999999</v>
          </cell>
          <cell r="Z167">
            <v>5.8289</v>
          </cell>
          <cell r="AA167">
            <v>3.6599999999999966E-2</v>
          </cell>
          <cell r="AB167" t="e">
            <v>#N/A</v>
          </cell>
          <cell r="AC167" t="e">
            <v>#N/A</v>
          </cell>
          <cell r="AD167" t="str">
            <v>0802-05</v>
          </cell>
          <cell r="AE16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8">
          <cell r="A168" t="str">
            <v>803-05</v>
          </cell>
          <cell r="B168">
            <v>4016</v>
          </cell>
          <cell r="C168" t="str">
            <v>DE.1.0.7.0</v>
          </cell>
          <cell r="D168" t="str">
            <v>204:869</v>
          </cell>
          <cell r="E168">
            <v>42587.259965277779</v>
          </cell>
          <cell r="F168">
            <v>42587.261192129627</v>
          </cell>
          <cell r="G168">
            <v>1</v>
          </cell>
          <cell r="H168" t="str">
            <v>204:2964</v>
          </cell>
          <cell r="I168">
            <v>42587.266099537039</v>
          </cell>
          <cell r="J168">
            <v>0</v>
          </cell>
          <cell r="K168" t="str">
            <v>4015/4016</v>
          </cell>
          <cell r="L168" t="str">
            <v>YORK</v>
          </cell>
          <cell r="M168">
            <v>4.9074074122472666E-3</v>
          </cell>
          <cell r="P168">
            <v>7.0666666736360639</v>
          </cell>
          <cell r="R168" t="str">
            <v>Wayside messaging virtual machine failure</v>
          </cell>
          <cell r="S168">
            <v>0</v>
          </cell>
          <cell r="T168" t="str">
            <v>NorthBound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https://search-rtdc-monitor-bjffxe2xuh6vdkpspy63sjmuny.us-east-1.es.amazonaws.com/_plugin/kibana/#/discover/Steve-Slow-Train-Analysis-(2080s-and-2083s)?_g=(refreshInterval:(display:Off,section:0,value:0),time:(from:'2016-08-05 05:14:21-0600',mode:absolute,to:'2016-08-05 07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Y</v>
          </cell>
          <cell r="X168">
            <v>1</v>
          </cell>
          <cell r="Y168">
            <v>8.6900000000000005E-2</v>
          </cell>
          <cell r="Z168">
            <v>0.2964</v>
          </cell>
          <cell r="AA168">
            <v>0.20949999999999999</v>
          </cell>
          <cell r="AB168" t="e">
            <v>#N/A</v>
          </cell>
          <cell r="AC168" t="e">
            <v>#N/A</v>
          </cell>
          <cell r="AD168" t="str">
            <v>0803-05</v>
          </cell>
          <cell r="AE16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69">
          <cell r="A169" t="str">
            <v>804-05</v>
          </cell>
          <cell r="B169">
            <v>4015</v>
          </cell>
          <cell r="C169" t="str">
            <v>DE.1.0.7.0</v>
          </cell>
          <cell r="D169" t="str">
            <v>300:58655</v>
          </cell>
          <cell r="E169">
            <v>42587.275381944448</v>
          </cell>
          <cell r="F169">
            <v>42587.276145833333</v>
          </cell>
          <cell r="G169">
            <v>1</v>
          </cell>
          <cell r="H169" t="str">
            <v>300:58236</v>
          </cell>
          <cell r="I169">
            <v>42587.277280092596</v>
          </cell>
          <cell r="J169">
            <v>1</v>
          </cell>
          <cell r="K169" t="str">
            <v>4015/4016</v>
          </cell>
          <cell r="L169" t="str">
            <v>YORK</v>
          </cell>
          <cell r="M169">
            <v>1.1342592624714598E-3</v>
          </cell>
          <cell r="P169">
            <v>1.6333333379589021</v>
          </cell>
          <cell r="R169" t="str">
            <v>Wayside messaging virtual machine failure</v>
          </cell>
          <cell r="S169">
            <v>0</v>
          </cell>
          <cell r="T169" t="str">
            <v>Southbound</v>
          </cell>
          <cell r="U169">
            <v>0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Y</v>
          </cell>
          <cell r="X169">
            <v>1</v>
          </cell>
          <cell r="Y169">
            <v>5.8654999999999999</v>
          </cell>
          <cell r="Z169">
            <v>5.8235999999999999</v>
          </cell>
          <cell r="AA169">
            <v>4.1900000000000048E-2</v>
          </cell>
          <cell r="AB169" t="e">
            <v>#N/A</v>
          </cell>
          <cell r="AC169" t="e">
            <v>#N/A</v>
          </cell>
          <cell r="AD169" t="str">
            <v>0804-05</v>
          </cell>
          <cell r="AE16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0">
          <cell r="A170" t="str">
            <v>805-05</v>
          </cell>
          <cell r="B170">
            <v>4018</v>
          </cell>
          <cell r="C170" t="str">
            <v>DE.1.0.7.0</v>
          </cell>
          <cell r="D170" t="str">
            <v>204:1035</v>
          </cell>
          <cell r="E170">
            <v>42587.27957175926</v>
          </cell>
          <cell r="F170">
            <v>42587.280902777777</v>
          </cell>
          <cell r="G170">
            <v>1</v>
          </cell>
          <cell r="H170" t="str">
            <v>300:16020</v>
          </cell>
          <cell r="I170">
            <v>42587.290590277778</v>
          </cell>
          <cell r="J170">
            <v>0</v>
          </cell>
          <cell r="K170" t="str">
            <v>4017/4018</v>
          </cell>
          <cell r="L170" t="str">
            <v>STRICKLAND</v>
          </cell>
          <cell r="M170">
            <v>9.6875000017462298E-3</v>
          </cell>
          <cell r="P170">
            <v>13.950000002514571</v>
          </cell>
          <cell r="R170" t="str">
            <v>Wayside messaging virtual machine failure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Y</v>
          </cell>
          <cell r="X170">
            <v>1</v>
          </cell>
          <cell r="Y170">
            <v>0.10349999999999999</v>
          </cell>
          <cell r="Z170">
            <v>1.6020000000000001</v>
          </cell>
          <cell r="AA170">
            <v>1.4985000000000002</v>
          </cell>
          <cell r="AB170" t="e">
            <v>#N/A</v>
          </cell>
          <cell r="AC170" t="e">
            <v>#N/A</v>
          </cell>
          <cell r="AD170" t="str">
            <v>0805-05</v>
          </cell>
          <cell r="AE17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1">
          <cell r="A171" t="str">
            <v>806-05</v>
          </cell>
          <cell r="B171">
            <v>4017</v>
          </cell>
          <cell r="C171" t="str">
            <v>DE.1.0.7.0</v>
          </cell>
          <cell r="D171" t="str">
            <v>300:58681</v>
          </cell>
          <cell r="E171">
            <v>42587.301122685189</v>
          </cell>
          <cell r="F171">
            <v>42587.302164351851</v>
          </cell>
          <cell r="G171">
            <v>1</v>
          </cell>
          <cell r="H171" t="str">
            <v>300:58326</v>
          </cell>
          <cell r="I171">
            <v>42587.30265046296</v>
          </cell>
          <cell r="J171">
            <v>1</v>
          </cell>
          <cell r="K171" t="str">
            <v>4017/4018</v>
          </cell>
          <cell r="L171" t="str">
            <v>STRICKLAND</v>
          </cell>
          <cell r="M171">
            <v>4.8611110833007842E-4</v>
          </cell>
          <cell r="P171">
            <v>0.69999999599531293</v>
          </cell>
          <cell r="R171" t="str">
            <v>Wayside messaging virtual machine failure</v>
          </cell>
          <cell r="S171">
            <v>0</v>
          </cell>
          <cell r="T171" t="str">
            <v>Southbound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Y</v>
          </cell>
          <cell r="X171">
            <v>1</v>
          </cell>
          <cell r="Y171">
            <v>5.8681000000000001</v>
          </cell>
          <cell r="Z171">
            <v>5.8326000000000002</v>
          </cell>
          <cell r="AA171">
            <v>3.5499999999999865E-2</v>
          </cell>
          <cell r="AB171" t="e">
            <v>#N/A</v>
          </cell>
          <cell r="AC171" t="e">
            <v>#N/A</v>
          </cell>
          <cell r="AD171" t="str">
            <v>0806-05</v>
          </cell>
          <cell r="AE17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2">
          <cell r="A172" t="str">
            <v>807-05</v>
          </cell>
          <cell r="B172">
            <v>4016</v>
          </cell>
          <cell r="C172" t="str">
            <v>DE.1.0.7.0</v>
          </cell>
          <cell r="D172" t="str">
            <v>204:1069</v>
          </cell>
          <cell r="E172">
            <v>42587.291134259256</v>
          </cell>
          <cell r="F172">
            <v>42587.29210648148</v>
          </cell>
          <cell r="G172">
            <v>1</v>
          </cell>
          <cell r="H172" t="str">
            <v>204:1072</v>
          </cell>
          <cell r="I172">
            <v>42587.302187499998</v>
          </cell>
          <cell r="J172">
            <v>0</v>
          </cell>
          <cell r="K172" t="str">
            <v>4015/4016</v>
          </cell>
          <cell r="L172" t="str">
            <v>YORK</v>
          </cell>
          <cell r="M172">
            <v>1.0081018517666962E-2</v>
          </cell>
          <cell r="P172">
            <v>14.516666665440425</v>
          </cell>
          <cell r="R172" t="str">
            <v>Wayside messaging virtual machine failure</v>
          </cell>
          <cell r="S172">
            <v>0</v>
          </cell>
          <cell r="T172" t="str">
            <v>NorthBound</v>
          </cell>
          <cell r="U172">
            <v>0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https://search-rtdc-monitor-bjffxe2xuh6vdkpspy63sjmuny.us-east-1.es.amazonaws.com/_plugin/kibana/#/discover/Steve-Slow-Train-Analysis-(2080s-and-2083s)?_g=(refreshInterval:(display:Off,section:0,value:0),time:(from:'2016-08-05 05:59:14-0600',mode:absolute,to:'2016-08-05 08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2" t="str">
            <v>Y</v>
          </cell>
          <cell r="X172">
            <v>1</v>
          </cell>
          <cell r="Y172">
            <v>0.1069</v>
          </cell>
          <cell r="Z172">
            <v>0.1072</v>
          </cell>
          <cell r="AA172">
            <v>3.0000000000000859E-4</v>
          </cell>
          <cell r="AB172" t="e">
            <v>#N/A</v>
          </cell>
          <cell r="AC172" t="e">
            <v>#N/A</v>
          </cell>
          <cell r="AD172" t="str">
            <v>0807-05</v>
          </cell>
          <cell r="AE17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3">
          <cell r="A173" t="str">
            <v>808-05</v>
          </cell>
          <cell r="B173">
            <v>4015</v>
          </cell>
          <cell r="C173" t="str">
            <v>DE.1.0.7.0</v>
          </cell>
          <cell r="D173" t="str">
            <v>300:58666</v>
          </cell>
          <cell r="E173">
            <v>42587.317083333335</v>
          </cell>
          <cell r="F173">
            <v>42587.317974537036</v>
          </cell>
          <cell r="G173">
            <v>1</v>
          </cell>
          <cell r="H173" t="str">
            <v>300:58364</v>
          </cell>
          <cell r="I173">
            <v>42587.319456018522</v>
          </cell>
          <cell r="J173">
            <v>1</v>
          </cell>
          <cell r="K173" t="str">
            <v>4015/4016</v>
          </cell>
          <cell r="L173" t="str">
            <v>YORK</v>
          </cell>
          <cell r="M173">
            <v>1.4814814858254977E-3</v>
          </cell>
          <cell r="P173">
            <v>2.1333333395887166</v>
          </cell>
          <cell r="R173" t="str">
            <v>Wayside messaging virtual machine failure</v>
          </cell>
          <cell r="S173">
            <v>0</v>
          </cell>
          <cell r="T173" t="str">
            <v>Southbound</v>
          </cell>
          <cell r="U173">
            <v>0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3" t="str">
            <v>Y</v>
          </cell>
          <cell r="X173">
            <v>1</v>
          </cell>
          <cell r="Y173">
            <v>5.8666</v>
          </cell>
          <cell r="Z173">
            <v>5.8364000000000003</v>
          </cell>
          <cell r="AA173">
            <v>3.0199999999999783E-2</v>
          </cell>
          <cell r="AB173" t="e">
            <v>#N/A</v>
          </cell>
          <cell r="AC173" t="e">
            <v>#N/A</v>
          </cell>
          <cell r="AD173" t="str">
            <v>0808-05</v>
          </cell>
          <cell r="AE17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4">
          <cell r="A174" t="str">
            <v>809-05</v>
          </cell>
          <cell r="B174">
            <v>4018</v>
          </cell>
          <cell r="C174" t="str">
            <v>DE.1.0.7.0</v>
          </cell>
          <cell r="D174" t="str">
            <v>204:999</v>
          </cell>
          <cell r="E174">
            <v>42587.321701388886</v>
          </cell>
          <cell r="F174">
            <v>42587.322604166664</v>
          </cell>
          <cell r="G174">
            <v>1</v>
          </cell>
          <cell r="H174" t="str">
            <v>204:1209</v>
          </cell>
          <cell r="I174">
            <v>42587.328402777777</v>
          </cell>
          <cell r="J174">
            <v>0</v>
          </cell>
          <cell r="K174" t="str">
            <v>4017/4018</v>
          </cell>
          <cell r="L174" t="str">
            <v>STRICKLAND</v>
          </cell>
          <cell r="M174">
            <v>5.7986111132777296E-3</v>
          </cell>
          <cell r="P174">
            <v>8.3500000031199306</v>
          </cell>
          <cell r="R174" t="str">
            <v>Wayside messaging virtual machine failure</v>
          </cell>
          <cell r="S174">
            <v>0</v>
          </cell>
          <cell r="T174" t="str">
            <v>NorthBound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https://search-rtdc-monitor-bjffxe2xuh6vdkpspy63sjmuny.us-east-1.es.amazonaws.com/_plugin/kibana/#/discover/Steve-Slow-Train-Analysis-(2080s-and-2083s)?_g=(refreshInterval:(display:Off,section:0,value:0),time:(from:'2016-08-05 06:43:15-0600',mode:absolute,to:'2016-08-05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Y</v>
          </cell>
          <cell r="X174">
            <v>1</v>
          </cell>
          <cell r="Y174">
            <v>9.9900000000000003E-2</v>
          </cell>
          <cell r="Z174">
            <v>0.12089999999999999</v>
          </cell>
          <cell r="AA174">
            <v>2.0999999999999991E-2</v>
          </cell>
          <cell r="AB174" t="e">
            <v>#N/A</v>
          </cell>
          <cell r="AC174" t="e">
            <v>#N/A</v>
          </cell>
          <cell r="AD174" t="str">
            <v>0809-05</v>
          </cell>
          <cell r="AE17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5">
          <cell r="A175" t="str">
            <v>810-05</v>
          </cell>
          <cell r="B175">
            <v>4017</v>
          </cell>
          <cell r="C175" t="str">
            <v>DE.1.0.7.0</v>
          </cell>
          <cell r="D175" t="str">
            <v>300:58638</v>
          </cell>
          <cell r="E175">
            <v>42587.341273148151</v>
          </cell>
          <cell r="F175">
            <v>42587.342268518521</v>
          </cell>
          <cell r="G175">
            <v>1</v>
          </cell>
          <cell r="H175" t="str">
            <v>204:776</v>
          </cell>
          <cell r="I175">
            <v>42587.353460648148</v>
          </cell>
          <cell r="J175">
            <v>0</v>
          </cell>
          <cell r="K175" t="str">
            <v>4017/4018</v>
          </cell>
          <cell r="L175" t="str">
            <v>STRICKLAND</v>
          </cell>
          <cell r="M175">
            <v>1.1192129626579117E-2</v>
          </cell>
          <cell r="N175">
            <v>16.116666662273929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https://search-rtdc-monitor-bjffxe2xuh6vdkpspy63sjmuny.us-east-1.es.amazonaws.com/_plugin/kibana/#/discover/Steve-Slow-Train-Analysis-(2080s-and-2083s)?_g=(refreshInterval:(display:Off,section:0,value:0),time:(from:'2016-08-05 07:11:26-0600',mode:absolute,to:'2016-08-05 09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5.8638000000000003</v>
          </cell>
          <cell r="Z175">
            <v>7.7600000000000002E-2</v>
          </cell>
          <cell r="AA175">
            <v>5.7862</v>
          </cell>
          <cell r="AB175" t="e">
            <v>#N/A</v>
          </cell>
          <cell r="AC175" t="e">
            <v>#N/A</v>
          </cell>
          <cell r="AD175" t="str">
            <v>0810-05</v>
          </cell>
          <cell r="AE175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6">
          <cell r="A176" t="str">
            <v>811-05</v>
          </cell>
          <cell r="B176">
            <v>4016</v>
          </cell>
          <cell r="C176" t="str">
            <v>DE.1.0.7.0</v>
          </cell>
          <cell r="D176" t="str">
            <v>204:1168</v>
          </cell>
          <cell r="E176">
            <v>42587.343888888892</v>
          </cell>
          <cell r="F176">
            <v>42587.34480324074</v>
          </cell>
          <cell r="G176">
            <v>1</v>
          </cell>
          <cell r="H176" t="str">
            <v>204:2802</v>
          </cell>
          <cell r="I176">
            <v>42587.349085648151</v>
          </cell>
          <cell r="J176">
            <v>0</v>
          </cell>
          <cell r="K176" t="str">
            <v>4015/4016</v>
          </cell>
          <cell r="L176" t="str">
            <v>YORK</v>
          </cell>
          <cell r="M176">
            <v>4.28240741166519E-3</v>
          </cell>
          <cell r="P176">
            <v>6.1666666727978736</v>
          </cell>
          <cell r="R176" t="str">
            <v>DUS 28N was cycling between red and green</v>
          </cell>
          <cell r="S176">
            <v>0</v>
          </cell>
          <cell r="T176" t="str">
            <v>NorthBound</v>
          </cell>
          <cell r="U176">
            <v>0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https://search-rtdc-monitor-bjffxe2xuh6vdkpspy63sjmuny.us-east-1.es.amazonaws.com/_plugin/kibana/#/discover/Steve-Slow-Train-Analysis-(2080s-and-2083s)?_g=(refreshInterval:(display:Off,section:0,value:0),time:(from:'2016-08-05 07:15:12-0600',mode:absolute,to:'2016-08-05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6" t="str">
            <v>Y</v>
          </cell>
          <cell r="X176">
            <v>1</v>
          </cell>
          <cell r="Y176">
            <v>0.1168</v>
          </cell>
          <cell r="Z176">
            <v>0.2802</v>
          </cell>
          <cell r="AA176">
            <v>0.16339999999999999</v>
          </cell>
          <cell r="AB176" t="e">
            <v>#N/A</v>
          </cell>
          <cell r="AC176" t="e">
            <v>#N/A</v>
          </cell>
          <cell r="AD176" t="str">
            <v>0811-05</v>
          </cell>
          <cell r="AE17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7">
          <cell r="A177" t="str">
            <v>812-05</v>
          </cell>
          <cell r="B177">
            <v>4015</v>
          </cell>
          <cell r="C177" t="str">
            <v>DE.1.0.7.0</v>
          </cell>
          <cell r="D177" t="str">
            <v>300:58640</v>
          </cell>
          <cell r="E177">
            <v>42587.358715277776</v>
          </cell>
          <cell r="F177">
            <v>42587.359606481485</v>
          </cell>
          <cell r="G177">
            <v>1</v>
          </cell>
          <cell r="H177" t="str">
            <v>204:822</v>
          </cell>
          <cell r="I177">
            <v>42587.370995370373</v>
          </cell>
          <cell r="J177">
            <v>0</v>
          </cell>
          <cell r="K177" t="str">
            <v>4015/4016</v>
          </cell>
          <cell r="L177" t="str">
            <v>YORK</v>
          </cell>
          <cell r="M177">
            <v>1.1388888888177462E-2</v>
          </cell>
          <cell r="N177">
            <v>16.399999998975545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https://search-rtdc-monitor-bjffxe2xuh6vdkpspy63sjmuny.us-east-1.es.amazonaws.com/_plugin/kibana/#/discover/Steve-Slow-Train-Analysis-(2080s-and-2083s)?_g=(refreshInterval:(display:Off,section:0,value:0),time:(from:'2016-08-05 07:36:33-0600',mode:absolute,to:'2016-08-05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7" t="str">
            <v>N</v>
          </cell>
          <cell r="X177">
            <v>1</v>
          </cell>
          <cell r="Y177">
            <v>5.8639999999999999</v>
          </cell>
          <cell r="Z177">
            <v>8.2199999999999995E-2</v>
          </cell>
          <cell r="AA177">
            <v>5.7817999999999996</v>
          </cell>
          <cell r="AB177" t="e">
            <v>#N/A</v>
          </cell>
          <cell r="AC177" t="e">
            <v>#N/A</v>
          </cell>
          <cell r="AD177" t="str">
            <v>0812-05</v>
          </cell>
          <cell r="AE17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8">
          <cell r="A178" t="str">
            <v>813-05</v>
          </cell>
          <cell r="B178">
            <v>4016</v>
          </cell>
          <cell r="C178" t="str">
            <v>DE.1.0.7.0</v>
          </cell>
          <cell r="D178" t="str">
            <v>204:1119</v>
          </cell>
          <cell r="E178">
            <v>42587.372175925928</v>
          </cell>
          <cell r="F178">
            <v>42587.373055555552</v>
          </cell>
          <cell r="G178">
            <v>1</v>
          </cell>
          <cell r="H178" t="str">
            <v>300:58941</v>
          </cell>
          <cell r="I178">
            <v>42587.399502314816</v>
          </cell>
          <cell r="J178">
            <v>1</v>
          </cell>
          <cell r="K178" t="str">
            <v>4015/4016</v>
          </cell>
          <cell r="L178" t="str">
            <v>YORK</v>
          </cell>
          <cell r="M178">
            <v>2.644675926421769E-2</v>
          </cell>
          <cell r="N178">
            <v>38.083333340473473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8" t="str">
            <v>N</v>
          </cell>
          <cell r="X178">
            <v>1</v>
          </cell>
          <cell r="Y178">
            <v>0.1119</v>
          </cell>
          <cell r="Z178">
            <v>5.8940999999999999</v>
          </cell>
          <cell r="AA178">
            <v>5.7821999999999996</v>
          </cell>
          <cell r="AB178" t="e">
            <v>#N/A</v>
          </cell>
          <cell r="AC178" t="e">
            <v>#N/A</v>
          </cell>
          <cell r="AD178" t="str">
            <v>0813-05</v>
          </cell>
          <cell r="AE17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9">
          <cell r="A179" t="str">
            <v>814-05</v>
          </cell>
          <cell r="B179">
            <v>4015</v>
          </cell>
          <cell r="C179" t="str">
            <v>DE.1.0.7.0</v>
          </cell>
          <cell r="D179" t="str">
            <v>300:58626</v>
          </cell>
          <cell r="E179">
            <v>42587.400277777779</v>
          </cell>
          <cell r="F179">
            <v>42587.401041666664</v>
          </cell>
          <cell r="G179">
            <v>1</v>
          </cell>
          <cell r="H179" t="str">
            <v>204:855</v>
          </cell>
          <cell r="I179">
            <v>42587.412453703706</v>
          </cell>
          <cell r="J179">
            <v>0</v>
          </cell>
          <cell r="K179" t="str">
            <v>4015/4016</v>
          </cell>
          <cell r="L179" t="str">
            <v>YORK</v>
          </cell>
          <cell r="M179">
            <v>1.1412037041736767E-2</v>
          </cell>
          <cell r="N179">
            <v>16.433333340100944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https://search-rtdc-monitor-bjffxe2xuh6vdkpspy63sjmuny.us-east-1.es.amazonaws.com/_plugin/kibana/#/discover/Steve-Slow-Train-Analysis-(2080s-and-2083s)?_g=(refreshInterval:(display:Off,section:0,value:0),time:(from:'2016-08-05 08:36:24-0600',mode:absolute,to:'2016-08-05 10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9" t="str">
            <v>N</v>
          </cell>
          <cell r="X179">
            <v>1</v>
          </cell>
          <cell r="Y179">
            <v>5.8625999999999996</v>
          </cell>
          <cell r="Z179">
            <v>8.5500000000000007E-2</v>
          </cell>
          <cell r="AA179">
            <v>5.7770999999999999</v>
          </cell>
          <cell r="AB179" t="e">
            <v>#N/A</v>
          </cell>
          <cell r="AC179" t="e">
            <v>#N/A</v>
          </cell>
          <cell r="AD179" t="str">
            <v>0814-05</v>
          </cell>
          <cell r="AE17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0">
          <cell r="A180" t="str">
            <v>815-05</v>
          </cell>
          <cell r="B180">
            <v>4016</v>
          </cell>
          <cell r="C180" t="str">
            <v>DE.1.0.7.0</v>
          </cell>
          <cell r="D180" t="str">
            <v>204:1147</v>
          </cell>
          <cell r="E180">
            <v>42587.413981481484</v>
          </cell>
          <cell r="F180">
            <v>42587.414930555555</v>
          </cell>
          <cell r="G180">
            <v>1</v>
          </cell>
          <cell r="H180" t="str">
            <v>300:58948</v>
          </cell>
          <cell r="I180">
            <v>42587.44059027778</v>
          </cell>
          <cell r="J180">
            <v>0</v>
          </cell>
          <cell r="K180" t="str">
            <v>4015/4016</v>
          </cell>
          <cell r="L180" t="str">
            <v>YORK</v>
          </cell>
          <cell r="M180">
            <v>2.5659722225100268E-2</v>
          </cell>
          <cell r="N180">
            <v>36.950000004144385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https://search-rtdc-monitor-bjffxe2xuh6vdkpspy63sjmuny.us-east-1.es.amazonaws.com/_plugin/kibana/#/discover/Steve-Slow-Train-Analysis-(2080s-and-2083s)?_g=(refreshInterval:(display:Off,section:0,value:0),time:(from:'2016-08-05 08:56:08-0600',mode:absolute,to:'2016-08-05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0" t="str">
            <v>N</v>
          </cell>
          <cell r="X180">
            <v>1</v>
          </cell>
          <cell r="Y180">
            <v>0.1147</v>
          </cell>
          <cell r="Z180">
            <v>5.8948</v>
          </cell>
          <cell r="AA180">
            <v>5.7801</v>
          </cell>
          <cell r="AB180" t="e">
            <v>#N/A</v>
          </cell>
          <cell r="AC180" t="e">
            <v>#N/A</v>
          </cell>
          <cell r="AD180" t="str">
            <v>0815-05</v>
          </cell>
          <cell r="AE18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1">
          <cell r="A181" t="str">
            <v>816-05</v>
          </cell>
          <cell r="B181">
            <v>4015</v>
          </cell>
          <cell r="C181" t="str">
            <v>DE.1.0.7.0</v>
          </cell>
          <cell r="D181" t="str">
            <v>300:58634</v>
          </cell>
          <cell r="E181">
            <v>42587.441307870373</v>
          </cell>
          <cell r="F181">
            <v>42587.442129629628</v>
          </cell>
          <cell r="G181">
            <v>1</v>
          </cell>
          <cell r="H181" t="str">
            <v>204:867</v>
          </cell>
          <cell r="I181">
            <v>42587.455706018518</v>
          </cell>
          <cell r="J181">
            <v>0</v>
          </cell>
          <cell r="K181" t="str">
            <v>4015/4016</v>
          </cell>
          <cell r="L181" t="str">
            <v>YORK</v>
          </cell>
          <cell r="M181">
            <v>1.357638889021473E-2</v>
          </cell>
          <cell r="N181">
            <v>19.550000001909211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https://search-rtdc-monitor-bjffxe2xuh6vdkpspy63sjmuny.us-east-1.es.amazonaws.com/_plugin/kibana/#/discover/Steve-Slow-Train-Analysis-(2080s-and-2083s)?_g=(refreshInterval:(display:Off,section:0,value:0),time:(from:'2016-08-05 09:35:29-0600',mode:absolute,to:'2016-08-05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1" t="str">
            <v>N</v>
          </cell>
          <cell r="X181">
            <v>1</v>
          </cell>
          <cell r="Y181">
            <v>5.8634000000000004</v>
          </cell>
          <cell r="Z181">
            <v>8.6699999999999999E-2</v>
          </cell>
          <cell r="AA181">
            <v>5.7766999999999999</v>
          </cell>
          <cell r="AB181" t="e">
            <v>#N/A</v>
          </cell>
          <cell r="AC181" t="e">
            <v>#N/A</v>
          </cell>
          <cell r="AD181" t="str">
            <v>0816-05</v>
          </cell>
          <cell r="AE18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2">
          <cell r="A182" t="str">
            <v>817-05</v>
          </cell>
          <cell r="B182">
            <v>4016</v>
          </cell>
          <cell r="C182" t="str">
            <v>DE.1.0.7.0</v>
          </cell>
          <cell r="D182" t="str">
            <v>204:1165</v>
          </cell>
          <cell r="E182">
            <v>42587.472129629627</v>
          </cell>
          <cell r="F182">
            <v>42587.472743055558</v>
          </cell>
          <cell r="G182">
            <v>0</v>
          </cell>
          <cell r="H182" t="str">
            <v>300:58946</v>
          </cell>
          <cell r="I182">
            <v>42587.482557870368</v>
          </cell>
          <cell r="J182">
            <v>0</v>
          </cell>
          <cell r="K182" t="str">
            <v>4015/4016</v>
          </cell>
          <cell r="L182" t="str">
            <v>YORK</v>
          </cell>
          <cell r="M182">
            <v>9.814814809942618E-3</v>
          </cell>
          <cell r="N182">
            <v>14.13333332631737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https://search-rtdc-monitor-bjffxe2xuh6vdkpspy63sjmuny.us-east-1.es.amazonaws.com/_plugin/kibana/#/discover/Steve-Slow-Train-Analysis-(2080s-and-2083s)?_g=(refreshInterval:(display:Off,section:0,value:0),time:(from:'2016-08-05 10:19:52-0600',mode:absolute,to:'2016-08-05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2" t="str">
            <v>N</v>
          </cell>
          <cell r="X182">
            <v>1</v>
          </cell>
          <cell r="Y182">
            <v>0.11650000000000001</v>
          </cell>
          <cell r="Z182">
            <v>5.8945999999999996</v>
          </cell>
          <cell r="AA182">
            <v>5.7780999999999993</v>
          </cell>
          <cell r="AB182" t="e">
            <v>#N/A</v>
          </cell>
          <cell r="AC182" t="e">
            <v>#N/A</v>
          </cell>
          <cell r="AD182" t="str">
            <v>0817-05</v>
          </cell>
          <cell r="AE18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3">
          <cell r="A183" t="str">
            <v>818-05</v>
          </cell>
          <cell r="B183">
            <v>4015</v>
          </cell>
          <cell r="C183" t="str">
            <v>DE.1.0.7.0</v>
          </cell>
          <cell r="D183" t="str">
            <v>300:58634</v>
          </cell>
          <cell r="E183">
            <v>42587.48332175926</v>
          </cell>
          <cell r="F183">
            <v>42587.4843287037</v>
          </cell>
          <cell r="G183">
            <v>1</v>
          </cell>
          <cell r="H183" t="str">
            <v>204:867</v>
          </cell>
          <cell r="I183">
            <v>42587.495833333334</v>
          </cell>
          <cell r="J183">
            <v>0</v>
          </cell>
          <cell r="K183" t="str">
            <v>4015/4016</v>
          </cell>
          <cell r="L183" t="str">
            <v>YORK</v>
          </cell>
          <cell r="M183">
            <v>1.1504629634146113E-2</v>
          </cell>
          <cell r="N183">
            <v>16.566666673170403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https://search-rtdc-monitor-bjffxe2xuh6vdkpspy63sjmuny.us-east-1.es.amazonaws.com/_plugin/kibana/#/discover/Steve-Slow-Train-Analysis-(2080s-and-2083s)?_g=(refreshInterval:(display:Off,section:0,value:0),time:(from:'2016-08-05 10:35:59-0600',mode:absolute,to:'2016-08-05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3" t="str">
            <v>N</v>
          </cell>
          <cell r="X183">
            <v>1</v>
          </cell>
          <cell r="Y183">
            <v>5.8634000000000004</v>
          </cell>
          <cell r="Z183">
            <v>8.6699999999999999E-2</v>
          </cell>
          <cell r="AA183">
            <v>5.7766999999999999</v>
          </cell>
          <cell r="AB183" t="e">
            <v>#N/A</v>
          </cell>
          <cell r="AC183" t="e">
            <v>#N/A</v>
          </cell>
          <cell r="AD183" t="str">
            <v>0818-05</v>
          </cell>
          <cell r="AE18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4">
          <cell r="A184" t="str">
            <v>819-05</v>
          </cell>
          <cell r="B184">
            <v>4016</v>
          </cell>
          <cell r="C184" t="str">
            <v>DE.1.0.7.0</v>
          </cell>
          <cell r="D184" t="str">
            <v>204:1149</v>
          </cell>
          <cell r="E184">
            <v>42587.509988425925</v>
          </cell>
          <cell r="F184">
            <v>42587.510879629626</v>
          </cell>
          <cell r="G184">
            <v>1</v>
          </cell>
          <cell r="H184" t="str">
            <v>300:58956</v>
          </cell>
          <cell r="I184">
            <v>42587.523622685185</v>
          </cell>
          <cell r="J184">
            <v>0</v>
          </cell>
          <cell r="K184" t="str">
            <v>4015/4016</v>
          </cell>
          <cell r="L184" t="str">
            <v>YORK</v>
          </cell>
          <cell r="M184">
            <v>1.2743055558530614E-2</v>
          </cell>
          <cell r="N184">
            <v>18.350000004284084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https://search-rtdc-monitor-bjffxe2xuh6vdkpspy63sjmuny.us-east-1.es.amazonaws.com/_plugin/kibana/#/discover/Steve-Slow-Train-Analysis-(2080s-and-2083s)?_g=(refreshInterval:(display:Off,section:0,value:0),time:(from:'2016-08-05 11:14:23-0600',mode:absolute,to:'2016-08-05 13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4" t="str">
            <v>N</v>
          </cell>
          <cell r="X184">
            <v>1</v>
          </cell>
          <cell r="Y184">
            <v>0.1149</v>
          </cell>
          <cell r="Z184">
            <v>5.8956</v>
          </cell>
          <cell r="AA184">
            <v>5.7806999999999995</v>
          </cell>
          <cell r="AB184" t="e">
            <v>#N/A</v>
          </cell>
          <cell r="AC184" t="e">
            <v>#N/A</v>
          </cell>
          <cell r="AD184" t="str">
            <v>0819-05</v>
          </cell>
          <cell r="AE18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5">
          <cell r="A185" t="str">
            <v>820-05</v>
          </cell>
          <cell r="B185">
            <v>4015</v>
          </cell>
          <cell r="C185" t="str">
            <v>DE.1.0.7.0</v>
          </cell>
          <cell r="D185" t="str">
            <v>300:58640</v>
          </cell>
          <cell r="E185">
            <v>42587.524756944447</v>
          </cell>
          <cell r="F185">
            <v>42587.52542824074</v>
          </cell>
          <cell r="G185">
            <v>0</v>
          </cell>
          <cell r="H185" t="str">
            <v>204:797</v>
          </cell>
          <cell r="I185">
            <v>42587.537465277775</v>
          </cell>
          <cell r="J185">
            <v>0</v>
          </cell>
          <cell r="K185" t="str">
            <v>4015/4016</v>
          </cell>
          <cell r="L185" t="str">
            <v>YORK</v>
          </cell>
          <cell r="M185">
            <v>1.2037037035042886E-2</v>
          </cell>
          <cell r="N185">
            <v>17.333333330461755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https://search-rtdc-monitor-bjffxe2xuh6vdkpspy63sjmuny.us-east-1.es.amazonaws.com/_plugin/kibana/#/discover/Steve-Slow-Train-Analysis-(2080s-and-2083s)?_g=(refreshInterval:(display:Off,section:0,value:0),time:(from:'2016-08-05 11:35:39-0600',mode:absolute,to:'2016-08-05 13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5" t="str">
            <v>N</v>
          </cell>
          <cell r="X185">
            <v>1</v>
          </cell>
          <cell r="Y185">
            <v>5.8639999999999999</v>
          </cell>
          <cell r="Z185">
            <v>7.9699999999999993E-2</v>
          </cell>
          <cell r="AA185">
            <v>5.7843</v>
          </cell>
          <cell r="AB185" t="e">
            <v>#N/A</v>
          </cell>
          <cell r="AC185" t="e">
            <v>#N/A</v>
          </cell>
          <cell r="AD185" t="str">
            <v>0820-05</v>
          </cell>
          <cell r="AE18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6">
          <cell r="A186" t="str">
            <v>821-05</v>
          </cell>
          <cell r="B186">
            <v>4016</v>
          </cell>
          <cell r="C186" t="str">
            <v>DE.1.0.7.0</v>
          </cell>
          <cell r="D186" t="str">
            <v>204:1079</v>
          </cell>
          <cell r="E186">
            <v>42587.546909722223</v>
          </cell>
          <cell r="F186">
            <v>42587.547951388886</v>
          </cell>
          <cell r="G186">
            <v>1</v>
          </cell>
          <cell r="H186" t="str">
            <v>300:58916</v>
          </cell>
          <cell r="I186">
            <v>42587.567164351851</v>
          </cell>
          <cell r="J186">
            <v>1</v>
          </cell>
          <cell r="K186" t="str">
            <v>4015/4016</v>
          </cell>
          <cell r="L186" t="str">
            <v>STAMBAUGH</v>
          </cell>
          <cell r="M186">
            <v>1.9212962964957114E-2</v>
          </cell>
          <cell r="N186">
            <v>27.666666669538245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0.1079</v>
          </cell>
          <cell r="Z186">
            <v>5.8916000000000004</v>
          </cell>
          <cell r="AA186">
            <v>5.7837000000000005</v>
          </cell>
          <cell r="AB186" t="e">
            <v>#N/A</v>
          </cell>
          <cell r="AC186" t="e">
            <v>#N/A</v>
          </cell>
          <cell r="AD186" t="str">
            <v>0821-05</v>
          </cell>
          <cell r="AE18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7">
          <cell r="A187" t="str">
            <v>822-05</v>
          </cell>
          <cell r="B187">
            <v>4015</v>
          </cell>
          <cell r="C187" t="str">
            <v>DE.1.0.7.0</v>
          </cell>
          <cell r="D187" t="str">
            <v>300:58598</v>
          </cell>
          <cell r="E187">
            <v>42587.568055555559</v>
          </cell>
          <cell r="F187">
            <v>42587.569016203706</v>
          </cell>
          <cell r="G187">
            <v>1</v>
          </cell>
          <cell r="H187" t="str">
            <v>204:699</v>
          </cell>
          <cell r="I187">
            <v>42587.581956018519</v>
          </cell>
          <cell r="J187">
            <v>0</v>
          </cell>
          <cell r="K187" t="str">
            <v>4015/4016</v>
          </cell>
          <cell r="L187" t="str">
            <v>STAMBAUGH</v>
          </cell>
          <cell r="M187">
            <v>1.2939814812853001E-2</v>
          </cell>
          <cell r="N187">
            <v>18.633333330508322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https://search-rtdc-monitor-bjffxe2xuh6vdkpspy63sjmuny.us-east-1.es.amazonaws.com/_plugin/kibana/#/discover/Steve-Slow-Train-Analysis-(2080s-and-2083s)?_g=(refreshInterval:(display:Off,section:0,value:0),time:(from:'2016-08-05 12:38:00-0600',mode:absolute,to:'2016-08-05 14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5.8597999999999999</v>
          </cell>
          <cell r="Z187">
            <v>6.9900000000000004E-2</v>
          </cell>
          <cell r="AA187">
            <v>5.7899000000000003</v>
          </cell>
          <cell r="AB187" t="e">
            <v>#N/A</v>
          </cell>
          <cell r="AC187" t="e">
            <v>#N/A</v>
          </cell>
          <cell r="AD187" t="str">
            <v>0822-05</v>
          </cell>
          <cell r="AE18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8">
          <cell r="A188" t="str">
            <v>823-05</v>
          </cell>
          <cell r="B188">
            <v>4016</v>
          </cell>
          <cell r="C188" t="str">
            <v>DE.1.0.7.0</v>
          </cell>
          <cell r="D188" t="str">
            <v>204:974</v>
          </cell>
          <cell r="E188">
            <v>42587.583368055559</v>
          </cell>
          <cell r="F188">
            <v>42587.58425925926</v>
          </cell>
          <cell r="G188">
            <v>1</v>
          </cell>
          <cell r="H188" t="str">
            <v>300:58877</v>
          </cell>
          <cell r="I188">
            <v>42587.608923611115</v>
          </cell>
          <cell r="J188">
            <v>0</v>
          </cell>
          <cell r="K188" t="str">
            <v>4015/4016</v>
          </cell>
          <cell r="L188" t="str">
            <v>STAMBAUGH</v>
          </cell>
          <cell r="M188">
            <v>2.4664351854880806E-2</v>
          </cell>
          <cell r="N188">
            <v>35.516666671028361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https://search-rtdc-monitor-bjffxe2xuh6vdkpspy63sjmuny.us-east-1.es.amazonaws.com/_plugin/kibana/#/discover/Steve-Slow-Train-Analysis-(2080s-and-2083s)?_g=(refreshInterval:(display:Off,section:0,value:0),time:(from:'2016-08-05 13:00:03-0600',mode:absolute,to:'2016-08-05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9.74E-2</v>
          </cell>
          <cell r="Z188">
            <v>5.8876999999999997</v>
          </cell>
          <cell r="AA188">
            <v>5.7902999999999993</v>
          </cell>
          <cell r="AB188" t="e">
            <v>#N/A</v>
          </cell>
          <cell r="AC188" t="e">
            <v>#N/A</v>
          </cell>
          <cell r="AD188" t="str">
            <v>0823-05</v>
          </cell>
          <cell r="AE18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9">
          <cell r="A189" t="str">
            <v>824-05</v>
          </cell>
          <cell r="B189">
            <v>4015</v>
          </cell>
          <cell r="C189" t="str">
            <v>DE.1.0.7.0</v>
          </cell>
          <cell r="D189" t="str">
            <v>300:58562</v>
          </cell>
          <cell r="E189">
            <v>42587.609768518516</v>
          </cell>
          <cell r="F189">
            <v>42587.610497685186</v>
          </cell>
          <cell r="G189">
            <v>1</v>
          </cell>
          <cell r="H189" t="str">
            <v>204:701</v>
          </cell>
          <cell r="I189">
            <v>42587.624444444446</v>
          </cell>
          <cell r="J189">
            <v>0</v>
          </cell>
          <cell r="K189" t="str">
            <v>4015/4016</v>
          </cell>
          <cell r="L189" t="str">
            <v>STAMBAUGH</v>
          </cell>
          <cell r="M189">
            <v>1.3946759259852115E-2</v>
          </cell>
          <cell r="N189">
            <v>20.083333334187046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https://search-rtdc-monitor-bjffxe2xuh6vdkpspy63sjmuny.us-east-1.es.amazonaws.com/_plugin/kibana/#/discover/Steve-Slow-Train-Analysis-(2080s-and-2083s)?_g=(refreshInterval:(display:Off,section:0,value:0),time:(from:'2016-08-05 13:38:04-0600',mode:absolute,to:'2016-08-05 15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5.8562000000000003</v>
          </cell>
          <cell r="Z189">
            <v>7.0099999999999996E-2</v>
          </cell>
          <cell r="AA189">
            <v>5.7861000000000002</v>
          </cell>
          <cell r="AB189" t="e">
            <v>#N/A</v>
          </cell>
          <cell r="AC189" t="e">
            <v>#N/A</v>
          </cell>
          <cell r="AD189" t="str">
            <v>0824-05</v>
          </cell>
          <cell r="AE18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0">
          <cell r="A190" t="str">
            <v>825-05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42587.635717592595</v>
          </cell>
          <cell r="F190">
            <v>42587.636504629627</v>
          </cell>
          <cell r="G190">
            <v>1</v>
          </cell>
          <cell r="H190" t="str">
            <v>300:58903</v>
          </cell>
          <cell r="I190">
            <v>42587.650127314817</v>
          </cell>
          <cell r="J190">
            <v>0</v>
          </cell>
          <cell r="K190" t="str">
            <v>4015/4016</v>
          </cell>
          <cell r="L190" t="str">
            <v>STAMBAUGH</v>
          </cell>
          <cell r="M190">
            <v>1.3622685190057382E-2</v>
          </cell>
          <cell r="N190">
            <v>19.61666667368263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https://search-rtdc-monitor-bjffxe2xuh6vdkpspy63sjmuny.us-east-1.es.amazonaws.com/_plugin/kibana/#/discover/Steve-Slow-Train-Analysis-(2080s-and-2083s)?_g=(refreshInterval:(display:Off,section:0,value:0),time:(from:'2016-08-05 14:15:26-0600',mode:absolute,to:'2016-08-05 16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5.8902999999999999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0825-05</v>
          </cell>
          <cell r="AE19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1">
          <cell r="A191" t="str">
            <v>826-05</v>
          </cell>
          <cell r="B191">
            <v>4015</v>
          </cell>
          <cell r="C191" t="str">
            <v>DE.1.0.7.0</v>
          </cell>
          <cell r="D191" t="str">
            <v>300:58579</v>
          </cell>
          <cell r="E191">
            <v>42587.650937500002</v>
          </cell>
          <cell r="F191">
            <v>42587.65185185185</v>
          </cell>
          <cell r="G191">
            <v>1</v>
          </cell>
          <cell r="H191" t="str">
            <v>204:680</v>
          </cell>
          <cell r="I191">
            <v>42587.663553240738</v>
          </cell>
          <cell r="J191">
            <v>0</v>
          </cell>
          <cell r="K191" t="str">
            <v>4015/4016</v>
          </cell>
          <cell r="L191" t="str">
            <v>STAMBAUGH</v>
          </cell>
          <cell r="M191">
            <v>1.17013888884685E-2</v>
          </cell>
          <cell r="N191">
            <v>16.84999999939464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https://search-rtdc-monitor-bjffxe2xuh6vdkpspy63sjmuny.us-east-1.es.amazonaws.com/_plugin/kibana/#/discover/Steve-Slow-Train-Analysis-(2080s-and-2083s)?_g=(refreshInterval:(display:Off,section:0,value:0),time:(from:'2016-08-05 14:37:21-0600',mode:absolute,to:'2016-08-05 16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5.8578999999999999</v>
          </cell>
          <cell r="Z191">
            <v>6.8000000000000005E-2</v>
          </cell>
          <cell r="AA191">
            <v>5.7899000000000003</v>
          </cell>
          <cell r="AB191" t="e">
            <v>#N/A</v>
          </cell>
          <cell r="AC191" t="e">
            <v>#N/A</v>
          </cell>
          <cell r="AD191" t="str">
            <v>0826-05</v>
          </cell>
          <cell r="AE19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2">
          <cell r="A192" t="str">
            <v>827-05</v>
          </cell>
          <cell r="B192">
            <v>4018</v>
          </cell>
          <cell r="C192" t="str">
            <v>DE.1.0.7.0</v>
          </cell>
          <cell r="D192" t="str">
            <v>204:904</v>
          </cell>
          <cell r="E192">
            <v>42587.648263888892</v>
          </cell>
          <cell r="F192">
            <v>42587.649131944447</v>
          </cell>
          <cell r="G192">
            <v>1</v>
          </cell>
          <cell r="H192" t="str">
            <v>300:58920</v>
          </cell>
          <cell r="I192">
            <v>42587.671180555553</v>
          </cell>
          <cell r="J192">
            <v>0</v>
          </cell>
          <cell r="K192" t="str">
            <v>4017/4018</v>
          </cell>
          <cell r="L192" t="str">
            <v>NEWELL</v>
          </cell>
          <cell r="M192">
            <v>2.2048611106583849E-2</v>
          </cell>
          <cell r="N192">
            <v>31.749999993480742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https://search-rtdc-monitor-bjffxe2xuh6vdkpspy63sjmuny.us-east-1.es.amazonaws.com/_plugin/kibana/#/discover/Steve-Slow-Train-Analysis-(2080s-and-2083s)?_g=(refreshInterval:(display:Off,section:0,value:0),time:(from:'2016-08-05 14:33:30-0600',mode:absolute,to:'2016-08-05 17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2" t="str">
            <v>N</v>
          </cell>
          <cell r="X192">
            <v>1</v>
          </cell>
          <cell r="Y192">
            <v>9.0399999999999994E-2</v>
          </cell>
          <cell r="Z192">
            <v>5.8920000000000003</v>
          </cell>
          <cell r="AA192">
            <v>5.8016000000000005</v>
          </cell>
          <cell r="AB192" t="e">
            <v>#N/A</v>
          </cell>
          <cell r="AC192" t="e">
            <v>#N/A</v>
          </cell>
          <cell r="AD192" t="str">
            <v>0827-05</v>
          </cell>
          <cell r="AE19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3">
          <cell r="A193" t="str">
            <v>828-05</v>
          </cell>
          <cell r="B193">
            <v>4017</v>
          </cell>
          <cell r="C193" t="str">
            <v>DE.1.0.7.0</v>
          </cell>
          <cell r="D193" t="str">
            <v>300:58598</v>
          </cell>
          <cell r="E193">
            <v>42587.672013888892</v>
          </cell>
          <cell r="F193">
            <v>42587.67328703704</v>
          </cell>
          <cell r="G193">
            <v>1</v>
          </cell>
          <cell r="H193" t="str">
            <v>204:643</v>
          </cell>
          <cell r="I193">
            <v>42587.684432870374</v>
          </cell>
          <cell r="J193">
            <v>0</v>
          </cell>
          <cell r="K193" t="str">
            <v>4017/4018</v>
          </cell>
          <cell r="L193" t="str">
            <v>NEWELL</v>
          </cell>
          <cell r="M193">
            <v>1.1145833334012423E-2</v>
          </cell>
          <cell r="N193">
            <v>16.050000000977889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https://search-rtdc-monitor-bjffxe2xuh6vdkpspy63sjmuny.us-east-1.es.amazonaws.com/_plugin/kibana/#/discover/Steve-Slow-Train-Analysis-(2080s-and-2083s)?_g=(refreshInterval:(display:Off,section:0,value:0),time:(from:'2016-08-05 15:07:42-0600',mode:absolute,to:'2016-08-05 17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6.4299999999999996E-2</v>
          </cell>
          <cell r="AA193">
            <v>5.7954999999999997</v>
          </cell>
          <cell r="AB193" t="e">
            <v>#N/A</v>
          </cell>
          <cell r="AC193" t="e">
            <v>#N/A</v>
          </cell>
          <cell r="AD193" t="str">
            <v>0828-05</v>
          </cell>
          <cell r="AE19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4">
          <cell r="A194" t="str">
            <v>829-05</v>
          </cell>
          <cell r="B194">
            <v>4016</v>
          </cell>
          <cell r="C194" t="str">
            <v>DE.1.0.7.0</v>
          </cell>
          <cell r="D194" t="str">
            <v>204:971</v>
          </cell>
          <cell r="E194">
            <v>42587.675266203703</v>
          </cell>
          <cell r="F194">
            <v>42587.676111111112</v>
          </cell>
          <cell r="G194">
            <v>1</v>
          </cell>
          <cell r="H194" t="str">
            <v>300:58850</v>
          </cell>
          <cell r="I194">
            <v>42587.691307870373</v>
          </cell>
          <cell r="J194">
            <v>0</v>
          </cell>
          <cell r="K194" t="str">
            <v>4015/4016</v>
          </cell>
          <cell r="L194" t="str">
            <v>STAMBAUGH</v>
          </cell>
          <cell r="M194">
            <v>1.5196759261016268E-2</v>
          </cell>
          <cell r="N194">
            <v>21.883333335863426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https://search-rtdc-monitor-bjffxe2xuh6vdkpspy63sjmuny.us-east-1.es.amazonaws.com/_plugin/kibana/#/discover/Steve-Slow-Train-Analysis-(2080s-and-2083s)?_g=(refreshInterval:(display:Off,section:0,value:0),time:(from:'2016-08-05 15:12:23-0600',mode:absolute,to:'2016-08-05 17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9.7100000000000006E-2</v>
          </cell>
          <cell r="Z194">
            <v>5.8849999999999998</v>
          </cell>
          <cell r="AA194">
            <v>5.7878999999999996</v>
          </cell>
          <cell r="AB194" t="e">
            <v>#N/A</v>
          </cell>
          <cell r="AC194" t="e">
            <v>#N/A</v>
          </cell>
          <cell r="AD194" t="str">
            <v>0829-05</v>
          </cell>
          <cell r="AE19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5">
          <cell r="A195" t="str">
            <v>830-05</v>
          </cell>
          <cell r="B195">
            <v>4015</v>
          </cell>
          <cell r="C195" t="str">
            <v>DE.1.0.7.0</v>
          </cell>
          <cell r="D195" t="str">
            <v>300:58536</v>
          </cell>
          <cell r="E195">
            <v>42587.69259259259</v>
          </cell>
          <cell r="F195">
            <v>42587.693576388891</v>
          </cell>
          <cell r="G195">
            <v>1</v>
          </cell>
          <cell r="H195" t="str">
            <v>204:719</v>
          </cell>
          <cell r="I195">
            <v>42587.70689814815</v>
          </cell>
          <cell r="J195">
            <v>1</v>
          </cell>
          <cell r="K195" t="str">
            <v>4015/4016</v>
          </cell>
          <cell r="L195" t="str">
            <v>STAMBAUGH</v>
          </cell>
          <cell r="M195">
            <v>1.3321759259270038E-2</v>
          </cell>
          <cell r="N195">
            <v>19.183333333348855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5.8536000000000001</v>
          </cell>
          <cell r="Z195">
            <v>7.1900000000000006E-2</v>
          </cell>
          <cell r="AA195">
            <v>5.7816999999999998</v>
          </cell>
          <cell r="AB195" t="e">
            <v>#N/A</v>
          </cell>
          <cell r="AC195" t="e">
            <v>#N/A</v>
          </cell>
          <cell r="AD195" t="str">
            <v>0830-05</v>
          </cell>
          <cell r="AE19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6">
          <cell r="A196" t="str">
            <v>831-05</v>
          </cell>
          <cell r="B196">
            <v>4018</v>
          </cell>
          <cell r="C196" t="str">
            <v>DE.1.0.7.0</v>
          </cell>
          <cell r="D196" t="str">
            <v>204:925</v>
          </cell>
          <cell r="E196">
            <v>42587.687592592592</v>
          </cell>
          <cell r="F196">
            <v>42587.689363425925</v>
          </cell>
          <cell r="G196">
            <v>2</v>
          </cell>
          <cell r="H196" t="str">
            <v>300:58971</v>
          </cell>
          <cell r="I196">
            <v>42587.712569444448</v>
          </cell>
          <cell r="J196">
            <v>0</v>
          </cell>
          <cell r="K196" t="str">
            <v>4017/4018</v>
          </cell>
          <cell r="L196" t="str">
            <v>NEWELL</v>
          </cell>
          <cell r="M196">
            <v>2.3206018522614613E-2</v>
          </cell>
          <cell r="N196">
            <v>33.416666672565043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https://search-rtdc-monitor-bjffxe2xuh6vdkpspy63sjmuny.us-east-1.es.amazonaws.com/_plugin/kibana/#/discover/Steve-Slow-Train-Analysis-(2080s-and-2083s)?_g=(refreshInterval:(display:Off,section:0,value:0),time:(from:'2016-08-05 15:30:08-0600',mode:absolute,to:'2016-08-05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6" t="str">
            <v>N</v>
          </cell>
          <cell r="X196">
            <v>1</v>
          </cell>
          <cell r="Y196">
            <v>9.2499999999999999E-2</v>
          </cell>
          <cell r="Z196">
            <v>5.8971</v>
          </cell>
          <cell r="AA196">
            <v>5.8045999999999998</v>
          </cell>
          <cell r="AB196" t="e">
            <v>#N/A</v>
          </cell>
          <cell r="AC196" t="e">
            <v>#N/A</v>
          </cell>
          <cell r="AD196" t="str">
            <v>0831-05</v>
          </cell>
          <cell r="AE19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7">
          <cell r="A197" t="str">
            <v>832-05</v>
          </cell>
          <cell r="B197">
            <v>4017</v>
          </cell>
          <cell r="C197" t="str">
            <v>DE.1.0.7.0</v>
          </cell>
          <cell r="D197" t="str">
            <v>300:58651</v>
          </cell>
          <cell r="E197">
            <v>42587.713506944441</v>
          </cell>
          <cell r="F197">
            <v>42587.714513888888</v>
          </cell>
          <cell r="G197">
            <v>1</v>
          </cell>
          <cell r="H197" t="str">
            <v>204:652</v>
          </cell>
          <cell r="I197">
            <v>42587.725891203707</v>
          </cell>
          <cell r="J197">
            <v>1</v>
          </cell>
          <cell r="K197" t="str">
            <v>4017/4018</v>
          </cell>
          <cell r="L197" t="str">
            <v>NEWELL</v>
          </cell>
          <cell r="M197">
            <v>1.1377314818673767E-2</v>
          </cell>
          <cell r="N197">
            <v>16.383333338890225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7" t="str">
            <v>N</v>
          </cell>
          <cell r="X197">
            <v>1</v>
          </cell>
          <cell r="Y197">
            <v>5.8651</v>
          </cell>
          <cell r="Z197">
            <v>6.5199999999999994E-2</v>
          </cell>
          <cell r="AA197">
            <v>5.7999000000000001</v>
          </cell>
          <cell r="AB197" t="e">
            <v>#N/A</v>
          </cell>
          <cell r="AC197" t="e">
            <v>#N/A</v>
          </cell>
          <cell r="AD197" t="str">
            <v>0832-05</v>
          </cell>
          <cell r="AE19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8">
          <cell r="A198" t="str">
            <v>833-05</v>
          </cell>
          <cell r="B198">
            <v>4016</v>
          </cell>
          <cell r="C198" t="str">
            <v>DE.1.0.7.0</v>
          </cell>
          <cell r="D198" t="str">
            <v>204:1009</v>
          </cell>
          <cell r="E198">
            <v>42587.708229166667</v>
          </cell>
          <cell r="F198">
            <v>42587.70888888889</v>
          </cell>
          <cell r="G198">
            <v>0</v>
          </cell>
          <cell r="H198" t="str">
            <v>300:58884</v>
          </cell>
          <cell r="I198">
            <v>42587.732905092591</v>
          </cell>
          <cell r="J198">
            <v>0</v>
          </cell>
          <cell r="K198" t="str">
            <v>4015/4016</v>
          </cell>
          <cell r="L198" t="str">
            <v>STAMBAUGH</v>
          </cell>
          <cell r="M198">
            <v>2.4016203700739425E-2</v>
          </cell>
          <cell r="N198">
            <v>34.583333329064772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https://search-rtdc-monitor-bjffxe2xuh6vdkpspy63sjmuny.us-east-1.es.amazonaws.com/_plugin/kibana/#/discover/Steve-Slow-Train-Analysis-(2080s-and-2083s)?_g=(refreshInterval:(display:Off,section:0,value:0),time:(from:'2016-08-05 15:59:51-0600',mode:absolute,to:'2016-08-05 18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0.1009</v>
          </cell>
          <cell r="Z198">
            <v>5.8883999999999999</v>
          </cell>
          <cell r="AA198">
            <v>5.7874999999999996</v>
          </cell>
          <cell r="AB198" t="e">
            <v>#N/A</v>
          </cell>
          <cell r="AC198" t="e">
            <v>#N/A</v>
          </cell>
          <cell r="AD198" t="str">
            <v>0833-05</v>
          </cell>
          <cell r="AE19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9">
          <cell r="A199" t="str">
            <v>834-05</v>
          </cell>
          <cell r="B199">
            <v>4015</v>
          </cell>
          <cell r="C199" t="str">
            <v>DE.1.0.7.0</v>
          </cell>
          <cell r="D199" t="str">
            <v>300:58562</v>
          </cell>
          <cell r="E199">
            <v>42587.734039351853</v>
          </cell>
          <cell r="F199">
            <v>42587.734826388885</v>
          </cell>
          <cell r="G199">
            <v>1</v>
          </cell>
          <cell r="H199" t="str">
            <v>204:762</v>
          </cell>
          <cell r="I199">
            <v>42587.748217592591</v>
          </cell>
          <cell r="J199">
            <v>1</v>
          </cell>
          <cell r="K199" t="str">
            <v>4015/4016</v>
          </cell>
          <cell r="L199" t="str">
            <v>STAMBAUGH</v>
          </cell>
          <cell r="M199">
            <v>1.3391203705396038E-2</v>
          </cell>
          <cell r="N199">
            <v>19.283333335770294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9" t="str">
            <v>N</v>
          </cell>
          <cell r="X199">
            <v>1</v>
          </cell>
          <cell r="Y199">
            <v>5.8562000000000003</v>
          </cell>
          <cell r="Z199">
            <v>7.6200000000000004E-2</v>
          </cell>
          <cell r="AA199">
            <v>5.78</v>
          </cell>
          <cell r="AB199" t="e">
            <v>#N/A</v>
          </cell>
          <cell r="AC199" t="e">
            <v>#N/A</v>
          </cell>
          <cell r="AD199" t="str">
            <v>0834-05</v>
          </cell>
          <cell r="AE19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0">
          <cell r="A200" t="str">
            <v>835-05</v>
          </cell>
          <cell r="B200">
            <v>4018</v>
          </cell>
          <cell r="C200" t="str">
            <v>DE.1.0.7.0</v>
          </cell>
          <cell r="D200" t="str">
            <v>204:930</v>
          </cell>
          <cell r="E200">
            <v>42587.72724537037</v>
          </cell>
          <cell r="F200">
            <v>42587.728217592594</v>
          </cell>
          <cell r="G200">
            <v>1</v>
          </cell>
          <cell r="H200" t="str">
            <v>300:58984</v>
          </cell>
          <cell r="I200">
            <v>42587.753703703704</v>
          </cell>
          <cell r="J200">
            <v>0</v>
          </cell>
          <cell r="K200" t="str">
            <v>4017/4018</v>
          </cell>
          <cell r="L200" t="str">
            <v>NEWELL</v>
          </cell>
          <cell r="M200">
            <v>2.548611110978527E-2</v>
          </cell>
          <cell r="N200">
            <v>36.699999998090789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https://search-rtdc-monitor-bjffxe2xuh6vdkpspy63sjmuny.us-east-1.es.amazonaws.com/_plugin/kibana/#/discover/Steve-Slow-Train-Analysis-(2080s-and-2083s)?_g=(refreshInterval:(display:Off,section:0,value:0),time:(from:'2016-08-05 16:27:14-0600',mode:absolute,to:'2016-08-05 19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0" t="str">
            <v>N</v>
          </cell>
          <cell r="X200">
            <v>1</v>
          </cell>
          <cell r="Y200">
            <v>9.2999999999999999E-2</v>
          </cell>
          <cell r="Z200">
            <v>5.8983999999999996</v>
          </cell>
          <cell r="AA200">
            <v>5.8053999999999997</v>
          </cell>
          <cell r="AB200" t="e">
            <v>#N/A</v>
          </cell>
          <cell r="AC200" t="e">
            <v>#N/A</v>
          </cell>
          <cell r="AD200" t="str">
            <v>0835-05</v>
          </cell>
          <cell r="AE20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1">
          <cell r="A201" t="str">
            <v>836-05</v>
          </cell>
          <cell r="B201">
            <v>4017</v>
          </cell>
          <cell r="C201" t="str">
            <v>DE.1.0.7.0</v>
          </cell>
          <cell r="D201" t="str">
            <v>300:58662</v>
          </cell>
          <cell r="E201">
            <v>42587.754606481481</v>
          </cell>
          <cell r="F201">
            <v>42587.755682870367</v>
          </cell>
          <cell r="G201">
            <v>1</v>
          </cell>
          <cell r="H201" t="str">
            <v>204:633</v>
          </cell>
          <cell r="I201">
            <v>42587.767488425925</v>
          </cell>
          <cell r="J201">
            <v>1</v>
          </cell>
          <cell r="K201" t="str">
            <v>4017/4018</v>
          </cell>
          <cell r="L201" t="str">
            <v>NEWELL</v>
          </cell>
          <cell r="M201">
            <v>1.1805555557657499E-2</v>
          </cell>
          <cell r="N201">
            <v>17.000000003026798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1" t="str">
            <v>N</v>
          </cell>
          <cell r="X201">
            <v>1</v>
          </cell>
          <cell r="Y201">
            <v>5.8662000000000001</v>
          </cell>
          <cell r="Z201">
            <v>6.3299999999999995E-2</v>
          </cell>
          <cell r="AA201">
            <v>5.8029000000000002</v>
          </cell>
          <cell r="AB201" t="e">
            <v>#N/A</v>
          </cell>
          <cell r="AC201" t="e">
            <v>#N/A</v>
          </cell>
          <cell r="AD201" t="str">
            <v>0836-05</v>
          </cell>
          <cell r="AE20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202">
          <cell r="A202" t="str">
            <v>837-05</v>
          </cell>
          <cell r="B202">
            <v>4016</v>
          </cell>
          <cell r="C202" t="str">
            <v>DE.1.0.7.0</v>
          </cell>
          <cell r="D202" t="str">
            <v>204:1053</v>
          </cell>
          <cell r="E202">
            <v>42587.759513888886</v>
          </cell>
          <cell r="F202">
            <v>42587.760266203702</v>
          </cell>
          <cell r="G202">
            <v>1</v>
          </cell>
          <cell r="H202" t="str">
            <v>300:58869</v>
          </cell>
          <cell r="I202">
            <v>42587.774652777778</v>
          </cell>
          <cell r="J202">
            <v>0</v>
          </cell>
          <cell r="K202" t="str">
            <v>4015/4016</v>
          </cell>
          <cell r="L202" t="str">
            <v>STAMBAUGH</v>
          </cell>
          <cell r="M202">
            <v>1.4386574075615499E-2</v>
          </cell>
          <cell r="N202">
            <v>20.716666668886319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https://search-rtdc-monitor-bjffxe2xuh6vdkpspy63sjmuny.us-east-1.es.amazonaws.com/_plugin/kibana/#/discover/Steve-Slow-Train-Analysis-(2080s-and-2083s)?_g=(refreshInterval:(display:Off,section:0,value:0),time:(from:'2016-08-05 17:13:42-0600',mode:absolute,to:'2016-08-05 19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2" t="str">
            <v>N</v>
          </cell>
          <cell r="X202">
            <v>1</v>
          </cell>
          <cell r="Y202">
            <v>0.1053</v>
          </cell>
          <cell r="Z202">
            <v>5.8868999999999998</v>
          </cell>
          <cell r="AA202">
            <v>5.7816000000000001</v>
          </cell>
          <cell r="AB202" t="e">
            <v>#N/A</v>
          </cell>
          <cell r="AC202" t="e">
            <v>#N/A</v>
          </cell>
          <cell r="AD202" t="str">
            <v>0837-05</v>
          </cell>
          <cell r="AE20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3">
          <cell r="A203" t="str">
            <v>838-05</v>
          </cell>
          <cell r="B203">
            <v>4015</v>
          </cell>
          <cell r="C203" t="str">
            <v>DE.1.0.7.0</v>
          </cell>
          <cell r="D203" t="str">
            <v>300:58559</v>
          </cell>
          <cell r="E203">
            <v>42587.775520833333</v>
          </cell>
          <cell r="F203">
            <v>42587.776469907411</v>
          </cell>
          <cell r="G203">
            <v>1</v>
          </cell>
          <cell r="H203" t="str">
            <v>204:762</v>
          </cell>
          <cell r="I203">
            <v>42587.789467592593</v>
          </cell>
          <cell r="J203">
            <v>1</v>
          </cell>
          <cell r="K203" t="str">
            <v>4015/4016</v>
          </cell>
          <cell r="L203" t="str">
            <v>STAMBAUGH</v>
          </cell>
          <cell r="M203">
            <v>1.2997685182199348E-2</v>
          </cell>
          <cell r="N203">
            <v>18.716666662367061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3" t="str">
            <v>N</v>
          </cell>
          <cell r="X203">
            <v>1</v>
          </cell>
          <cell r="Y203">
            <v>5.8559000000000001</v>
          </cell>
          <cell r="Z203">
            <v>7.6200000000000004E-2</v>
          </cell>
          <cell r="AA203">
            <v>5.7797000000000001</v>
          </cell>
          <cell r="AB203" t="e">
            <v>#N/A</v>
          </cell>
          <cell r="AC203" t="e">
            <v>#N/A</v>
          </cell>
          <cell r="AD203" t="str">
            <v>0838-05</v>
          </cell>
          <cell r="AE20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4">
          <cell r="A204" t="str">
            <v>839-05</v>
          </cell>
          <cell r="B204">
            <v>4018</v>
          </cell>
          <cell r="C204" t="str">
            <v>DE.1.0.7.0</v>
          </cell>
          <cell r="D204" t="str">
            <v>204:920</v>
          </cell>
          <cell r="E204">
            <v>42587.770324074074</v>
          </cell>
          <cell r="F204">
            <v>42587.771319444444</v>
          </cell>
          <cell r="G204">
            <v>1</v>
          </cell>
          <cell r="H204" t="str">
            <v>300:58958</v>
          </cell>
          <cell r="I204">
            <v>42587.795092592591</v>
          </cell>
          <cell r="J204">
            <v>0</v>
          </cell>
          <cell r="K204" t="str">
            <v>4017/4018</v>
          </cell>
          <cell r="L204" t="str">
            <v>NEWELL</v>
          </cell>
          <cell r="M204">
            <v>2.3773148146574385E-2</v>
          </cell>
          <cell r="N204">
            <v>34.233333331067115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https://search-rtdc-monitor-bjffxe2xuh6vdkpspy63sjmuny.us-east-1.es.amazonaws.com/_plugin/kibana/#/discover/Steve-Slow-Train-Analysis-(2080s-and-2083s)?_g=(refreshInterval:(display:Off,section:0,value:0),time:(from:'2016-08-05 17:29:16-0600',mode:absolute,to:'2016-08-05 20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1</v>
          </cell>
          <cell r="Y204">
            <v>9.1999999999999998E-2</v>
          </cell>
          <cell r="Z204">
            <v>5.8958000000000004</v>
          </cell>
          <cell r="AA204">
            <v>5.8038000000000007</v>
          </cell>
          <cell r="AB204" t="e">
            <v>#N/A</v>
          </cell>
          <cell r="AC204" t="e">
            <v>#N/A</v>
          </cell>
          <cell r="AD204" t="str">
            <v>0839-05</v>
          </cell>
          <cell r="AE20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5">
          <cell r="A205" t="str">
            <v>840-05</v>
          </cell>
          <cell r="B205">
            <v>4015</v>
          </cell>
          <cell r="C205" t="str">
            <v>DE.1.0.7.0</v>
          </cell>
          <cell r="D205" t="str">
            <v>300:58555</v>
          </cell>
          <cell r="E205">
            <v>42587.817094907405</v>
          </cell>
          <cell r="F205">
            <v>42587.817893518521</v>
          </cell>
          <cell r="G205">
            <v>1</v>
          </cell>
          <cell r="H205" t="str">
            <v>204:694</v>
          </cell>
          <cell r="I205">
            <v>42587.832141203704</v>
          </cell>
          <cell r="J205">
            <v>0</v>
          </cell>
          <cell r="K205" t="str">
            <v>4015/4016</v>
          </cell>
          <cell r="L205" t="str">
            <v>STAMBAUGH</v>
          </cell>
          <cell r="M205">
            <v>1.4247685183363501E-2</v>
          </cell>
          <cell r="N205">
            <v>20.516666664043441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https://search-rtdc-monitor-bjffxe2xuh6vdkpspy63sjmuny.us-east-1.es.amazonaws.com/_plugin/kibana/#/discover/Steve-Slow-Train-Analysis-(2080s-and-2083s)?_g=(refreshInterval:(display:Off,section:0,value:0),time:(from:'2016-08-05 18:36:37-0600',mode:absolute,to:'2016-08-05 20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5" t="str">
            <v>N</v>
          </cell>
          <cell r="X205">
            <v>1</v>
          </cell>
          <cell r="Y205">
            <v>5.8555000000000001</v>
          </cell>
          <cell r="Z205">
            <v>6.9400000000000003E-2</v>
          </cell>
          <cell r="AA205">
            <v>5.7861000000000002</v>
          </cell>
          <cell r="AB205" t="e">
            <v>#N/A</v>
          </cell>
          <cell r="AC205" t="e">
            <v>#N/A</v>
          </cell>
          <cell r="AD205" t="str">
            <v>0840-05</v>
          </cell>
          <cell r="AE20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6">
          <cell r="A206" t="str">
            <v>841-05</v>
          </cell>
          <cell r="B206">
            <v>4016</v>
          </cell>
          <cell r="C206" t="str">
            <v>DE.1.0.7.0</v>
          </cell>
          <cell r="D206" t="str">
            <v>204:1049</v>
          </cell>
          <cell r="E206">
            <v>42587.802210648151</v>
          </cell>
          <cell r="F206">
            <v>42587.803067129629</v>
          </cell>
          <cell r="G206">
            <v>1</v>
          </cell>
          <cell r="H206" t="str">
            <v>300:58864</v>
          </cell>
          <cell r="I206">
            <v>42587.816145833334</v>
          </cell>
          <cell r="J206">
            <v>0</v>
          </cell>
          <cell r="K206" t="str">
            <v>4015/4016</v>
          </cell>
          <cell r="L206" t="str">
            <v>STAMBAUGH</v>
          </cell>
          <cell r="M206">
            <v>1.3078703705104999E-2</v>
          </cell>
          <cell r="N206">
            <v>18.833333335351199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https://search-rtdc-monitor-bjffxe2xuh6vdkpspy63sjmuny.us-east-1.es.amazonaws.com/_plugin/kibana/#/discover/Steve-Slow-Train-Analysis-(2080s-and-2083s)?_g=(refreshInterval:(display:Off,section:0,value:0),time:(from:'2016-08-05 18:15:11-0600',mode:absolute,to:'2016-08-05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6" t="str">
            <v>N</v>
          </cell>
          <cell r="X206">
            <v>1</v>
          </cell>
          <cell r="Y206">
            <v>0.10489999999999999</v>
          </cell>
          <cell r="Z206">
            <v>5.8864000000000001</v>
          </cell>
          <cell r="AA206">
            <v>5.7815000000000003</v>
          </cell>
          <cell r="AB206" t="e">
            <v>#N/A</v>
          </cell>
          <cell r="AC206" t="e">
            <v>#N/A</v>
          </cell>
          <cell r="AD206" t="str">
            <v>0841-05</v>
          </cell>
          <cell r="AE20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7">
          <cell r="A207" t="str">
            <v>842-05</v>
          </cell>
          <cell r="B207">
            <v>4015</v>
          </cell>
          <cell r="C207" t="str">
            <v>DE.1.0.7.0</v>
          </cell>
          <cell r="D207" t="str">
            <v>300:58562</v>
          </cell>
          <cell r="E207">
            <v>42587.858796296299</v>
          </cell>
          <cell r="F207">
            <v>42587.859490740739</v>
          </cell>
          <cell r="G207">
            <v>1</v>
          </cell>
          <cell r="H207" t="str">
            <v>204:670</v>
          </cell>
          <cell r="I207">
            <v>42587.872743055559</v>
          </cell>
          <cell r="J207">
            <v>1</v>
          </cell>
          <cell r="K207" t="str">
            <v>4015/4016</v>
          </cell>
          <cell r="L207" t="str">
            <v>STAMBAUGH</v>
          </cell>
          <cell r="M207">
            <v>1.3252314820419997E-2</v>
          </cell>
          <cell r="N207">
            <v>19.083333341404796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N</v>
          </cell>
          <cell r="X207">
            <v>1</v>
          </cell>
          <cell r="Y207">
            <v>5.8562000000000003</v>
          </cell>
          <cell r="Z207">
            <v>6.7000000000000004E-2</v>
          </cell>
          <cell r="AA207">
            <v>5.7892000000000001</v>
          </cell>
          <cell r="AB207" t="e">
            <v>#N/A</v>
          </cell>
          <cell r="AC207" t="e">
            <v>#N/A</v>
          </cell>
          <cell r="AD207" t="str">
            <v>0842-05</v>
          </cell>
          <cell r="AE20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8">
          <cell r="A208" t="str">
            <v>843-05</v>
          </cell>
          <cell r="B208">
            <v>4016</v>
          </cell>
          <cell r="C208" t="str">
            <v>DE.1.0.7.0</v>
          </cell>
          <cell r="D208" t="str">
            <v>204:990</v>
          </cell>
          <cell r="E208">
            <v>42587.846354166664</v>
          </cell>
          <cell r="F208">
            <v>42587.847511574073</v>
          </cell>
          <cell r="G208">
            <v>1</v>
          </cell>
          <cell r="H208" t="str">
            <v>300:58879</v>
          </cell>
          <cell r="I208">
            <v>42587.857928240737</v>
          </cell>
          <cell r="J208">
            <v>0</v>
          </cell>
          <cell r="K208" t="str">
            <v>4015/4016</v>
          </cell>
          <cell r="L208" t="str">
            <v>STAMBAUGH</v>
          </cell>
          <cell r="M208">
            <v>1.0416666664241347E-2</v>
          </cell>
          <cell r="N208">
            <v>14.99999999650754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https://search-rtdc-monitor-bjffxe2xuh6vdkpspy63sjmuny.us-east-1.es.amazonaws.com/_plugin/kibana/#/discover/Steve-Slow-Train-Analysis-(2080s-and-2083s)?_g=(refreshInterval:(display:Off,section:0,value:0),time:(from:'2016-08-05 19:18:45-0600',mode:absolute,to:'2016-08-05 21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N</v>
          </cell>
          <cell r="X208">
            <v>1</v>
          </cell>
          <cell r="Y208">
            <v>9.9000000000000005E-2</v>
          </cell>
          <cell r="Z208">
            <v>5.8879000000000001</v>
          </cell>
          <cell r="AA208">
            <v>5.7888999999999999</v>
          </cell>
          <cell r="AB208" t="e">
            <v>#N/A</v>
          </cell>
          <cell r="AC208" t="e">
            <v>#N/A</v>
          </cell>
          <cell r="AD208" t="str">
            <v>0843-05</v>
          </cell>
          <cell r="AE20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9">
          <cell r="A209" t="str">
            <v>844-05</v>
          </cell>
          <cell r="B209">
            <v>4015</v>
          </cell>
          <cell r="C209" t="str">
            <v>DE.1.0.7.0</v>
          </cell>
          <cell r="D209" t="str">
            <v>300:58641</v>
          </cell>
          <cell r="E209">
            <v>42587.900543981479</v>
          </cell>
          <cell r="F209">
            <v>42587.901504629626</v>
          </cell>
          <cell r="G209">
            <v>1</v>
          </cell>
          <cell r="H209" t="str">
            <v>204:661</v>
          </cell>
          <cell r="I209">
            <v>42587.913425925923</v>
          </cell>
          <cell r="J209">
            <v>1</v>
          </cell>
          <cell r="K209" t="str">
            <v>4015/4016</v>
          </cell>
          <cell r="L209" t="str">
            <v>NEWELL</v>
          </cell>
          <cell r="M209">
            <v>1.1921296296350192E-2</v>
          </cell>
          <cell r="N209">
            <v>17.166666666744277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9" t="str">
            <v>N</v>
          </cell>
          <cell r="X209">
            <v>1</v>
          </cell>
          <cell r="Y209">
            <v>5.8640999999999996</v>
          </cell>
          <cell r="Z209">
            <v>6.6100000000000006E-2</v>
          </cell>
          <cell r="AA209">
            <v>5.798</v>
          </cell>
          <cell r="AB209" t="e">
            <v>#N/A</v>
          </cell>
          <cell r="AC209" t="e">
            <v>#N/A</v>
          </cell>
          <cell r="AD209" t="str">
            <v>0844-05</v>
          </cell>
          <cell r="AE20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10">
          <cell r="A210" t="str">
            <v>845-05</v>
          </cell>
          <cell r="B210">
            <v>4016</v>
          </cell>
          <cell r="C210" t="str">
            <v>DE.1.0.7.0</v>
          </cell>
          <cell r="D210" t="str">
            <v>204:971</v>
          </cell>
          <cell r="E210">
            <v>42587.887766203705</v>
          </cell>
          <cell r="F210">
            <v>42587.888715277775</v>
          </cell>
          <cell r="G210">
            <v>1</v>
          </cell>
          <cell r="H210" t="str">
            <v>300:58958</v>
          </cell>
          <cell r="I210">
            <v>42587.899722222224</v>
          </cell>
          <cell r="J210">
            <v>0</v>
          </cell>
          <cell r="K210" t="str">
            <v>4015/4016</v>
          </cell>
          <cell r="L210" t="str">
            <v>NEWELL</v>
          </cell>
          <cell r="M210">
            <v>1.1006944449036382E-2</v>
          </cell>
          <cell r="N210">
            <v>15.85000000661239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https://search-rtdc-monitor-bjffxe2xuh6vdkpspy63sjmuny.us-east-1.es.amazonaws.com/_plugin/kibana/#/discover/Steve-Slow-Train-Analysis-(2080s-and-2083s)?_g=(refreshInterval:(display:Off,section:0,value:0),time:(from:'2016-08-05 20:18:23-0600',mode:absolute,to:'2016-08-05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0" t="str">
            <v>N</v>
          </cell>
          <cell r="X210">
            <v>1</v>
          </cell>
          <cell r="Y210">
            <v>9.7100000000000006E-2</v>
          </cell>
          <cell r="Z210">
            <v>5.8958000000000004</v>
          </cell>
          <cell r="AA210">
            <v>5.7987000000000002</v>
          </cell>
          <cell r="AB210" t="e">
            <v>#N/A</v>
          </cell>
          <cell r="AC210" t="e">
            <v>#N/A</v>
          </cell>
          <cell r="AD210" t="str">
            <v>0845-05</v>
          </cell>
          <cell r="AE21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1">
          <cell r="A211" t="str">
            <v>847-05</v>
          </cell>
          <cell r="B211">
            <v>4016</v>
          </cell>
          <cell r="C211" t="str">
            <v>DE.1.0.7.0</v>
          </cell>
          <cell r="D211" t="str">
            <v>204:950</v>
          </cell>
          <cell r="E211">
            <v>42587.91778935185</v>
          </cell>
          <cell r="F211">
            <v>42587.918715277781</v>
          </cell>
          <cell r="G211">
            <v>1</v>
          </cell>
          <cell r="H211" t="str">
            <v>300:58952</v>
          </cell>
          <cell r="I211">
            <v>42587.941701388889</v>
          </cell>
          <cell r="J211">
            <v>0</v>
          </cell>
          <cell r="K211" t="str">
            <v>4015/4016</v>
          </cell>
          <cell r="L211" t="str">
            <v>NEWELL</v>
          </cell>
          <cell r="M211">
            <v>2.2986111107456964E-2</v>
          </cell>
          <cell r="N211">
            <v>33.099999994738027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21:01:37-0600',mode:absolute,to:'2016-08-05 23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1" t="str">
            <v>N</v>
          </cell>
          <cell r="X211">
            <v>2</v>
          </cell>
          <cell r="Y211">
            <v>9.5000000000000001E-2</v>
          </cell>
          <cell r="Z211">
            <v>5.8952</v>
          </cell>
          <cell r="AA211">
            <v>5.8002000000000002</v>
          </cell>
          <cell r="AB211" t="e">
            <v>#N/A</v>
          </cell>
          <cell r="AC211" t="e">
            <v>#N/A</v>
          </cell>
          <cell r="AD211" t="str">
            <v>0847-05</v>
          </cell>
          <cell r="AE211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2">
          <cell r="A212" t="str">
            <v>901-05</v>
          </cell>
          <cell r="B212">
            <v>4018</v>
          </cell>
          <cell r="C212" t="str">
            <v>DE.1.0.7.0</v>
          </cell>
          <cell r="D212" t="str">
            <v>300:27252</v>
          </cell>
          <cell r="E212">
            <v>42587.197592592594</v>
          </cell>
          <cell r="F212">
            <v>42587.201504629629</v>
          </cell>
          <cell r="G212">
            <v>5</v>
          </cell>
          <cell r="H212" t="str">
            <v>300:28188</v>
          </cell>
          <cell r="I212">
            <v>42587.202268518522</v>
          </cell>
          <cell r="J212">
            <v>0</v>
          </cell>
          <cell r="K212" t="str">
            <v>4017/4018</v>
          </cell>
          <cell r="L212" t="str">
            <v>STRICKLAND</v>
          </cell>
          <cell r="M212">
            <v>7.638888928340748E-4</v>
          </cell>
          <cell r="N212">
            <v>1.1000000056810677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https://search-rtdc-monitor-bjffxe2xuh6vdkpspy63sjmuny.us-east-1.es.amazonaws.com/_plugin/kibana/#/discover/Steve-Slow-Train-Analysis-(2080s-and-2083s)?_g=(refreshInterval:(display:Off,section:0,value:0),time:(from:'2016-08-05 03:44:32-0600',mode:absolute,to:'2016-08-05 05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2" t="str">
            <v>Y</v>
          </cell>
          <cell r="X212">
            <v>54</v>
          </cell>
          <cell r="Y212">
            <v>2.7252000000000001</v>
          </cell>
          <cell r="Z212">
            <v>2.8188</v>
          </cell>
          <cell r="AA212">
            <v>9.3599999999999905E-2</v>
          </cell>
          <cell r="AB212" t="e">
            <v>#N/A</v>
          </cell>
          <cell r="AC212" t="e">
            <v>#N/A</v>
          </cell>
          <cell r="AD212" t="str">
            <v>0901-05</v>
          </cell>
          <cell r="AE21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3">
          <cell r="A213" t="str">
            <v>901-05</v>
          </cell>
          <cell r="B213">
            <v>4018</v>
          </cell>
          <cell r="C213" t="str">
            <v>DE.1.0.7.0</v>
          </cell>
          <cell r="D213" t="str">
            <v>300:39479</v>
          </cell>
          <cell r="E213">
            <v>42587.204988425925</v>
          </cell>
          <cell r="F213">
            <v>42587.205671296295</v>
          </cell>
          <cell r="G213">
            <v>0</v>
          </cell>
          <cell r="H213" t="str">
            <v>300:57743</v>
          </cell>
          <cell r="I213">
            <v>42587.209675925929</v>
          </cell>
          <cell r="J213">
            <v>0</v>
          </cell>
          <cell r="K213" t="str">
            <v>4017/4018</v>
          </cell>
          <cell r="L213" t="str">
            <v>STRICKLAND</v>
          </cell>
          <cell r="M213">
            <v>4.0046296344371513E-3</v>
          </cell>
          <cell r="N213">
            <v>5.7666666735894978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https://search-rtdc-monitor-bjffxe2xuh6vdkpspy63sjmuny.us-east-1.es.amazonaws.com/_plugin/kibana/#/discover/Steve-Slow-Train-Analysis-(2080s-and-2083s)?_g=(refreshInterval:(display:Off,section:0,value:0),time:(from:'2016-08-05 03:55:11-0600',mode:absolute,to:'2016-08-05 06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3" t="str">
            <v>Y</v>
          </cell>
          <cell r="X213">
            <v>0</v>
          </cell>
          <cell r="Y213">
            <v>3.9479000000000002</v>
          </cell>
          <cell r="Z213">
            <v>5.7743000000000002</v>
          </cell>
          <cell r="AA213">
            <v>1.8264</v>
          </cell>
          <cell r="AB213" t="e">
            <v>#N/A</v>
          </cell>
          <cell r="AC213" t="e">
            <v>#N/A</v>
          </cell>
          <cell r="AD213" t="str">
            <v>0901-05</v>
          </cell>
          <cell r="AE213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4">
          <cell r="A214" t="str">
            <v>903-05</v>
          </cell>
          <cell r="B214">
            <v>4018</v>
          </cell>
          <cell r="C214" t="str">
            <v>DE.1.0.7.0</v>
          </cell>
          <cell r="D214" t="str">
            <v>204:1063</v>
          </cell>
          <cell r="E214">
            <v>42587.355578703704</v>
          </cell>
          <cell r="F214">
            <v>42587.356585648151</v>
          </cell>
          <cell r="G214">
            <v>1</v>
          </cell>
          <cell r="H214" t="str">
            <v>300:24229</v>
          </cell>
          <cell r="I214">
            <v>42587.36378472222</v>
          </cell>
          <cell r="J214">
            <v>0</v>
          </cell>
          <cell r="K214" t="str">
            <v>4017/4018</v>
          </cell>
          <cell r="L214" t="str">
            <v>STRICKLAND</v>
          </cell>
          <cell r="M214">
            <v>7.1990740689216182E-3</v>
          </cell>
          <cell r="N214">
            <v>10.36666665924713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https://search-rtdc-monitor-bjffxe2xuh6vdkpspy63sjmuny.us-east-1.es.amazonaws.com/_plugin/kibana/#/discover/Steve-Slow-Train-Analysis-(2080s-and-2083s)?_g=(refreshInterval:(display:Off,section:0,value:0),time:(from:'2016-08-05 07:32:02-0600',mode:absolute,to:'2016-08-05 09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4" t="str">
            <v>Y</v>
          </cell>
          <cell r="X214">
            <v>2</v>
          </cell>
          <cell r="Y214">
            <v>0.10630000000000001</v>
          </cell>
          <cell r="Z214">
            <v>2.4228999999999998</v>
          </cell>
          <cell r="AA214">
            <v>2.3165999999999998</v>
          </cell>
          <cell r="AB214" t="e">
            <v>#N/A</v>
          </cell>
          <cell r="AC214" t="e">
            <v>#N/A</v>
          </cell>
          <cell r="AD214" t="str">
            <v>0903-05</v>
          </cell>
          <cell r="AE21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5">
          <cell r="A215" t="str">
            <v>303-05</v>
          </cell>
          <cell r="B215">
            <v>4027</v>
          </cell>
          <cell r="C215" t="str">
            <v>DE.1.0.7.0</v>
          </cell>
          <cell r="D215" t="str">
            <v>204:449</v>
          </cell>
          <cell r="E215">
            <v>42587.776805555557</v>
          </cell>
          <cell r="F215">
            <v>42587.777766203704</v>
          </cell>
          <cell r="G215">
            <v>1</v>
          </cell>
          <cell r="H215" t="str">
            <v>300:23325</v>
          </cell>
          <cell r="I215">
            <v>42587.78528935185</v>
          </cell>
          <cell r="J215">
            <v>0</v>
          </cell>
          <cell r="K215" t="str">
            <v>4027/4028</v>
          </cell>
          <cell r="L215" t="str">
            <v>MOSES</v>
          </cell>
          <cell r="M215">
            <v>7.5231481459923089E-3</v>
          </cell>
          <cell r="N215">
            <v>10.833333330228925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https://search-rtdc-monitor-bjffxe2xuh6vdkpspy63sjmuny.us-east-1.es.amazonaws.com/_plugin/kibana/#/discover/Steve-Slow-Train-Analysis-(2080s-and-2083s)?_g=(refreshInterval:(display:Off,section:0,value:0),time:(from:'2016-08-05 17:38:36-0600',mode:absolute,to:'2016-08-05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5" t="str">
            <v>Y</v>
          </cell>
          <cell r="X215">
            <v>-600</v>
          </cell>
          <cell r="Y215">
            <v>4.4900000000000002E-2</v>
          </cell>
          <cell r="Z215">
            <v>2.3325</v>
          </cell>
          <cell r="AA215">
            <v>2.2875999999999999</v>
          </cell>
          <cell r="AB215" t="e">
            <v>#N/A</v>
          </cell>
          <cell r="AC215" t="e">
            <v>#N/A</v>
          </cell>
          <cell r="AD215" t="str">
            <v>0303-05</v>
          </cell>
          <cell r="AE21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16">
          <cell r="A216" t="str">
            <v>307-05</v>
          </cell>
          <cell r="B216">
            <v>4029</v>
          </cell>
          <cell r="C216" t="str">
            <v>DE.1.0.7.0</v>
          </cell>
          <cell r="D216" t="str">
            <v>204:672</v>
          </cell>
          <cell r="E216">
            <v>42587.82439814815</v>
          </cell>
          <cell r="F216">
            <v>42587.82540509259</v>
          </cell>
          <cell r="G216">
            <v>1</v>
          </cell>
          <cell r="H216" t="str">
            <v>300:23314</v>
          </cell>
          <cell r="I216">
            <v>42587.832754629628</v>
          </cell>
          <cell r="J216">
            <v>0</v>
          </cell>
          <cell r="K216" t="str">
            <v>4029/4030</v>
          </cell>
          <cell r="L216" t="str">
            <v>SWANSON</v>
          </cell>
          <cell r="M216">
            <v>7.3495370379532687E-3</v>
          </cell>
          <cell r="N216">
            <v>10.583333334652707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https://search-rtdc-monitor-bjffxe2xuh6vdkpspy63sjmuny.us-east-1.es.amazonaws.com/_plugin/kibana/#/discover/Steve-Slow-Train-Analysis-(2080s-and-2083s)?_g=(refreshInterval:(display:Off,section:0,value:0),time:(from:'2016-08-05 18:47:08-0600',mode:absolute,to:'2016-08-05 20:59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6" t="str">
            <v>Y</v>
          </cell>
          <cell r="X216">
            <v>4</v>
          </cell>
          <cell r="Y216">
            <v>6.7199999999999996E-2</v>
          </cell>
          <cell r="Z216">
            <v>2.3313999999999999</v>
          </cell>
          <cell r="AA216">
            <v>2.2641999999999998</v>
          </cell>
          <cell r="AB216" t="e">
            <v>#N/A</v>
          </cell>
          <cell r="AC216" t="e">
            <v>#N/A</v>
          </cell>
          <cell r="AD216" t="str">
            <v>0307-05</v>
          </cell>
          <cell r="AE216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217">
          <cell r="A217" t="str">
            <v>309-05</v>
          </cell>
          <cell r="B217">
            <v>4009</v>
          </cell>
          <cell r="C217" t="str">
            <v>DE.1.0.7.0</v>
          </cell>
          <cell r="D217" t="str">
            <v>204:478</v>
          </cell>
          <cell r="E217">
            <v>42588.046377314815</v>
          </cell>
          <cell r="F217">
            <v>42588.047349537039</v>
          </cell>
          <cell r="G217">
            <v>1</v>
          </cell>
          <cell r="H217" t="str">
            <v>300:23304</v>
          </cell>
          <cell r="I217">
            <v>42588.055393518516</v>
          </cell>
          <cell r="J217">
            <v>0</v>
          </cell>
          <cell r="K217" t="str">
            <v>4009/4010</v>
          </cell>
          <cell r="L217" t="str">
            <v>HAITHCOX</v>
          </cell>
          <cell r="M217">
            <v>8.0439814773853868E-3</v>
          </cell>
          <cell r="N217">
            <v>11.583333327434957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https://search-rtdc-monitor-bjffxe2xuh6vdkpspy63sjmuny.us-east-1.es.amazonaws.com/_plugin/kibana/#/discover/Steve-Slow-Train-Analysis-(2080s-and-2083s)?_g=(refreshInterval:(display:Off,section:0,value:0),time:(from:'2016-08-06 00:06:47-0600',mode:absolute,to:'2016-08-06 02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7" t="str">
            <v>Y</v>
          </cell>
          <cell r="X217">
            <v>2</v>
          </cell>
          <cell r="Y217">
            <v>4.7800000000000002E-2</v>
          </cell>
          <cell r="Z217">
            <v>2.3304</v>
          </cell>
          <cell r="AA217">
            <v>2.2826</v>
          </cell>
          <cell r="AB217" t="e">
            <v>#N/A</v>
          </cell>
          <cell r="AC217" t="e">
            <v>#N/A</v>
          </cell>
          <cell r="AD217" t="str">
            <v>0309-05</v>
          </cell>
          <cell r="AE21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18">
          <cell r="A218" t="str">
            <v>311-05</v>
          </cell>
          <cell r="B218">
            <v>4020</v>
          </cell>
          <cell r="C218" t="str">
            <v>DE.1.0.7.0</v>
          </cell>
          <cell r="D218" t="str">
            <v>204:471</v>
          </cell>
          <cell r="E218">
            <v>42588.070185185185</v>
          </cell>
          <cell r="F218">
            <v>42588.070983796293</v>
          </cell>
          <cell r="G218">
            <v>1</v>
          </cell>
          <cell r="H218" t="str">
            <v>300:23295</v>
          </cell>
          <cell r="I218">
            <v>42588.078634259262</v>
          </cell>
          <cell r="J218">
            <v>0</v>
          </cell>
          <cell r="K218" t="str">
            <v>4019/4020</v>
          </cell>
          <cell r="L218" t="str">
            <v>CHANDLER</v>
          </cell>
          <cell r="M218">
            <v>7.6504629687406123E-3</v>
          </cell>
          <cell r="N218">
            <v>11.016666674986482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https://search-rtdc-monitor-bjffxe2xuh6vdkpspy63sjmuny.us-east-1.es.amazonaws.com/_plugin/kibana/#/discover/Steve-Slow-Train-Analysis-(2080s-and-2083s)?_g=(refreshInterval:(display:Off,section:0,value:0),time:(from:'2016-08-06 00:41:04-0600',mode:absolute,to:'2016-08-06 02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8" t="str">
            <v>Y</v>
          </cell>
          <cell r="X218">
            <v>2</v>
          </cell>
          <cell r="Y218">
            <v>4.7100000000000003E-2</v>
          </cell>
          <cell r="Z218">
            <v>2.3294999999999999</v>
          </cell>
          <cell r="AA218">
            <v>2.2824</v>
          </cell>
          <cell r="AB218" t="e">
            <v>#N/A</v>
          </cell>
          <cell r="AC218" t="e">
            <v>#N/A</v>
          </cell>
          <cell r="AD218" t="str">
            <v>0311-05</v>
          </cell>
          <cell r="AE218" t="str">
            <v>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 &amp; 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</v>
          </cell>
        </row>
        <row r="219">
          <cell r="A219" t="str">
            <v>313-05</v>
          </cell>
          <cell r="B219">
            <v>4038</v>
          </cell>
          <cell r="C219" t="str">
            <v>DE.1.0.7.0</v>
          </cell>
          <cell r="D219" t="str">
            <v>204:446</v>
          </cell>
          <cell r="E219">
            <v>42588.090729166666</v>
          </cell>
          <cell r="F219">
            <v>42588.091863425929</v>
          </cell>
          <cell r="G219">
            <v>1</v>
          </cell>
          <cell r="H219" t="str">
            <v>300:23306</v>
          </cell>
          <cell r="I219">
            <v>42588.103518518517</v>
          </cell>
          <cell r="J219">
            <v>0</v>
          </cell>
          <cell r="K219" t="str">
            <v>4037/4038</v>
          </cell>
          <cell r="L219" t="str">
            <v>ROBINSON</v>
          </cell>
          <cell r="M219">
            <v>1.1655092588625848E-2</v>
          </cell>
          <cell r="N219">
            <v>16.783333327621222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9" t="str">
            <v>Y</v>
          </cell>
          <cell r="X219">
            <v>2</v>
          </cell>
          <cell r="Y219">
            <v>4.4600000000000001E-2</v>
          </cell>
          <cell r="Z219">
            <v>2.3306</v>
          </cell>
          <cell r="AA219">
            <v>2.286</v>
          </cell>
          <cell r="AB219" t="e">
            <v>#N/A</v>
          </cell>
          <cell r="AC219" t="e">
            <v>#N/A</v>
          </cell>
          <cell r="AD219" t="str">
            <v>0313-05</v>
          </cell>
          <cell r="AE21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20">
          <cell r="A220" t="str">
            <v>315-04</v>
          </cell>
          <cell r="B220">
            <v>4007</v>
          </cell>
          <cell r="C220" t="str">
            <v>DE.1.0.7.0</v>
          </cell>
          <cell r="D220" t="str">
            <v>204:471</v>
          </cell>
          <cell r="E220">
            <v>42587.091157407405</v>
          </cell>
          <cell r="F220">
            <v>42587.092152777775</v>
          </cell>
          <cell r="G220">
            <v>1</v>
          </cell>
          <cell r="H220" t="str">
            <v>300:23304</v>
          </cell>
          <cell r="I220">
            <v>42587.100266203706</v>
          </cell>
          <cell r="J220">
            <v>0</v>
          </cell>
          <cell r="K220" t="str">
            <v>4007/4008</v>
          </cell>
          <cell r="L220" t="str">
            <v>STURGEON</v>
          </cell>
          <cell r="M220">
            <v>8.1134259307873435E-3</v>
          </cell>
          <cell r="N220">
            <v>11.683333340333775</v>
          </cell>
          <cell r="S220">
            <v>1</v>
          </cell>
          <cell r="T220" t="str">
            <v>NorthBound</v>
          </cell>
          <cell r="U220">
            <v>1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20" t="str">
            <v>Y</v>
          </cell>
          <cell r="X220">
            <v>2</v>
          </cell>
          <cell r="Y220">
            <v>4.7100000000000003E-2</v>
          </cell>
          <cell r="Z220">
            <v>2.3304</v>
          </cell>
          <cell r="AA220">
            <v>2.2833000000000001</v>
          </cell>
          <cell r="AB220" t="e">
            <v>#N/A</v>
          </cell>
          <cell r="AC220" t="e">
            <v>#N/A</v>
          </cell>
          <cell r="AD220" t="str">
            <v>0315-04</v>
          </cell>
          <cell r="AE220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</sheetData>
      <sheetData sheetId="1" refreshError="1"/>
      <sheetData sheetId="2" refreshError="1"/>
      <sheetData sheetId="3">
        <row r="1">
          <cell r="C1" t="str">
            <v>108-05</v>
          </cell>
          <cell r="D1">
            <v>1240000</v>
          </cell>
          <cell r="E1" t="str">
            <v>GRASTON</v>
          </cell>
        </row>
        <row r="2">
          <cell r="C2" t="str">
            <v>176-05</v>
          </cell>
          <cell r="D2">
            <v>1520000</v>
          </cell>
          <cell r="E2" t="str">
            <v>MAYBERRY</v>
          </cell>
        </row>
        <row r="3">
          <cell r="C3" t="str">
            <v>186-05</v>
          </cell>
          <cell r="D3">
            <v>2150000</v>
          </cell>
          <cell r="E3" t="str">
            <v>SWANSON</v>
          </cell>
        </row>
        <row r="4">
          <cell r="C4" t="str">
            <v>213-05</v>
          </cell>
          <cell r="D4">
            <v>2090000</v>
          </cell>
          <cell r="E4" t="str">
            <v>HAITHCOX</v>
          </cell>
        </row>
        <row r="5">
          <cell r="C5" t="str">
            <v>303-05</v>
          </cell>
          <cell r="D5">
            <v>2040000</v>
          </cell>
          <cell r="E5" t="str">
            <v>MOSES</v>
          </cell>
        </row>
        <row r="6">
          <cell r="C6" t="str">
            <v>903-05</v>
          </cell>
          <cell r="D6">
            <v>1760000</v>
          </cell>
          <cell r="E6" t="str">
            <v>STRICKLAND</v>
          </cell>
        </row>
        <row r="7">
          <cell r="C7" t="str">
            <v>229-05</v>
          </cell>
          <cell r="D7">
            <v>1300000</v>
          </cell>
          <cell r="E7" t="str">
            <v>LEVIN</v>
          </cell>
        </row>
        <row r="8">
          <cell r="C8" t="str">
            <v>845-05</v>
          </cell>
          <cell r="D8">
            <v>1810000</v>
          </cell>
          <cell r="E8" t="str">
            <v>NEWELL</v>
          </cell>
        </row>
        <row r="9">
          <cell r="C9" t="str">
            <v>845-05</v>
          </cell>
          <cell r="D9">
            <v>1810000</v>
          </cell>
          <cell r="E9" t="str">
            <v>NEWELL</v>
          </cell>
        </row>
        <row r="10">
          <cell r="C10" t="str">
            <v>847-05</v>
          </cell>
          <cell r="D10">
            <v>1810000</v>
          </cell>
          <cell r="E10" t="str">
            <v>NEWELL</v>
          </cell>
        </row>
        <row r="11">
          <cell r="C11" t="str">
            <v>237-05</v>
          </cell>
          <cell r="D11">
            <v>1300000</v>
          </cell>
          <cell r="E11" t="str">
            <v>LEVIN</v>
          </cell>
        </row>
        <row r="12">
          <cell r="C12" t="str">
            <v>311-04</v>
          </cell>
          <cell r="D12">
            <v>1290000</v>
          </cell>
          <cell r="E12" t="str">
            <v>COOLAHAN</v>
          </cell>
        </row>
        <row r="13">
          <cell r="C13" t="str">
            <v>243-05</v>
          </cell>
          <cell r="D13">
            <v>2140000</v>
          </cell>
          <cell r="E13" t="str">
            <v>ROBINSON</v>
          </cell>
        </row>
        <row r="14">
          <cell r="C14" t="str">
            <v>211-05</v>
          </cell>
          <cell r="D14">
            <v>2020000</v>
          </cell>
          <cell r="E14" t="str">
            <v>SHOOK</v>
          </cell>
        </row>
        <row r="15">
          <cell r="C15" t="str">
            <v>311-05</v>
          </cell>
          <cell r="D15">
            <v>1800000</v>
          </cell>
          <cell r="E15" t="str">
            <v>CHANDLER</v>
          </cell>
        </row>
        <row r="16">
          <cell r="C16" t="str">
            <v>826-05</v>
          </cell>
          <cell r="D16">
            <v>2000000</v>
          </cell>
          <cell r="E16" t="str">
            <v>STAMBAUGH</v>
          </cell>
        </row>
        <row r="17">
          <cell r="C17" t="str">
            <v>315-05</v>
          </cell>
          <cell r="D17">
            <v>1300000</v>
          </cell>
          <cell r="E17" t="str">
            <v>LEVIN</v>
          </cell>
        </row>
        <row r="18">
          <cell r="C18" t="str">
            <v>827-05</v>
          </cell>
          <cell r="D18">
            <v>1810000</v>
          </cell>
          <cell r="E18" t="str">
            <v>NEWELL</v>
          </cell>
        </row>
        <row r="19">
          <cell r="C19" t="str">
            <v>101-06</v>
          </cell>
          <cell r="D19">
            <v>2010000</v>
          </cell>
          <cell r="E19" t="str">
            <v>MAELZER</v>
          </cell>
        </row>
        <row r="20">
          <cell r="C20" t="str">
            <v>904-05</v>
          </cell>
          <cell r="D20">
            <v>1810000</v>
          </cell>
          <cell r="E20" t="str">
            <v>NEWELL</v>
          </cell>
        </row>
        <row r="21">
          <cell r="C21" t="str">
            <v>103-06</v>
          </cell>
          <cell r="D21">
            <v>1360000</v>
          </cell>
          <cell r="E21" t="str">
            <v>SANTIZO</v>
          </cell>
        </row>
        <row r="22">
          <cell r="C22" t="str">
            <v>168-05</v>
          </cell>
          <cell r="D22">
            <v>1540000</v>
          </cell>
          <cell r="E22" t="str">
            <v>HELVIE</v>
          </cell>
        </row>
        <row r="23">
          <cell r="C23" t="str">
            <v>106-06</v>
          </cell>
          <cell r="D23">
            <v>1260000</v>
          </cell>
          <cell r="E23" t="str">
            <v>ACKERMAN</v>
          </cell>
        </row>
        <row r="24">
          <cell r="C24" t="str">
            <v>151-05</v>
          </cell>
          <cell r="D24">
            <v>2100000</v>
          </cell>
          <cell r="E24" t="str">
            <v>ISHMAEL</v>
          </cell>
        </row>
        <row r="25">
          <cell r="C25" t="str">
            <v>1803-06</v>
          </cell>
          <cell r="D25">
            <v>1830000</v>
          </cell>
          <cell r="E25" t="str">
            <v>YORK</v>
          </cell>
        </row>
        <row r="26">
          <cell r="C26" t="str">
            <v>145-05</v>
          </cell>
          <cell r="D26">
            <v>1990000</v>
          </cell>
          <cell r="E26" t="str">
            <v>DAVIS</v>
          </cell>
        </row>
        <row r="27">
          <cell r="C27" t="str">
            <v>122-06</v>
          </cell>
          <cell r="D27">
            <v>1990000</v>
          </cell>
          <cell r="E27" t="str">
            <v>DAVIS</v>
          </cell>
        </row>
        <row r="28">
          <cell r="C28" t="str">
            <v>125-05</v>
          </cell>
          <cell r="D28">
            <v>1360000</v>
          </cell>
          <cell r="E28" t="str">
            <v>SANTIZO</v>
          </cell>
        </row>
        <row r="29">
          <cell r="C29" t="str">
            <v>240-04</v>
          </cell>
          <cell r="D29">
            <v>1290000</v>
          </cell>
          <cell r="E29" t="str">
            <v>COOLAHAN</v>
          </cell>
        </row>
        <row r="30">
          <cell r="C30" t="str">
            <v>803-05</v>
          </cell>
          <cell r="D30">
            <v>1830000</v>
          </cell>
          <cell r="E30" t="str">
            <v>YORK</v>
          </cell>
        </row>
        <row r="31">
          <cell r="C31" t="str">
            <v>106-05</v>
          </cell>
          <cell r="D31">
            <v>1310000</v>
          </cell>
          <cell r="E31" t="str">
            <v>MALAVE</v>
          </cell>
        </row>
        <row r="32">
          <cell r="C32" t="str">
            <v>101-05</v>
          </cell>
          <cell r="D32">
            <v>2010000</v>
          </cell>
          <cell r="E32" t="str">
            <v>MAELZER</v>
          </cell>
        </row>
        <row r="33">
          <cell r="C33" t="str">
            <v>114-05</v>
          </cell>
          <cell r="D33">
            <v>2010000</v>
          </cell>
          <cell r="E33" t="str">
            <v>MAELZER</v>
          </cell>
        </row>
        <row r="34">
          <cell r="C34" t="str">
            <v>1802-06</v>
          </cell>
          <cell r="D34">
            <v>1830000</v>
          </cell>
          <cell r="E34" t="str">
            <v>YORK</v>
          </cell>
        </row>
        <row r="35">
          <cell r="C35" t="str">
            <v>817-05</v>
          </cell>
          <cell r="D35">
            <v>1830000</v>
          </cell>
          <cell r="E35" t="str">
            <v>YORK</v>
          </cell>
        </row>
        <row r="36">
          <cell r="C36" t="str">
            <v>1801-06</v>
          </cell>
          <cell r="D36">
            <v>1830000</v>
          </cell>
          <cell r="E36" t="str">
            <v>YORK</v>
          </cell>
        </row>
        <row r="37">
          <cell r="C37" t="str">
            <v>828-05</v>
          </cell>
          <cell r="D37">
            <v>1810000</v>
          </cell>
          <cell r="E37" t="str">
            <v>NEWELL</v>
          </cell>
        </row>
        <row r="38">
          <cell r="C38" t="str">
            <v>1801-06</v>
          </cell>
          <cell r="D38">
            <v>1830000</v>
          </cell>
          <cell r="E38" t="str">
            <v>YORK</v>
          </cell>
        </row>
        <row r="39">
          <cell r="C39" t="str">
            <v>200-05</v>
          </cell>
          <cell r="D39">
            <v>2150000</v>
          </cell>
          <cell r="E39" t="str">
            <v>SWANSON</v>
          </cell>
        </row>
        <row r="40">
          <cell r="C40" t="str">
            <v>112-06</v>
          </cell>
          <cell r="D40">
            <v>1100000</v>
          </cell>
          <cell r="E40" t="str">
            <v>GEBRETEKLE</v>
          </cell>
        </row>
        <row r="41">
          <cell r="C41" t="str">
            <v>207-05</v>
          </cell>
          <cell r="D41">
            <v>2040000</v>
          </cell>
          <cell r="E41" t="str">
            <v>MOSES</v>
          </cell>
        </row>
        <row r="42">
          <cell r="C42" t="str">
            <v>1901-06</v>
          </cell>
          <cell r="D42">
            <v>1830000</v>
          </cell>
          <cell r="E42" t="str">
            <v>YORK</v>
          </cell>
        </row>
        <row r="43">
          <cell r="C43" t="str">
            <v>223-05</v>
          </cell>
          <cell r="D43">
            <v>2090000</v>
          </cell>
          <cell r="E43" t="str">
            <v>HAITHCOX</v>
          </cell>
        </row>
        <row r="44">
          <cell r="C44" t="str">
            <v>122-06</v>
          </cell>
          <cell r="D44">
            <v>1990000</v>
          </cell>
          <cell r="E44" t="str">
            <v>DAVIS</v>
          </cell>
        </row>
        <row r="45">
          <cell r="C45" t="str">
            <v>119-06</v>
          </cell>
          <cell r="D45">
            <v>1260000</v>
          </cell>
          <cell r="E45" t="str">
            <v>ACKERMAN</v>
          </cell>
        </row>
        <row r="46">
          <cell r="C46" t="str">
            <v>108-06</v>
          </cell>
          <cell r="D46">
            <v>1990000</v>
          </cell>
          <cell r="E46" t="str">
            <v>DAVIS</v>
          </cell>
        </row>
        <row r="47">
          <cell r="C47" t="str">
            <v>313-04</v>
          </cell>
          <cell r="D47">
            <v>1300000</v>
          </cell>
          <cell r="E47" t="str">
            <v>LEVIN</v>
          </cell>
        </row>
        <row r="48">
          <cell r="C48" t="str">
            <v>116-06</v>
          </cell>
          <cell r="D48">
            <v>1760000</v>
          </cell>
          <cell r="E48" t="str">
            <v>STRICKLAND</v>
          </cell>
        </row>
        <row r="49">
          <cell r="C49" t="str">
            <v>109-05</v>
          </cell>
          <cell r="D49">
            <v>2100000</v>
          </cell>
          <cell r="E49" t="str">
            <v>ISHMAEL</v>
          </cell>
        </row>
        <row r="50">
          <cell r="C50" t="str">
            <v>105-06</v>
          </cell>
          <cell r="D50">
            <v>1260000</v>
          </cell>
          <cell r="E50" t="str">
            <v>ACKERMAN</v>
          </cell>
        </row>
        <row r="51">
          <cell r="C51" t="str">
            <v>127-05</v>
          </cell>
          <cell r="D51">
            <v>2010000</v>
          </cell>
          <cell r="E51" t="str">
            <v>MAELZER</v>
          </cell>
        </row>
        <row r="52">
          <cell r="C52" t="str">
            <v>906-05</v>
          </cell>
          <cell r="D52">
            <v>1810000</v>
          </cell>
          <cell r="E52" t="str">
            <v>NEWELL</v>
          </cell>
        </row>
        <row r="53">
          <cell r="C53" t="str">
            <v>132-05</v>
          </cell>
          <cell r="D53">
            <v>1990000</v>
          </cell>
          <cell r="E53" t="str">
            <v>DAVIS</v>
          </cell>
        </row>
        <row r="54">
          <cell r="C54" t="str">
            <v>170-05</v>
          </cell>
          <cell r="D54">
            <v>2020000</v>
          </cell>
          <cell r="E54" t="str">
            <v>SHOOK</v>
          </cell>
        </row>
        <row r="55">
          <cell r="C55" t="str">
            <v>147-05</v>
          </cell>
          <cell r="D55">
            <v>1310000</v>
          </cell>
          <cell r="E55" t="str">
            <v>MALAVE</v>
          </cell>
        </row>
        <row r="56">
          <cell r="C56" t="str">
            <v>171-05</v>
          </cell>
          <cell r="D56">
            <v>2150000</v>
          </cell>
          <cell r="E56" t="str">
            <v>SWANSON</v>
          </cell>
        </row>
        <row r="57">
          <cell r="C57" t="str">
            <v>142-05</v>
          </cell>
          <cell r="D57">
            <v>2010000</v>
          </cell>
          <cell r="E57" t="str">
            <v>MAELZER</v>
          </cell>
        </row>
        <row r="58">
          <cell r="C58" t="str">
            <v>159-05</v>
          </cell>
          <cell r="D58">
            <v>880000</v>
          </cell>
          <cell r="E58" t="str">
            <v>STEWART</v>
          </cell>
        </row>
        <row r="59">
          <cell r="C59" t="str">
            <v>182-05</v>
          </cell>
          <cell r="D59">
            <v>1540000</v>
          </cell>
          <cell r="E59" t="str">
            <v>HELVIE</v>
          </cell>
        </row>
        <row r="60">
          <cell r="C60" t="str">
            <v>812-05</v>
          </cell>
          <cell r="D60">
            <v>1830000</v>
          </cell>
          <cell r="E60" t="str">
            <v>YORK</v>
          </cell>
        </row>
        <row r="61">
          <cell r="C61" t="str">
            <v>189-05</v>
          </cell>
          <cell r="D61">
            <v>1520000</v>
          </cell>
          <cell r="E61" t="str">
            <v>MAYBERRY</v>
          </cell>
        </row>
        <row r="62">
          <cell r="C62" t="str">
            <v>121-05</v>
          </cell>
          <cell r="D62">
            <v>1240000</v>
          </cell>
          <cell r="E62" t="str">
            <v>GRASTON</v>
          </cell>
        </row>
        <row r="63">
          <cell r="C63" t="str">
            <v>833-05</v>
          </cell>
          <cell r="D63">
            <v>2000000</v>
          </cell>
          <cell r="E63" t="str">
            <v>STAMBAUGH</v>
          </cell>
        </row>
        <row r="64">
          <cell r="C64" t="str">
            <v>111-05</v>
          </cell>
          <cell r="D64">
            <v>1360000</v>
          </cell>
          <cell r="E64" t="str">
            <v>SANTIZO</v>
          </cell>
        </row>
        <row r="65">
          <cell r="C65" t="str">
            <v>123-06</v>
          </cell>
          <cell r="D65">
            <v>1740000</v>
          </cell>
          <cell r="E65" t="str">
            <v>STORY</v>
          </cell>
        </row>
        <row r="66">
          <cell r="C66" t="str">
            <v>309-04</v>
          </cell>
          <cell r="D66">
            <v>2140000</v>
          </cell>
          <cell r="E66" t="str">
            <v>ROBINSON</v>
          </cell>
        </row>
        <row r="67">
          <cell r="C67" t="str">
            <v>120-06</v>
          </cell>
          <cell r="D67">
            <v>1260000</v>
          </cell>
          <cell r="E67" t="str">
            <v>ACKERMAN</v>
          </cell>
        </row>
        <row r="68">
          <cell r="C68" t="str">
            <v>226-05</v>
          </cell>
          <cell r="D68">
            <v>1800000</v>
          </cell>
          <cell r="E68" t="str">
            <v>CHANDLER</v>
          </cell>
        </row>
        <row r="69">
          <cell r="C69" t="str">
            <v>311-04</v>
          </cell>
          <cell r="D69">
            <v>1290000</v>
          </cell>
          <cell r="E69" t="str">
            <v>COOLAHAN</v>
          </cell>
        </row>
        <row r="70">
          <cell r="C70" t="str">
            <v>842-05</v>
          </cell>
          <cell r="D70">
            <v>2000000</v>
          </cell>
          <cell r="E70" t="str">
            <v>STAMBAUGH</v>
          </cell>
        </row>
        <row r="71">
          <cell r="C71" t="str">
            <v>117-05</v>
          </cell>
          <cell r="D71">
            <v>1990000</v>
          </cell>
          <cell r="E71" t="str">
            <v>DAVIS</v>
          </cell>
        </row>
        <row r="72">
          <cell r="C72" t="str">
            <v>174-05</v>
          </cell>
          <cell r="D72">
            <v>880000</v>
          </cell>
          <cell r="E72" t="str">
            <v>STEWART</v>
          </cell>
        </row>
        <row r="73">
          <cell r="C73" t="str">
            <v>155-05</v>
          </cell>
          <cell r="D73">
            <v>1760000</v>
          </cell>
          <cell r="E73" t="str">
            <v>STRICKLAND</v>
          </cell>
        </row>
        <row r="74">
          <cell r="C74" t="str">
            <v>169-05</v>
          </cell>
          <cell r="D74">
            <v>2020000</v>
          </cell>
          <cell r="E74" t="str">
            <v>SHOOK</v>
          </cell>
        </row>
        <row r="75">
          <cell r="C75" t="str">
            <v>201-05</v>
          </cell>
          <cell r="D75">
            <v>880000</v>
          </cell>
          <cell r="E75" t="str">
            <v>STEWART</v>
          </cell>
        </row>
        <row r="76">
          <cell r="C76" t="str">
            <v>819-05</v>
          </cell>
          <cell r="D76">
            <v>1830000</v>
          </cell>
          <cell r="E76" t="str">
            <v>YORK</v>
          </cell>
        </row>
        <row r="77">
          <cell r="C77" t="str">
            <v>221-05</v>
          </cell>
          <cell r="D77">
            <v>1300000</v>
          </cell>
          <cell r="E77" t="str">
            <v>LEVIN</v>
          </cell>
        </row>
        <row r="78">
          <cell r="C78" t="str">
            <v>809-05</v>
          </cell>
          <cell r="D78">
            <v>1760000</v>
          </cell>
          <cell r="E78" t="str">
            <v>STRICKLAND</v>
          </cell>
        </row>
        <row r="79">
          <cell r="C79" t="str">
            <v>315-04</v>
          </cell>
          <cell r="D79">
            <v>1480000</v>
          </cell>
          <cell r="E79" t="str">
            <v>STURGEON</v>
          </cell>
        </row>
        <row r="80">
          <cell r="C80" t="str">
            <v>233-05</v>
          </cell>
          <cell r="D80">
            <v>1800000</v>
          </cell>
          <cell r="E80" t="str">
            <v>CHANDLER</v>
          </cell>
        </row>
        <row r="81">
          <cell r="C81" t="str">
            <v>807-05</v>
          </cell>
          <cell r="D81">
            <v>1830000</v>
          </cell>
          <cell r="E81" t="str">
            <v>YORK</v>
          </cell>
        </row>
        <row r="82">
          <cell r="C82" t="str">
            <v>222-05</v>
          </cell>
          <cell r="D82">
            <v>1300000</v>
          </cell>
          <cell r="E82" t="str">
            <v>LEVIN</v>
          </cell>
        </row>
        <row r="83">
          <cell r="C83" t="str">
            <v>131-05</v>
          </cell>
          <cell r="D83">
            <v>1990000</v>
          </cell>
          <cell r="E83" t="str">
            <v>DAVIS</v>
          </cell>
        </row>
        <row r="84">
          <cell r="C84" t="str">
            <v>218-05</v>
          </cell>
          <cell r="D84">
            <v>1800000</v>
          </cell>
          <cell r="E84" t="str">
            <v>CHANDLER</v>
          </cell>
        </row>
        <row r="85">
          <cell r="C85" t="str">
            <v>823-05</v>
          </cell>
          <cell r="D85">
            <v>2000000</v>
          </cell>
          <cell r="E85" t="str">
            <v>STAMBAUGH</v>
          </cell>
        </row>
        <row r="86">
          <cell r="C86" t="str">
            <v>158-05</v>
          </cell>
          <cell r="D86">
            <v>900000</v>
          </cell>
          <cell r="E86" t="str">
            <v>ROCHA</v>
          </cell>
        </row>
        <row r="87">
          <cell r="C87" t="str">
            <v>184-05</v>
          </cell>
          <cell r="D87">
            <v>2020000</v>
          </cell>
          <cell r="E87" t="str">
            <v>SHOOK</v>
          </cell>
        </row>
        <row r="88">
          <cell r="C88" t="str">
            <v>130-05</v>
          </cell>
          <cell r="D88">
            <v>900000</v>
          </cell>
          <cell r="E88" t="str">
            <v>ROCHA</v>
          </cell>
        </row>
        <row r="89">
          <cell r="C89" t="str">
            <v>839-05</v>
          </cell>
          <cell r="D89">
            <v>1810000</v>
          </cell>
          <cell r="E89" t="str">
            <v>NEWELL</v>
          </cell>
        </row>
        <row r="90">
          <cell r="C90" t="str">
            <v>116-05</v>
          </cell>
          <cell r="D90">
            <v>900000</v>
          </cell>
          <cell r="E90" t="str">
            <v>ROCHA</v>
          </cell>
        </row>
        <row r="91">
          <cell r="C91" t="str">
            <v>841-05</v>
          </cell>
          <cell r="D91">
            <v>2000000</v>
          </cell>
          <cell r="E91" t="str">
            <v>STAMBAUGH</v>
          </cell>
        </row>
        <row r="92">
          <cell r="C92" t="str">
            <v>801-05</v>
          </cell>
          <cell r="D92">
            <v>1760000</v>
          </cell>
          <cell r="E92" t="str">
            <v>STRICKLAND</v>
          </cell>
        </row>
        <row r="93">
          <cell r="C93" t="str">
            <v>102-05</v>
          </cell>
          <cell r="D93">
            <v>2010000</v>
          </cell>
          <cell r="E93" t="str">
            <v>MAELZER</v>
          </cell>
        </row>
        <row r="94">
          <cell r="C94" t="str">
            <v>800-05</v>
          </cell>
          <cell r="D94">
            <v>1760000</v>
          </cell>
          <cell r="E94" t="str">
            <v>STRICKLAND</v>
          </cell>
        </row>
        <row r="95">
          <cell r="C95" t="str">
            <v>103-05</v>
          </cell>
          <cell r="D95">
            <v>1990000</v>
          </cell>
          <cell r="E95" t="str">
            <v>DAVIS</v>
          </cell>
        </row>
        <row r="96">
          <cell r="C96" t="str">
            <v>231-05</v>
          </cell>
          <cell r="D96">
            <v>2090000</v>
          </cell>
          <cell r="E96" t="str">
            <v>HAITHCOX</v>
          </cell>
        </row>
        <row r="97">
          <cell r="C97" t="str">
            <v>901-05</v>
          </cell>
          <cell r="D97">
            <v>1760000</v>
          </cell>
          <cell r="E97" t="str">
            <v>STRICKLAND</v>
          </cell>
        </row>
        <row r="98">
          <cell r="C98" t="str">
            <v>166-05</v>
          </cell>
          <cell r="D98">
            <v>2040000</v>
          </cell>
          <cell r="E98" t="str">
            <v>MOSES</v>
          </cell>
        </row>
        <row r="99">
          <cell r="C99" t="str">
            <v>117-05</v>
          </cell>
          <cell r="D99">
            <v>1990000</v>
          </cell>
          <cell r="E99" t="str">
            <v>DAVIS</v>
          </cell>
        </row>
        <row r="100">
          <cell r="C100" t="str">
            <v>144-05</v>
          </cell>
          <cell r="D100">
            <v>900000</v>
          </cell>
          <cell r="E100" t="str">
            <v>ROCHA</v>
          </cell>
        </row>
        <row r="101">
          <cell r="C101" t="str">
            <v>124-05</v>
          </cell>
          <cell r="D101">
            <v>2100000</v>
          </cell>
          <cell r="E101" t="str">
            <v>ISHMAEL</v>
          </cell>
        </row>
        <row r="102">
          <cell r="C102" t="str">
            <v>110-05</v>
          </cell>
          <cell r="D102">
            <v>2100000</v>
          </cell>
          <cell r="E102" t="str">
            <v>ISHMAEL</v>
          </cell>
        </row>
        <row r="103">
          <cell r="C103" t="str">
            <v>150-05</v>
          </cell>
          <cell r="D103">
            <v>1240000</v>
          </cell>
          <cell r="E103" t="str">
            <v>GRASTON</v>
          </cell>
        </row>
        <row r="104">
          <cell r="C104" t="str">
            <v>104-05</v>
          </cell>
          <cell r="D104">
            <v>1990000</v>
          </cell>
          <cell r="E104" t="str">
            <v>DAVIS</v>
          </cell>
        </row>
        <row r="105">
          <cell r="C105" t="str">
            <v>243-04</v>
          </cell>
          <cell r="D105">
            <v>1480000</v>
          </cell>
          <cell r="E105" t="str">
            <v>STURGEON</v>
          </cell>
        </row>
        <row r="106">
          <cell r="C106" t="str">
            <v>107-05</v>
          </cell>
          <cell r="D106">
            <v>1240000</v>
          </cell>
          <cell r="E106" t="str">
            <v>GRASTON</v>
          </cell>
        </row>
        <row r="107">
          <cell r="C107" t="str">
            <v>801-05</v>
          </cell>
          <cell r="D107">
            <v>1760000</v>
          </cell>
          <cell r="E107" t="str">
            <v>STRICKLAND</v>
          </cell>
        </row>
        <row r="108">
          <cell r="C108" t="str">
            <v>242-04</v>
          </cell>
          <cell r="D108">
            <v>1300000</v>
          </cell>
          <cell r="E108" t="str">
            <v>LEVIN</v>
          </cell>
        </row>
        <row r="109">
          <cell r="C109" t="str">
            <v>120-05</v>
          </cell>
          <cell r="D109">
            <v>1310000</v>
          </cell>
          <cell r="E109" t="str">
            <v>MALAVE</v>
          </cell>
        </row>
        <row r="110">
          <cell r="C110" t="str">
            <v>239-05</v>
          </cell>
          <cell r="D110">
            <v>2090000</v>
          </cell>
          <cell r="E110" t="str">
            <v>HAITHCOX</v>
          </cell>
        </row>
        <row r="111">
          <cell r="C111" t="str">
            <v>143-05</v>
          </cell>
          <cell r="D111">
            <v>900000</v>
          </cell>
          <cell r="E111" t="str">
            <v>ROCHA</v>
          </cell>
        </row>
        <row r="112">
          <cell r="C112" t="str">
            <v>163-05</v>
          </cell>
          <cell r="D112">
            <v>2110000</v>
          </cell>
          <cell r="E112" t="str">
            <v>OUN</v>
          </cell>
        </row>
        <row r="113">
          <cell r="C113" t="str">
            <v>138-05</v>
          </cell>
          <cell r="D113">
            <v>2100000</v>
          </cell>
          <cell r="E113" t="str">
            <v>ISHMAEL</v>
          </cell>
        </row>
        <row r="114">
          <cell r="C114" t="str">
            <v>161-05</v>
          </cell>
          <cell r="D114">
            <v>1520000</v>
          </cell>
          <cell r="E114" t="str">
            <v>MAYBERRY</v>
          </cell>
        </row>
        <row r="115">
          <cell r="C115" t="str">
            <v>140-05</v>
          </cell>
          <cell r="D115">
            <v>1360000</v>
          </cell>
          <cell r="E115" t="str">
            <v>SANTIZO</v>
          </cell>
        </row>
        <row r="116">
          <cell r="C116" t="str">
            <v>145-05</v>
          </cell>
          <cell r="D116">
            <v>1990000</v>
          </cell>
          <cell r="E116" t="str">
            <v>DAVIS</v>
          </cell>
        </row>
        <row r="117">
          <cell r="C117" t="str">
            <v>152-05</v>
          </cell>
          <cell r="D117">
            <v>2100000</v>
          </cell>
          <cell r="E117" t="str">
            <v>ISHMAEL</v>
          </cell>
        </row>
        <row r="118">
          <cell r="C118" t="str">
            <v>137-05</v>
          </cell>
          <cell r="D118">
            <v>2100000</v>
          </cell>
          <cell r="E118" t="str">
            <v>ISHMAEL</v>
          </cell>
        </row>
        <row r="119">
          <cell r="C119" t="str">
            <v>177-05</v>
          </cell>
          <cell r="D119">
            <v>2110000</v>
          </cell>
          <cell r="E119" t="str">
            <v>OUN</v>
          </cell>
        </row>
        <row r="120">
          <cell r="C120" t="str">
            <v>800-05</v>
          </cell>
          <cell r="D120">
            <v>1760000</v>
          </cell>
          <cell r="E120" t="str">
            <v>STRICKLAND</v>
          </cell>
        </row>
        <row r="121">
          <cell r="C121" t="str">
            <v>172-05</v>
          </cell>
          <cell r="D121">
            <v>2150000</v>
          </cell>
          <cell r="E121" t="str">
            <v>SWANSON</v>
          </cell>
        </row>
        <row r="122">
          <cell r="C122" t="str">
            <v>234-05</v>
          </cell>
          <cell r="D122">
            <v>1800000</v>
          </cell>
          <cell r="E122" t="str">
            <v>CHANDLER</v>
          </cell>
        </row>
        <row r="123">
          <cell r="C123" t="str">
            <v>212-05</v>
          </cell>
          <cell r="D123">
            <v>2020000</v>
          </cell>
          <cell r="E123" t="str">
            <v>SHOOK</v>
          </cell>
        </row>
        <row r="124">
          <cell r="C124" t="str">
            <v>217-05</v>
          </cell>
          <cell r="D124">
            <v>1800000</v>
          </cell>
          <cell r="E124" t="str">
            <v>CHANDLER</v>
          </cell>
        </row>
        <row r="125">
          <cell r="C125" t="str">
            <v>GOLIGHTLY-04</v>
          </cell>
          <cell r="D125">
            <v>1410000</v>
          </cell>
          <cell r="E125" t="str">
            <v>GOLIGHTLY</v>
          </cell>
        </row>
        <row r="126">
          <cell r="C126" t="str">
            <v>837-05</v>
          </cell>
          <cell r="D126">
            <v>2000000</v>
          </cell>
          <cell r="E126" t="str">
            <v>STAMBAUGH</v>
          </cell>
        </row>
        <row r="127">
          <cell r="C127" t="str">
            <v>136-05</v>
          </cell>
          <cell r="D127">
            <v>1240000</v>
          </cell>
          <cell r="E127" t="str">
            <v>GRASTON</v>
          </cell>
        </row>
        <row r="128">
          <cell r="C128" t="str">
            <v>204-05</v>
          </cell>
          <cell r="D128">
            <v>1520000</v>
          </cell>
          <cell r="E128" t="str">
            <v>MAYBERRY</v>
          </cell>
        </row>
        <row r="129">
          <cell r="C129" t="str">
            <v>188-05</v>
          </cell>
          <cell r="D129">
            <v>880000</v>
          </cell>
          <cell r="E129" t="str">
            <v>STEWART</v>
          </cell>
        </row>
        <row r="130">
          <cell r="C130" t="str">
            <v>831-05</v>
          </cell>
          <cell r="D130">
            <v>1810000</v>
          </cell>
          <cell r="E130" t="str">
            <v>NEWELL</v>
          </cell>
        </row>
        <row r="131">
          <cell r="C131" t="str">
            <v>110-06</v>
          </cell>
          <cell r="D131">
            <v>1740000</v>
          </cell>
          <cell r="E131" t="str">
            <v>STORY</v>
          </cell>
        </row>
        <row r="132">
          <cell r="C132" t="str">
            <v>203-05</v>
          </cell>
          <cell r="D132">
            <v>1520000</v>
          </cell>
          <cell r="E132" t="str">
            <v>MAYBERRY</v>
          </cell>
        </row>
        <row r="133">
          <cell r="C133" t="str">
            <v>115-05</v>
          </cell>
          <cell r="D133">
            <v>900000</v>
          </cell>
          <cell r="E133" t="str">
            <v>ROCHA</v>
          </cell>
        </row>
        <row r="134">
          <cell r="C134" t="str">
            <v>196-05</v>
          </cell>
          <cell r="D134">
            <v>1540000</v>
          </cell>
          <cell r="E134" t="str">
            <v>HELVIE</v>
          </cell>
        </row>
        <row r="135">
          <cell r="C135" t="str">
            <v>805-05</v>
          </cell>
          <cell r="D135">
            <v>1760000</v>
          </cell>
          <cell r="E135" t="str">
            <v>STRICKLAND</v>
          </cell>
        </row>
        <row r="136">
          <cell r="C136" t="str">
            <v>194-05</v>
          </cell>
          <cell r="D136">
            <v>2040000</v>
          </cell>
          <cell r="E136" t="str">
            <v>MOSES</v>
          </cell>
        </row>
        <row r="137">
          <cell r="C137" t="str">
            <v>808-05</v>
          </cell>
          <cell r="D137">
            <v>1830000</v>
          </cell>
          <cell r="E137" t="str">
            <v>YORK</v>
          </cell>
        </row>
        <row r="138">
          <cell r="C138" t="str">
            <v>199-05</v>
          </cell>
          <cell r="D138">
            <v>2150000</v>
          </cell>
          <cell r="E138" t="str">
            <v>SWANSON</v>
          </cell>
        </row>
        <row r="139">
          <cell r="C139" t="str">
            <v>811-05</v>
          </cell>
          <cell r="D139">
            <v>1830000</v>
          </cell>
          <cell r="E139" t="str">
            <v>YORK</v>
          </cell>
        </row>
        <row r="140">
          <cell r="C140" t="str">
            <v>192-05</v>
          </cell>
          <cell r="D140">
            <v>2110000</v>
          </cell>
          <cell r="E140" t="str">
            <v>OUN</v>
          </cell>
        </row>
        <row r="141">
          <cell r="C141" t="str">
            <v>173-05</v>
          </cell>
          <cell r="D141">
            <v>880000</v>
          </cell>
          <cell r="E141" t="str">
            <v>STEWART</v>
          </cell>
        </row>
        <row r="142">
          <cell r="C142" t="str">
            <v>195-05</v>
          </cell>
          <cell r="D142">
            <v>1540000</v>
          </cell>
          <cell r="E142" t="str">
            <v>HELVIE</v>
          </cell>
        </row>
        <row r="143">
          <cell r="C143" t="str">
            <v>113-06</v>
          </cell>
          <cell r="D143">
            <v>2010000</v>
          </cell>
          <cell r="E143" t="str">
            <v>MAELZER</v>
          </cell>
        </row>
        <row r="144">
          <cell r="C144" t="str">
            <v>825-05</v>
          </cell>
          <cell r="D144">
            <v>2000000</v>
          </cell>
          <cell r="E144" t="str">
            <v>STAMBAUGH</v>
          </cell>
        </row>
        <row r="145">
          <cell r="C145" t="str">
            <v>114-06</v>
          </cell>
          <cell r="D145">
            <v>2010000</v>
          </cell>
          <cell r="E145" t="str">
            <v>MAELZER</v>
          </cell>
        </row>
        <row r="146">
          <cell r="C146" t="str">
            <v>187-05</v>
          </cell>
          <cell r="D146">
            <v>880000</v>
          </cell>
          <cell r="E146" t="str">
            <v>STEWART</v>
          </cell>
        </row>
        <row r="147">
          <cell r="C147" t="str">
            <v>845-05</v>
          </cell>
          <cell r="D147">
            <v>1810000</v>
          </cell>
          <cell r="E147" t="str">
            <v>NEWELL</v>
          </cell>
        </row>
        <row r="148">
          <cell r="C148" t="str">
            <v>245-05</v>
          </cell>
          <cell r="D148">
            <v>1300000</v>
          </cell>
          <cell r="E148" t="str">
            <v>LEVIN</v>
          </cell>
        </row>
        <row r="149">
          <cell r="C149" t="str">
            <v>235-05</v>
          </cell>
          <cell r="D149">
            <v>2140000</v>
          </cell>
          <cell r="E149" t="str">
            <v>ROBINSON</v>
          </cell>
        </row>
        <row r="150">
          <cell r="C150" t="str">
            <v>216-05</v>
          </cell>
          <cell r="D150">
            <v>2150000</v>
          </cell>
          <cell r="E150" t="str">
            <v>SWANSON</v>
          </cell>
        </row>
        <row r="151">
          <cell r="C151" t="str">
            <v>232-05</v>
          </cell>
          <cell r="D151">
            <v>2090000</v>
          </cell>
          <cell r="E151" t="str">
            <v>HAITHCOX</v>
          </cell>
        </row>
        <row r="152">
          <cell r="C152" t="str">
            <v>818-05</v>
          </cell>
          <cell r="D152">
            <v>1830000</v>
          </cell>
          <cell r="E152" t="str">
            <v>YORK</v>
          </cell>
        </row>
        <row r="153">
          <cell r="C153" t="str">
            <v>236-05</v>
          </cell>
          <cell r="D153">
            <v>2140000</v>
          </cell>
          <cell r="E153" t="str">
            <v>ROBINSON</v>
          </cell>
        </row>
        <row r="154">
          <cell r="C154" t="str">
            <v>313-04</v>
          </cell>
          <cell r="D154">
            <v>1300000</v>
          </cell>
          <cell r="E154" t="str">
            <v>LEVIN</v>
          </cell>
        </row>
        <row r="155">
          <cell r="C155" t="str">
            <v>241-05</v>
          </cell>
          <cell r="D155">
            <v>1800000</v>
          </cell>
          <cell r="E155" t="str">
            <v>CHANDLER</v>
          </cell>
        </row>
        <row r="156">
          <cell r="C156" t="str">
            <v>119-06</v>
          </cell>
          <cell r="D156">
            <v>1260000</v>
          </cell>
          <cell r="E156" t="str">
            <v>ACKERMAN</v>
          </cell>
        </row>
        <row r="157">
          <cell r="C157" t="str">
            <v>240-05</v>
          </cell>
          <cell r="D157">
            <v>2090000</v>
          </cell>
          <cell r="E157" t="str">
            <v>HAITHCOX</v>
          </cell>
        </row>
        <row r="158">
          <cell r="C158" t="str">
            <v>118-06</v>
          </cell>
          <cell r="D158">
            <v>1360000</v>
          </cell>
          <cell r="E158" t="str">
            <v>SANTIZO</v>
          </cell>
        </row>
        <row r="159">
          <cell r="C159" t="str">
            <v>313-05</v>
          </cell>
          <cell r="D159">
            <v>2140000</v>
          </cell>
          <cell r="E159" t="str">
            <v>ROBINSON</v>
          </cell>
        </row>
        <row r="160">
          <cell r="C160" t="str">
            <v>127-06</v>
          </cell>
          <cell r="D160">
            <v>2010000</v>
          </cell>
          <cell r="E160" t="str">
            <v>MAELZER</v>
          </cell>
        </row>
        <row r="161">
          <cell r="C161" t="str">
            <v>101-06</v>
          </cell>
          <cell r="D161">
            <v>2010000</v>
          </cell>
          <cell r="E161" t="str">
            <v>MAELZER</v>
          </cell>
        </row>
        <row r="162">
          <cell r="C162" t="str">
            <v>246-05</v>
          </cell>
          <cell r="D162">
            <v>1300000</v>
          </cell>
          <cell r="E162" t="str">
            <v>LEVIN</v>
          </cell>
        </row>
        <row r="163">
          <cell r="C163" t="str">
            <v>102-06</v>
          </cell>
          <cell r="D163">
            <v>2010000</v>
          </cell>
          <cell r="E163" t="str">
            <v>MAELZER</v>
          </cell>
        </row>
        <row r="164">
          <cell r="C164" t="str">
            <v>908-05</v>
          </cell>
          <cell r="D164">
            <v>1810000</v>
          </cell>
          <cell r="E164" t="str">
            <v>NEWELL</v>
          </cell>
        </row>
        <row r="165">
          <cell r="C165" t="str">
            <v>107-06</v>
          </cell>
          <cell r="D165">
            <v>1990000</v>
          </cell>
          <cell r="E165" t="str">
            <v>DAVIS</v>
          </cell>
        </row>
        <row r="166">
          <cell r="C166" t="str">
            <v>198-05</v>
          </cell>
          <cell r="D166">
            <v>2020000</v>
          </cell>
          <cell r="E166" t="str">
            <v>SHOOK</v>
          </cell>
        </row>
        <row r="167">
          <cell r="C167" t="str">
            <v>109-06</v>
          </cell>
          <cell r="D167">
            <v>1740000</v>
          </cell>
          <cell r="E167" t="str">
            <v>STORY</v>
          </cell>
        </row>
        <row r="168">
          <cell r="C168" t="str">
            <v>815-05</v>
          </cell>
          <cell r="D168">
            <v>1830000</v>
          </cell>
          <cell r="E168" t="str">
            <v>YORK</v>
          </cell>
        </row>
        <row r="169">
          <cell r="C169" t="str">
            <v>121-06</v>
          </cell>
          <cell r="D169">
            <v>1990000</v>
          </cell>
          <cell r="E169" t="str">
            <v>DAVIS</v>
          </cell>
        </row>
        <row r="170">
          <cell r="C170" t="str">
            <v>814-05</v>
          </cell>
          <cell r="D170">
            <v>1830000</v>
          </cell>
          <cell r="E170" t="str">
            <v>YORK</v>
          </cell>
        </row>
        <row r="171">
          <cell r="C171" t="str">
            <v>119-05</v>
          </cell>
          <cell r="D171">
            <v>1310000</v>
          </cell>
          <cell r="E171" t="str">
            <v>MALAVE</v>
          </cell>
        </row>
        <row r="172">
          <cell r="C172" t="str">
            <v>135-05</v>
          </cell>
          <cell r="D172">
            <v>1240000</v>
          </cell>
          <cell r="E172" t="str">
            <v>GRASTON</v>
          </cell>
        </row>
        <row r="173">
          <cell r="C173" t="str">
            <v>129-05</v>
          </cell>
          <cell r="D173">
            <v>900000</v>
          </cell>
          <cell r="E173" t="str">
            <v>ROCHA</v>
          </cell>
        </row>
        <row r="174">
          <cell r="C174" t="str">
            <v>118-05</v>
          </cell>
          <cell r="D174">
            <v>1990000</v>
          </cell>
          <cell r="E174" t="str">
            <v>DAVIS</v>
          </cell>
        </row>
        <row r="175">
          <cell r="C175" t="str">
            <v>133-05</v>
          </cell>
          <cell r="D175">
            <v>1310000</v>
          </cell>
          <cell r="E175" t="str">
            <v>MALAVE</v>
          </cell>
        </row>
        <row r="176">
          <cell r="C176" t="str">
            <v>302-05</v>
          </cell>
          <cell r="D176">
            <v>2010000</v>
          </cell>
          <cell r="E176" t="str">
            <v>MAELZER</v>
          </cell>
        </row>
        <row r="177">
          <cell r="C177" t="str">
            <v>128-05</v>
          </cell>
          <cell r="D177">
            <v>2010000</v>
          </cell>
          <cell r="E177" t="str">
            <v>MAELZER</v>
          </cell>
        </row>
        <row r="178">
          <cell r="C178" t="str">
            <v>242-05</v>
          </cell>
          <cell r="D178">
            <v>1800000</v>
          </cell>
          <cell r="E178" t="str">
            <v>CHANDLER</v>
          </cell>
        </row>
        <row r="179">
          <cell r="C179" t="str">
            <v>307-05</v>
          </cell>
          <cell r="D179">
            <v>2150000</v>
          </cell>
          <cell r="E179" t="str">
            <v>SWANSON</v>
          </cell>
        </row>
        <row r="180">
          <cell r="C180" t="str">
            <v>180-05</v>
          </cell>
          <cell r="D180">
            <v>2040000</v>
          </cell>
          <cell r="E180" t="str">
            <v>MOSES</v>
          </cell>
        </row>
        <row r="181">
          <cell r="C181" t="str">
            <v>242-04</v>
          </cell>
          <cell r="D181">
            <v>1300000</v>
          </cell>
          <cell r="E181" t="str">
            <v>LEVIN</v>
          </cell>
        </row>
        <row r="182">
          <cell r="C182" t="str">
            <v>148-05</v>
          </cell>
          <cell r="D182">
            <v>1310000</v>
          </cell>
          <cell r="E182" t="str">
            <v>MALAVE</v>
          </cell>
        </row>
        <row r="183">
          <cell r="C183" t="str">
            <v>105-05</v>
          </cell>
          <cell r="D183">
            <v>1310000</v>
          </cell>
          <cell r="E183" t="str">
            <v>MALAVE</v>
          </cell>
        </row>
        <row r="184">
          <cell r="C184" t="str">
            <v>810-05</v>
          </cell>
          <cell r="D184">
            <v>1760000</v>
          </cell>
          <cell r="E184" t="str">
            <v>STRICKLAND</v>
          </cell>
        </row>
        <row r="185">
          <cell r="C185" t="str">
            <v>816-05</v>
          </cell>
          <cell r="D185">
            <v>1830000</v>
          </cell>
          <cell r="E185" t="str">
            <v>YORK</v>
          </cell>
        </row>
        <row r="186">
          <cell r="C186" t="str">
            <v>802-05</v>
          </cell>
          <cell r="D186">
            <v>1760000</v>
          </cell>
          <cell r="E186" t="str">
            <v>STRICKLAND</v>
          </cell>
        </row>
        <row r="187">
          <cell r="C187" t="str">
            <v>154-05</v>
          </cell>
          <cell r="D187">
            <v>1360000</v>
          </cell>
          <cell r="E187" t="str">
            <v>SANTIZO</v>
          </cell>
        </row>
        <row r="188">
          <cell r="C188" t="str">
            <v>117-05</v>
          </cell>
          <cell r="D188">
            <v>1990000</v>
          </cell>
          <cell r="E188" t="str">
            <v>DAVIS</v>
          </cell>
        </row>
        <row r="189">
          <cell r="C189" t="str">
            <v>105-05</v>
          </cell>
          <cell r="D189">
            <v>1310000</v>
          </cell>
          <cell r="E189" t="str">
            <v>MALAVE</v>
          </cell>
        </row>
        <row r="190">
          <cell r="C190" t="str">
            <v>309-05</v>
          </cell>
          <cell r="D190">
            <v>2090000</v>
          </cell>
          <cell r="E190" t="str">
            <v>HAITHCOX</v>
          </cell>
        </row>
        <row r="191">
          <cell r="C191" t="str">
            <v>175-05</v>
          </cell>
          <cell r="D191">
            <v>1520000</v>
          </cell>
          <cell r="E191" t="str">
            <v>MAYBERRY</v>
          </cell>
        </row>
        <row r="192">
          <cell r="C192" t="str">
            <v>843-05</v>
          </cell>
          <cell r="D192">
            <v>2000000</v>
          </cell>
          <cell r="E192" t="str">
            <v>STAMBAUGH</v>
          </cell>
        </row>
        <row r="193">
          <cell r="C193" t="str">
            <v>178-05</v>
          </cell>
          <cell r="D193">
            <v>2110000</v>
          </cell>
          <cell r="E193" t="str">
            <v>OUN</v>
          </cell>
        </row>
        <row r="194">
          <cell r="C194" t="str">
            <v>227-05</v>
          </cell>
          <cell r="D194">
            <v>2140000</v>
          </cell>
          <cell r="E194" t="str">
            <v>ROBINSON</v>
          </cell>
        </row>
        <row r="195">
          <cell r="C195" t="str">
            <v>830-05</v>
          </cell>
          <cell r="D195">
            <v>2000000</v>
          </cell>
          <cell r="E195" t="str">
            <v>STAMBAUGH</v>
          </cell>
        </row>
        <row r="196">
          <cell r="C196" t="str">
            <v>225-05</v>
          </cell>
          <cell r="D196">
            <v>1800000</v>
          </cell>
          <cell r="E196" t="str">
            <v>CHANDLER</v>
          </cell>
        </row>
        <row r="197">
          <cell r="C197" t="str">
            <v>244-04</v>
          </cell>
          <cell r="D197">
            <v>1480000</v>
          </cell>
          <cell r="E197" t="str">
            <v>STURGEON</v>
          </cell>
        </row>
        <row r="198">
          <cell r="C198" t="str">
            <v>840-05</v>
          </cell>
          <cell r="D198">
            <v>2000000</v>
          </cell>
          <cell r="E198" t="str">
            <v>STAMBAUGH</v>
          </cell>
        </row>
        <row r="199">
          <cell r="C199" t="str">
            <v>165-05</v>
          </cell>
          <cell r="D199">
            <v>2040000</v>
          </cell>
          <cell r="E199" t="str">
            <v>MOSES</v>
          </cell>
        </row>
        <row r="200">
          <cell r="C200" t="str">
            <v>220-05</v>
          </cell>
          <cell r="D200">
            <v>2140000</v>
          </cell>
          <cell r="E200" t="str">
            <v>ROBINSON</v>
          </cell>
        </row>
        <row r="201">
          <cell r="C201" t="str">
            <v>190-05</v>
          </cell>
          <cell r="D201">
            <v>1520000</v>
          </cell>
          <cell r="E201" t="str">
            <v>MAYBERRY</v>
          </cell>
        </row>
        <row r="202">
          <cell r="C202" t="str">
            <v>216-05</v>
          </cell>
          <cell r="D202">
            <v>2150000</v>
          </cell>
          <cell r="E202" t="str">
            <v>SWANSON</v>
          </cell>
        </row>
        <row r="203">
          <cell r="C203" t="str">
            <v>228-05</v>
          </cell>
          <cell r="D203">
            <v>2140000</v>
          </cell>
          <cell r="E203" t="str">
            <v>ROBINSON</v>
          </cell>
        </row>
        <row r="204">
          <cell r="C204" t="str">
            <v>219-05</v>
          </cell>
          <cell r="D204">
            <v>2110000</v>
          </cell>
          <cell r="E204" t="str">
            <v>OUN</v>
          </cell>
        </row>
        <row r="205">
          <cell r="C205" t="str">
            <v>101-06</v>
          </cell>
          <cell r="D205">
            <v>2010000</v>
          </cell>
          <cell r="E205" t="str">
            <v>MAELZER</v>
          </cell>
        </row>
        <row r="206">
          <cell r="C206" t="str">
            <v>834-05</v>
          </cell>
          <cell r="D206">
            <v>2000000</v>
          </cell>
          <cell r="E206" t="str">
            <v>STAMBAUGH</v>
          </cell>
        </row>
        <row r="207">
          <cell r="C207" t="str">
            <v>111-06</v>
          </cell>
          <cell r="D207">
            <v>1100000</v>
          </cell>
          <cell r="E207" t="str">
            <v>GEBRETEKLE</v>
          </cell>
        </row>
        <row r="208">
          <cell r="C208" t="str">
            <v>832-05</v>
          </cell>
          <cell r="D208">
            <v>1810000</v>
          </cell>
          <cell r="E208" t="str">
            <v>NEWELL</v>
          </cell>
        </row>
        <row r="209">
          <cell r="C209" t="str">
            <v>119-06</v>
          </cell>
          <cell r="D209">
            <v>1260000</v>
          </cell>
          <cell r="E209" t="str">
            <v>ACKERMAN</v>
          </cell>
        </row>
        <row r="210">
          <cell r="C210" t="str">
            <v>202-05</v>
          </cell>
          <cell r="D210">
            <v>880000</v>
          </cell>
          <cell r="E210" t="str">
            <v>STEWART</v>
          </cell>
        </row>
        <row r="211">
          <cell r="C211" t="str">
            <v>123-05</v>
          </cell>
          <cell r="D211">
            <v>2100000</v>
          </cell>
          <cell r="E211" t="str">
            <v>ISHMAEL</v>
          </cell>
        </row>
        <row r="212">
          <cell r="C212" t="str">
            <v>200-05</v>
          </cell>
          <cell r="D212">
            <v>2150000</v>
          </cell>
          <cell r="E212" t="str">
            <v>SWANSON</v>
          </cell>
        </row>
        <row r="213">
          <cell r="C213" t="str">
            <v>822-05</v>
          </cell>
          <cell r="D213">
            <v>2000000</v>
          </cell>
          <cell r="E213" t="str">
            <v>STAMBAUGH</v>
          </cell>
        </row>
        <row r="214">
          <cell r="C214" t="str">
            <v>205-05</v>
          </cell>
          <cell r="D214">
            <v>2110000</v>
          </cell>
          <cell r="E214" t="str">
            <v>OUN</v>
          </cell>
        </row>
        <row r="215">
          <cell r="C215" t="str">
            <v>824-05</v>
          </cell>
          <cell r="D215">
            <v>2000000</v>
          </cell>
          <cell r="E215" t="str">
            <v>STAMBAUGH</v>
          </cell>
        </row>
        <row r="216">
          <cell r="C216" t="str">
            <v>844-05</v>
          </cell>
          <cell r="D216">
            <v>1810000</v>
          </cell>
          <cell r="E216" t="str">
            <v>NEWELL</v>
          </cell>
        </row>
        <row r="217">
          <cell r="C217" t="str">
            <v>101-05</v>
          </cell>
          <cell r="D217">
            <v>2010000</v>
          </cell>
          <cell r="E217" t="str">
            <v>MAELZER</v>
          </cell>
        </row>
        <row r="218">
          <cell r="C218" t="str">
            <v>197-05</v>
          </cell>
          <cell r="D218">
            <v>2020000</v>
          </cell>
          <cell r="E218" t="str">
            <v>SHOOK</v>
          </cell>
        </row>
        <row r="219">
          <cell r="C219" t="str">
            <v>103-05</v>
          </cell>
          <cell r="D219">
            <v>1990000</v>
          </cell>
          <cell r="E219" t="str">
            <v>DAVIS</v>
          </cell>
        </row>
        <row r="220">
          <cell r="C220" t="str">
            <v>191-05</v>
          </cell>
          <cell r="D220">
            <v>2110000</v>
          </cell>
          <cell r="E220" t="str">
            <v>OUN</v>
          </cell>
        </row>
        <row r="221">
          <cell r="C221" t="str">
            <v>104-05</v>
          </cell>
          <cell r="D221">
            <v>1990000</v>
          </cell>
          <cell r="E221" t="str">
            <v>DAVIS</v>
          </cell>
        </row>
        <row r="222">
          <cell r="C222" t="str">
            <v>185-05</v>
          </cell>
          <cell r="D222">
            <v>2150000</v>
          </cell>
          <cell r="E222" t="str">
            <v>SWANSON</v>
          </cell>
        </row>
        <row r="223">
          <cell r="C223" t="str">
            <v>112-05</v>
          </cell>
          <cell r="D223">
            <v>1360000</v>
          </cell>
          <cell r="E223" t="str">
            <v>SANTIZO</v>
          </cell>
        </row>
        <row r="224">
          <cell r="C224" t="str">
            <v>820-05</v>
          </cell>
          <cell r="D224">
            <v>1830000</v>
          </cell>
          <cell r="E224" t="str">
            <v>YORK</v>
          </cell>
        </row>
        <row r="225">
          <cell r="C225" t="str">
            <v>813-05</v>
          </cell>
          <cell r="D225">
            <v>1830000</v>
          </cell>
          <cell r="E225" t="str">
            <v>YORK</v>
          </cell>
        </row>
        <row r="226">
          <cell r="C226" t="str">
            <v>167-05</v>
          </cell>
          <cell r="D226">
            <v>1540000</v>
          </cell>
          <cell r="E226" t="str">
            <v>HELVIE</v>
          </cell>
        </row>
        <row r="227">
          <cell r="C227" t="str">
            <v>179-05</v>
          </cell>
          <cell r="D227">
            <v>2040000</v>
          </cell>
          <cell r="E227" t="str">
            <v>MOSES</v>
          </cell>
        </row>
        <row r="228">
          <cell r="C228" t="str">
            <v>160-05</v>
          </cell>
          <cell r="D228">
            <v>880000</v>
          </cell>
          <cell r="E228" t="str">
            <v>STEWART</v>
          </cell>
        </row>
        <row r="229">
          <cell r="C229" t="str">
            <v>901-05</v>
          </cell>
          <cell r="D229">
            <v>1760000</v>
          </cell>
          <cell r="E229" t="str">
            <v>STRICKLAND</v>
          </cell>
        </row>
        <row r="230">
          <cell r="C230" t="str">
            <v>156-05</v>
          </cell>
          <cell r="D230">
            <v>1760000</v>
          </cell>
          <cell r="E230" t="str">
            <v>STRICKLAND</v>
          </cell>
        </row>
        <row r="231">
          <cell r="C231" t="str">
            <v>139-05</v>
          </cell>
          <cell r="D231">
            <v>1360000</v>
          </cell>
          <cell r="E231" t="str">
            <v>SANTIZO</v>
          </cell>
        </row>
        <row r="232">
          <cell r="C232" t="str">
            <v>153-05</v>
          </cell>
          <cell r="D232">
            <v>1360000</v>
          </cell>
          <cell r="E232" t="str">
            <v>SANTIZO</v>
          </cell>
        </row>
        <row r="233">
          <cell r="C233" t="str">
            <v>141-05</v>
          </cell>
          <cell r="D233">
            <v>2010000</v>
          </cell>
          <cell r="E233" t="str">
            <v>MAELZER</v>
          </cell>
        </row>
        <row r="234">
          <cell r="C234" t="str">
            <v>149-05</v>
          </cell>
          <cell r="D234">
            <v>1240000</v>
          </cell>
          <cell r="E234" t="str">
            <v>GRASTON</v>
          </cell>
        </row>
        <row r="235">
          <cell r="C235" t="str">
            <v>162-05</v>
          </cell>
          <cell r="D235">
            <v>1520000</v>
          </cell>
          <cell r="E235" t="str">
            <v>MAYBERRY</v>
          </cell>
        </row>
        <row r="236">
          <cell r="C236" t="str">
            <v>126-05</v>
          </cell>
          <cell r="D236">
            <v>1360000</v>
          </cell>
          <cell r="E236" t="str">
            <v>SANTIZO</v>
          </cell>
        </row>
        <row r="237">
          <cell r="C237" t="str">
            <v>164-05</v>
          </cell>
          <cell r="D237">
            <v>2110000</v>
          </cell>
          <cell r="E237" t="str">
            <v>OUN</v>
          </cell>
        </row>
        <row r="238">
          <cell r="C238" t="str">
            <v>827-05</v>
          </cell>
          <cell r="D238">
            <v>1810000</v>
          </cell>
          <cell r="E238" t="str">
            <v>NEWELL</v>
          </cell>
        </row>
        <row r="239">
          <cell r="C239" t="str">
            <v>181-05</v>
          </cell>
          <cell r="D239">
            <v>1540000</v>
          </cell>
          <cell r="E239" t="str">
            <v>HELVIE</v>
          </cell>
        </row>
        <row r="240">
          <cell r="C240" t="str">
            <v>183-05</v>
          </cell>
          <cell r="D240">
            <v>2020000</v>
          </cell>
          <cell r="E240" t="str">
            <v>SHOOK</v>
          </cell>
        </row>
        <row r="241">
          <cell r="C241" t="str">
            <v>829-05</v>
          </cell>
          <cell r="D241">
            <v>2000000</v>
          </cell>
          <cell r="E241" t="str">
            <v>STAMBAUGH</v>
          </cell>
        </row>
        <row r="242">
          <cell r="C242" t="str">
            <v>134-05</v>
          </cell>
          <cell r="D242">
            <v>1310000</v>
          </cell>
          <cell r="E242" t="str">
            <v>MALAVE</v>
          </cell>
        </row>
        <row r="243">
          <cell r="C243" t="str">
            <v>238-05</v>
          </cell>
          <cell r="D243">
            <v>1300000</v>
          </cell>
          <cell r="E243" t="str">
            <v>LEVIN</v>
          </cell>
        </row>
        <row r="244">
          <cell r="C244" t="str">
            <v>102-05</v>
          </cell>
          <cell r="D244">
            <v>2010000</v>
          </cell>
          <cell r="E244" t="str">
            <v>MAELZER</v>
          </cell>
        </row>
        <row r="245">
          <cell r="C245" t="str">
            <v>209-05</v>
          </cell>
          <cell r="D245">
            <v>1540000</v>
          </cell>
          <cell r="E245" t="str">
            <v>HELVIE</v>
          </cell>
        </row>
        <row r="246">
          <cell r="C246" t="str">
            <v>108-06</v>
          </cell>
          <cell r="D246">
            <v>1990000</v>
          </cell>
          <cell r="E246" t="str">
            <v>DAVIS</v>
          </cell>
        </row>
        <row r="247">
          <cell r="C247" t="str">
            <v>835-05</v>
          </cell>
          <cell r="D247">
            <v>1810000</v>
          </cell>
          <cell r="E247" t="str">
            <v>NEWELL</v>
          </cell>
        </row>
        <row r="248">
          <cell r="C248" t="str">
            <v>821-05</v>
          </cell>
          <cell r="D248">
            <v>2000000</v>
          </cell>
          <cell r="E248" t="str">
            <v>STAMBAUGH</v>
          </cell>
        </row>
        <row r="249">
          <cell r="C249" t="str">
            <v>206-05</v>
          </cell>
          <cell r="D249">
            <v>2110000</v>
          </cell>
          <cell r="E249" t="str">
            <v>OUN</v>
          </cell>
        </row>
        <row r="250">
          <cell r="C250" t="str">
            <v>157-05</v>
          </cell>
          <cell r="D250">
            <v>900000</v>
          </cell>
          <cell r="E250" t="str">
            <v>ROCHA</v>
          </cell>
        </row>
        <row r="251">
          <cell r="C251" t="str">
            <v>217-05</v>
          </cell>
          <cell r="D251">
            <v>1800000</v>
          </cell>
          <cell r="E251" t="str">
            <v>CHANDLER</v>
          </cell>
        </row>
        <row r="252">
          <cell r="C252" t="str">
            <v>146-05</v>
          </cell>
          <cell r="D252">
            <v>1990000</v>
          </cell>
          <cell r="E252" t="str">
            <v>DAVIS</v>
          </cell>
        </row>
        <row r="253">
          <cell r="C253" t="str">
            <v>208-05</v>
          </cell>
          <cell r="D253">
            <v>2040000</v>
          </cell>
          <cell r="E253" t="str">
            <v>MOSES</v>
          </cell>
        </row>
        <row r="254">
          <cell r="C254" t="str">
            <v>122-05</v>
          </cell>
          <cell r="D254">
            <v>1240000</v>
          </cell>
          <cell r="E254" t="str">
            <v>GRASTON</v>
          </cell>
        </row>
        <row r="255">
          <cell r="C255" t="str">
            <v>215-05</v>
          </cell>
          <cell r="D255">
            <v>2150000</v>
          </cell>
          <cell r="E255" t="str">
            <v>SWANSON</v>
          </cell>
        </row>
        <row r="256">
          <cell r="C256" t="str">
            <v>113-05</v>
          </cell>
          <cell r="D256">
            <v>2010000</v>
          </cell>
          <cell r="E256" t="str">
            <v>MAELZER</v>
          </cell>
        </row>
        <row r="257">
          <cell r="C257" t="str">
            <v>210-05</v>
          </cell>
          <cell r="D257">
            <v>1540000</v>
          </cell>
          <cell r="E257" t="str">
            <v>HELVIE</v>
          </cell>
        </row>
        <row r="258">
          <cell r="C258" t="str">
            <v>315-04</v>
          </cell>
          <cell r="D258">
            <v>1480000</v>
          </cell>
          <cell r="E258" t="str">
            <v>STURGEON</v>
          </cell>
        </row>
        <row r="259">
          <cell r="C259" t="str">
            <v>836-05</v>
          </cell>
          <cell r="D259">
            <v>1810000</v>
          </cell>
          <cell r="E259" t="str">
            <v>NEWELL</v>
          </cell>
        </row>
        <row r="260">
          <cell r="C260" t="str">
            <v>117-06</v>
          </cell>
          <cell r="D260">
            <v>1360000</v>
          </cell>
          <cell r="E260" t="str">
            <v>SANTIZO</v>
          </cell>
        </row>
        <row r="261">
          <cell r="C261" t="str">
            <v>214-05</v>
          </cell>
          <cell r="D261">
            <v>2090000</v>
          </cell>
          <cell r="E261" t="str">
            <v>HAITHCOX</v>
          </cell>
        </row>
        <row r="262">
          <cell r="C262" t="str">
            <v>115-06</v>
          </cell>
          <cell r="D262">
            <v>1760000</v>
          </cell>
          <cell r="E262" t="str">
            <v>STRICKLAND</v>
          </cell>
        </row>
        <row r="263">
          <cell r="C263" t="str">
            <v>838-05</v>
          </cell>
          <cell r="D263">
            <v>2000000</v>
          </cell>
          <cell r="E263" t="str">
            <v>STAMBAUGH</v>
          </cell>
        </row>
        <row r="264">
          <cell r="C264" t="str">
            <v>230-05</v>
          </cell>
          <cell r="D264">
            <v>1300000</v>
          </cell>
          <cell r="E264" t="str">
            <v>LEVIN</v>
          </cell>
        </row>
        <row r="265">
          <cell r="C265" t="str">
            <v>224-05</v>
          </cell>
          <cell r="D265">
            <v>2090000</v>
          </cell>
          <cell r="E265" t="str">
            <v>HAITHCOX</v>
          </cell>
        </row>
        <row r="266">
          <cell r="C266" t="str">
            <v>193-05</v>
          </cell>
          <cell r="D266">
            <v>2040000</v>
          </cell>
          <cell r="E266" t="str">
            <v>MOSES</v>
          </cell>
        </row>
        <row r="267">
          <cell r="C267" t="str">
            <v>244-05</v>
          </cell>
          <cell r="D267">
            <v>2140000</v>
          </cell>
          <cell r="E267" t="str">
            <v>ROBINSON</v>
          </cell>
        </row>
        <row r="268">
          <cell r="C268" t="str">
            <v>816-05</v>
          </cell>
          <cell r="D268">
            <v>1830000</v>
          </cell>
          <cell r="E268" t="str">
            <v>YORK</v>
          </cell>
        </row>
        <row r="269">
          <cell r="C269" t="str">
            <v>104-06</v>
          </cell>
          <cell r="D269">
            <v>1360000</v>
          </cell>
          <cell r="E269" t="str">
            <v>SANTIZO</v>
          </cell>
        </row>
        <row r="270">
          <cell r="C270" t="str">
            <v>806-05</v>
          </cell>
          <cell r="D270">
            <v>1760000</v>
          </cell>
          <cell r="E270" t="str">
            <v>STRICKLAND</v>
          </cell>
        </row>
        <row r="271">
          <cell r="C271" t="str">
            <v>125-06</v>
          </cell>
          <cell r="D271">
            <v>1100000</v>
          </cell>
          <cell r="E271" t="str">
            <v>GEBRETEKLE</v>
          </cell>
        </row>
        <row r="272">
          <cell r="C272" t="str">
            <v>804-05</v>
          </cell>
          <cell r="D272">
            <v>1830000</v>
          </cell>
          <cell r="E272" t="str">
            <v>YORK</v>
          </cell>
        </row>
        <row r="273">
          <cell r="C273" t="str">
            <v>129-06</v>
          </cell>
          <cell r="D273">
            <v>1760000</v>
          </cell>
          <cell r="E273" t="str">
            <v>STRICKLAND</v>
          </cell>
        </row>
        <row r="274">
          <cell r="C274" t="str">
            <v>LOZA-05</v>
          </cell>
          <cell r="D274">
            <v>890000</v>
          </cell>
          <cell r="E274" t="str">
            <v>LOZA</v>
          </cell>
        </row>
        <row r="276">
          <cell r="C276" t="str">
            <v>114-08</v>
          </cell>
          <cell r="D276">
            <v>2110000</v>
          </cell>
          <cell r="E276" t="str">
            <v>OUN</v>
          </cell>
        </row>
        <row r="277">
          <cell r="C277" t="str">
            <v>1814-07</v>
          </cell>
          <cell r="D277">
            <v>1110000</v>
          </cell>
          <cell r="E277" t="str">
            <v>STARKS</v>
          </cell>
        </row>
        <row r="278">
          <cell r="C278" t="str">
            <v>129-08</v>
          </cell>
          <cell r="D278">
            <v>1310000</v>
          </cell>
          <cell r="E278" t="str">
            <v>MALAVE</v>
          </cell>
        </row>
        <row r="279">
          <cell r="C279" t="str">
            <v>242-06</v>
          </cell>
          <cell r="D279">
            <v>1800000</v>
          </cell>
          <cell r="E279" t="str">
            <v>CHANDLER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101-06</v>
          </cell>
          <cell r="B13">
            <v>4018</v>
          </cell>
          <cell r="C13" t="str">
            <v>DE.1.0.7.0</v>
          </cell>
          <cell r="D13" t="str">
            <v>204:37264</v>
          </cell>
          <cell r="E13">
            <v>42588.144988425927</v>
          </cell>
          <cell r="F13">
            <v>42588.145856481482</v>
          </cell>
          <cell r="G13">
            <v>1</v>
          </cell>
          <cell r="H13" t="str">
            <v>204:233339</v>
          </cell>
          <cell r="I13">
            <v>42588.164652777778</v>
          </cell>
          <cell r="J13">
            <v>0</v>
          </cell>
          <cell r="K13" t="str">
            <v>4017/4018</v>
          </cell>
          <cell r="L13" t="str">
            <v>MAELZER</v>
          </cell>
          <cell r="M13">
            <v>1.8796296295477077E-2</v>
          </cell>
          <cell r="N13">
            <v>40.966666666790843</v>
          </cell>
          <cell r="R13" t="str">
            <v>Wi-MAX outage with a re-init, but entire run was PTC</v>
          </cell>
          <cell r="S13">
            <v>1</v>
          </cell>
          <cell r="T13" t="str">
            <v>NorthBound</v>
          </cell>
          <cell r="U13">
            <v>9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" t="str">
            <v>Y</v>
          </cell>
          <cell r="X13" t="e">
            <v>#VALUE!</v>
          </cell>
          <cell r="Y13">
            <v>3.7263999999999999</v>
          </cell>
          <cell r="Z13">
            <v>23.3339</v>
          </cell>
          <cell r="AA13">
            <v>19.607500000000002</v>
          </cell>
          <cell r="AB13" t="e">
            <v>#N/A</v>
          </cell>
          <cell r="AC13" t="e">
            <v>#N/A</v>
          </cell>
          <cell r="AD13" t="str">
            <v>0101-06</v>
          </cell>
          <cell r="AE13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4">
          <cell r="A14" t="str">
            <v>101-06</v>
          </cell>
          <cell r="B14">
            <v>4018</v>
          </cell>
          <cell r="C14" t="str">
            <v>DE.1.0.7.0</v>
          </cell>
          <cell r="D14" t="str">
            <v>204:717</v>
          </cell>
          <cell r="E14">
            <v>42588.131678240738</v>
          </cell>
          <cell r="F14">
            <v>42588.132604166669</v>
          </cell>
          <cell r="G14">
            <v>1</v>
          </cell>
          <cell r="H14" t="str">
            <v>204:36690</v>
          </cell>
          <cell r="I14">
            <v>42588.142256944448</v>
          </cell>
          <cell r="J14">
            <v>2</v>
          </cell>
          <cell r="K14" t="str">
            <v>4017/4018</v>
          </cell>
          <cell r="L14" t="str">
            <v>MAELZER</v>
          </cell>
          <cell r="M14">
            <v>9.6527777786832303E-3</v>
          </cell>
          <cell r="T14" t="str">
            <v>NorthBound</v>
          </cell>
          <cell r="U14">
            <v>3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https://search-rtdc-monitor-bjffxe2xuh6vdkpspy63sjmuny.us-east-1.es.amazonaws.com/_plugin/kibana/#/discover/Steve-Slow-Train-Analysis-(2080s-and-2083s)?_g=(refreshInterval:(display:Off,section:0,value:0),time:(from:'2016-08-06 02:09:37-0600',mode:absolute,to:'2016-08-06 04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" t="str">
            <v>Y</v>
          </cell>
          <cell r="X14">
            <v>0</v>
          </cell>
          <cell r="Y14">
            <v>7.17E-2</v>
          </cell>
          <cell r="Z14">
            <v>3.669</v>
          </cell>
          <cell r="AA14">
            <v>3.5973000000000002</v>
          </cell>
          <cell r="AB14" t="e">
            <v>#N/A</v>
          </cell>
          <cell r="AC14" t="e">
            <v>#N/A</v>
          </cell>
          <cell r="AD14" t="str">
            <v>0101-06</v>
          </cell>
          <cell r="AE1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5">
          <cell r="A15" t="str">
            <v>102-06</v>
          </cell>
          <cell r="B15">
            <v>4013</v>
          </cell>
          <cell r="C15" t="str">
            <v>DE.1.0.7.0</v>
          </cell>
          <cell r="D15" t="str">
            <v>204:232696</v>
          </cell>
          <cell r="E15">
            <v>42588.169895833336</v>
          </cell>
          <cell r="F15">
            <v>42588.170844907407</v>
          </cell>
          <cell r="G15">
            <v>1</v>
          </cell>
          <cell r="H15" t="str">
            <v>204:138</v>
          </cell>
          <cell r="I15">
            <v>42588.201018518521</v>
          </cell>
          <cell r="J15">
            <v>1</v>
          </cell>
          <cell r="K15" t="str">
            <v>4013/4014</v>
          </cell>
          <cell r="L15" t="str">
            <v>MAELZER</v>
          </cell>
          <cell r="M15">
            <v>3.0173611114150845E-2</v>
          </cell>
          <cell r="N15">
            <v>43.450000004377216</v>
          </cell>
          <cell r="S15">
            <v>1</v>
          </cell>
          <cell r="T15" t="str">
            <v>Southbound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" t="str">
            <v>N</v>
          </cell>
          <cell r="X15">
            <v>1</v>
          </cell>
          <cell r="Y15">
            <v>23.269600000000001</v>
          </cell>
          <cell r="Z15">
            <v>1.38E-2</v>
          </cell>
          <cell r="AA15">
            <v>23.255800000000001</v>
          </cell>
          <cell r="AB15" t="e">
            <v>#N/A</v>
          </cell>
          <cell r="AC15" t="e">
            <v>#N/A</v>
          </cell>
          <cell r="AD15" t="str">
            <v>0102-06</v>
          </cell>
          <cell r="AE1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6">
          <cell r="A16" t="str">
            <v>103-06</v>
          </cell>
          <cell r="B16">
            <v>4042</v>
          </cell>
          <cell r="C16" t="str">
            <v>DE.1.0.7.0</v>
          </cell>
          <cell r="D16" t="str">
            <v>204:686</v>
          </cell>
          <cell r="E16">
            <v>42588.152951388889</v>
          </cell>
          <cell r="F16">
            <v>42588.153865740744</v>
          </cell>
          <cell r="G16">
            <v>1</v>
          </cell>
          <cell r="H16" t="str">
            <v>204:233320</v>
          </cell>
          <cell r="I16">
            <v>42588.181562500002</v>
          </cell>
          <cell r="J16">
            <v>0</v>
          </cell>
          <cell r="K16" t="str">
            <v>4041/4042</v>
          </cell>
          <cell r="L16" t="str">
            <v>SANTIZO</v>
          </cell>
          <cell r="M16">
            <v>2.7696759258105885E-2</v>
          </cell>
          <cell r="N16">
            <v>39.883333331672475</v>
          </cell>
          <cell r="S16">
            <v>1</v>
          </cell>
          <cell r="T16" t="str">
            <v>NorthBound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https://search-rtdc-monitor-bjffxe2xuh6vdkpspy63sjmuny.us-east-1.es.amazonaws.com/_plugin/kibana/#/discover/Steve-Slow-Train-Analysis-(2080s-and-2083s)?_g=(refreshInterval:(display:Off,section:0,value:0),time:(from:'2016-08-06 02:40:15-0600',mode:absolute,to:'2016-08-06 05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" t="str">
            <v>N</v>
          </cell>
          <cell r="X16">
            <v>1</v>
          </cell>
          <cell r="Y16">
            <v>6.8599999999999994E-2</v>
          </cell>
          <cell r="Z16">
            <v>23.332000000000001</v>
          </cell>
          <cell r="AA16">
            <v>23.263400000000001</v>
          </cell>
          <cell r="AB16" t="e">
            <v>#N/A</v>
          </cell>
          <cell r="AC16" t="e">
            <v>#N/A</v>
          </cell>
          <cell r="AD16" t="str">
            <v>0103-06</v>
          </cell>
          <cell r="AE1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7">
          <cell r="A17" t="str">
            <v>104-06</v>
          </cell>
          <cell r="B17">
            <v>4028</v>
          </cell>
          <cell r="C17" t="str">
            <v>DE.1.0.7.0</v>
          </cell>
          <cell r="D17" t="str">
            <v>204:232679</v>
          </cell>
          <cell r="E17">
            <v>42588.19195601852</v>
          </cell>
          <cell r="F17">
            <v>42588.192986111113</v>
          </cell>
          <cell r="G17">
            <v>1</v>
          </cell>
          <cell r="H17" t="str">
            <v>204:147</v>
          </cell>
          <cell r="I17">
            <v>42588.222569444442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2.958333332935581E-2</v>
          </cell>
          <cell r="N17">
            <v>42.599999994272366</v>
          </cell>
          <cell r="S17">
            <v>1</v>
          </cell>
          <cell r="T17" t="str">
            <v>Southbound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https://search-rtdc-monitor-bjffxe2xuh6vdkpspy63sjmuny.us-east-1.es.amazonaws.com/_plugin/kibana/#/discover/Steve-Slow-Train-Analysis-(2080s-and-2083s)?_g=(refreshInterval:(display:Off,section:0,value:0),time:(from:'2016-08-06 03:36:25-0600',mode:absolute,to:'2016-08-06 06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7" t="str">
            <v>N</v>
          </cell>
          <cell r="X17">
            <v>1</v>
          </cell>
          <cell r="Y17">
            <v>23.267900000000001</v>
          </cell>
          <cell r="Z17">
            <v>1.47E-2</v>
          </cell>
          <cell r="AA17">
            <v>23.2532</v>
          </cell>
          <cell r="AB17" t="e">
            <v>#N/A</v>
          </cell>
          <cell r="AC17" t="e">
            <v>#N/A</v>
          </cell>
          <cell r="AD17" t="str">
            <v>0104-06</v>
          </cell>
          <cell r="AE17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8">
          <cell r="A18" t="str">
            <v>105-06</v>
          </cell>
          <cell r="B18">
            <v>4011</v>
          </cell>
          <cell r="C18" t="str">
            <v>DE.1.0.7.0</v>
          </cell>
          <cell r="D18" t="str">
            <v>204:644</v>
          </cell>
          <cell r="E18">
            <v>42588.17150462963</v>
          </cell>
          <cell r="F18">
            <v>42588.172731481478</v>
          </cell>
          <cell r="G18">
            <v>1</v>
          </cell>
          <cell r="H18" t="str">
            <v>204:233364</v>
          </cell>
          <cell r="I18">
            <v>42588.203449074077</v>
          </cell>
          <cell r="J18">
            <v>0</v>
          </cell>
          <cell r="K18" t="str">
            <v>4011/4012</v>
          </cell>
          <cell r="L18" t="str">
            <v>ACKERMAN</v>
          </cell>
          <cell r="M18">
            <v>3.0717592599103227E-2</v>
          </cell>
          <cell r="N18">
            <v>44.233333342708647</v>
          </cell>
          <cell r="S18">
            <v>1</v>
          </cell>
          <cell r="T18" t="str">
            <v>NorthBound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https://search-rtdc-monitor-bjffxe2xuh6vdkpspy63sjmuny.us-east-1.es.amazonaws.com/_plugin/kibana/#/discover/Steve-Slow-Train-Analysis-(2080s-and-2083s)?_g=(refreshInterval:(display:Off,section:0,value:0),time:(from:'2016-08-06 03:06:58-0600',mode:absolute,to:'2016-08-06 05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8" t="str">
            <v>N</v>
          </cell>
          <cell r="X18">
            <v>1</v>
          </cell>
          <cell r="Y18">
            <v>6.4399999999999999E-2</v>
          </cell>
          <cell r="Z18">
            <v>23.336400000000001</v>
          </cell>
          <cell r="AA18">
            <v>23.272000000000002</v>
          </cell>
          <cell r="AB18" t="e">
            <v>#N/A</v>
          </cell>
          <cell r="AC18" t="e">
            <v>#N/A</v>
          </cell>
          <cell r="AD18" t="str">
            <v>0105-06</v>
          </cell>
          <cell r="AE18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9">
          <cell r="A19" t="str">
            <v>106-06</v>
          </cell>
          <cell r="B19">
            <v>4032</v>
          </cell>
          <cell r="C19" t="str">
            <v>DE.1.0.7.0</v>
          </cell>
          <cell r="D19" t="str">
            <v>204:232731</v>
          </cell>
          <cell r="E19">
            <v>42588.210347222222</v>
          </cell>
          <cell r="F19">
            <v>42588.211516203701</v>
          </cell>
          <cell r="G19">
            <v>1</v>
          </cell>
          <cell r="H19" t="str">
            <v>204:109</v>
          </cell>
          <cell r="I19">
            <v>42588.244004629632</v>
          </cell>
          <cell r="J19">
            <v>0</v>
          </cell>
          <cell r="K19" t="str">
            <v>4031/4032</v>
          </cell>
          <cell r="L19" t="str">
            <v>ACKERMAN</v>
          </cell>
          <cell r="M19">
            <v>3.2488425931660458E-2</v>
          </cell>
          <cell r="N19">
            <v>46.78333334159106</v>
          </cell>
          <cell r="S19">
            <v>1</v>
          </cell>
          <cell r="T19" t="str">
            <v>Southbound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https://search-rtdc-monitor-bjffxe2xuh6vdkpspy63sjmuny.us-east-1.es.amazonaws.com/_plugin/kibana/#/discover/Steve-Slow-Train-Analysis-(2080s-and-2083s)?_g=(refreshInterval:(display:Off,section:0,value:0),time:(from:'2016-08-06 04:02:54-0600',mode:absolute,to:'2016-08-06 06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" t="str">
            <v>N</v>
          </cell>
          <cell r="X19">
            <v>1</v>
          </cell>
          <cell r="Y19">
            <v>23.273099999999999</v>
          </cell>
          <cell r="Z19">
            <v>1.09E-2</v>
          </cell>
          <cell r="AA19">
            <v>23.2622</v>
          </cell>
          <cell r="AB19" t="e">
            <v>#N/A</v>
          </cell>
          <cell r="AC19" t="e">
            <v>#N/A</v>
          </cell>
          <cell r="AD19" t="str">
            <v>0106-06</v>
          </cell>
          <cell r="AE19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20">
          <cell r="A20" t="str">
            <v>107-06</v>
          </cell>
          <cell r="B20">
            <v>4025</v>
          </cell>
          <cell r="C20" t="str">
            <v>DE.1.0.7.0</v>
          </cell>
          <cell r="D20" t="str">
            <v>204:458</v>
          </cell>
          <cell r="E20">
            <v>42588.180821759262</v>
          </cell>
          <cell r="F20">
            <v>42588.181932870371</v>
          </cell>
          <cell r="G20">
            <v>1</v>
          </cell>
          <cell r="H20" t="str">
            <v>204:233351</v>
          </cell>
          <cell r="I20">
            <v>42588.214155092595</v>
          </cell>
          <cell r="J20">
            <v>2</v>
          </cell>
          <cell r="K20" t="str">
            <v>4025/4026</v>
          </cell>
          <cell r="L20" t="str">
            <v>DAVIS</v>
          </cell>
          <cell r="M20">
            <v>3.2222222223936114E-2</v>
          </cell>
          <cell r="N20">
            <v>46.400000002468005</v>
          </cell>
          <cell r="S20">
            <v>1</v>
          </cell>
          <cell r="T20" t="str">
            <v>NorthBound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" t="str">
            <v>N</v>
          </cell>
          <cell r="X20">
            <v>1</v>
          </cell>
          <cell r="Y20">
            <v>4.58E-2</v>
          </cell>
          <cell r="Z20">
            <v>23.335100000000001</v>
          </cell>
          <cell r="AA20">
            <v>23.289300000000001</v>
          </cell>
          <cell r="AB20">
            <v>33137</v>
          </cell>
          <cell r="AC20" t="str">
            <v>GRADE CROSSING</v>
          </cell>
          <cell r="AD20" t="str">
            <v>0107-06</v>
          </cell>
          <cell r="AE20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21">
          <cell r="A21" t="str">
            <v>108-06</v>
          </cell>
          <cell r="B21">
            <v>4026</v>
          </cell>
          <cell r="C21" t="str">
            <v>DE.1.0.7.0</v>
          </cell>
          <cell r="D21" t="str">
            <v>204:233032</v>
          </cell>
          <cell r="E21">
            <v>42588.223692129628</v>
          </cell>
          <cell r="F21">
            <v>42588.22446759259</v>
          </cell>
          <cell r="G21">
            <v>1</v>
          </cell>
          <cell r="H21" t="str">
            <v>204:143</v>
          </cell>
          <cell r="I21">
            <v>42588.254930555559</v>
          </cell>
          <cell r="J21">
            <v>0</v>
          </cell>
          <cell r="K21" t="str">
            <v>4025/4026</v>
          </cell>
          <cell r="L21" t="str">
            <v>DAVIS</v>
          </cell>
          <cell r="M21">
            <v>3.0462962968158536E-2</v>
          </cell>
          <cell r="N21">
            <v>43.866666674148291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https://search-rtdc-monitor-bjffxe2xuh6vdkpspy63sjmuny.us-east-1.es.amazonaws.com/_plugin/kibana/#/discover/Steve-Slow-Train-Analysis-(2080s-and-2083s)?_g=(refreshInterval:(display:Off,section:0,value:0),time:(from:'2016-08-06 04:22:07-0600',mode:absolute,to:'2016-08-06 07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" t="str">
            <v>N</v>
          </cell>
          <cell r="X21">
            <v>1</v>
          </cell>
          <cell r="Y21">
            <v>23.3032</v>
          </cell>
          <cell r="Z21">
            <v>1.43E-2</v>
          </cell>
          <cell r="AA21">
            <v>23.288900000000002</v>
          </cell>
          <cell r="AB21" t="e">
            <v>#N/A</v>
          </cell>
          <cell r="AC21" t="e">
            <v>#N/A</v>
          </cell>
          <cell r="AD21" t="str">
            <v>0108-06</v>
          </cell>
          <cell r="AE21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22">
          <cell r="A22" t="str">
            <v>109-06</v>
          </cell>
          <cell r="B22">
            <v>4009</v>
          </cell>
          <cell r="C22" t="str">
            <v>DE.1.0.7.0</v>
          </cell>
          <cell r="D22" t="str">
            <v>204:464</v>
          </cell>
          <cell r="E22">
            <v>42588.195011574076</v>
          </cell>
          <cell r="F22">
            <v>42588.197500000002</v>
          </cell>
          <cell r="G22">
            <v>3</v>
          </cell>
          <cell r="H22" t="str">
            <v>204:233337</v>
          </cell>
          <cell r="I22">
            <v>42588.224224537036</v>
          </cell>
          <cell r="J22">
            <v>0</v>
          </cell>
          <cell r="K22" t="str">
            <v>4009/4010</v>
          </cell>
          <cell r="L22" t="str">
            <v>STORY</v>
          </cell>
          <cell r="M22">
            <v>2.6724537034169771E-2</v>
          </cell>
          <cell r="N22">
            <v>38.48333332920447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https://search-rtdc-monitor-bjffxe2xuh6vdkpspy63sjmuny.us-east-1.es.amazonaws.com/_plugin/kibana/#/discover/Steve-Slow-Train-Analysis-(2080s-and-2083s)?_g=(refreshInterval:(display:Off,section:0,value:0),time:(from:'2016-08-06 03:40:49-0600',mode:absolute,to:'2016-08-06 06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2" t="str">
            <v>N</v>
          </cell>
          <cell r="X22">
            <v>1</v>
          </cell>
          <cell r="Y22">
            <v>4.6399999999999997E-2</v>
          </cell>
          <cell r="Z22">
            <v>23.3337</v>
          </cell>
          <cell r="AA22">
            <v>23.287300000000002</v>
          </cell>
          <cell r="AB22" t="e">
            <v>#N/A</v>
          </cell>
          <cell r="AC22" t="e">
            <v>#N/A</v>
          </cell>
          <cell r="AD22" t="str">
            <v>0109-06</v>
          </cell>
          <cell r="AE22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3">
          <cell r="A23" t="str">
            <v>110-06</v>
          </cell>
          <cell r="B23">
            <v>4010</v>
          </cell>
          <cell r="C23" t="str">
            <v>DE.1.0.7.0</v>
          </cell>
          <cell r="D23" t="str">
            <v>204:233019</v>
          </cell>
          <cell r="E23">
            <v>42588.235717592594</v>
          </cell>
          <cell r="F23">
            <v>42588.236655092594</v>
          </cell>
          <cell r="G23">
            <v>1</v>
          </cell>
          <cell r="H23" t="str">
            <v>204:156</v>
          </cell>
          <cell r="I23">
            <v>42588.265509259261</v>
          </cell>
          <cell r="J23">
            <v>0</v>
          </cell>
          <cell r="K23" t="str">
            <v>4009/4010</v>
          </cell>
          <cell r="L23" t="str">
            <v>STORY</v>
          </cell>
          <cell r="M23">
            <v>2.8854166666860692E-2</v>
          </cell>
          <cell r="N23">
            <v>41.550000000279397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https://search-rtdc-monitor-bjffxe2xuh6vdkpspy63sjmuny.us-east-1.es.amazonaws.com/_plugin/kibana/#/discover/Steve-Slow-Train-Analysis-(2080s-and-2083s)?_g=(refreshInterval:(display:Off,section:0,value:0),time:(from:'2016-08-06 04:39:26-0600',mode:absolute,to:'2016-08-06 07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3" t="str">
            <v>N</v>
          </cell>
          <cell r="X23">
            <v>1</v>
          </cell>
          <cell r="Y23">
            <v>23.3019</v>
          </cell>
          <cell r="Z23">
            <v>1.5599999999999999E-2</v>
          </cell>
          <cell r="AA23">
            <v>23.286300000000001</v>
          </cell>
          <cell r="AB23" t="e">
            <v>#N/A</v>
          </cell>
          <cell r="AC23" t="e">
            <v>#N/A</v>
          </cell>
          <cell r="AD23" t="str">
            <v>0110-06</v>
          </cell>
          <cell r="AE23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24">
          <cell r="A24" t="str">
            <v>111-06</v>
          </cell>
          <cell r="B24">
            <v>4018</v>
          </cell>
          <cell r="C24" t="str">
            <v>DE.1.0.7.0</v>
          </cell>
          <cell r="D24" t="str">
            <v>204:748</v>
          </cell>
          <cell r="E24">
            <v>42588.206284722219</v>
          </cell>
          <cell r="F24">
            <v>42588.207766203705</v>
          </cell>
          <cell r="G24">
            <v>2</v>
          </cell>
          <cell r="H24" t="str">
            <v>204:233302</v>
          </cell>
          <cell r="I24">
            <v>42588.233217592591</v>
          </cell>
          <cell r="J24">
            <v>0</v>
          </cell>
          <cell r="K24" t="str">
            <v>4017/4018</v>
          </cell>
          <cell r="L24" t="str">
            <v>GEBRETEKLE</v>
          </cell>
          <cell r="M24">
            <v>2.545138888672227E-2</v>
          </cell>
          <cell r="N24">
            <v>36.649999996880069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https://search-rtdc-monitor-bjffxe2xuh6vdkpspy63sjmuny.us-east-1.es.amazonaws.com/_plugin/kibana/#/discover/Steve-Slow-Train-Analysis-(2080s-and-2083s)?_g=(refreshInterval:(display:Off,section:0,value:0),time:(from:'2016-08-06 03:57:03-0600',mode:absolute,to:'2016-08-06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4" t="str">
            <v>N</v>
          </cell>
          <cell r="X24">
            <v>1</v>
          </cell>
          <cell r="Y24">
            <v>7.4800000000000005E-2</v>
          </cell>
          <cell r="Z24">
            <v>23.330200000000001</v>
          </cell>
          <cell r="AA24">
            <v>23.255400000000002</v>
          </cell>
          <cell r="AB24" t="e">
            <v>#N/A</v>
          </cell>
          <cell r="AC24" t="e">
            <v>#N/A</v>
          </cell>
          <cell r="AD24" t="str">
            <v>0111-06</v>
          </cell>
          <cell r="AE2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25">
          <cell r="A25" t="str">
            <v>112-06</v>
          </cell>
          <cell r="B25">
            <v>4017</v>
          </cell>
          <cell r="C25" t="str">
            <v>DE.1.0.7.0</v>
          </cell>
          <cell r="D25" t="str">
            <v>204:232979</v>
          </cell>
          <cell r="E25">
            <v>42588.24324074074</v>
          </cell>
          <cell r="F25">
            <v>42588.244479166664</v>
          </cell>
          <cell r="G25">
            <v>1</v>
          </cell>
          <cell r="H25" t="str">
            <v>204:127</v>
          </cell>
          <cell r="I25">
            <v>42588.273958333331</v>
          </cell>
          <cell r="J25">
            <v>1</v>
          </cell>
          <cell r="K25" t="str">
            <v>4017/4018</v>
          </cell>
          <cell r="L25" t="str">
            <v>GEBRETEKLE</v>
          </cell>
          <cell r="M25">
            <v>2.9479166667442769E-2</v>
          </cell>
          <cell r="N25">
            <v>42.450000001117587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5" t="str">
            <v>N</v>
          </cell>
          <cell r="X25">
            <v>1</v>
          </cell>
          <cell r="Y25">
            <v>23.297899999999998</v>
          </cell>
          <cell r="Z25">
            <v>1.2699999999999999E-2</v>
          </cell>
          <cell r="AA25">
            <v>23.2852</v>
          </cell>
          <cell r="AB25" t="e">
            <v>#N/A</v>
          </cell>
          <cell r="AC25" t="e">
            <v>#N/A</v>
          </cell>
          <cell r="AD25" t="str">
            <v>0112-06</v>
          </cell>
          <cell r="AE25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26">
          <cell r="A26" t="str">
            <v>113-06</v>
          </cell>
          <cell r="B26">
            <v>4014</v>
          </cell>
          <cell r="C26" t="str">
            <v>DE.1.0.7.0</v>
          </cell>
          <cell r="D26" t="str">
            <v>204:438</v>
          </cell>
          <cell r="E26">
            <v>42588.210555555554</v>
          </cell>
          <cell r="F26">
            <v>42588.211435185185</v>
          </cell>
          <cell r="G26">
            <v>1</v>
          </cell>
          <cell r="H26" t="str">
            <v>204:233301</v>
          </cell>
          <cell r="I26">
            <v>42588.244143518517</v>
          </cell>
          <cell r="J26">
            <v>0</v>
          </cell>
          <cell r="K26" t="str">
            <v>4013/4014</v>
          </cell>
          <cell r="L26" t="str">
            <v>MAELZER</v>
          </cell>
          <cell r="M26">
            <v>3.2708333332266193E-2</v>
          </cell>
          <cell r="N26">
            <v>47.099999998463318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https://search-rtdc-monitor-bjffxe2xuh6vdkpspy63sjmuny.us-east-1.es.amazonaws.com/_plugin/kibana/#/discover/Steve-Slow-Train-Analysis-(2080s-and-2083s)?_g=(refreshInterval:(display:Off,section:0,value:0),time:(from:'2016-08-06 04:03:12-0600',mode:absolute,to:'2016-08-06 06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6" t="str">
            <v>N</v>
          </cell>
          <cell r="X26">
            <v>1</v>
          </cell>
          <cell r="Y26">
            <v>4.3799999999999999E-2</v>
          </cell>
          <cell r="Z26">
            <v>23.330100000000002</v>
          </cell>
          <cell r="AA26">
            <v>23.286300000000001</v>
          </cell>
          <cell r="AB26" t="e">
            <v>#N/A</v>
          </cell>
          <cell r="AC26" t="e">
            <v>#N/A</v>
          </cell>
          <cell r="AD26" t="str">
            <v>0113-06</v>
          </cell>
          <cell r="AE2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27">
          <cell r="A27" t="str">
            <v>114-06</v>
          </cell>
          <cell r="B27">
            <v>4013</v>
          </cell>
          <cell r="C27" t="str">
            <v>DE.1.0.7.0</v>
          </cell>
          <cell r="D27" t="str">
            <v>204:232975</v>
          </cell>
          <cell r="E27">
            <v>42588.253599537034</v>
          </cell>
          <cell r="F27">
            <v>42588.254432870373</v>
          </cell>
          <cell r="G27">
            <v>1</v>
          </cell>
          <cell r="H27" t="str">
            <v>204:150</v>
          </cell>
          <cell r="I27">
            <v>42588.285868055558</v>
          </cell>
          <cell r="J27">
            <v>0</v>
          </cell>
          <cell r="K27" t="str">
            <v>4013/4014</v>
          </cell>
          <cell r="L27" t="str">
            <v>MAELZER</v>
          </cell>
          <cell r="M27">
            <v>3.1435185184818693E-2</v>
          </cell>
          <cell r="N27">
            <v>45.266666666138917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https://search-rtdc-monitor-bjffxe2xuh6vdkpspy63sjmuny.us-east-1.es.amazonaws.com/_plugin/kibana/#/discover/Steve-Slow-Train-Analysis-(2080s-and-2083s)?_g=(refreshInterval:(display:Off,section:0,value:0),time:(from:'2016-08-06 05:05:11-0600',mode:absolute,to:'2016-08-06 07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7" t="str">
            <v>N</v>
          </cell>
          <cell r="X27">
            <v>1</v>
          </cell>
          <cell r="Y27">
            <v>23.297499999999999</v>
          </cell>
          <cell r="Z27">
            <v>1.4999999999999999E-2</v>
          </cell>
          <cell r="AA27">
            <v>23.282499999999999</v>
          </cell>
          <cell r="AB27" t="e">
            <v>#N/A</v>
          </cell>
          <cell r="AC27" t="e">
            <v>#N/A</v>
          </cell>
          <cell r="AD27" t="str">
            <v>0114-06</v>
          </cell>
          <cell r="AE2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28">
          <cell r="A28" t="str">
            <v>115-06</v>
          </cell>
          <cell r="B28">
            <v>4042</v>
          </cell>
          <cell r="C28" t="str">
            <v>DE.1.0.7.0</v>
          </cell>
          <cell r="D28" t="str">
            <v>204:737</v>
          </cell>
          <cell r="E28">
            <v>42588.226851851854</v>
          </cell>
          <cell r="F28">
            <v>42588.228541666664</v>
          </cell>
          <cell r="G28">
            <v>2</v>
          </cell>
          <cell r="H28" t="str">
            <v>204:233287</v>
          </cell>
          <cell r="I28">
            <v>42588.256377314814</v>
          </cell>
          <cell r="J28">
            <v>0</v>
          </cell>
          <cell r="K28" t="str">
            <v>4041/4042</v>
          </cell>
          <cell r="L28" t="str">
            <v>STRICKLAND</v>
          </cell>
          <cell r="M28">
            <v>2.7835648150357883E-2</v>
          </cell>
          <cell r="N28">
            <v>40.083333336515352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https://search-rtdc-monitor-bjffxe2xuh6vdkpspy63sjmuny.us-east-1.es.amazonaws.com/_plugin/kibana/#/discover/Steve-Slow-Train-Analysis-(2080s-and-2083s)?_g=(refreshInterval:(display:Off,section:0,value:0),time:(from:'2016-08-06 04:26:40-0600',mode:absolute,to:'2016-08-06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8" t="str">
            <v>N</v>
          </cell>
          <cell r="X28">
            <v>1</v>
          </cell>
          <cell r="Y28">
            <v>7.3700000000000002E-2</v>
          </cell>
          <cell r="Z28">
            <v>23.328700000000001</v>
          </cell>
          <cell r="AA28">
            <v>23.255000000000003</v>
          </cell>
          <cell r="AB28" t="e">
            <v>#N/A</v>
          </cell>
          <cell r="AC28" t="e">
            <v>#N/A</v>
          </cell>
          <cell r="AD28" t="str">
            <v>0115-06</v>
          </cell>
          <cell r="AE28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29">
          <cell r="A29" t="str">
            <v>116-06</v>
          </cell>
          <cell r="B29">
            <v>4041</v>
          </cell>
          <cell r="C29" t="str">
            <v>DE.1.0.7.0</v>
          </cell>
          <cell r="D29" t="str">
            <v>204:232970</v>
          </cell>
          <cell r="E29">
            <v>42588.260358796295</v>
          </cell>
          <cell r="F29">
            <v>42588.266655092593</v>
          </cell>
          <cell r="G29">
            <v>9</v>
          </cell>
          <cell r="H29" t="str">
            <v>204:161</v>
          </cell>
          <cell r="I29">
            <v>42588.296030092592</v>
          </cell>
          <cell r="J29">
            <v>0</v>
          </cell>
          <cell r="K29" t="str">
            <v>4041/4042</v>
          </cell>
          <cell r="L29" t="str">
            <v>STRICKLAND</v>
          </cell>
          <cell r="M29">
            <v>2.937499999825377E-2</v>
          </cell>
          <cell r="N29">
            <v>42.299999997485429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https://search-rtdc-monitor-bjffxe2xuh6vdkpspy63sjmuny.us-east-1.es.amazonaws.com/_plugin/kibana/#/discover/Steve-Slow-Train-Analysis-(2080s-and-2083s)?_g=(refreshInterval:(display:Off,section:0,value:0),time:(from:'2016-08-06 05:14:55-0600',mode:absolute,to:'2016-08-06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9" t="str">
            <v>N</v>
          </cell>
          <cell r="X29">
            <v>1</v>
          </cell>
          <cell r="Y29">
            <v>23.297000000000001</v>
          </cell>
          <cell r="Z29">
            <v>1.61E-2</v>
          </cell>
          <cell r="AA29">
            <v>23.280899999999999</v>
          </cell>
          <cell r="AB29" t="e">
            <v>#N/A</v>
          </cell>
          <cell r="AC29" t="e">
            <v>#N/A</v>
          </cell>
          <cell r="AD29" t="str">
            <v>0116-06</v>
          </cell>
          <cell r="AE29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30">
          <cell r="A30" t="str">
            <v>117-06</v>
          </cell>
          <cell r="B30">
            <v>4027</v>
          </cell>
          <cell r="C30" t="str">
            <v>DE.1.0.7.0</v>
          </cell>
          <cell r="D30" t="str">
            <v>204:467</v>
          </cell>
          <cell r="E30">
            <v>42588.235474537039</v>
          </cell>
          <cell r="F30">
            <v>42588.237546296295</v>
          </cell>
          <cell r="G30">
            <v>2</v>
          </cell>
          <cell r="H30" t="str">
            <v>204:233318</v>
          </cell>
          <cell r="I30">
            <v>42588.265185185184</v>
          </cell>
          <cell r="J30">
            <v>1</v>
          </cell>
          <cell r="K30" t="str">
            <v>4027/4028</v>
          </cell>
          <cell r="L30" t="str">
            <v>SANTIZO</v>
          </cell>
          <cell r="M30">
            <v>2.7638888888759539E-2</v>
          </cell>
          <cell r="N30">
            <v>39.799999999813735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0" t="str">
            <v>N</v>
          </cell>
          <cell r="X30">
            <v>1</v>
          </cell>
          <cell r="Y30">
            <v>4.6699999999999998E-2</v>
          </cell>
          <cell r="Z30">
            <v>23.331800000000001</v>
          </cell>
          <cell r="AA30">
            <v>23.2851</v>
          </cell>
          <cell r="AB30">
            <v>33137</v>
          </cell>
          <cell r="AC30" t="str">
            <v>GRADE CROSSING</v>
          </cell>
          <cell r="AD30" t="str">
            <v>0117-06</v>
          </cell>
          <cell r="AE30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31">
          <cell r="A31" t="str">
            <v>118-06</v>
          </cell>
          <cell r="B31">
            <v>4028</v>
          </cell>
          <cell r="C31" t="str">
            <v>DE.1.0.7.0</v>
          </cell>
          <cell r="D31" t="str">
            <v>204:232978</v>
          </cell>
          <cell r="E31">
            <v>42588.274652777778</v>
          </cell>
          <cell r="F31">
            <v>42588.275601851848</v>
          </cell>
          <cell r="G31">
            <v>1</v>
          </cell>
          <cell r="H31" t="str">
            <v>204:152</v>
          </cell>
          <cell r="I31">
            <v>42588.304780092592</v>
          </cell>
          <cell r="J31">
            <v>1</v>
          </cell>
          <cell r="K31" t="str">
            <v>4027/4028</v>
          </cell>
          <cell r="L31" t="str">
            <v>SANTIZO</v>
          </cell>
          <cell r="M31">
            <v>2.9178240743931383E-2</v>
          </cell>
          <cell r="N31">
            <v>42.016666671261191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1" t="str">
            <v>N</v>
          </cell>
          <cell r="X31">
            <v>1</v>
          </cell>
          <cell r="Y31">
            <v>23.297799999999999</v>
          </cell>
          <cell r="Z31">
            <v>1.52E-2</v>
          </cell>
          <cell r="AA31">
            <v>23.282599999999999</v>
          </cell>
          <cell r="AB31" t="e">
            <v>#N/A</v>
          </cell>
          <cell r="AC31" t="e">
            <v>#N/A</v>
          </cell>
          <cell r="AD31" t="str">
            <v>0118-06</v>
          </cell>
          <cell r="AE31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32">
          <cell r="A32" t="str">
            <v>119-06</v>
          </cell>
          <cell r="B32">
            <v>4011</v>
          </cell>
          <cell r="C32" t="str">
            <v>DE.1.0.7.0</v>
          </cell>
          <cell r="D32" t="str">
            <v>204:730</v>
          </cell>
          <cell r="E32">
            <v>42588.252511574072</v>
          </cell>
          <cell r="F32">
            <v>42588.253310185188</v>
          </cell>
          <cell r="G32">
            <v>1</v>
          </cell>
          <cell r="H32" t="str">
            <v>204:233338</v>
          </cell>
          <cell r="I32">
            <v>42588.282418981478</v>
          </cell>
          <cell r="J32">
            <v>0</v>
          </cell>
          <cell r="K32" t="str">
            <v>4011/4012</v>
          </cell>
          <cell r="L32" t="str">
            <v>ACKERMAN</v>
          </cell>
          <cell r="M32">
            <v>2.9108796290529426E-2</v>
          </cell>
          <cell r="N32">
            <v>41.916666658362374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https://search-rtdc-monitor-bjffxe2xuh6vdkpspy63sjmuny.us-east-1.es.amazonaws.com/_plugin/kibana/#/discover/Steve-Slow-Train-Analysis-(2080s-and-2083s)?_g=(refreshInterval:(display:Off,section:0,value:0),time:(from:'2016-08-06 05:03:37-0600',mode:absolute,to:'2016-08-06 07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2" t="str">
            <v>N</v>
          </cell>
          <cell r="X32">
            <v>1</v>
          </cell>
          <cell r="Y32">
            <v>7.2999999999999995E-2</v>
          </cell>
          <cell r="Z32">
            <v>23.3338</v>
          </cell>
          <cell r="AA32">
            <v>23.2608</v>
          </cell>
          <cell r="AB32" t="e">
            <v>#N/A</v>
          </cell>
          <cell r="AC32" t="e">
            <v>#N/A</v>
          </cell>
          <cell r="AD32" t="str">
            <v>0119-06</v>
          </cell>
          <cell r="AE3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33">
          <cell r="A33" t="str">
            <v>120-06</v>
          </cell>
          <cell r="B33">
            <v>4012</v>
          </cell>
          <cell r="C33" t="str">
            <v>DE.1.0.7.0</v>
          </cell>
          <cell r="D33" t="str">
            <v>204:233000</v>
          </cell>
          <cell r="E33">
            <v>42588.284930555557</v>
          </cell>
          <cell r="F33">
            <v>42588.285960648151</v>
          </cell>
          <cell r="G33">
            <v>1</v>
          </cell>
          <cell r="H33" t="str">
            <v>204:130</v>
          </cell>
          <cell r="I33">
            <v>42588.315138888887</v>
          </cell>
          <cell r="J33">
            <v>1</v>
          </cell>
          <cell r="K33" t="str">
            <v>4011/4012</v>
          </cell>
          <cell r="L33" t="str">
            <v>ACKERMAN</v>
          </cell>
          <cell r="M33">
            <v>2.9178240736655425E-2</v>
          </cell>
          <cell r="N33">
            <v>42.016666660783812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3" t="str">
            <v>N</v>
          </cell>
          <cell r="X33">
            <v>1</v>
          </cell>
          <cell r="Y33">
            <v>23.3</v>
          </cell>
          <cell r="Z33">
            <v>1.2999999999999999E-2</v>
          </cell>
          <cell r="AA33">
            <v>23.286999999999999</v>
          </cell>
          <cell r="AB33" t="e">
            <v>#N/A</v>
          </cell>
          <cell r="AC33" t="e">
            <v>#N/A</v>
          </cell>
          <cell r="AD33" t="str">
            <v>0120-06</v>
          </cell>
          <cell r="AE3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34">
          <cell r="A34" t="str">
            <v>121-06</v>
          </cell>
          <cell r="B34">
            <v>4025</v>
          </cell>
          <cell r="C34" t="str">
            <v>DE.1.0.7.0</v>
          </cell>
          <cell r="D34" t="str">
            <v>204:453</v>
          </cell>
          <cell r="E34">
            <v>42588.256643518522</v>
          </cell>
          <cell r="F34">
            <v>42588.257523148146</v>
          </cell>
          <cell r="G34">
            <v>1</v>
          </cell>
          <cell r="H34" t="str">
            <v>204:233314</v>
          </cell>
          <cell r="I34">
            <v>42588.285671296297</v>
          </cell>
          <cell r="J34">
            <v>0</v>
          </cell>
          <cell r="K34" t="str">
            <v>4025/4026</v>
          </cell>
          <cell r="L34" t="str">
            <v>DAVIS</v>
          </cell>
          <cell r="M34">
            <v>2.8148148150648922E-2</v>
          </cell>
          <cell r="N34">
            <v>40.533333336934447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https://search-rtdc-monitor-bjffxe2xuh6vdkpspy63sjmuny.us-east-1.es.amazonaws.com/_plugin/kibana/#/discover/Steve-Slow-Train-Analysis-(2080s-and-2083s)?_g=(refreshInterval:(display:Off,section:0,value:0),time:(from:'2016-08-06 05:09:34-0600',mode:absolute,to:'2016-08-06 07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4" t="str">
            <v>N</v>
          </cell>
          <cell r="X34">
            <v>1</v>
          </cell>
          <cell r="Y34">
            <v>4.53E-2</v>
          </cell>
          <cell r="Z34">
            <v>23.331399999999999</v>
          </cell>
          <cell r="AA34">
            <v>23.286099999999998</v>
          </cell>
          <cell r="AB34" t="e">
            <v>#N/A</v>
          </cell>
          <cell r="AC34" t="e">
            <v>#N/A</v>
          </cell>
          <cell r="AD34" t="str">
            <v>0121-06</v>
          </cell>
          <cell r="AE34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35">
          <cell r="A35" t="str">
            <v>122-06</v>
          </cell>
          <cell r="B35">
            <v>4026</v>
          </cell>
          <cell r="C35" t="str">
            <v>DE.1.0.7.0</v>
          </cell>
          <cell r="D35" t="str">
            <v>204:232982</v>
          </cell>
          <cell r="E35">
            <v>42588.296527777777</v>
          </cell>
          <cell r="F35">
            <v>42588.297372685185</v>
          </cell>
          <cell r="G35">
            <v>1</v>
          </cell>
          <cell r="H35" t="str">
            <v>204:139</v>
          </cell>
          <cell r="I35">
            <v>42588.326620370368</v>
          </cell>
          <cell r="J35">
            <v>0</v>
          </cell>
          <cell r="K35" t="str">
            <v>4025/4026</v>
          </cell>
          <cell r="L35" t="str">
            <v>DAVIS</v>
          </cell>
          <cell r="M35">
            <v>2.9247685182781424E-2</v>
          </cell>
          <cell r="N35">
            <v>42.116666663205251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https://search-rtdc-monitor-bjffxe2xuh6vdkpspy63sjmuny.us-east-1.es.amazonaws.com/_plugin/kibana/#/discover/Steve-Slow-Train-Analysis-(2080s-and-2083s)?_g=(refreshInterval:(display:Off,section:0,value:0),time:(from:'2016-08-06 06:07:00-0600',mode:absolute,to:'2016-08-06 08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5" t="str">
            <v>N</v>
          </cell>
          <cell r="X35">
            <v>1</v>
          </cell>
          <cell r="Y35">
            <v>23.298200000000001</v>
          </cell>
          <cell r="Z35">
            <v>1.3899999999999999E-2</v>
          </cell>
          <cell r="AA35">
            <v>23.284300000000002</v>
          </cell>
          <cell r="AB35" t="e">
            <v>#N/A</v>
          </cell>
          <cell r="AC35" t="e">
            <v>#N/A</v>
          </cell>
          <cell r="AD35" t="str">
            <v>0122-06</v>
          </cell>
          <cell r="AE35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36">
          <cell r="A36" t="str">
            <v>123-06</v>
          </cell>
          <cell r="B36">
            <v>4009</v>
          </cell>
          <cell r="C36" t="str">
            <v>DE.1.0.7.0</v>
          </cell>
          <cell r="D36" t="str">
            <v>204:457</v>
          </cell>
          <cell r="E36">
            <v>42588.266898148147</v>
          </cell>
          <cell r="F36">
            <v>42588.268159722225</v>
          </cell>
          <cell r="G36">
            <v>1</v>
          </cell>
          <cell r="H36" t="str">
            <v>204:233344</v>
          </cell>
          <cell r="I36">
            <v>42588.296342592592</v>
          </cell>
          <cell r="J36">
            <v>1</v>
          </cell>
          <cell r="K36" t="str">
            <v>4009/4010</v>
          </cell>
          <cell r="L36" t="str">
            <v>STORY</v>
          </cell>
          <cell r="M36">
            <v>2.8182870366435964E-2</v>
          </cell>
          <cell r="N36">
            <v>40.583333327667788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6" t="str">
            <v>N</v>
          </cell>
          <cell r="X36">
            <v>1</v>
          </cell>
          <cell r="Y36">
            <v>4.5699999999999998E-2</v>
          </cell>
          <cell r="Z36">
            <v>23.334399999999999</v>
          </cell>
          <cell r="AA36">
            <v>23.288699999999999</v>
          </cell>
          <cell r="AB36" t="e">
            <v>#N/A</v>
          </cell>
          <cell r="AC36" t="e">
            <v>#N/A</v>
          </cell>
          <cell r="AD36" t="str">
            <v>0123-06</v>
          </cell>
          <cell r="AE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37">
          <cell r="A37" t="str">
            <v>124-06</v>
          </cell>
          <cell r="B37">
            <v>4010</v>
          </cell>
          <cell r="C37" t="str">
            <v>DE.1.0.7.0</v>
          </cell>
          <cell r="D37" t="str">
            <v>204:233051</v>
          </cell>
          <cell r="E37">
            <v>42588.306273148148</v>
          </cell>
          <cell r="F37">
            <v>42588.307476851849</v>
          </cell>
          <cell r="G37">
            <v>1</v>
          </cell>
          <cell r="H37" t="str">
            <v>204:160</v>
          </cell>
          <cell r="I37">
            <v>42588.338148148148</v>
          </cell>
          <cell r="J37">
            <v>1</v>
          </cell>
          <cell r="K37" t="str">
            <v>4009/4010</v>
          </cell>
          <cell r="L37" t="str">
            <v>STORY</v>
          </cell>
          <cell r="M37">
            <v>3.0671296299260575E-2</v>
          </cell>
          <cell r="N37">
            <v>44.166666670935228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7" t="str">
            <v>N</v>
          </cell>
          <cell r="X37">
            <v>1</v>
          </cell>
          <cell r="Y37">
            <v>23.305099999999999</v>
          </cell>
          <cell r="Z37">
            <v>1.6E-2</v>
          </cell>
          <cell r="AA37">
            <v>23.289100000000001</v>
          </cell>
          <cell r="AB37">
            <v>119716</v>
          </cell>
          <cell r="AC37" t="str">
            <v>PERMANENT SPEED RESTRICTION</v>
          </cell>
          <cell r="AD37" t="str">
            <v>0124-06</v>
          </cell>
          <cell r="AE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38">
          <cell r="A38" t="str">
            <v>125-06</v>
          </cell>
          <cell r="B38">
            <v>4018</v>
          </cell>
          <cell r="C38" t="str">
            <v>DE.1.0.7.0</v>
          </cell>
          <cell r="D38" t="str">
            <v>204:453</v>
          </cell>
          <cell r="E38">
            <v>42588.276493055557</v>
          </cell>
          <cell r="F38">
            <v>42588.277696759258</v>
          </cell>
          <cell r="G38">
            <v>1</v>
          </cell>
          <cell r="H38" t="str">
            <v>204:233289</v>
          </cell>
          <cell r="I38">
            <v>42588.305879629632</v>
          </cell>
          <cell r="J38">
            <v>0</v>
          </cell>
          <cell r="K38" t="str">
            <v>4017/4018</v>
          </cell>
          <cell r="L38" t="str">
            <v>GEBRETEKLE</v>
          </cell>
          <cell r="M38">
            <v>2.8182870373711921E-2</v>
          </cell>
          <cell r="N38">
            <v>40.583333338145167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https://search-rtdc-monitor-bjffxe2xuh6vdkpspy63sjmuny.us-east-1.es.amazonaws.com/_plugin/kibana/#/discover/Steve-Slow-Train-Analysis-(2080s-and-2083s)?_g=(refreshInterval:(display:Off,section:0,value:0),time:(from:'2016-08-06 05:38:09-0600',mode:absolute,to:'2016-08-06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8" t="str">
            <v>N</v>
          </cell>
          <cell r="X38">
            <v>1</v>
          </cell>
          <cell r="Y38">
            <v>4.53E-2</v>
          </cell>
          <cell r="Z38">
            <v>23.328900000000001</v>
          </cell>
          <cell r="AA38">
            <v>23.2836</v>
          </cell>
          <cell r="AB38" t="e">
            <v>#N/A</v>
          </cell>
          <cell r="AC38" t="e">
            <v>#N/A</v>
          </cell>
          <cell r="AD38" t="str">
            <v>0125-06</v>
          </cell>
          <cell r="AE3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39">
          <cell r="A39" t="str">
            <v>126-06</v>
          </cell>
          <cell r="B39">
            <v>4017</v>
          </cell>
          <cell r="C39" t="str">
            <v>DE.1.0.7.0</v>
          </cell>
          <cell r="D39" t="str">
            <v>204:232969</v>
          </cell>
          <cell r="E39">
            <v>42588.316053240742</v>
          </cell>
          <cell r="F39">
            <v>42588.316944444443</v>
          </cell>
          <cell r="G39">
            <v>1</v>
          </cell>
          <cell r="H39" t="str">
            <v>204:147</v>
          </cell>
          <cell r="I39">
            <v>42588.347743055558</v>
          </cell>
          <cell r="J39">
            <v>0</v>
          </cell>
          <cell r="K39" t="str">
            <v>4017/4018</v>
          </cell>
          <cell r="L39" t="str">
            <v>GEBRETEKLE</v>
          </cell>
          <cell r="M39">
            <v>3.0798611114732921E-2</v>
          </cell>
          <cell r="N39">
            <v>44.350000005215406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https://search-rtdc-monitor-bjffxe2xuh6vdkpspy63sjmuny.us-east-1.es.amazonaws.com/_plugin/kibana/#/discover/Steve-Slow-Train-Analysis-(2080s-and-2083s)?_g=(refreshInterval:(display:Off,section:0,value:0),time:(from:'2016-08-06 06:35:07-0600',mode:absolute,to:'2016-08-06 09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9" t="str">
            <v>N</v>
          </cell>
          <cell r="X39">
            <v>1</v>
          </cell>
          <cell r="Y39">
            <v>23.296900000000001</v>
          </cell>
          <cell r="Z39">
            <v>1.47E-2</v>
          </cell>
          <cell r="AA39">
            <v>23.2822</v>
          </cell>
          <cell r="AB39" t="e">
            <v>#N/A</v>
          </cell>
          <cell r="AC39" t="e">
            <v>#N/A</v>
          </cell>
          <cell r="AD39" t="str">
            <v>0126-06</v>
          </cell>
          <cell r="AE3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40">
          <cell r="A40" t="str">
            <v>127-06</v>
          </cell>
          <cell r="B40">
            <v>4014</v>
          </cell>
          <cell r="C40" t="str">
            <v>DE.1.0.7.0</v>
          </cell>
          <cell r="D40" t="str">
            <v>204:444</v>
          </cell>
          <cell r="E40">
            <v>42588.287569444445</v>
          </cell>
          <cell r="F40">
            <v>42588.288530092592</v>
          </cell>
          <cell r="G40">
            <v>1</v>
          </cell>
          <cell r="H40" t="str">
            <v>204:233323</v>
          </cell>
          <cell r="I40">
            <v>42588.317615740743</v>
          </cell>
          <cell r="J40">
            <v>0</v>
          </cell>
          <cell r="K40" t="str">
            <v>4013/4014</v>
          </cell>
          <cell r="L40" t="str">
            <v>MAELZER</v>
          </cell>
          <cell r="M40">
            <v>2.9085648151522037E-2</v>
          </cell>
          <cell r="N40">
            <v>41.883333338191733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https://search-rtdc-monitor-bjffxe2xuh6vdkpspy63sjmuny.us-east-1.es.amazonaws.com/_plugin/kibana/#/discover/Steve-Slow-Train-Analysis-(2080s-and-2083s)?_g=(refreshInterval:(display:Off,section:0,value:0),time:(from:'2016-08-06 05:54:06-0600',mode:absolute,to:'2016-08-06 08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0" t="str">
            <v>N</v>
          </cell>
          <cell r="X40">
            <v>1</v>
          </cell>
          <cell r="Y40">
            <v>4.4400000000000002E-2</v>
          </cell>
          <cell r="Z40">
            <v>23.3323</v>
          </cell>
          <cell r="AA40">
            <v>23.2879</v>
          </cell>
          <cell r="AB40" t="e">
            <v>#N/A</v>
          </cell>
          <cell r="AC40" t="e">
            <v>#N/A</v>
          </cell>
          <cell r="AD40" t="str">
            <v>0127-06</v>
          </cell>
          <cell r="AE4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41">
          <cell r="A41" t="str">
            <v>128-06</v>
          </cell>
          <cell r="B41">
            <v>4013</v>
          </cell>
          <cell r="C41" t="str">
            <v>DE.1.0.7.0</v>
          </cell>
          <cell r="D41" t="str">
            <v>204:232994</v>
          </cell>
          <cell r="E41">
            <v>42588.323159722226</v>
          </cell>
          <cell r="F41">
            <v>42588.323981481481</v>
          </cell>
          <cell r="G41">
            <v>1</v>
          </cell>
          <cell r="H41" t="str">
            <v>204:156</v>
          </cell>
          <cell r="I41">
            <v>42588.356851851851</v>
          </cell>
          <cell r="J41">
            <v>0</v>
          </cell>
          <cell r="K41" t="str">
            <v>4013/4014</v>
          </cell>
          <cell r="L41" t="str">
            <v>MAELZER</v>
          </cell>
          <cell r="M41">
            <v>3.2870370370801538E-2</v>
          </cell>
          <cell r="N41">
            <v>47.333333333954215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https://search-rtdc-monitor-bjffxe2xuh6vdkpspy63sjmuny.us-east-1.es.amazonaws.com/_plugin/kibana/#/discover/Steve-Slow-Train-Analysis-(2080s-and-2083s)?_g=(refreshInterval:(display:Off,section:0,value:0),time:(from:'2016-08-06 06:45:21-0600',mode:absolute,to:'2016-08-06 09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1.5599999999999999E-2</v>
          </cell>
          <cell r="AA41">
            <v>23.283799999999999</v>
          </cell>
          <cell r="AB41" t="e">
            <v>#N/A</v>
          </cell>
          <cell r="AC41" t="e">
            <v>#N/A</v>
          </cell>
          <cell r="AD41" t="str">
            <v>0128-06</v>
          </cell>
          <cell r="AE4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42">
          <cell r="A42" t="str">
            <v>129-06</v>
          </cell>
          <cell r="B42">
            <v>4042</v>
          </cell>
          <cell r="C42" t="str">
            <v>DE.1.0.7.0</v>
          </cell>
          <cell r="D42" t="str">
            <v>204:455</v>
          </cell>
          <cell r="E42">
            <v>42588.298275462963</v>
          </cell>
          <cell r="F42">
            <v>42588.302627314813</v>
          </cell>
          <cell r="G42">
            <v>6</v>
          </cell>
          <cell r="H42" t="str">
            <v>204:233297</v>
          </cell>
          <cell r="I42">
            <v>42588.329328703701</v>
          </cell>
          <cell r="J42">
            <v>2</v>
          </cell>
          <cell r="K42" t="str">
            <v>4041/4042</v>
          </cell>
          <cell r="L42" t="str">
            <v>STRICKLAND</v>
          </cell>
          <cell r="M42">
            <v>2.6701388887886424E-2</v>
          </cell>
          <cell r="N42">
            <v>38.44999999855645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2" t="str">
            <v>N</v>
          </cell>
          <cell r="X42">
            <v>1</v>
          </cell>
          <cell r="Y42">
            <v>4.5499999999999999E-2</v>
          </cell>
          <cell r="Z42">
            <v>23.329699999999999</v>
          </cell>
          <cell r="AA42">
            <v>23.284199999999998</v>
          </cell>
          <cell r="AB42">
            <v>0</v>
          </cell>
          <cell r="AC42" t="str">
            <v>PERMANENT SPEED RESTRICTION</v>
          </cell>
          <cell r="AD42" t="str">
            <v>0129-06</v>
          </cell>
          <cell r="AE42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43">
          <cell r="A43" t="str">
            <v>130-06</v>
          </cell>
          <cell r="B43">
            <v>4041</v>
          </cell>
          <cell r="C43" t="str">
            <v>DE.1.0.7.0</v>
          </cell>
          <cell r="D43" t="str">
            <v>204:232982</v>
          </cell>
          <cell r="E43">
            <v>42588.336967592593</v>
          </cell>
          <cell r="F43">
            <v>42588.338449074072</v>
          </cell>
          <cell r="G43">
            <v>2</v>
          </cell>
          <cell r="H43" t="str">
            <v>204:172</v>
          </cell>
          <cell r="I43">
            <v>42588.370162037034</v>
          </cell>
          <cell r="J43">
            <v>3</v>
          </cell>
          <cell r="K43" t="str">
            <v>4041/4042</v>
          </cell>
          <cell r="L43" t="str">
            <v>STRICKLAND</v>
          </cell>
          <cell r="M43">
            <v>3.1712962962046731E-2</v>
          </cell>
          <cell r="N43">
            <v>45.666666665347293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3" t="str">
            <v>N</v>
          </cell>
          <cell r="X43">
            <v>1</v>
          </cell>
          <cell r="Y43">
            <v>23.298200000000001</v>
          </cell>
          <cell r="Z43">
            <v>1.72E-2</v>
          </cell>
          <cell r="AA43">
            <v>23.281000000000002</v>
          </cell>
          <cell r="AB43">
            <v>33257</v>
          </cell>
          <cell r="AC43" t="str">
            <v>GRADE CROSSING</v>
          </cell>
          <cell r="AD43" t="str">
            <v>0130-06</v>
          </cell>
          <cell r="AE43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44">
          <cell r="A44" t="str">
            <v>131-06</v>
          </cell>
          <cell r="B44">
            <v>4027</v>
          </cell>
          <cell r="C44" t="str">
            <v>DE.1.0.7.0</v>
          </cell>
          <cell r="D44" t="str">
            <v>204:453</v>
          </cell>
          <cell r="E44">
            <v>42588.308310185188</v>
          </cell>
          <cell r="F44">
            <v>42588.309363425928</v>
          </cell>
          <cell r="G44">
            <v>1</v>
          </cell>
          <cell r="H44" t="str">
            <v>204:233310</v>
          </cell>
          <cell r="I44">
            <v>42588.338113425925</v>
          </cell>
          <cell r="J44">
            <v>0</v>
          </cell>
          <cell r="K44" t="str">
            <v>4027/4028</v>
          </cell>
          <cell r="L44" t="str">
            <v>SANTIZO</v>
          </cell>
          <cell r="M44">
            <v>2.8749999997671694E-2</v>
          </cell>
          <cell r="N44">
            <v>41.399999996647239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https://search-rtdc-monitor-bjffxe2xuh6vdkpspy63sjmuny.us-east-1.es.amazonaws.com/_plugin/kibana/#/discover/Steve-Slow-Train-Analysis-(2080s-and-2083s)?_g=(refreshInterval:(display:Off,section:0,value:0),time:(from:'2016-08-06 06:23:58-0600',mode:absolute,to:'2016-08-06 09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23.331</v>
          </cell>
          <cell r="AA44">
            <v>23.285699999999999</v>
          </cell>
          <cell r="AB44" t="e">
            <v>#N/A</v>
          </cell>
          <cell r="AC44" t="e">
            <v>#N/A</v>
          </cell>
          <cell r="AD44" t="str">
            <v>0131-06</v>
          </cell>
          <cell r="AE44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45">
          <cell r="A45" t="str">
            <v>132-06</v>
          </cell>
          <cell r="B45">
            <v>4028</v>
          </cell>
          <cell r="C45" t="str">
            <v>DE.1.0.7.0</v>
          </cell>
          <cell r="D45" t="str">
            <v>204:233000</v>
          </cell>
          <cell r="E45">
            <v>42588.339606481481</v>
          </cell>
          <cell r="F45">
            <v>42588.340266203704</v>
          </cell>
          <cell r="G45">
            <v>0</v>
          </cell>
          <cell r="H45" t="str">
            <v>204:167</v>
          </cell>
          <cell r="I45">
            <v>42588.377939814818</v>
          </cell>
          <cell r="J45">
            <v>0</v>
          </cell>
          <cell r="K45" t="str">
            <v>4027/4028</v>
          </cell>
          <cell r="L45" t="str">
            <v>SANTIZO</v>
          </cell>
          <cell r="M45">
            <v>3.7673611113859806E-2</v>
          </cell>
          <cell r="N45">
            <v>54.250000003958121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https://search-rtdc-monitor-bjffxe2xuh6vdkpspy63sjmuny.us-east-1.es.amazonaws.com/_plugin/kibana/#/discover/Steve-Slow-Train-Analysis-(2080s-and-2083s)?_g=(refreshInterval:(display:Off,section:0,value:0),time:(from:'2016-08-06 07:09:02-0600',mode:absolute,to:'2016-08-06 10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5" t="str">
            <v>N</v>
          </cell>
          <cell r="X45">
            <v>1</v>
          </cell>
          <cell r="Y45">
            <v>23.3</v>
          </cell>
          <cell r="Z45">
            <v>1.67E-2</v>
          </cell>
          <cell r="AA45">
            <v>23.283300000000001</v>
          </cell>
          <cell r="AB45" t="e">
            <v>#N/A</v>
          </cell>
          <cell r="AC45" t="e">
            <v>#N/A</v>
          </cell>
          <cell r="AD45" t="str">
            <v>0132-06</v>
          </cell>
          <cell r="AE45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46">
          <cell r="A46" t="str">
            <v>133-06</v>
          </cell>
          <cell r="B46">
            <v>4011</v>
          </cell>
          <cell r="C46" t="str">
            <v>DE.1.0.7.0</v>
          </cell>
          <cell r="D46" t="str">
            <v>204:449</v>
          </cell>
          <cell r="E46">
            <v>42588.31821759259</v>
          </cell>
          <cell r="F46">
            <v>42588.319733796299</v>
          </cell>
          <cell r="G46">
            <v>2</v>
          </cell>
          <cell r="H46" t="str">
            <v>204:233297</v>
          </cell>
          <cell r="I46">
            <v>42588.347951388889</v>
          </cell>
          <cell r="J46">
            <v>0</v>
          </cell>
          <cell r="K46" t="str">
            <v>4011/4012</v>
          </cell>
          <cell r="L46" t="str">
            <v>ACKERMAN</v>
          </cell>
          <cell r="M46">
            <v>2.8217592589498963E-2</v>
          </cell>
          <cell r="N46">
            <v>40.633333328878507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https://search-rtdc-monitor-bjffxe2xuh6vdkpspy63sjmuny.us-east-1.es.amazonaws.com/_plugin/kibana/#/discover/Steve-Slow-Train-Analysis-(2080s-and-2083s)?_g=(refreshInterval:(display:Off,section:0,value:0),time:(from:'2016-08-06 06:38:14-0600',mode:absolute,to:'2016-08-06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6" t="str">
            <v>N</v>
          </cell>
          <cell r="X46">
            <v>1</v>
          </cell>
          <cell r="Y46">
            <v>4.4900000000000002E-2</v>
          </cell>
          <cell r="Z46">
            <v>23.329699999999999</v>
          </cell>
          <cell r="AA46">
            <v>23.284800000000001</v>
          </cell>
          <cell r="AB46" t="e">
            <v>#N/A</v>
          </cell>
          <cell r="AC46" t="e">
            <v>#N/A</v>
          </cell>
          <cell r="AD46" t="str">
            <v>0133-06</v>
          </cell>
          <cell r="AE46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47">
          <cell r="A47" t="str">
            <v>134-06</v>
          </cell>
          <cell r="B47">
            <v>4012</v>
          </cell>
          <cell r="C47" t="str">
            <v>DE.1.0.7.0</v>
          </cell>
          <cell r="D47" t="str">
            <v>204:232984</v>
          </cell>
          <cell r="E47">
            <v>42588.356354166666</v>
          </cell>
          <cell r="F47">
            <v>42588.357881944445</v>
          </cell>
          <cell r="G47">
            <v>2</v>
          </cell>
          <cell r="H47" t="str">
            <v>204:132</v>
          </cell>
          <cell r="I47">
            <v>42588.388344907406</v>
          </cell>
          <cell r="J47">
            <v>1</v>
          </cell>
          <cell r="K47" t="str">
            <v>4011/4012</v>
          </cell>
          <cell r="L47" t="str">
            <v>ACKERMAN</v>
          </cell>
          <cell r="M47">
            <v>3.0462962960882578E-2</v>
          </cell>
          <cell r="N47">
            <v>43.866666663670912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7" t="str">
            <v>N</v>
          </cell>
          <cell r="X47">
            <v>1</v>
          </cell>
          <cell r="Y47">
            <v>23.298400000000001</v>
          </cell>
          <cell r="Z47">
            <v>1.32E-2</v>
          </cell>
          <cell r="AA47">
            <v>23.2852</v>
          </cell>
          <cell r="AB47" t="e">
            <v>#N/A</v>
          </cell>
          <cell r="AC47" t="e">
            <v>#N/A</v>
          </cell>
          <cell r="AD47" t="str">
            <v>0134-06</v>
          </cell>
          <cell r="AE47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48">
          <cell r="A48" t="str">
            <v>135-06</v>
          </cell>
          <cell r="B48">
            <v>4025</v>
          </cell>
          <cell r="C48" t="str">
            <v>DE.1.0.7.0</v>
          </cell>
          <cell r="D48" t="str">
            <v>204:466</v>
          </cell>
          <cell r="E48">
            <v>42588.328576388885</v>
          </cell>
          <cell r="F48">
            <v>42588.32949074074</v>
          </cell>
          <cell r="G48">
            <v>1</v>
          </cell>
          <cell r="H48" t="str">
            <v>204:233244</v>
          </cell>
          <cell r="I48">
            <v>42588.360405092593</v>
          </cell>
          <cell r="J48">
            <v>0</v>
          </cell>
          <cell r="K48" t="str">
            <v>4025/4026</v>
          </cell>
          <cell r="L48" t="str">
            <v>DAVIS</v>
          </cell>
          <cell r="M48">
            <v>3.0914351853425615E-2</v>
          </cell>
          <cell r="N48">
            <v>44.516666668932885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https://search-rtdc-monitor-bjffxe2xuh6vdkpspy63sjmuny.us-east-1.es.amazonaws.com/_plugin/kibana/#/discover/Steve-Slow-Train-Analysis-(2080s-and-2083s)?_g=(refreshInterval:(display:Off,section:0,value:0),time:(from:'2016-08-06 06:53:09-0600',mode:absolute,to:'2016-08-06 09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8" t="str">
            <v>N</v>
          </cell>
          <cell r="X48">
            <v>1</v>
          </cell>
          <cell r="Y48">
            <v>4.6600000000000003E-2</v>
          </cell>
          <cell r="Z48">
            <v>23.324400000000001</v>
          </cell>
          <cell r="AA48">
            <v>23.277799999999999</v>
          </cell>
          <cell r="AB48" t="e">
            <v>#N/A</v>
          </cell>
          <cell r="AC48" t="e">
            <v>#N/A</v>
          </cell>
          <cell r="AD48" t="str">
            <v>0135-06</v>
          </cell>
          <cell r="AE48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49">
          <cell r="A49" t="str">
            <v>136-06</v>
          </cell>
          <cell r="B49">
            <v>4026</v>
          </cell>
          <cell r="C49" t="str">
            <v>DE.1.0.7.0</v>
          </cell>
          <cell r="D49" t="str">
            <v>204:232989</v>
          </cell>
          <cell r="E49">
            <v>42588.368171296293</v>
          </cell>
          <cell r="F49">
            <v>42588.369039351855</v>
          </cell>
          <cell r="G49">
            <v>1</v>
          </cell>
          <cell r="H49" t="str">
            <v>204:152</v>
          </cell>
          <cell r="I49">
            <v>42588.400104166663</v>
          </cell>
          <cell r="J49">
            <v>0</v>
          </cell>
          <cell r="K49" t="str">
            <v>4025/4026</v>
          </cell>
          <cell r="L49" t="str">
            <v>DAVIS</v>
          </cell>
          <cell r="M49">
            <v>3.106481480790535E-2</v>
          </cell>
          <cell r="N49">
            <v>44.733333323383704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https://search-rtdc-monitor-bjffxe2xuh6vdkpspy63sjmuny.us-east-1.es.amazonaws.com/_plugin/kibana/#/discover/Steve-Slow-Train-Analysis-(2080s-and-2083s)?_g=(refreshInterval:(display:Off,section:0,value:0),time:(from:'2016-08-06 07:50:10-0600',mode:absolute,to:'2016-08-06 10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9" t="str">
            <v>N</v>
          </cell>
          <cell r="X49">
            <v>1</v>
          </cell>
          <cell r="Y49">
            <v>23.2989</v>
          </cell>
          <cell r="Z49">
            <v>1.52E-2</v>
          </cell>
          <cell r="AA49">
            <v>23.2837</v>
          </cell>
          <cell r="AB49" t="e">
            <v>#N/A</v>
          </cell>
          <cell r="AC49" t="e">
            <v>#N/A</v>
          </cell>
          <cell r="AD49" t="str">
            <v>0136-06</v>
          </cell>
          <cell r="AE49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50">
          <cell r="A50" t="str">
            <v>137-06</v>
          </cell>
          <cell r="B50">
            <v>4009</v>
          </cell>
          <cell r="C50" t="str">
            <v>DE.1.0.7.0</v>
          </cell>
          <cell r="D50" t="str">
            <v>204:446</v>
          </cell>
          <cell r="E50">
            <v>42588.340057870373</v>
          </cell>
          <cell r="F50">
            <v>42588.341111111113</v>
          </cell>
          <cell r="G50">
            <v>1</v>
          </cell>
          <cell r="H50" t="str">
            <v>204:233320</v>
          </cell>
          <cell r="I50">
            <v>42588.368888888886</v>
          </cell>
          <cell r="J50">
            <v>0</v>
          </cell>
          <cell r="K50" t="str">
            <v>4009/4010</v>
          </cell>
          <cell r="L50" t="str">
            <v>STORY</v>
          </cell>
          <cell r="M50">
            <v>2.7777777773735579E-2</v>
          </cell>
          <cell r="N50">
            <v>39.999999994179234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https://search-rtdc-monitor-bjffxe2xuh6vdkpspy63sjmuny.us-east-1.es.amazonaws.com/_plugin/kibana/#/discover/Steve-Slow-Train-Analysis-(2080s-and-2083s)?_g=(refreshInterval:(display:Off,section:0,value:0),time:(from:'2016-08-06 07:09:41-0600',mode:absolute,to:'2016-08-06 09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0" t="str">
            <v>N</v>
          </cell>
          <cell r="X50">
            <v>1</v>
          </cell>
          <cell r="Y50">
            <v>4.4600000000000001E-2</v>
          </cell>
          <cell r="Z50">
            <v>23.332000000000001</v>
          </cell>
          <cell r="AA50">
            <v>23.287400000000002</v>
          </cell>
          <cell r="AB50" t="e">
            <v>#N/A</v>
          </cell>
          <cell r="AC50" t="e">
            <v>#N/A</v>
          </cell>
          <cell r="AD50" t="str">
            <v>0137-06</v>
          </cell>
          <cell r="AE50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51">
          <cell r="A51" t="str">
            <v>138-06</v>
          </cell>
          <cell r="B51">
            <v>4010</v>
          </cell>
          <cell r="C51" t="str">
            <v>DE.1.0.7.0</v>
          </cell>
          <cell r="D51" t="str">
            <v>204:232998</v>
          </cell>
          <cell r="E51">
            <v>42588.377314814818</v>
          </cell>
          <cell r="F51">
            <v>42588.378333333334</v>
          </cell>
          <cell r="G51">
            <v>1</v>
          </cell>
          <cell r="H51" t="str">
            <v>204:160</v>
          </cell>
          <cell r="I51">
            <v>42588.410115740742</v>
          </cell>
          <cell r="J51">
            <v>1</v>
          </cell>
          <cell r="K51" t="str">
            <v>4009/4010</v>
          </cell>
          <cell r="L51" t="str">
            <v>STORY</v>
          </cell>
          <cell r="M51">
            <v>3.178240740817273E-2</v>
          </cell>
          <cell r="N51">
            <v>45.766666667768732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1" t="str">
            <v>N</v>
          </cell>
          <cell r="X51">
            <v>1</v>
          </cell>
          <cell r="Y51">
            <v>23.299800000000001</v>
          </cell>
          <cell r="Z51">
            <v>1.6E-2</v>
          </cell>
          <cell r="AA51">
            <v>23.283800000000003</v>
          </cell>
          <cell r="AB51" t="e">
            <v>#N/A</v>
          </cell>
          <cell r="AC51" t="e">
            <v>#N/A</v>
          </cell>
          <cell r="AD51" t="str">
            <v>0138-06</v>
          </cell>
          <cell r="AE51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52">
          <cell r="A52" t="str">
            <v>139-06</v>
          </cell>
          <cell r="B52">
            <v>4018</v>
          </cell>
          <cell r="C52" t="str">
            <v>DE.1.0.7.0</v>
          </cell>
          <cell r="D52" t="str">
            <v>204:460</v>
          </cell>
          <cell r="E52">
            <v>42588.351539351854</v>
          </cell>
          <cell r="F52">
            <v>42588.352303240739</v>
          </cell>
          <cell r="G52">
            <v>1</v>
          </cell>
          <cell r="H52" t="str">
            <v>204:233280</v>
          </cell>
          <cell r="I52">
            <v>42588.379560185182</v>
          </cell>
          <cell r="J52">
            <v>1</v>
          </cell>
          <cell r="K52" t="str">
            <v>4017/4018</v>
          </cell>
          <cell r="L52" t="str">
            <v>GEBRETEKLE</v>
          </cell>
          <cell r="M52">
            <v>2.7256944442342501E-2</v>
          </cell>
          <cell r="N52">
            <v>39.249999996973202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2" t="str">
            <v>N</v>
          </cell>
          <cell r="X52">
            <v>1</v>
          </cell>
          <cell r="Y52">
            <v>4.5999999999999999E-2</v>
          </cell>
          <cell r="Z52">
            <v>23.327999999999999</v>
          </cell>
          <cell r="AA52">
            <v>23.282</v>
          </cell>
          <cell r="AB52" t="e">
            <v>#N/A</v>
          </cell>
          <cell r="AC52" t="e">
            <v>#N/A</v>
          </cell>
          <cell r="AD52" t="str">
            <v>0139-06</v>
          </cell>
          <cell r="AE52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53">
          <cell r="A53" t="str">
            <v>140-06</v>
          </cell>
          <cell r="B53">
            <v>4017</v>
          </cell>
          <cell r="C53" t="str">
            <v>DE.1.0.7.0</v>
          </cell>
          <cell r="D53" t="str">
            <v>204:232979</v>
          </cell>
          <cell r="E53">
            <v>42588.389282407406</v>
          </cell>
          <cell r="F53">
            <v>42588.390208333331</v>
          </cell>
          <cell r="G53">
            <v>1</v>
          </cell>
          <cell r="H53" t="str">
            <v>204:149</v>
          </cell>
          <cell r="I53">
            <v>42588.42119212963</v>
          </cell>
          <cell r="J53">
            <v>0</v>
          </cell>
          <cell r="K53" t="str">
            <v>4017/4018</v>
          </cell>
          <cell r="L53" t="str">
            <v>GEBRETEKLE</v>
          </cell>
          <cell r="M53">
            <v>3.0983796299551614E-2</v>
          </cell>
          <cell r="N53">
            <v>44.616666671354324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https://search-rtdc-monitor-bjffxe2xuh6vdkpspy63sjmuny.us-east-1.es.amazonaws.com/_plugin/kibana/#/discover/Steve-Slow-Train-Analysis-(2080s-and-2083s)?_g=(refreshInterval:(display:Off,section:0,value:0),time:(from:'2016-08-06 08:20:34-0600',mode:absolute,to:'2016-08-06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3" t="str">
            <v>N</v>
          </cell>
          <cell r="X53">
            <v>1</v>
          </cell>
          <cell r="Y53">
            <v>23.297899999999998</v>
          </cell>
          <cell r="Z53">
            <v>1.49E-2</v>
          </cell>
          <cell r="AA53">
            <v>23.282999999999998</v>
          </cell>
          <cell r="AB53" t="e">
            <v>#N/A</v>
          </cell>
          <cell r="AC53" t="e">
            <v>#N/A</v>
          </cell>
          <cell r="AD53" t="str">
            <v>0140-06</v>
          </cell>
          <cell r="AE53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54">
          <cell r="A54" t="str">
            <v>141-06</v>
          </cell>
          <cell r="B54">
            <v>4014</v>
          </cell>
          <cell r="C54" t="str">
            <v>DE.1.0.7.0</v>
          </cell>
          <cell r="D54" t="str">
            <v>204:477</v>
          </cell>
          <cell r="E54">
            <v>42588.359525462962</v>
          </cell>
          <cell r="F54">
            <v>42588.360474537039</v>
          </cell>
          <cell r="G54">
            <v>1</v>
          </cell>
          <cell r="H54" t="str">
            <v>204:233307</v>
          </cell>
          <cell r="I54">
            <v>42588.389467592591</v>
          </cell>
          <cell r="J54">
            <v>0</v>
          </cell>
          <cell r="K54" t="str">
            <v>4013/4014</v>
          </cell>
          <cell r="L54" t="str">
            <v>MAELZER</v>
          </cell>
          <cell r="M54">
            <v>2.8993055551836733E-2</v>
          </cell>
          <cell r="N54">
            <v>41.749999994644895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https://search-rtdc-monitor-bjffxe2xuh6vdkpspy63sjmuny.us-east-1.es.amazonaws.com/_plugin/kibana/#/discover/Steve-Slow-Train-Analysis-(2080s-and-2083s)?_g=(refreshInterval:(display:Off,section:0,value:0),time:(from:'2016-08-06 07:37:43-0600',mode:absolute,to:'2016-08-06 10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23.3307</v>
          </cell>
          <cell r="AA54">
            <v>23.283000000000001</v>
          </cell>
          <cell r="AB54" t="e">
            <v>#N/A</v>
          </cell>
          <cell r="AC54" t="e">
            <v>#N/A</v>
          </cell>
          <cell r="AD54" t="str">
            <v>0141-06</v>
          </cell>
          <cell r="AE54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55">
          <cell r="A55" t="str">
            <v>142-06</v>
          </cell>
          <cell r="B55">
            <v>4013</v>
          </cell>
          <cell r="C55" t="str">
            <v>DE.1.0.7.0</v>
          </cell>
          <cell r="D55" t="str">
            <v>204:232982</v>
          </cell>
          <cell r="E55">
            <v>42588.398726851854</v>
          </cell>
          <cell r="F55">
            <v>42588.399398148147</v>
          </cell>
          <cell r="G55">
            <v>0</v>
          </cell>
          <cell r="H55" t="str">
            <v>204:139</v>
          </cell>
          <cell r="I55">
            <v>42588.429837962962</v>
          </cell>
          <cell r="J55">
            <v>0</v>
          </cell>
          <cell r="K55" t="str">
            <v>4013/4014</v>
          </cell>
          <cell r="L55" t="str">
            <v>MAELZER</v>
          </cell>
          <cell r="M55">
            <v>3.0439814814599231E-2</v>
          </cell>
          <cell r="N55">
            <v>43.833333333022892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https://search-rtdc-monitor-bjffxe2xuh6vdkpspy63sjmuny.us-east-1.es.amazonaws.com/_plugin/kibana/#/discover/Steve-Slow-Train-Analysis-(2080s-and-2083s)?_g=(refreshInterval:(display:Off,section:0,value:0),time:(from:'2016-08-06 08:34:10-0600',mode:absolute,to:'2016-08-06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5" t="str">
            <v>N</v>
          </cell>
          <cell r="X55">
            <v>1</v>
          </cell>
          <cell r="Y55">
            <v>23.298200000000001</v>
          </cell>
          <cell r="Z55">
            <v>1.3899999999999999E-2</v>
          </cell>
          <cell r="AA55">
            <v>23.284300000000002</v>
          </cell>
          <cell r="AB55" t="e">
            <v>#N/A</v>
          </cell>
          <cell r="AC55" t="e">
            <v>#N/A</v>
          </cell>
          <cell r="AD55" t="str">
            <v>0142-06</v>
          </cell>
          <cell r="AE5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56">
          <cell r="A56" t="str">
            <v>143-06</v>
          </cell>
          <cell r="B56">
            <v>4042</v>
          </cell>
          <cell r="C56" t="str">
            <v>DE.1.0.7.0</v>
          </cell>
          <cell r="D56" t="str">
            <v>204:475</v>
          </cell>
          <cell r="E56">
            <v>42588.371793981481</v>
          </cell>
          <cell r="F56">
            <v>42588.373159722221</v>
          </cell>
          <cell r="G56">
            <v>1</v>
          </cell>
          <cell r="H56" t="str">
            <v>204:233276</v>
          </cell>
          <cell r="I56">
            <v>42588.402928240743</v>
          </cell>
          <cell r="J56">
            <v>4</v>
          </cell>
          <cell r="K56" t="str">
            <v>4041/4042</v>
          </cell>
          <cell r="L56" t="str">
            <v>STRICKLAND</v>
          </cell>
          <cell r="M56">
            <v>2.976851852145046E-2</v>
          </cell>
          <cell r="N56">
            <v>42.866666670888662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6" t="str">
            <v>N</v>
          </cell>
          <cell r="X56">
            <v>1</v>
          </cell>
          <cell r="Y56">
            <v>4.7500000000000001E-2</v>
          </cell>
          <cell r="Z56">
            <v>23.3276</v>
          </cell>
          <cell r="AA56">
            <v>23.280100000000001</v>
          </cell>
          <cell r="AB56">
            <v>0</v>
          </cell>
          <cell r="AC56" t="str">
            <v>PERMANENT SPEED RESTRICTION</v>
          </cell>
          <cell r="AD56" t="str">
            <v>0143-06</v>
          </cell>
          <cell r="AE5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57">
          <cell r="A57" t="str">
            <v>144-06</v>
          </cell>
          <cell r="B57">
            <v>4041</v>
          </cell>
          <cell r="C57" t="str">
            <v>DE.1.0.7.0</v>
          </cell>
          <cell r="D57" t="str">
            <v>204:232966</v>
          </cell>
          <cell r="E57">
            <v>42588.409988425927</v>
          </cell>
          <cell r="F57">
            <v>42588.411296296297</v>
          </cell>
          <cell r="G57">
            <v>1</v>
          </cell>
          <cell r="H57" t="str">
            <v>204:1213</v>
          </cell>
          <cell r="I57">
            <v>42588.442627314813</v>
          </cell>
          <cell r="J57">
            <v>1</v>
          </cell>
          <cell r="K57" t="str">
            <v>4041/4042</v>
          </cell>
          <cell r="L57" t="str">
            <v>STRICKLAND</v>
          </cell>
          <cell r="M57">
            <v>3.1331018515629694E-2</v>
          </cell>
          <cell r="N57">
            <v>45.116666662506759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7" t="str">
            <v>N</v>
          </cell>
          <cell r="X57">
            <v>1</v>
          </cell>
          <cell r="Y57">
            <v>23.296600000000002</v>
          </cell>
          <cell r="Z57">
            <v>0.12130000000000001</v>
          </cell>
          <cell r="AA57">
            <v>23.1753</v>
          </cell>
          <cell r="AB57">
            <v>30562</v>
          </cell>
          <cell r="AC57" t="str">
            <v>PERMANENT SPEED RESTRICTION</v>
          </cell>
          <cell r="AD57" t="str">
            <v>0144-06</v>
          </cell>
          <cell r="AE5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58">
          <cell r="A58" t="str">
            <v>145-06</v>
          </cell>
          <cell r="B58">
            <v>4027</v>
          </cell>
          <cell r="C58" t="str">
            <v>DE.1.0.7.0</v>
          </cell>
          <cell r="D58" t="str">
            <v>204:466</v>
          </cell>
          <cell r="E58">
            <v>42588.382627314815</v>
          </cell>
          <cell r="F58">
            <v>42588.383553240739</v>
          </cell>
          <cell r="G58">
            <v>1</v>
          </cell>
          <cell r="H58" t="str">
            <v>204:233278</v>
          </cell>
          <cell r="I58">
            <v>42588.410543981481</v>
          </cell>
          <cell r="J58">
            <v>0</v>
          </cell>
          <cell r="K58" t="str">
            <v>4027/4028</v>
          </cell>
          <cell r="L58" t="str">
            <v>SANTIZO</v>
          </cell>
          <cell r="M58">
            <v>2.6990740741894115E-2</v>
          </cell>
          <cell r="N58">
            <v>38.866666668327525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https://search-rtdc-monitor-bjffxe2xuh6vdkpspy63sjmuny.us-east-1.es.amazonaws.com/_plugin/kibana/#/discover/Steve-Slow-Train-Analysis-(2080s-and-2083s)?_g=(refreshInterval:(display:Off,section:0,value:0),time:(from:'2016-08-06 08:10:59-0600',mode:absolute,to:'2016-08-06 10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8" t="str">
            <v>N</v>
          </cell>
          <cell r="X58">
            <v>1</v>
          </cell>
          <cell r="Y58">
            <v>4.6600000000000003E-2</v>
          </cell>
          <cell r="Z58">
            <v>23.3278</v>
          </cell>
          <cell r="AA58">
            <v>23.281199999999998</v>
          </cell>
          <cell r="AB58" t="e">
            <v>#N/A</v>
          </cell>
          <cell r="AC58" t="e">
            <v>#N/A</v>
          </cell>
          <cell r="AD58" t="str">
            <v>0145-06</v>
          </cell>
          <cell r="AE58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59">
          <cell r="A59" t="str">
            <v>146-06</v>
          </cell>
          <cell r="B59">
            <v>4028</v>
          </cell>
          <cell r="C59" t="str">
            <v>DE.1.0.7.0</v>
          </cell>
          <cell r="D59" t="str">
            <v>204:232973</v>
          </cell>
          <cell r="E59">
            <v>42588.412037037036</v>
          </cell>
          <cell r="F59">
            <v>42588.412893518522</v>
          </cell>
          <cell r="G59">
            <v>1</v>
          </cell>
          <cell r="H59" t="str">
            <v>204:154</v>
          </cell>
          <cell r="I59">
            <v>42588.451550925929</v>
          </cell>
          <cell r="J59">
            <v>1</v>
          </cell>
          <cell r="K59" t="str">
            <v>4027/4028</v>
          </cell>
          <cell r="L59" t="str">
            <v>SANTIZO</v>
          </cell>
          <cell r="M59">
            <v>3.8657407407299615E-2</v>
          </cell>
          <cell r="N59">
            <v>55.666666666511446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9" t="str">
            <v>N</v>
          </cell>
          <cell r="X59">
            <v>1</v>
          </cell>
          <cell r="Y59">
            <v>23.2973</v>
          </cell>
          <cell r="Z59">
            <v>1.54E-2</v>
          </cell>
          <cell r="AA59">
            <v>23.2819</v>
          </cell>
          <cell r="AB59" t="e">
            <v>#N/A</v>
          </cell>
          <cell r="AC59" t="e">
            <v>#N/A</v>
          </cell>
          <cell r="AD59" t="str">
            <v>0146-06</v>
          </cell>
          <cell r="AE59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60">
          <cell r="A60" t="str">
            <v>147-06</v>
          </cell>
          <cell r="B60">
            <v>4011</v>
          </cell>
          <cell r="C60" t="str">
            <v>DE.1.0.7.0</v>
          </cell>
          <cell r="D60" t="str">
            <v>204:433</v>
          </cell>
          <cell r="E60">
            <v>42588.390092592592</v>
          </cell>
          <cell r="F60">
            <v>42588.391342592593</v>
          </cell>
          <cell r="G60">
            <v>1</v>
          </cell>
          <cell r="H60" t="str">
            <v>204:233315</v>
          </cell>
          <cell r="I60">
            <v>42588.420983796299</v>
          </cell>
          <cell r="J60">
            <v>0</v>
          </cell>
          <cell r="K60" t="str">
            <v>4011/4012</v>
          </cell>
          <cell r="L60" t="str">
            <v>ACKERMAN</v>
          </cell>
          <cell r="M60">
            <v>2.9641203705978114E-2</v>
          </cell>
          <cell r="N60">
            <v>42.683333336608484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https://search-rtdc-monitor-bjffxe2xuh6vdkpspy63sjmuny.us-east-1.es.amazonaws.com/_plugin/kibana/#/discover/Steve-Slow-Train-Analysis-(2080s-and-2083s)?_g=(refreshInterval:(display:Off,section:0,value:0),time:(from:'2016-08-06 08:21:44-0600',mode:absolute,to:'2016-08-06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0" t="str">
            <v>N</v>
          </cell>
          <cell r="X60">
            <v>1</v>
          </cell>
          <cell r="Y60">
            <v>4.3299999999999998E-2</v>
          </cell>
          <cell r="Z60">
            <v>23.331499999999998</v>
          </cell>
          <cell r="AA60">
            <v>23.2882</v>
          </cell>
          <cell r="AB60" t="e">
            <v>#N/A</v>
          </cell>
          <cell r="AC60" t="e">
            <v>#N/A</v>
          </cell>
          <cell r="AD60" t="str">
            <v>0147-06</v>
          </cell>
          <cell r="AE60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61">
          <cell r="A61" t="str">
            <v>148-06</v>
          </cell>
          <cell r="B61">
            <v>4012</v>
          </cell>
          <cell r="C61" t="str">
            <v>DE.1.0.7.0</v>
          </cell>
          <cell r="D61" t="str">
            <v>204:233004</v>
          </cell>
          <cell r="E61">
            <v>42588.429479166669</v>
          </cell>
          <cell r="F61">
            <v>42588.430486111109</v>
          </cell>
          <cell r="G61">
            <v>1</v>
          </cell>
          <cell r="H61" t="str">
            <v>204:143</v>
          </cell>
          <cell r="I61">
            <v>42588.463368055556</v>
          </cell>
          <cell r="J61">
            <v>0</v>
          </cell>
          <cell r="K61" t="str">
            <v>4011/4012</v>
          </cell>
          <cell r="L61" t="str">
            <v>ACKERMAN</v>
          </cell>
          <cell r="M61">
            <v>3.2881944447581191E-2</v>
          </cell>
          <cell r="N61">
            <v>47.350000004516914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https://search-rtdc-monitor-bjffxe2xuh6vdkpspy63sjmuny.us-east-1.es.amazonaws.com/_plugin/kibana/#/discover/Steve-Slow-Train-Analysis-(2080s-and-2083s)?_g=(refreshInterval:(display:Off,section:0,value:0),time:(from:'2016-08-06 09:18:27-0600',mode:absolute,to:'2016-08-06 12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1" t="str">
            <v>N</v>
          </cell>
          <cell r="X61">
            <v>1</v>
          </cell>
          <cell r="Y61">
            <v>23.3004</v>
          </cell>
          <cell r="Z61">
            <v>1.43E-2</v>
          </cell>
          <cell r="AA61">
            <v>23.286100000000001</v>
          </cell>
          <cell r="AB61" t="e">
            <v>#N/A</v>
          </cell>
          <cell r="AC61" t="e">
            <v>#N/A</v>
          </cell>
          <cell r="AD61" t="str">
            <v>0148-06</v>
          </cell>
          <cell r="AE61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62">
          <cell r="A62" t="str">
            <v>149-06</v>
          </cell>
          <cell r="B62">
            <v>4025</v>
          </cell>
          <cell r="C62" t="str">
            <v>DE.1.0.7.0</v>
          </cell>
          <cell r="D62" t="str">
            <v>204:447</v>
          </cell>
          <cell r="E62">
            <v>42588.40179398148</v>
          </cell>
          <cell r="F62">
            <v>42588.40253472222</v>
          </cell>
          <cell r="G62">
            <v>1</v>
          </cell>
          <cell r="H62" t="str">
            <v>204:233284</v>
          </cell>
          <cell r="I62">
            <v>42588.431886574072</v>
          </cell>
          <cell r="J62">
            <v>0</v>
          </cell>
          <cell r="K62" t="str">
            <v>4025/4026</v>
          </cell>
          <cell r="L62" t="str">
            <v>DAVIS</v>
          </cell>
          <cell r="M62">
            <v>2.9351851851970423E-2</v>
          </cell>
          <cell r="N62">
            <v>42.266666666837409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https://search-rtdc-monitor-bjffxe2xuh6vdkpspy63sjmuny.us-east-1.es.amazonaws.com/_plugin/kibana/#/discover/Steve-Slow-Train-Analysis-(2080s-and-2083s)?_g=(refreshInterval:(display:Off,section:0,value:0),time:(from:'2016-08-06 08:38:35-0600',mode:absolute,to:'2016-08-06 11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2" t="str">
            <v>N</v>
          </cell>
          <cell r="X62">
            <v>1</v>
          </cell>
          <cell r="Y62">
            <v>4.4699999999999997E-2</v>
          </cell>
          <cell r="Z62">
            <v>23.328399999999998</v>
          </cell>
          <cell r="AA62">
            <v>23.2837</v>
          </cell>
          <cell r="AB62" t="e">
            <v>#N/A</v>
          </cell>
          <cell r="AC62" t="e">
            <v>#N/A</v>
          </cell>
          <cell r="AD62" t="str">
            <v>0149-06</v>
          </cell>
          <cell r="AE62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63">
          <cell r="A63" t="str">
            <v>150-06</v>
          </cell>
          <cell r="B63">
            <v>4026</v>
          </cell>
          <cell r="C63" t="str">
            <v>DE.1.0.7.0</v>
          </cell>
          <cell r="D63" t="str">
            <v>204:232973</v>
          </cell>
          <cell r="E63">
            <v>42588.440983796296</v>
          </cell>
          <cell r="F63">
            <v>42588.44189814815</v>
          </cell>
          <cell r="G63">
            <v>1</v>
          </cell>
          <cell r="H63" t="str">
            <v>204:145</v>
          </cell>
          <cell r="I63">
            <v>42588.472199074073</v>
          </cell>
          <cell r="J63">
            <v>0</v>
          </cell>
          <cell r="K63" t="str">
            <v>4025/4026</v>
          </cell>
          <cell r="L63" t="str">
            <v>DAVIS</v>
          </cell>
          <cell r="M63">
            <v>3.0300925922347233E-2</v>
          </cell>
          <cell r="N63">
            <v>43.633333328180015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https://search-rtdc-monitor-bjffxe2xuh6vdkpspy63sjmuny.us-east-1.es.amazonaws.com/_plugin/kibana/#/discover/Steve-Slow-Train-Analysis-(2080s-and-2083s)?_g=(refreshInterval:(display:Off,section:0,value:0),time:(from:'2016-08-06 09:35:01-0600',mode:absolute,to:'2016-08-06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3" t="str">
            <v>N</v>
          </cell>
          <cell r="X63">
            <v>1</v>
          </cell>
          <cell r="Y63">
            <v>23.2973</v>
          </cell>
          <cell r="Z63">
            <v>1.4500000000000001E-2</v>
          </cell>
          <cell r="AA63">
            <v>23.282799999999998</v>
          </cell>
          <cell r="AB63" t="e">
            <v>#N/A</v>
          </cell>
          <cell r="AC63" t="e">
            <v>#N/A</v>
          </cell>
          <cell r="AD63" t="str">
            <v>0150-06</v>
          </cell>
          <cell r="AE6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64">
          <cell r="A64" t="str">
            <v>151-06</v>
          </cell>
          <cell r="B64">
            <v>4009</v>
          </cell>
          <cell r="C64" t="str">
            <v>DE.1.0.7.0</v>
          </cell>
          <cell r="D64" t="str">
            <v>204:471</v>
          </cell>
          <cell r="E64">
            <v>42588.412488425929</v>
          </cell>
          <cell r="F64">
            <v>42588.414351851854</v>
          </cell>
          <cell r="G64">
            <v>2</v>
          </cell>
          <cell r="H64" t="str">
            <v>204:233366</v>
          </cell>
          <cell r="I64">
            <v>42588.443622685183</v>
          </cell>
          <cell r="J64">
            <v>0</v>
          </cell>
          <cell r="K64" t="str">
            <v>4009/4010</v>
          </cell>
          <cell r="L64" t="str">
            <v>STORY</v>
          </cell>
          <cell r="M64">
            <v>2.9270833329064772E-2</v>
          </cell>
          <cell r="N64">
            <v>42.149999993853271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https://search-rtdc-monitor-bjffxe2xuh6vdkpspy63sjmuny.us-east-1.es.amazonaws.com/_plugin/kibana/#/discover/Steve-Slow-Train-Analysis-(2080s-and-2083s)?_g=(refreshInterval:(display:Off,section:0,value:0),time:(from:'2016-08-06 08:53:59-0600',mode:absolute,to:'2016-08-06 11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4" t="str">
            <v>N</v>
          </cell>
          <cell r="X64">
            <v>1</v>
          </cell>
          <cell r="Y64">
            <v>4.7100000000000003E-2</v>
          </cell>
          <cell r="Z64">
            <v>23.336600000000001</v>
          </cell>
          <cell r="AA64">
            <v>23.2895</v>
          </cell>
          <cell r="AB64" t="e">
            <v>#N/A</v>
          </cell>
          <cell r="AC64" t="e">
            <v>#N/A</v>
          </cell>
          <cell r="AD64" t="str">
            <v>0151-06</v>
          </cell>
          <cell r="AE6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65">
          <cell r="A65" t="str">
            <v>152-06</v>
          </cell>
          <cell r="B65">
            <v>4010</v>
          </cell>
          <cell r="C65" t="str">
            <v>DE.1.0.7.0</v>
          </cell>
          <cell r="D65" t="str">
            <v>204:233094</v>
          </cell>
          <cell r="E65">
            <v>42588.452777777777</v>
          </cell>
          <cell r="F65">
            <v>42588.453831018516</v>
          </cell>
          <cell r="G65">
            <v>1</v>
          </cell>
          <cell r="H65" t="str">
            <v>204:165</v>
          </cell>
          <cell r="I65">
            <v>42588.48400462963</v>
          </cell>
          <cell r="J65">
            <v>2</v>
          </cell>
          <cell r="K65" t="str">
            <v>4009/4010</v>
          </cell>
          <cell r="L65" t="str">
            <v>STORY</v>
          </cell>
          <cell r="M65">
            <v>3.0173611114150845E-2</v>
          </cell>
          <cell r="N65">
            <v>43.450000004377216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5" t="str">
            <v>N</v>
          </cell>
          <cell r="X65">
            <v>1</v>
          </cell>
          <cell r="Y65">
            <v>23.3094</v>
          </cell>
          <cell r="Z65">
            <v>1.6500000000000001E-2</v>
          </cell>
          <cell r="AA65">
            <v>23.292899999999999</v>
          </cell>
          <cell r="AB65">
            <v>21848</v>
          </cell>
          <cell r="AC65" t="str">
            <v>PERMANENT SPEED RESTRICTION</v>
          </cell>
          <cell r="AD65" t="str">
            <v>0152-06</v>
          </cell>
          <cell r="AE6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66">
          <cell r="A66" t="str">
            <v>153-06</v>
          </cell>
          <cell r="B66">
            <v>4018</v>
          </cell>
          <cell r="C66" t="str">
            <v>DE.1.0.7.0</v>
          </cell>
          <cell r="D66" t="str">
            <v>204:458</v>
          </cell>
          <cell r="E66">
            <v>42588.424803240741</v>
          </cell>
          <cell r="F66">
            <v>42588.425798611112</v>
          </cell>
          <cell r="G66">
            <v>1</v>
          </cell>
          <cell r="H66" t="str">
            <v>204:233318</v>
          </cell>
          <cell r="I66">
            <v>42588.451956018522</v>
          </cell>
          <cell r="J66">
            <v>0</v>
          </cell>
          <cell r="K66" t="str">
            <v>4017/4018</v>
          </cell>
          <cell r="L66" t="str">
            <v>GEBRETEKLE</v>
          </cell>
          <cell r="M66">
            <v>2.6157407410209998E-2</v>
          </cell>
          <cell r="N66">
            <v>37.666666670702398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https://search-rtdc-monitor-bjffxe2xuh6vdkpspy63sjmuny.us-east-1.es.amazonaws.com/_plugin/kibana/#/discover/Steve-Slow-Train-Analysis-(2080s-and-2083s)?_g=(refreshInterval:(display:Off,section:0,value:0),time:(from:'2016-08-06 09:11:43-0600',mode:absolute,to:'2016-08-06 11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6" t="str">
            <v>N</v>
          </cell>
          <cell r="X66">
            <v>1</v>
          </cell>
          <cell r="Y66">
            <v>4.58E-2</v>
          </cell>
          <cell r="Z66">
            <v>23.331800000000001</v>
          </cell>
          <cell r="AA66">
            <v>23.286000000000001</v>
          </cell>
          <cell r="AB66" t="e">
            <v>#N/A</v>
          </cell>
          <cell r="AC66" t="e">
            <v>#N/A</v>
          </cell>
          <cell r="AD66" t="str">
            <v>0153-06</v>
          </cell>
          <cell r="AE66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67">
          <cell r="A67" t="str">
            <v>154-06</v>
          </cell>
          <cell r="B67">
            <v>4017</v>
          </cell>
          <cell r="C67" t="str">
            <v>DE.1.0.7.0</v>
          </cell>
          <cell r="D67" t="str">
            <v>204:233005</v>
          </cell>
          <cell r="E67">
            <v>42588.459201388891</v>
          </cell>
          <cell r="F67">
            <v>42588.459826388891</v>
          </cell>
          <cell r="G67">
            <v>0</v>
          </cell>
          <cell r="H67" t="str">
            <v>204:149</v>
          </cell>
          <cell r="I67">
            <v>42588.492372685185</v>
          </cell>
          <cell r="J67">
            <v>0</v>
          </cell>
          <cell r="K67" t="str">
            <v>4017/4018</v>
          </cell>
          <cell r="L67" t="str">
            <v>GEBRETEKLE</v>
          </cell>
          <cell r="M67">
            <v>3.2546296293730848E-2</v>
          </cell>
          <cell r="N67">
            <v>46.86666666297242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https://search-rtdc-monitor-bjffxe2xuh6vdkpspy63sjmuny.us-east-1.es.amazonaws.com/_plugin/kibana/#/discover/Steve-Slow-Train-Analysis-(2080s-and-2083s)?_g=(refreshInterval:(display:Off,section:0,value:0),time:(from:'2016-08-06 10:01:15-0600',mode:absolute,to:'2016-08-06 12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7" t="str">
            <v>N</v>
          </cell>
          <cell r="X67">
            <v>1</v>
          </cell>
          <cell r="Y67">
            <v>23.3005</v>
          </cell>
          <cell r="Z67">
            <v>1.49E-2</v>
          </cell>
          <cell r="AA67">
            <v>23.285599999999999</v>
          </cell>
          <cell r="AB67" t="e">
            <v>#N/A</v>
          </cell>
          <cell r="AC67" t="e">
            <v>#N/A</v>
          </cell>
          <cell r="AD67" t="str">
            <v>0154-06</v>
          </cell>
          <cell r="AE67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68">
          <cell r="A68" t="str">
            <v>155-06</v>
          </cell>
          <cell r="B68">
            <v>4014</v>
          </cell>
          <cell r="C68" t="str">
            <v>DE.1.0.7.0</v>
          </cell>
          <cell r="D68" t="str">
            <v>204:457</v>
          </cell>
          <cell r="E68">
            <v>42588.432141203702</v>
          </cell>
          <cell r="F68">
            <v>42588.433935185189</v>
          </cell>
          <cell r="G68">
            <v>2</v>
          </cell>
          <cell r="H68" t="str">
            <v>204:233297</v>
          </cell>
          <cell r="I68">
            <v>42588.46361111111</v>
          </cell>
          <cell r="J68">
            <v>0</v>
          </cell>
          <cell r="K68" t="str">
            <v>4013/4014</v>
          </cell>
          <cell r="L68" t="str">
            <v>MAYBERRY</v>
          </cell>
          <cell r="M68">
            <v>2.9675925921765156E-2</v>
          </cell>
          <cell r="N68">
            <v>42.733333327341825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https://search-rtdc-monitor-bjffxe2xuh6vdkpspy63sjmuny.us-east-1.es.amazonaws.com/_plugin/kibana/#/discover/Steve-Slow-Train-Analysis-(2080s-and-2083s)?_g=(refreshInterval:(display:Off,section:0,value:0),time:(from:'2016-08-06 09:22:17-0600',mode:absolute,to:'2016-08-06 12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8" t="str">
            <v>N</v>
          </cell>
          <cell r="X68">
            <v>1</v>
          </cell>
          <cell r="Y68">
            <v>4.5699999999999998E-2</v>
          </cell>
          <cell r="Z68">
            <v>23.329699999999999</v>
          </cell>
          <cell r="AA68">
            <v>23.283999999999999</v>
          </cell>
          <cell r="AB68" t="e">
            <v>#N/A</v>
          </cell>
          <cell r="AC68" t="e">
            <v>#N/A</v>
          </cell>
          <cell r="AD68" t="str">
            <v>0155-06</v>
          </cell>
          <cell r="AE6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69">
          <cell r="A69" t="str">
            <v>156-06</v>
          </cell>
          <cell r="B69">
            <v>4013</v>
          </cell>
          <cell r="C69" t="str">
            <v>DE.1.0.7.0</v>
          </cell>
          <cell r="D69" t="str">
            <v>204:232974</v>
          </cell>
          <cell r="E69">
            <v>42588.472002314818</v>
          </cell>
          <cell r="F69">
            <v>42588.473252314812</v>
          </cell>
          <cell r="G69">
            <v>1</v>
          </cell>
          <cell r="H69" t="str">
            <v>204:165</v>
          </cell>
          <cell r="I69">
            <v>42588.503171296295</v>
          </cell>
          <cell r="J69">
            <v>0</v>
          </cell>
          <cell r="K69" t="str">
            <v>4013/4014</v>
          </cell>
          <cell r="L69" t="str">
            <v>MAYBERRY</v>
          </cell>
          <cell r="M69">
            <v>2.9918981483206153E-2</v>
          </cell>
          <cell r="N69">
            <v>43.08333333581686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https://search-rtdc-monitor-bjffxe2xuh6vdkpspy63sjmuny.us-east-1.es.amazonaws.com/_plugin/kibana/#/discover/Steve-Slow-Train-Analysis-(2080s-and-2083s)?_g=(refreshInterval:(display:Off,section:0,value:0),time:(from:'2016-08-06 10:19:41-0600',mode:absolute,to:'2016-08-06 13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9" t="str">
            <v>N</v>
          </cell>
          <cell r="X69">
            <v>1</v>
          </cell>
          <cell r="Y69">
            <v>23.2974</v>
          </cell>
          <cell r="Z69">
            <v>1.6500000000000001E-2</v>
          </cell>
          <cell r="AA69">
            <v>23.280899999999999</v>
          </cell>
          <cell r="AB69" t="e">
            <v>#N/A</v>
          </cell>
          <cell r="AC69" t="e">
            <v>#N/A</v>
          </cell>
          <cell r="AD69" t="str">
            <v>0156-06</v>
          </cell>
          <cell r="AE6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70">
          <cell r="A70" t="str">
            <v>157-06</v>
          </cell>
          <cell r="B70">
            <v>4031</v>
          </cell>
          <cell r="C70" t="str">
            <v>DE.1.0.7.0</v>
          </cell>
          <cell r="D70" t="str">
            <v>204:464</v>
          </cell>
          <cell r="E70">
            <v>42588.446875000001</v>
          </cell>
          <cell r="F70">
            <v>42588.448078703703</v>
          </cell>
          <cell r="G70">
            <v>1</v>
          </cell>
          <cell r="H70" t="str">
            <v>204:233255</v>
          </cell>
          <cell r="I70">
            <v>42588.474363425928</v>
          </cell>
          <cell r="J70">
            <v>1</v>
          </cell>
          <cell r="K70" t="str">
            <v>4031/4032</v>
          </cell>
          <cell r="L70" t="str">
            <v>STRICKLAND</v>
          </cell>
          <cell r="M70">
            <v>2.6284722225682344E-2</v>
          </cell>
          <cell r="N70">
            <v>37.850000004982576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0" t="str">
            <v>N</v>
          </cell>
          <cell r="X70">
            <v>1</v>
          </cell>
          <cell r="Y70">
            <v>4.6399999999999997E-2</v>
          </cell>
          <cell r="Z70">
            <v>23.325500000000002</v>
          </cell>
          <cell r="AA70">
            <v>23.279100000000003</v>
          </cell>
          <cell r="AB70" t="e">
            <v>#N/A</v>
          </cell>
          <cell r="AC70" t="e">
            <v>#N/A</v>
          </cell>
          <cell r="AD70" t="str">
            <v>0157-06</v>
          </cell>
          <cell r="AE7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71">
          <cell r="A71" t="str">
            <v>158-06</v>
          </cell>
          <cell r="B71">
            <v>4032</v>
          </cell>
          <cell r="C71" t="str">
            <v>DE.1.0.7.0</v>
          </cell>
          <cell r="D71" t="str">
            <v>204:232942</v>
          </cell>
          <cell r="E71">
            <v>42588.483032407406</v>
          </cell>
          <cell r="F71">
            <v>42588.4843287037</v>
          </cell>
          <cell r="G71">
            <v>1</v>
          </cell>
          <cell r="H71" t="str">
            <v>204:158</v>
          </cell>
          <cell r="I71">
            <v>42588.516701388886</v>
          </cell>
          <cell r="J71">
            <v>1</v>
          </cell>
          <cell r="K71" t="str">
            <v>4031/4032</v>
          </cell>
          <cell r="L71" t="str">
            <v>STRICKLAND</v>
          </cell>
          <cell r="M71">
            <v>3.2372685185691807E-2</v>
          </cell>
          <cell r="N71">
            <v>46.616666667396203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1" t="str">
            <v>N</v>
          </cell>
          <cell r="X71">
            <v>1</v>
          </cell>
          <cell r="Y71">
            <v>23.2942</v>
          </cell>
          <cell r="Z71">
            <v>1.5800000000000002E-2</v>
          </cell>
          <cell r="AA71">
            <v>23.278400000000001</v>
          </cell>
          <cell r="AB71">
            <v>119716</v>
          </cell>
          <cell r="AC71" t="str">
            <v>PERMANENT SPEED RESTRICTION</v>
          </cell>
          <cell r="AD71" t="str">
            <v>0158-06</v>
          </cell>
          <cell r="AE7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72">
          <cell r="A72" t="str">
            <v>159-06</v>
          </cell>
          <cell r="B72">
            <v>4027</v>
          </cell>
          <cell r="C72" t="str">
            <v>DE.1.0.7.0</v>
          </cell>
          <cell r="D72" t="str">
            <v>204:458</v>
          </cell>
          <cell r="E72">
            <v>42588.45417824074</v>
          </cell>
          <cell r="F72">
            <v>42588.455474537041</v>
          </cell>
          <cell r="G72">
            <v>1</v>
          </cell>
          <cell r="H72" t="str">
            <v>204:233293</v>
          </cell>
          <cell r="I72">
            <v>42588.4843287037</v>
          </cell>
          <cell r="J72">
            <v>0</v>
          </cell>
          <cell r="K72" t="str">
            <v>4027/4028</v>
          </cell>
          <cell r="L72" t="str">
            <v>STEWART</v>
          </cell>
          <cell r="M72">
            <v>2.8854166659584735E-2</v>
          </cell>
          <cell r="N72">
            <v>41.549999989802018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https://search-rtdc-monitor-bjffxe2xuh6vdkpspy63sjmuny.us-east-1.es.amazonaws.com/_plugin/kibana/#/discover/Steve-Slow-Train-Analysis-(2080s-and-2083s)?_g=(refreshInterval:(display:Off,section:0,value:0),time:(from:'2016-08-06 09:54:01-0600',mode:absolute,to:'2016-08-06 12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2" t="str">
            <v>N</v>
          </cell>
          <cell r="X72">
            <v>1</v>
          </cell>
          <cell r="Y72">
            <v>4.58E-2</v>
          </cell>
          <cell r="Z72">
            <v>23.3293</v>
          </cell>
          <cell r="AA72">
            <v>23.2835</v>
          </cell>
          <cell r="AB72" t="e">
            <v>#N/A</v>
          </cell>
          <cell r="AC72" t="e">
            <v>#N/A</v>
          </cell>
          <cell r="AD72" t="str">
            <v>0159-06</v>
          </cell>
          <cell r="AE72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73">
          <cell r="A73" t="str">
            <v>160-06</v>
          </cell>
          <cell r="B73">
            <v>4028</v>
          </cell>
          <cell r="C73" t="str">
            <v>DE.1.0.7.0</v>
          </cell>
          <cell r="D73" t="str">
            <v>204:232960</v>
          </cell>
          <cell r="E73">
            <v>42588.49287037037</v>
          </cell>
          <cell r="F73">
            <v>42588.494039351855</v>
          </cell>
          <cell r="G73">
            <v>1</v>
          </cell>
          <cell r="H73" t="str">
            <v>204:139</v>
          </cell>
          <cell r="I73">
            <v>42588.525208333333</v>
          </cell>
          <cell r="J73">
            <v>0</v>
          </cell>
          <cell r="K73" t="str">
            <v>4027/4028</v>
          </cell>
          <cell r="L73" t="str">
            <v>STEWART</v>
          </cell>
          <cell r="M73">
            <v>3.1168981477094349E-2</v>
          </cell>
          <cell r="N73">
            <v>44.883333327015862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https://search-rtdc-monitor-bjffxe2xuh6vdkpspy63sjmuny.us-east-1.es.amazonaws.com/_plugin/kibana/#/discover/Steve-Slow-Train-Analysis-(2080s-and-2083s)?_g=(refreshInterval:(display:Off,section:0,value:0),time:(from:'2016-08-06 10:49:44-0600',mode:absolute,to:'2016-08-06 13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3" t="str">
            <v>N</v>
          </cell>
          <cell r="X73">
            <v>1</v>
          </cell>
          <cell r="Y73">
            <v>23.295999999999999</v>
          </cell>
          <cell r="Z73">
            <v>1.3899999999999999E-2</v>
          </cell>
          <cell r="AA73">
            <v>23.2821</v>
          </cell>
          <cell r="AB73" t="e">
            <v>#N/A</v>
          </cell>
          <cell r="AC73" t="e">
            <v>#N/A</v>
          </cell>
          <cell r="AD73" t="str">
            <v>0160-06</v>
          </cell>
          <cell r="AE73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74">
          <cell r="A74" t="str">
            <v>161-06</v>
          </cell>
          <cell r="B74">
            <v>4011</v>
          </cell>
          <cell r="C74" t="str">
            <v>DE.1.0.7.0</v>
          </cell>
          <cell r="D74" t="str">
            <v>204:440</v>
          </cell>
          <cell r="E74">
            <v>42588.46601851852</v>
          </cell>
          <cell r="F74">
            <v>42588.466967592591</v>
          </cell>
          <cell r="G74">
            <v>1</v>
          </cell>
          <cell r="H74" t="str">
            <v>204:233284</v>
          </cell>
          <cell r="I74">
            <v>42588.494270833333</v>
          </cell>
          <cell r="J74">
            <v>0</v>
          </cell>
          <cell r="K74" t="str">
            <v>4011/4012</v>
          </cell>
          <cell r="L74" t="str">
            <v>HELVIE</v>
          </cell>
          <cell r="M74">
            <v>2.7303240742185153E-2</v>
          </cell>
          <cell r="N74">
            <v>39.31666666874662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https://search-rtdc-monitor-bjffxe2xuh6vdkpspy63sjmuny.us-east-1.es.amazonaws.com/_plugin/kibana/#/discover/Steve-Slow-Train-Analysis-(2080s-and-2083s)?_g=(refreshInterval:(display:Off,section:0,value:0),time:(from:'2016-08-06 10:11:04-0600',mode:absolute,to:'2016-08-06 12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4" t="str">
            <v>N</v>
          </cell>
          <cell r="X74">
            <v>1</v>
          </cell>
          <cell r="Y74">
            <v>4.3999999999999997E-2</v>
          </cell>
          <cell r="Z74">
            <v>23.328399999999998</v>
          </cell>
          <cell r="AA74">
            <v>23.284399999999998</v>
          </cell>
          <cell r="AB74" t="e">
            <v>#N/A</v>
          </cell>
          <cell r="AC74" t="e">
            <v>#N/A</v>
          </cell>
          <cell r="AD74" t="str">
            <v>0161-06</v>
          </cell>
          <cell r="AE7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75">
          <cell r="A75" t="str">
            <v>161-06</v>
          </cell>
          <cell r="B75">
            <v>4040</v>
          </cell>
          <cell r="C75" t="str">
            <v>DE.1.0.7.0</v>
          </cell>
          <cell r="D75" t="str">
            <v>204:341</v>
          </cell>
          <cell r="E75">
            <v>42588.780138888891</v>
          </cell>
          <cell r="F75">
            <v>42588.781307870369</v>
          </cell>
          <cell r="G75">
            <v>1</v>
          </cell>
          <cell r="H75" t="str">
            <v>300:23149</v>
          </cell>
          <cell r="I75">
            <v>42588.786747685182</v>
          </cell>
          <cell r="J75">
            <v>0</v>
          </cell>
          <cell r="K75" t="str">
            <v>4039/4040</v>
          </cell>
          <cell r="L75" t="str">
            <v>HELVIE</v>
          </cell>
          <cell r="M75">
            <v>5.4398148131440394E-3</v>
          </cell>
          <cell r="P75">
            <v>7.8333333309274167</v>
          </cell>
          <cell r="R75" t="str">
            <v>Drove into CRMF Yard</v>
          </cell>
          <cell r="S75">
            <v>0</v>
          </cell>
          <cell r="T75" t="str">
            <v>NorthBound</v>
          </cell>
          <cell r="U75">
            <v>0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https://search-rtdc-monitor-bjffxe2xuh6vdkpspy63sjmuny.us-east-1.es.amazonaws.com/_plugin/kibana/#/discover/Steve-Slow-Train-Analysis-(2080s-and-2083s)?_g=(refreshInterval:(display:Off,section:0,value:0),time:(from:'2016-08-06 17:43:24-0600',mode:absolute,to:'2016-08-06 19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5" t="str">
            <v>Y</v>
          </cell>
          <cell r="X75">
            <v>0</v>
          </cell>
          <cell r="Y75">
            <v>3.4099999999999998E-2</v>
          </cell>
          <cell r="Z75">
            <v>2.3149000000000002</v>
          </cell>
          <cell r="AA75">
            <v>2.2808000000000002</v>
          </cell>
          <cell r="AB75" t="e">
            <v>#N/A</v>
          </cell>
          <cell r="AC75" t="e">
            <v>#N/A</v>
          </cell>
          <cell r="AD75" t="str">
            <v>0161-06</v>
          </cell>
          <cell r="AE75" t="str">
            <v>aws s3 cp s3://rtdc.mdm.uploadarchive/RTDC4040/2016-08-06/ "%USERPROFILE%\AppData\Local\Temp\OnboardLogs"\RTDC4040\2016-08-06 --recursive &amp; "%USERPROFILE%\Documents\GitHub\mrs-test-scripts\Headless Mode &amp; Sideloading\WalkAndUnGZ.bat" "%USERPROFILE%\AppData\Local\Temp\OnboardLogs"\RTDC4040\2016-08-06 &amp; aws s3 cp s3://rtdc.mdm.uploadarchive/RTDC4040/2016-08-07/ "%USERPROFILE%\AppData\Local\Temp\OnboardLogs"\RTDC4040\2016-08-07 --recursive &amp; "%USERPROFILE%\Documents\GitHub\mrs-test-scripts\Headless Mode &amp; Sideloading\WalkAndUnGZ.bat" "%USERPROFILE%\AppData\Local\Temp\OnboardLogs"\RTDC4040\2016-08-07</v>
          </cell>
        </row>
        <row r="76">
          <cell r="A76" t="str">
            <v>162-06</v>
          </cell>
          <cell r="B76">
            <v>4012</v>
          </cell>
          <cell r="C76" t="str">
            <v>DE.1.0.7.0</v>
          </cell>
          <cell r="D76" t="str">
            <v>204:232950</v>
          </cell>
          <cell r="E76">
            <v>42588.50340277778</v>
          </cell>
          <cell r="F76">
            <v>42588.505196759259</v>
          </cell>
          <cell r="G76">
            <v>2</v>
          </cell>
          <cell r="H76" t="str">
            <v>204:152</v>
          </cell>
          <cell r="I76">
            <v>42588.534131944441</v>
          </cell>
          <cell r="J76">
            <v>0</v>
          </cell>
          <cell r="K76" t="str">
            <v>4011/4012</v>
          </cell>
          <cell r="L76" t="str">
            <v>HELVIE</v>
          </cell>
          <cell r="M76">
            <v>2.8935185182490386E-2</v>
          </cell>
          <cell r="N76">
            <v>41.666666662786156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https://search-rtdc-monitor-bjffxe2xuh6vdkpspy63sjmuny.us-east-1.es.amazonaws.com/_plugin/kibana/#/discover/Steve-Slow-Train-Analysis-(2080s-and-2083s)?_g=(refreshInterval:(display:Off,section:0,value:0),time:(from:'2016-08-06 11:04:54-0600',mode:absolute,to:'2016-08-06 13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6" t="str">
            <v>N</v>
          </cell>
          <cell r="X76">
            <v>1</v>
          </cell>
          <cell r="Y76">
            <v>23.295000000000002</v>
          </cell>
          <cell r="Z76">
            <v>1.52E-2</v>
          </cell>
          <cell r="AA76">
            <v>23.279800000000002</v>
          </cell>
          <cell r="AB76" t="e">
            <v>#N/A</v>
          </cell>
          <cell r="AC76" t="e">
            <v>#N/A</v>
          </cell>
          <cell r="AD76" t="str">
            <v>0162-06</v>
          </cell>
          <cell r="AE76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77">
          <cell r="A77" t="str">
            <v>163-06</v>
          </cell>
          <cell r="B77">
            <v>4025</v>
          </cell>
          <cell r="C77" t="str">
            <v>DE.1.0.7.0</v>
          </cell>
          <cell r="D77" t="str">
            <v>204:455</v>
          </cell>
          <cell r="E77">
            <v>42588.474942129629</v>
          </cell>
          <cell r="F77">
            <v>42588.476736111108</v>
          </cell>
          <cell r="G77">
            <v>2</v>
          </cell>
          <cell r="H77" t="str">
            <v>204:233315</v>
          </cell>
          <cell r="I77">
            <v>42588.505671296298</v>
          </cell>
          <cell r="J77">
            <v>0</v>
          </cell>
          <cell r="K77" t="str">
            <v>4025/4026</v>
          </cell>
          <cell r="L77" t="str">
            <v>MOSES</v>
          </cell>
          <cell r="M77">
            <v>2.8935185189766344E-2</v>
          </cell>
          <cell r="N77">
            <v>41.666666673263535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https://search-rtdc-monitor-bjffxe2xuh6vdkpspy63sjmuny.us-east-1.es.amazonaws.com/_plugin/kibana/#/discover/Steve-Slow-Train-Analysis-(2080s-and-2083s)?_g=(refreshInterval:(display:Off,section:0,value:0),time:(from:'2016-08-06 10:23:55-0600',mode:absolute,to:'2016-08-06 13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4.5499999999999999E-2</v>
          </cell>
          <cell r="Z77">
            <v>23.331499999999998</v>
          </cell>
          <cell r="AA77">
            <v>23.285999999999998</v>
          </cell>
          <cell r="AB77" t="e">
            <v>#N/A</v>
          </cell>
          <cell r="AC77" t="e">
            <v>#N/A</v>
          </cell>
          <cell r="AD77" t="str">
            <v>0163-06</v>
          </cell>
          <cell r="AE7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78">
          <cell r="A78" t="str">
            <v>164-06</v>
          </cell>
          <cell r="B78">
            <v>4026</v>
          </cell>
          <cell r="C78" t="str">
            <v>DE.1.0.7.0</v>
          </cell>
          <cell r="D78" t="str">
            <v>204:233006</v>
          </cell>
          <cell r="E78">
            <v>42588.514861111114</v>
          </cell>
          <cell r="F78">
            <v>42588.516180555554</v>
          </cell>
          <cell r="G78">
            <v>1</v>
          </cell>
          <cell r="H78" t="str">
            <v>204:145</v>
          </cell>
          <cell r="I78">
            <v>42588.546030092592</v>
          </cell>
          <cell r="J78">
            <v>0</v>
          </cell>
          <cell r="K78" t="str">
            <v>4025/4026</v>
          </cell>
          <cell r="L78" t="str">
            <v>MOSES</v>
          </cell>
          <cell r="M78">
            <v>2.9849537037080154E-2</v>
          </cell>
          <cell r="N78">
            <v>42.983333333395422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https://search-rtdc-monitor-bjffxe2xuh6vdkpspy63sjmuny.us-east-1.es.amazonaws.com/_plugin/kibana/#/discover/Steve-Slow-Train-Analysis-(2080s-and-2083s)?_g=(refreshInterval:(display:Off,section:0,value:0),time:(from:'2016-08-06 11:21:24-0600',mode:absolute,to:'2016-08-06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23.300599999999999</v>
          </cell>
          <cell r="Z78">
            <v>1.4500000000000001E-2</v>
          </cell>
          <cell r="AA78">
            <v>23.286099999999998</v>
          </cell>
          <cell r="AB78" t="e">
            <v>#N/A</v>
          </cell>
          <cell r="AC78" t="e">
            <v>#N/A</v>
          </cell>
          <cell r="AD78" t="str">
            <v>0164-06</v>
          </cell>
          <cell r="AE78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79">
          <cell r="A79" t="str">
            <v>165-06</v>
          </cell>
          <cell r="B79">
            <v>4009</v>
          </cell>
          <cell r="C79" t="str">
            <v>DE.1.0.7.0</v>
          </cell>
          <cell r="D79" t="str">
            <v>204:446</v>
          </cell>
          <cell r="E79">
            <v>42588.487013888887</v>
          </cell>
          <cell r="F79">
            <v>42588.488425925927</v>
          </cell>
          <cell r="G79">
            <v>2</v>
          </cell>
          <cell r="H79" t="str">
            <v>204:233372</v>
          </cell>
          <cell r="I79">
            <v>42588.515150462961</v>
          </cell>
          <cell r="J79">
            <v>0</v>
          </cell>
          <cell r="K79" t="str">
            <v>4009/4010</v>
          </cell>
          <cell r="L79" t="str">
            <v>SHOOK</v>
          </cell>
          <cell r="M79">
            <v>2.6724537034169771E-2</v>
          </cell>
          <cell r="N79">
            <v>38.48333332920447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https://search-rtdc-monitor-bjffxe2xuh6vdkpspy63sjmuny.us-east-1.es.amazonaws.com/_plugin/kibana/#/discover/Steve-Slow-Train-Analysis-(2080s-and-2083s)?_g=(refreshInterval:(display:Off,section:0,value:0),time:(from:'2016-08-06 10:41:18-0600',mode:absolute,to:'2016-08-06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9" t="str">
            <v>N</v>
          </cell>
          <cell r="X79">
            <v>1</v>
          </cell>
          <cell r="Y79">
            <v>4.4600000000000001E-2</v>
          </cell>
          <cell r="Z79">
            <v>23.337199999999999</v>
          </cell>
          <cell r="AA79">
            <v>23.2926</v>
          </cell>
          <cell r="AB79" t="e">
            <v>#N/A</v>
          </cell>
          <cell r="AC79" t="e">
            <v>#N/A</v>
          </cell>
          <cell r="AD79" t="str">
            <v>0165-06</v>
          </cell>
          <cell r="AE79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80">
          <cell r="A80" t="str">
            <v>166-06</v>
          </cell>
          <cell r="B80">
            <v>4010</v>
          </cell>
          <cell r="C80" t="str">
            <v>DE.1.0.7.0</v>
          </cell>
          <cell r="D80" t="str">
            <v>204:233044</v>
          </cell>
          <cell r="E80">
            <v>42588.523993055554</v>
          </cell>
          <cell r="F80">
            <v>42588.525023148148</v>
          </cell>
          <cell r="G80">
            <v>1</v>
          </cell>
          <cell r="H80" t="str">
            <v>204:125</v>
          </cell>
          <cell r="I80">
            <v>42588.555648148147</v>
          </cell>
          <cell r="J80">
            <v>0</v>
          </cell>
          <cell r="K80" t="str">
            <v>4009/4010</v>
          </cell>
          <cell r="L80" t="str">
            <v>SHOOK</v>
          </cell>
          <cell r="M80">
            <v>3.0624999999417923E-2</v>
          </cell>
          <cell r="N80">
            <v>44.09999999916181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https://search-rtdc-monitor-bjffxe2xuh6vdkpspy63sjmuny.us-east-1.es.amazonaws.com/_plugin/kibana/#/discover/Steve-Slow-Train-Analysis-(2080s-and-2083s)?_g=(refreshInterval:(display:Off,section:0,value:0),time:(from:'2016-08-06 11:34:33-0600',mode:absolute,to:'2016-08-06 14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0" t="str">
            <v>N</v>
          </cell>
          <cell r="X80">
            <v>1</v>
          </cell>
          <cell r="Y80">
            <v>23.304400000000001</v>
          </cell>
          <cell r="Z80">
            <v>1.2500000000000001E-2</v>
          </cell>
          <cell r="AA80">
            <v>23.291900000000002</v>
          </cell>
          <cell r="AB80" t="e">
            <v>#N/A</v>
          </cell>
          <cell r="AC80" t="e">
            <v>#N/A</v>
          </cell>
          <cell r="AD80" t="str">
            <v>0166-06</v>
          </cell>
          <cell r="AE80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81">
          <cell r="A81" t="str">
            <v>167-06</v>
          </cell>
          <cell r="B81">
            <v>4018</v>
          </cell>
          <cell r="C81" t="str">
            <v>DE.1.0.7.0</v>
          </cell>
          <cell r="D81" t="str">
            <v>204:460</v>
          </cell>
          <cell r="E81">
            <v>42588.495821759258</v>
          </cell>
          <cell r="F81">
            <v>42588.497175925928</v>
          </cell>
          <cell r="G81">
            <v>1</v>
          </cell>
          <cell r="H81" t="str">
            <v>204:233285</v>
          </cell>
          <cell r="I81">
            <v>42588.526504629626</v>
          </cell>
          <cell r="J81">
            <v>0</v>
          </cell>
          <cell r="K81" t="str">
            <v>4017/4018</v>
          </cell>
          <cell r="L81" t="str">
            <v>NATION</v>
          </cell>
          <cell r="M81">
            <v>2.9328703698411118E-2</v>
          </cell>
          <cell r="N81">
            <v>42.23333332571201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https://search-rtdc-monitor-bjffxe2xuh6vdkpspy63sjmuny.us-east-1.es.amazonaws.com/_plugin/kibana/#/discover/Steve-Slow-Train-Analysis-(2080s-and-2083s)?_g=(refreshInterval:(display:Off,section:0,value:0),time:(from:'2016-08-06 10:53:59-0600',mode:absolute,to:'2016-08-06 13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4.5999999999999999E-2</v>
          </cell>
          <cell r="Z81">
            <v>23.328499999999998</v>
          </cell>
          <cell r="AA81">
            <v>23.282499999999999</v>
          </cell>
          <cell r="AB81" t="e">
            <v>#N/A</v>
          </cell>
          <cell r="AC81" t="e">
            <v>#N/A</v>
          </cell>
          <cell r="AD81" t="str">
            <v>0167-06</v>
          </cell>
          <cell r="AE81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82">
          <cell r="A82" t="str">
            <v>168-06</v>
          </cell>
          <cell r="B82">
            <v>4017</v>
          </cell>
          <cell r="C82" t="str">
            <v>DE.1.0.7.0</v>
          </cell>
          <cell r="D82" t="str">
            <v>204:232974</v>
          </cell>
          <cell r="E82">
            <v>42588.537187499998</v>
          </cell>
          <cell r="F82">
            <v>42588.538854166669</v>
          </cell>
          <cell r="G82">
            <v>2</v>
          </cell>
          <cell r="H82" t="str">
            <v>204:158</v>
          </cell>
          <cell r="I82">
            <v>42588.566793981481</v>
          </cell>
          <cell r="J82">
            <v>0</v>
          </cell>
          <cell r="K82" t="str">
            <v>4017/4018</v>
          </cell>
          <cell r="L82" t="str">
            <v>NATION</v>
          </cell>
          <cell r="M82">
            <v>2.7939814812270924E-2</v>
          </cell>
          <cell r="N82">
            <v>40.233333329670131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https://search-rtdc-monitor-bjffxe2xuh6vdkpspy63sjmuny.us-east-1.es.amazonaws.com/_plugin/kibana/#/discover/Steve-Slow-Train-Analysis-(2080s-and-2083s)?_g=(refreshInterval:(display:Off,section:0,value:0),time:(from:'2016-08-06 11:53:33-0600',mode:absolute,to:'2016-08-06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</v>
          </cell>
          <cell r="Z82">
            <v>1.5800000000000002E-2</v>
          </cell>
          <cell r="AA82">
            <v>23.281600000000001</v>
          </cell>
          <cell r="AB82" t="e">
            <v>#N/A</v>
          </cell>
          <cell r="AC82" t="e">
            <v>#N/A</v>
          </cell>
          <cell r="AD82" t="str">
            <v>0168-06</v>
          </cell>
          <cell r="AE82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83">
          <cell r="A83" t="str">
            <v>169-06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42588.504664351851</v>
          </cell>
          <cell r="F83">
            <v>42588.505358796298</v>
          </cell>
          <cell r="G83">
            <v>0</v>
          </cell>
          <cell r="H83" t="str">
            <v>204:233305</v>
          </cell>
          <cell r="I83">
            <v>42588.536006944443</v>
          </cell>
          <cell r="J83">
            <v>0</v>
          </cell>
          <cell r="K83" t="str">
            <v>4013/4014</v>
          </cell>
          <cell r="L83" t="str">
            <v>MAYBERRY</v>
          </cell>
          <cell r="M83">
            <v>3.0648148145701271E-2</v>
          </cell>
          <cell r="N83">
            <v>44.13333332980983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https://search-rtdc-monitor-bjffxe2xuh6vdkpspy63sjmuny.us-east-1.es.amazonaws.com/_plugin/kibana/#/discover/Steve-Slow-Train-Analysis-(2080s-and-2083s)?_g=(refreshInterval:(display:Off,section:0,value:0),time:(from:'2016-08-06 11:06:43-0600',mode:absolute,to:'2016-08-06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23.330500000000001</v>
          </cell>
          <cell r="AA83">
            <v>23.284300000000002</v>
          </cell>
          <cell r="AB83" t="e">
            <v>#N/A</v>
          </cell>
          <cell r="AC83" t="e">
            <v>#N/A</v>
          </cell>
          <cell r="AD83" t="str">
            <v>0169-06</v>
          </cell>
          <cell r="AE83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84">
          <cell r="A84" t="str">
            <v>170-06</v>
          </cell>
          <cell r="B84">
            <v>4013</v>
          </cell>
          <cell r="C84" t="str">
            <v>DE.1.0.7.0</v>
          </cell>
          <cell r="D84" t="str">
            <v>204:232975</v>
          </cell>
          <cell r="E84">
            <v>42588.54583333333</v>
          </cell>
          <cell r="F84">
            <v>42588.547800925924</v>
          </cell>
          <cell r="G84">
            <v>2</v>
          </cell>
          <cell r="H84" t="str">
            <v>204:152</v>
          </cell>
          <cell r="I84">
            <v>42588.577164351853</v>
          </cell>
          <cell r="J84">
            <v>0</v>
          </cell>
          <cell r="K84" t="str">
            <v>4013/4014</v>
          </cell>
          <cell r="L84" t="str">
            <v>MAYBERRY</v>
          </cell>
          <cell r="M84">
            <v>2.9363425928750075E-2</v>
          </cell>
          <cell r="N84">
            <v>42.283333337400109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https://search-rtdc-monitor-bjffxe2xuh6vdkpspy63sjmuny.us-east-1.es.amazonaws.com/_plugin/kibana/#/discover/Steve-Slow-Train-Analysis-(2080s-and-2083s)?_g=(refreshInterval:(display:Off,section:0,value:0),time:(from:'2016-08-06 12:06:00-0600',mode:absolute,to:'2016-08-06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23.297499999999999</v>
          </cell>
          <cell r="Z84">
            <v>1.52E-2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0170-06</v>
          </cell>
          <cell r="AE84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85">
          <cell r="A85" t="str">
            <v>171-06</v>
          </cell>
          <cell r="B85">
            <v>4031</v>
          </cell>
          <cell r="C85" t="str">
            <v>DE.1.0.7.0</v>
          </cell>
          <cell r="D85" t="str">
            <v>204:457</v>
          </cell>
          <cell r="E85">
            <v>42588.517743055556</v>
          </cell>
          <cell r="F85">
            <v>42588.518923611111</v>
          </cell>
          <cell r="G85">
            <v>1</v>
          </cell>
          <cell r="H85" t="str">
            <v>204:233306</v>
          </cell>
          <cell r="I85">
            <v>42588.546979166669</v>
          </cell>
          <cell r="J85">
            <v>0</v>
          </cell>
          <cell r="K85" t="str">
            <v>4031/4032</v>
          </cell>
          <cell r="L85" t="str">
            <v>WEBSTER</v>
          </cell>
          <cell r="M85">
            <v>2.8055555558239575E-2</v>
          </cell>
          <cell r="N85">
            <v>40.400000003864989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https://search-rtdc-monitor-bjffxe2xuh6vdkpspy63sjmuny.us-east-1.es.amazonaws.com/_plugin/kibana/#/discover/Steve-Slow-Train-Analysis-(2080s-and-2083s)?_g=(refreshInterval:(display:Off,section:0,value:0),time:(from:'2016-08-06 11:25:33-0600',mode:absolute,to:'2016-08-06 14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5" t="str">
            <v>N</v>
          </cell>
          <cell r="X85">
            <v>1</v>
          </cell>
          <cell r="Y85">
            <v>4.5699999999999998E-2</v>
          </cell>
          <cell r="Z85">
            <v>23.3306</v>
          </cell>
          <cell r="AA85">
            <v>23.2849</v>
          </cell>
          <cell r="AB85" t="e">
            <v>#N/A</v>
          </cell>
          <cell r="AC85" t="e">
            <v>#N/A</v>
          </cell>
          <cell r="AD85" t="str">
            <v>0171-06</v>
          </cell>
          <cell r="AE8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86">
          <cell r="A86" t="str">
            <v>172-06</v>
          </cell>
          <cell r="B86">
            <v>4032</v>
          </cell>
          <cell r="C86" t="str">
            <v>DE.1.0.7.0</v>
          </cell>
          <cell r="D86" t="str">
            <v>204:232983</v>
          </cell>
          <cell r="E86">
            <v>42588.556018518517</v>
          </cell>
          <cell r="F86">
            <v>42588.556944444441</v>
          </cell>
          <cell r="G86">
            <v>1</v>
          </cell>
          <cell r="H86" t="str">
            <v>204:145</v>
          </cell>
          <cell r="I86">
            <v>42588.586956018517</v>
          </cell>
          <cell r="J86">
            <v>0</v>
          </cell>
          <cell r="K86" t="str">
            <v>4031/4032</v>
          </cell>
          <cell r="L86" t="str">
            <v>WEBSTER</v>
          </cell>
          <cell r="M86">
            <v>3.0011574075615499E-2</v>
          </cell>
          <cell r="N86">
            <v>43.216666668886319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https://search-rtdc-monitor-bjffxe2xuh6vdkpspy63sjmuny.us-east-1.es.amazonaws.com/_plugin/kibana/#/discover/Steve-Slow-Train-Analysis-(2080s-and-2083s)?_g=(refreshInterval:(display:Off,section:0,value:0),time:(from:'2016-08-06 12:20:40-0600',mode:absolute,to:'2016-08-06 15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6" t="str">
            <v>N</v>
          </cell>
          <cell r="X86">
            <v>1</v>
          </cell>
          <cell r="Y86">
            <v>23.298300000000001</v>
          </cell>
          <cell r="Z86">
            <v>1.4500000000000001E-2</v>
          </cell>
          <cell r="AA86">
            <v>23.283799999999999</v>
          </cell>
          <cell r="AB86" t="e">
            <v>#N/A</v>
          </cell>
          <cell r="AC86" t="e">
            <v>#N/A</v>
          </cell>
          <cell r="AD86" t="str">
            <v>0172-06</v>
          </cell>
          <cell r="AE86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87">
          <cell r="A87" t="str">
            <v>173-06</v>
          </cell>
          <cell r="B87">
            <v>4027</v>
          </cell>
          <cell r="C87" t="str">
            <v>DE.1.0.7.0</v>
          </cell>
          <cell r="D87" t="str">
            <v>204:440</v>
          </cell>
          <cell r="E87">
            <v>42588.527511574073</v>
          </cell>
          <cell r="F87">
            <v>42588.528807870367</v>
          </cell>
          <cell r="G87">
            <v>1</v>
          </cell>
          <cell r="H87" t="str">
            <v>204:233280</v>
          </cell>
          <cell r="I87">
            <v>42588.558136574073</v>
          </cell>
          <cell r="J87">
            <v>1</v>
          </cell>
          <cell r="K87" t="str">
            <v>4027/4028</v>
          </cell>
          <cell r="L87" t="str">
            <v>STEWART</v>
          </cell>
          <cell r="M87">
            <v>2.9328703705687076E-2</v>
          </cell>
          <cell r="N87">
            <v>42.233333336189389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7" t="str">
            <v>N</v>
          </cell>
          <cell r="X87">
            <v>1</v>
          </cell>
          <cell r="Y87">
            <v>4.3999999999999997E-2</v>
          </cell>
          <cell r="Z87">
            <v>23.327999999999999</v>
          </cell>
          <cell r="AA87">
            <v>23.283999999999999</v>
          </cell>
          <cell r="AB87">
            <v>33137</v>
          </cell>
          <cell r="AC87" t="str">
            <v>GRADE CROSSING</v>
          </cell>
          <cell r="AD87" t="str">
            <v>0173-06</v>
          </cell>
          <cell r="AE8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88">
          <cell r="A88" t="str">
            <v>174-06</v>
          </cell>
          <cell r="B88">
            <v>4028</v>
          </cell>
          <cell r="C88" t="str">
            <v>DE.1.0.7.0</v>
          </cell>
          <cell r="D88" t="str">
            <v>204:232977</v>
          </cell>
          <cell r="E88">
            <v>42588.565601851849</v>
          </cell>
          <cell r="F88">
            <v>42588.566724537035</v>
          </cell>
          <cell r="G88">
            <v>1</v>
          </cell>
          <cell r="H88" t="str">
            <v>204:143</v>
          </cell>
          <cell r="I88">
            <v>42588.597326388888</v>
          </cell>
          <cell r="J88">
            <v>0</v>
          </cell>
          <cell r="K88" t="str">
            <v>4027/4028</v>
          </cell>
          <cell r="L88" t="str">
            <v>STEWART</v>
          </cell>
          <cell r="M88">
            <v>3.0601851853134576E-2</v>
          </cell>
          <cell r="N88">
            <v>44.06666666851379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https://search-rtdc-monitor-bjffxe2xuh6vdkpspy63sjmuny.us-east-1.es.amazonaws.com/_plugin/kibana/#/discover/Steve-Slow-Train-Analysis-(2080s-and-2083s)?_g=(refreshInterval:(display:Off,section:0,value:0),time:(from:'2016-08-06 12:34:28-0600',mode:absolute,to:'2016-08-06 15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1.43E-2</v>
          </cell>
          <cell r="AA88">
            <v>23.2834</v>
          </cell>
          <cell r="AB88" t="e">
            <v>#N/A</v>
          </cell>
          <cell r="AC88" t="e">
            <v>#N/A</v>
          </cell>
          <cell r="AD88" t="str">
            <v>0174-06</v>
          </cell>
          <cell r="AE88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89">
          <cell r="A89" t="str">
            <v>175-06</v>
          </cell>
          <cell r="B89">
            <v>4011</v>
          </cell>
          <cell r="C89" t="str">
            <v>DE.1.0.7.0</v>
          </cell>
          <cell r="D89" t="str">
            <v>204:469</v>
          </cell>
          <cell r="E89">
            <v>42588.5393287037</v>
          </cell>
          <cell r="F89">
            <v>42588.540046296293</v>
          </cell>
          <cell r="G89">
            <v>1</v>
          </cell>
          <cell r="H89" t="str">
            <v>204:233285</v>
          </cell>
          <cell r="I89">
            <v>42588.567303240743</v>
          </cell>
          <cell r="J89">
            <v>0</v>
          </cell>
          <cell r="K89" t="str">
            <v>4011/4012</v>
          </cell>
          <cell r="L89" t="str">
            <v>HELVIE</v>
          </cell>
          <cell r="M89">
            <v>2.7256944449618459E-2</v>
          </cell>
          <cell r="N89">
            <v>39.250000007450581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https://search-rtdc-monitor-bjffxe2xuh6vdkpspy63sjmuny.us-east-1.es.amazonaws.com/_plugin/kibana/#/discover/Steve-Slow-Train-Analysis-(2080s-and-2083s)?_g=(refreshInterval:(display:Off,section:0,value:0),time:(from:'2016-08-06 11:56:38-0600',mode:absolute,to:'2016-08-06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9" t="str">
            <v>N</v>
          </cell>
          <cell r="X89">
            <v>1</v>
          </cell>
          <cell r="Y89">
            <v>4.6899999999999997E-2</v>
          </cell>
          <cell r="Z89">
            <v>23.328499999999998</v>
          </cell>
          <cell r="AA89">
            <v>23.281599999999997</v>
          </cell>
          <cell r="AB89" t="e">
            <v>#N/A</v>
          </cell>
          <cell r="AC89" t="e">
            <v>#N/A</v>
          </cell>
          <cell r="AD89" t="str">
            <v>0175-06</v>
          </cell>
          <cell r="AE8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90">
          <cell r="A90" t="str">
            <v>176-06</v>
          </cell>
          <cell r="B90">
            <v>4012</v>
          </cell>
          <cell r="C90" t="str">
            <v>DE.1.0.7.0</v>
          </cell>
          <cell r="D90" t="str">
            <v>204:232976</v>
          </cell>
          <cell r="E90">
            <v>42588.576527777775</v>
          </cell>
          <cell r="F90">
            <v>42588.577743055554</v>
          </cell>
          <cell r="G90">
            <v>1</v>
          </cell>
          <cell r="H90" t="str">
            <v>204:152</v>
          </cell>
          <cell r="I90">
            <v>42588.607569444444</v>
          </cell>
          <cell r="J90">
            <v>0</v>
          </cell>
          <cell r="K90" t="str">
            <v>4011/4012</v>
          </cell>
          <cell r="L90" t="str">
            <v>HELVIE</v>
          </cell>
          <cell r="M90">
            <v>2.9826388890796807E-2</v>
          </cell>
          <cell r="N90">
            <v>42.950000002747402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https://search-rtdc-monitor-bjffxe2xuh6vdkpspy63sjmuny.us-east-1.es.amazonaws.com/_plugin/kibana/#/discover/Steve-Slow-Train-Analysis-(2080s-and-2083s)?_g=(refreshInterval:(display:Off,section:0,value:0),time:(from:'2016-08-06 12:50:12-0600',mode:absolute,to:'2016-08-06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0" t="str">
            <v>N</v>
          </cell>
          <cell r="X90">
            <v>1</v>
          </cell>
          <cell r="Y90">
            <v>23.297599999999999</v>
          </cell>
          <cell r="Z90">
            <v>1.52E-2</v>
          </cell>
          <cell r="AA90">
            <v>23.282399999999999</v>
          </cell>
          <cell r="AB90" t="e">
            <v>#N/A</v>
          </cell>
          <cell r="AC90" t="e">
            <v>#N/A</v>
          </cell>
          <cell r="AD90" t="str">
            <v>0176-06</v>
          </cell>
          <cell r="AE90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91">
          <cell r="A91" t="str">
            <v>177-06</v>
          </cell>
          <cell r="B91">
            <v>4025</v>
          </cell>
          <cell r="C91" t="str">
            <v>DE.1.0.7.0</v>
          </cell>
          <cell r="D91" t="str">
            <v>204:457</v>
          </cell>
          <cell r="E91">
            <v>42588.548437500001</v>
          </cell>
          <cell r="F91">
            <v>42588.549502314818</v>
          </cell>
          <cell r="G91">
            <v>1</v>
          </cell>
          <cell r="H91" t="str">
            <v>204:233295</v>
          </cell>
          <cell r="I91">
            <v>42588.577685185184</v>
          </cell>
          <cell r="J91">
            <v>0</v>
          </cell>
          <cell r="K91" t="str">
            <v>4025/4026</v>
          </cell>
          <cell r="L91" t="str">
            <v>MOSES</v>
          </cell>
          <cell r="M91">
            <v>2.8182870366435964E-2</v>
          </cell>
          <cell r="N91">
            <v>40.583333327667788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https://search-rtdc-monitor-bjffxe2xuh6vdkpspy63sjmuny.us-east-1.es.amazonaws.com/_plugin/kibana/#/discover/Steve-Slow-Train-Analysis-(2080s-and-2083s)?_g=(refreshInterval:(display:Off,section:0,value:0),time:(from:'2016-08-06 12:09:45-0600',mode:absolute,to:'2016-08-06 14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4.5699999999999998E-2</v>
          </cell>
          <cell r="Z91">
            <v>23.329499999999999</v>
          </cell>
          <cell r="AA91">
            <v>23.283799999999999</v>
          </cell>
          <cell r="AB91" t="e">
            <v>#N/A</v>
          </cell>
          <cell r="AC91" t="e">
            <v>#N/A</v>
          </cell>
          <cell r="AD91" t="str">
            <v>0177-06</v>
          </cell>
          <cell r="AE9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92">
          <cell r="A92" t="str">
            <v>178-06</v>
          </cell>
          <cell r="B92">
            <v>4026</v>
          </cell>
          <cell r="C92" t="str">
            <v>DE.1.0.7.0</v>
          </cell>
          <cell r="D92" t="str">
            <v>204:232980</v>
          </cell>
          <cell r="E92">
            <v>42588.587592592594</v>
          </cell>
          <cell r="F92">
            <v>42588.588495370372</v>
          </cell>
          <cell r="G92">
            <v>1</v>
          </cell>
          <cell r="H92" t="str">
            <v>204:141</v>
          </cell>
          <cell r="I92">
            <v>42588.618275462963</v>
          </cell>
          <cell r="J92">
            <v>0</v>
          </cell>
          <cell r="K92" t="str">
            <v>4025/4026</v>
          </cell>
          <cell r="L92" t="str">
            <v>MOSES</v>
          </cell>
          <cell r="M92">
            <v>2.9780092590954155E-2</v>
          </cell>
          <cell r="N92">
            <v>42.883333330973983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https://search-rtdc-monitor-bjffxe2xuh6vdkpspy63sjmuny.us-east-1.es.amazonaws.com/_plugin/kibana/#/discover/Steve-Slow-Train-Analysis-(2080s-and-2083s)?_g=(refreshInterval:(display:Off,section:0,value:0),time:(from:'2016-08-06 13:06:08-0600',mode:absolute,to:'2016-08-06 15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23.297999999999998</v>
          </cell>
          <cell r="Z92">
            <v>1.41E-2</v>
          </cell>
          <cell r="AA92">
            <v>23.283899999999999</v>
          </cell>
          <cell r="AB92" t="e">
            <v>#N/A</v>
          </cell>
          <cell r="AC92" t="e">
            <v>#N/A</v>
          </cell>
          <cell r="AD92" t="str">
            <v>0178-06</v>
          </cell>
          <cell r="AE92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93">
          <cell r="A93" t="str">
            <v>179-06</v>
          </cell>
          <cell r="B93">
            <v>4009</v>
          </cell>
          <cell r="C93" t="str">
            <v>DE.1.0.7.0</v>
          </cell>
          <cell r="D93" t="str">
            <v>204:435</v>
          </cell>
          <cell r="E93">
            <v>42588.558020833334</v>
          </cell>
          <cell r="F93">
            <v>42588.560081018521</v>
          </cell>
          <cell r="G93">
            <v>2</v>
          </cell>
          <cell r="H93" t="str">
            <v>204:233323</v>
          </cell>
          <cell r="I93">
            <v>42588.589074074072</v>
          </cell>
          <cell r="J93">
            <v>0</v>
          </cell>
          <cell r="K93" t="str">
            <v>4009/4010</v>
          </cell>
          <cell r="L93" t="str">
            <v>SHOOK</v>
          </cell>
          <cell r="M93">
            <v>2.8993055551836733E-2</v>
          </cell>
          <cell r="N93">
            <v>41.749999994644895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https://search-rtdc-monitor-bjffxe2xuh6vdkpspy63sjmuny.us-east-1.es.amazonaws.com/_plugin/kibana/#/discover/Steve-Slow-Train-Analysis-(2080s-and-2083s)?_g=(refreshInterval:(display:Off,section:0,value:0),time:(from:'2016-08-06 12:23:33-0600',mode:absolute,to:'2016-08-06 15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3" t="str">
            <v>N</v>
          </cell>
          <cell r="X93">
            <v>1</v>
          </cell>
          <cell r="Y93">
            <v>4.3499999999999997E-2</v>
          </cell>
          <cell r="Z93">
            <v>23.3323</v>
          </cell>
          <cell r="AA93">
            <v>23.288799999999998</v>
          </cell>
          <cell r="AB93" t="e">
            <v>#N/A</v>
          </cell>
          <cell r="AC93" t="e">
            <v>#N/A</v>
          </cell>
          <cell r="AD93" t="str">
            <v>0179-06</v>
          </cell>
          <cell r="AE93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94">
          <cell r="A94" t="str">
            <v>180-06</v>
          </cell>
          <cell r="B94">
            <v>4010</v>
          </cell>
          <cell r="C94" t="str">
            <v>DE.1.0.7.0</v>
          </cell>
          <cell r="D94" t="str">
            <v>204:233042</v>
          </cell>
          <cell r="E94">
            <v>42588.596446759257</v>
          </cell>
          <cell r="F94">
            <v>42588.597222222219</v>
          </cell>
          <cell r="G94">
            <v>1</v>
          </cell>
          <cell r="H94" t="str">
            <v>204:149</v>
          </cell>
          <cell r="I94">
            <v>42588.628125000003</v>
          </cell>
          <cell r="J94">
            <v>0</v>
          </cell>
          <cell r="K94" t="str">
            <v>4009/4010</v>
          </cell>
          <cell r="L94" t="str">
            <v>SHOOK</v>
          </cell>
          <cell r="M94">
            <v>3.090277778392192E-2</v>
          </cell>
          <cell r="N94">
            <v>44.500000008847564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https://search-rtdc-monitor-bjffxe2xuh6vdkpspy63sjmuny.us-east-1.es.amazonaws.com/_plugin/kibana/#/discover/Steve-Slow-Train-Analysis-(2080s-and-2083s)?_g=(refreshInterval:(display:Off,section:0,value:0),time:(from:'2016-08-06 13:18:53-0600',mode:absolute,to:'2016-08-06 16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4" t="str">
            <v>N</v>
          </cell>
          <cell r="X94">
            <v>1</v>
          </cell>
          <cell r="Y94">
            <v>23.304200000000002</v>
          </cell>
          <cell r="Z94">
            <v>1.49E-2</v>
          </cell>
          <cell r="AA94">
            <v>23.289300000000001</v>
          </cell>
          <cell r="AB94" t="e">
            <v>#N/A</v>
          </cell>
          <cell r="AC94" t="e">
            <v>#N/A</v>
          </cell>
          <cell r="AD94" t="str">
            <v>0180-06</v>
          </cell>
          <cell r="AE94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95">
          <cell r="A95" t="str">
            <v>181-06</v>
          </cell>
          <cell r="B95">
            <v>4018</v>
          </cell>
          <cell r="C95" t="str">
            <v>DE.1.0.7.0</v>
          </cell>
          <cell r="D95" t="str">
            <v>204:471</v>
          </cell>
          <cell r="E95">
            <v>42588.568553240744</v>
          </cell>
          <cell r="F95">
            <v>42588.569606481484</v>
          </cell>
          <cell r="G95">
            <v>1</v>
          </cell>
          <cell r="H95" t="str">
            <v>204:233286</v>
          </cell>
          <cell r="I95">
            <v>42588.597881944443</v>
          </cell>
          <cell r="J95">
            <v>0</v>
          </cell>
          <cell r="K95" t="str">
            <v>4017/4018</v>
          </cell>
          <cell r="L95" t="str">
            <v>DE LA ROSA</v>
          </cell>
          <cell r="M95">
            <v>2.827546295884531E-2</v>
          </cell>
          <cell r="N95">
            <v>40.716666660737246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https://search-rtdc-monitor-bjffxe2xuh6vdkpspy63sjmuny.us-east-1.es.amazonaws.com/_plugin/kibana/#/discover/Steve-Slow-Train-Analysis-(2080s-and-2083s)?_g=(refreshInterval:(display:Off,section:0,value:0),time:(from:'2016-08-06 12:38:43-0600',mode:absolute,to:'2016-08-06 15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5" t="str">
            <v>N</v>
          </cell>
          <cell r="X95">
            <v>1</v>
          </cell>
          <cell r="Y95">
            <v>4.7100000000000003E-2</v>
          </cell>
          <cell r="Z95">
            <v>23.328600000000002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0181-06</v>
          </cell>
          <cell r="AE95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96">
          <cell r="A96" t="str">
            <v>182-06</v>
          </cell>
          <cell r="B96">
            <v>4017</v>
          </cell>
          <cell r="C96" t="str">
            <v>DE.1.0.7.0</v>
          </cell>
          <cell r="D96" t="str">
            <v>204:232977</v>
          </cell>
          <cell r="E96">
            <v>42588.606782407405</v>
          </cell>
          <cell r="F96">
            <v>42588.607905092591</v>
          </cell>
          <cell r="G96">
            <v>1</v>
          </cell>
          <cell r="H96" t="str">
            <v>204:160</v>
          </cell>
          <cell r="I96">
            <v>42588.638506944444</v>
          </cell>
          <cell r="J96">
            <v>0</v>
          </cell>
          <cell r="K96" t="str">
            <v>4017/4018</v>
          </cell>
          <cell r="L96" t="str">
            <v>DE LA ROSA</v>
          </cell>
          <cell r="M96">
            <v>3.0601851853134576E-2</v>
          </cell>
          <cell r="N96">
            <v>44.06666666851379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https://search-rtdc-monitor-bjffxe2xuh6vdkpspy63sjmuny.us-east-1.es.amazonaws.com/_plugin/kibana/#/discover/Steve-Slow-Train-Analysis-(2080s-and-2083s)?_g=(refreshInterval:(display:Off,section:0,value:0),time:(from:'2016-08-06 13:33:46-0600',mode:absolute,to:'2016-08-06 16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6" t="str">
            <v>N</v>
          </cell>
          <cell r="X96">
            <v>1</v>
          </cell>
          <cell r="Y96">
            <v>23.297699999999999</v>
          </cell>
          <cell r="Z96">
            <v>1.6E-2</v>
          </cell>
          <cell r="AA96">
            <v>23.281700000000001</v>
          </cell>
          <cell r="AB96" t="e">
            <v>#N/A</v>
          </cell>
          <cell r="AC96" t="e">
            <v>#N/A</v>
          </cell>
          <cell r="AD96" t="str">
            <v>0182-06</v>
          </cell>
          <cell r="AE96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97">
          <cell r="A97" t="str">
            <v>183-06</v>
          </cell>
          <cell r="B97">
            <v>4014</v>
          </cell>
          <cell r="C97" t="str">
            <v>DE.1.0.7.0</v>
          </cell>
          <cell r="D97" t="str">
            <v>204:455</v>
          </cell>
          <cell r="E97">
            <v>42588.579328703701</v>
          </cell>
          <cell r="F97">
            <v>42588.580104166664</v>
          </cell>
          <cell r="G97">
            <v>1</v>
          </cell>
          <cell r="H97" t="str">
            <v>204:233308</v>
          </cell>
          <cell r="I97">
            <v>42588.608796296299</v>
          </cell>
          <cell r="J97">
            <v>0</v>
          </cell>
          <cell r="K97" t="str">
            <v>4013/4014</v>
          </cell>
          <cell r="L97" t="str">
            <v>MAYBERRY</v>
          </cell>
          <cell r="M97">
            <v>2.8692129635601304E-2</v>
          </cell>
          <cell r="N97">
            <v>41.316666675265878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https://search-rtdc-monitor-bjffxe2xuh6vdkpspy63sjmuny.us-east-1.es.amazonaws.com/_plugin/kibana/#/discover/Steve-Slow-Train-Analysis-(2080s-and-2083s)?_g=(refreshInterval:(display:Off,section:0,value:0),time:(from:'2016-08-06 12:54:14-0600',mode:absolute,to:'2016-08-06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23.3308</v>
          </cell>
          <cell r="AA97">
            <v>23.285299999999999</v>
          </cell>
          <cell r="AB97" t="e">
            <v>#N/A</v>
          </cell>
          <cell r="AC97" t="e">
            <v>#N/A</v>
          </cell>
          <cell r="AD97" t="str">
            <v>0183-06</v>
          </cell>
          <cell r="AE97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98">
          <cell r="A98" t="str">
            <v>184-06</v>
          </cell>
          <cell r="B98">
            <v>4013</v>
          </cell>
          <cell r="C98" t="str">
            <v>DE.1.0.7.0</v>
          </cell>
          <cell r="D98" t="str">
            <v>204:233006</v>
          </cell>
          <cell r="E98">
            <v>42588.618368055555</v>
          </cell>
          <cell r="F98">
            <v>42588.619201388887</v>
          </cell>
          <cell r="G98">
            <v>1</v>
          </cell>
          <cell r="H98" t="str">
            <v>204:174</v>
          </cell>
          <cell r="I98">
            <v>42588.649375000001</v>
          </cell>
          <cell r="J98">
            <v>0</v>
          </cell>
          <cell r="K98" t="str">
            <v>4013/4014</v>
          </cell>
          <cell r="L98" t="str">
            <v>MAYBERRY</v>
          </cell>
          <cell r="M98">
            <v>3.0173611114150845E-2</v>
          </cell>
          <cell r="N98">
            <v>43.450000004377216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https://search-rtdc-monitor-bjffxe2xuh6vdkpspy63sjmuny.us-east-1.es.amazonaws.com/_plugin/kibana/#/discover/Steve-Slow-Train-Analysis-(2080s-and-2083s)?_g=(refreshInterval:(display:Off,section:0,value:0),time:(from:'2016-08-06 13:50:27-0600',mode:absolute,to:'2016-08-06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8" t="str">
            <v>N</v>
          </cell>
          <cell r="X98">
            <v>1</v>
          </cell>
          <cell r="Y98">
            <v>23.300599999999999</v>
          </cell>
          <cell r="Z98">
            <v>1.7399999999999999E-2</v>
          </cell>
          <cell r="AA98">
            <v>23.283200000000001</v>
          </cell>
          <cell r="AB98" t="e">
            <v>#N/A</v>
          </cell>
          <cell r="AC98" t="e">
            <v>#N/A</v>
          </cell>
          <cell r="AD98" t="str">
            <v>0184-06</v>
          </cell>
          <cell r="AE9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99">
          <cell r="A99" t="str">
            <v>185-06</v>
          </cell>
          <cell r="B99">
            <v>4031</v>
          </cell>
          <cell r="C99" t="str">
            <v>DE.1.0.7.0</v>
          </cell>
          <cell r="D99" t="str">
            <v>204:458</v>
          </cell>
          <cell r="E99">
            <v>42588.58865740741</v>
          </cell>
          <cell r="F99">
            <v>42588.589780092596</v>
          </cell>
          <cell r="G99">
            <v>1</v>
          </cell>
          <cell r="H99" t="str">
            <v>204:233295</v>
          </cell>
          <cell r="I99">
            <v>42588.618692129632</v>
          </cell>
          <cell r="J99">
            <v>0</v>
          </cell>
          <cell r="K99" t="str">
            <v>4031/4032</v>
          </cell>
          <cell r="L99" t="str">
            <v>WEBSTER</v>
          </cell>
          <cell r="M99">
            <v>2.8912037036207039E-2</v>
          </cell>
          <cell r="N99">
            <v>41.633333332138136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https://search-rtdc-monitor-bjffxe2xuh6vdkpspy63sjmuny.us-east-1.es.amazonaws.com/_plugin/kibana/#/discover/Steve-Slow-Train-Analysis-(2080s-and-2083s)?_g=(refreshInterval:(display:Off,section:0,value:0),time:(from:'2016-08-06 13:07:40-0600',mode:absolute,to:'2016-08-06 15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23.329499999999999</v>
          </cell>
          <cell r="AA99">
            <v>23.2837</v>
          </cell>
          <cell r="AB99" t="e">
            <v>#N/A</v>
          </cell>
          <cell r="AC99" t="e">
            <v>#N/A</v>
          </cell>
          <cell r="AD99" t="str">
            <v>0185-06</v>
          </cell>
          <cell r="AE9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00">
          <cell r="A100" t="str">
            <v>186-06</v>
          </cell>
          <cell r="B100">
            <v>4032</v>
          </cell>
          <cell r="C100" t="str">
            <v>DE.1.0.7.0</v>
          </cell>
          <cell r="D100" t="str">
            <v>204:232977</v>
          </cell>
          <cell r="E100">
            <v>42588.629664351851</v>
          </cell>
          <cell r="F100">
            <v>42588.630543981482</v>
          </cell>
          <cell r="G100">
            <v>1</v>
          </cell>
          <cell r="H100" t="str">
            <v>204:141</v>
          </cell>
          <cell r="I100">
            <v>42588.66097222222</v>
          </cell>
          <cell r="J100">
            <v>1</v>
          </cell>
          <cell r="K100" t="str">
            <v>4031/4032</v>
          </cell>
          <cell r="L100" t="str">
            <v>WEBSTER</v>
          </cell>
          <cell r="M100">
            <v>3.0428240737819578E-2</v>
          </cell>
          <cell r="N100">
            <v>43.816666662460193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1.41E-2</v>
          </cell>
          <cell r="AA100">
            <v>23.2836</v>
          </cell>
          <cell r="AB100" t="e">
            <v>#N/A</v>
          </cell>
          <cell r="AC100" t="e">
            <v>#N/A</v>
          </cell>
          <cell r="AD100" t="str">
            <v>0186-06</v>
          </cell>
          <cell r="AE10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01">
          <cell r="A101" t="str">
            <v>187-06</v>
          </cell>
          <cell r="B101">
            <v>4027</v>
          </cell>
          <cell r="C101" t="str">
            <v>DE.1.0.7.0</v>
          </cell>
          <cell r="D101" t="str">
            <v>204:444</v>
          </cell>
          <cell r="E101">
            <v>42588.600451388891</v>
          </cell>
          <cell r="F101">
            <v>42588.601423611108</v>
          </cell>
          <cell r="G101">
            <v>1</v>
          </cell>
          <cell r="H101" t="str">
            <v>204:233304</v>
          </cell>
          <cell r="I101">
            <v>42588.629942129628</v>
          </cell>
          <cell r="J101">
            <v>1</v>
          </cell>
          <cell r="K101" t="str">
            <v>4027/4028</v>
          </cell>
          <cell r="L101" t="str">
            <v>STEWART</v>
          </cell>
          <cell r="M101">
            <v>2.8518518520286307E-2</v>
          </cell>
          <cell r="N101">
            <v>41.066666669212282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1" t="str">
            <v>N</v>
          </cell>
          <cell r="X101">
            <v>1</v>
          </cell>
          <cell r="Y101">
            <v>4.4400000000000002E-2</v>
          </cell>
          <cell r="Z101">
            <v>23.330400000000001</v>
          </cell>
          <cell r="AA101">
            <v>23.286000000000001</v>
          </cell>
          <cell r="AB101" t="e">
            <v>#N/A</v>
          </cell>
          <cell r="AC101" t="e">
            <v>#N/A</v>
          </cell>
          <cell r="AD101" t="str">
            <v>0187-06</v>
          </cell>
          <cell r="AE101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02">
          <cell r="A102" t="str">
            <v>188-06</v>
          </cell>
          <cell r="B102">
            <v>4028</v>
          </cell>
          <cell r="C102" t="str">
            <v>DE.1.0.7.0</v>
          </cell>
          <cell r="D102" t="str">
            <v>204:232979</v>
          </cell>
          <cell r="E102">
            <v>42588.639953703707</v>
          </cell>
          <cell r="F102">
            <v>42588.640949074077</v>
          </cell>
          <cell r="G102">
            <v>1</v>
          </cell>
          <cell r="H102" t="str">
            <v>204:152</v>
          </cell>
          <cell r="I102">
            <v>42588.669710648152</v>
          </cell>
          <cell r="J102">
            <v>0</v>
          </cell>
          <cell r="K102" t="str">
            <v>4027/4028</v>
          </cell>
          <cell r="L102" t="str">
            <v>STEWART</v>
          </cell>
          <cell r="M102">
            <v>2.8761574074451346E-2</v>
          </cell>
          <cell r="N102">
            <v>41.416666667209938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https://search-rtdc-monitor-bjffxe2xuh6vdkpspy63sjmuny.us-east-1.es.amazonaws.com/_plugin/kibana/#/discover/Steve-Slow-Train-Analysis-(2080s-and-2083s)?_g=(refreshInterval:(display:Off,section:0,value:0),time:(from:'2016-08-06 14:21:32-0600',mode:absolute,to:'2016-08-06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2" t="str">
            <v>N</v>
          </cell>
          <cell r="X102">
            <v>1</v>
          </cell>
          <cell r="Y102">
            <v>23.297899999999998</v>
          </cell>
          <cell r="Z102">
            <v>1.52E-2</v>
          </cell>
          <cell r="AA102">
            <v>23.282699999999998</v>
          </cell>
          <cell r="AB102" t="e">
            <v>#N/A</v>
          </cell>
          <cell r="AC102" t="e">
            <v>#N/A</v>
          </cell>
          <cell r="AD102" t="str">
            <v>0188-06</v>
          </cell>
          <cell r="AE102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03">
          <cell r="A103" t="str">
            <v>189-06</v>
          </cell>
          <cell r="B103">
            <v>4011</v>
          </cell>
          <cell r="C103" t="str">
            <v>DE.1.0.7.0</v>
          </cell>
          <cell r="D103" t="str">
            <v>204:466</v>
          </cell>
          <cell r="E103">
            <v>42588.611967592595</v>
          </cell>
          <cell r="F103">
            <v>42588.613043981481</v>
          </cell>
          <cell r="G103">
            <v>1</v>
          </cell>
          <cell r="H103" t="str">
            <v>204:233291</v>
          </cell>
          <cell r="I103">
            <v>42588.639537037037</v>
          </cell>
          <cell r="J103">
            <v>0</v>
          </cell>
          <cell r="K103" t="str">
            <v>4011/4012</v>
          </cell>
          <cell r="L103" t="str">
            <v>HELVIE</v>
          </cell>
          <cell r="M103">
            <v>2.6493055556784384E-2</v>
          </cell>
          <cell r="N103">
            <v>38.150000001769513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https://search-rtdc-monitor-bjffxe2xuh6vdkpspy63sjmuny.us-east-1.es.amazonaws.com/_plugin/kibana/#/discover/Steve-Slow-Train-Analysis-(2080s-and-2083s)?_g=(refreshInterval:(display:Off,section:0,value:0),time:(from:'2016-08-06 13:41:14-0600',mode:absolute,to:'2016-08-06 16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3" t="str">
            <v>N</v>
          </cell>
          <cell r="X103">
            <v>1</v>
          </cell>
          <cell r="Y103">
            <v>4.6600000000000003E-2</v>
          </cell>
          <cell r="Z103">
            <v>23.3291</v>
          </cell>
          <cell r="AA103">
            <v>23.282499999999999</v>
          </cell>
          <cell r="AB103" t="e">
            <v>#N/A</v>
          </cell>
          <cell r="AC103" t="e">
            <v>#N/A</v>
          </cell>
          <cell r="AD103" t="str">
            <v>0189-06</v>
          </cell>
          <cell r="AE103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04">
          <cell r="A104" t="str">
            <v>190-06</v>
          </cell>
          <cell r="B104">
            <v>4012</v>
          </cell>
          <cell r="C104" t="str">
            <v>DE.1.0.7.0</v>
          </cell>
          <cell r="D104" t="str">
            <v>204:232957</v>
          </cell>
          <cell r="E104">
            <v>42588.646493055552</v>
          </cell>
          <cell r="F104">
            <v>42588.647337962961</v>
          </cell>
          <cell r="G104">
            <v>1</v>
          </cell>
          <cell r="H104" t="str">
            <v>204:207</v>
          </cell>
          <cell r="I104">
            <v>42588.679467592592</v>
          </cell>
          <cell r="J104">
            <v>1</v>
          </cell>
          <cell r="K104" t="str">
            <v>4011/4012</v>
          </cell>
          <cell r="L104" t="str">
            <v>HELVIE</v>
          </cell>
          <cell r="M104">
            <v>3.2129629631526768E-2</v>
          </cell>
          <cell r="N104">
            <v>46.266666669398546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4" t="str">
            <v>N</v>
          </cell>
          <cell r="X104">
            <v>1</v>
          </cell>
          <cell r="Y104">
            <v>23.2957</v>
          </cell>
          <cell r="Z104">
            <v>2.07E-2</v>
          </cell>
          <cell r="AA104">
            <v>23.274999999999999</v>
          </cell>
          <cell r="AB104" t="e">
            <v>#N/A</v>
          </cell>
          <cell r="AC104" t="e">
            <v>#N/A</v>
          </cell>
          <cell r="AD104" t="str">
            <v>0190-06</v>
          </cell>
          <cell r="AE104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05">
          <cell r="A105" t="str">
            <v>191-06</v>
          </cell>
          <cell r="B105">
            <v>4025</v>
          </cell>
          <cell r="C105" t="str">
            <v>DE.1.0.7.0</v>
          </cell>
          <cell r="D105" t="str">
            <v>204:431</v>
          </cell>
          <cell r="E105">
            <v>42588.620671296296</v>
          </cell>
          <cell r="F105">
            <v>42588.622106481482</v>
          </cell>
          <cell r="G105">
            <v>2</v>
          </cell>
          <cell r="H105" t="str">
            <v>204:233327</v>
          </cell>
          <cell r="I105">
            <v>42588.650543981479</v>
          </cell>
          <cell r="J105">
            <v>0</v>
          </cell>
          <cell r="K105" t="str">
            <v>4025/4026</v>
          </cell>
          <cell r="L105" t="str">
            <v>MOSES</v>
          </cell>
          <cell r="M105">
            <v>2.8437499997380655E-2</v>
          </cell>
          <cell r="N105">
            <v>40.949999996228144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https://search-rtdc-monitor-bjffxe2xuh6vdkpspy63sjmuny.us-east-1.es.amazonaws.com/_plugin/kibana/#/discover/Steve-Slow-Train-Analysis-(2080s-and-2083s)?_g=(refreshInterval:(display:Off,section:0,value:0),time:(from:'2016-08-06 13:53:46-0600',mode:absolute,to:'2016-08-06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4.3099999999999999E-2</v>
          </cell>
          <cell r="Z105">
            <v>23.332699999999999</v>
          </cell>
          <cell r="AA105">
            <v>23.2896</v>
          </cell>
          <cell r="AB105" t="e">
            <v>#N/A</v>
          </cell>
          <cell r="AC105" t="e">
            <v>#N/A</v>
          </cell>
          <cell r="AD105" t="str">
            <v>0191-06</v>
          </cell>
          <cell r="AE105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06">
          <cell r="A106" t="str">
            <v>192-06</v>
          </cell>
          <cell r="B106">
            <v>4026</v>
          </cell>
          <cell r="C106" t="str">
            <v>DE.1.0.7.0</v>
          </cell>
          <cell r="D106" t="str">
            <v>204:233008</v>
          </cell>
          <cell r="E106">
            <v>42588.660532407404</v>
          </cell>
          <cell r="F106">
            <v>42588.661747685182</v>
          </cell>
          <cell r="G106">
            <v>1</v>
          </cell>
          <cell r="H106" t="str">
            <v>204:198</v>
          </cell>
          <cell r="I106">
            <v>42588.692256944443</v>
          </cell>
          <cell r="J106">
            <v>1</v>
          </cell>
          <cell r="K106" t="str">
            <v>4025/4026</v>
          </cell>
          <cell r="L106" t="str">
            <v>MOSES</v>
          </cell>
          <cell r="M106">
            <v>3.050925926072523E-2</v>
          </cell>
          <cell r="N106">
            <v>43.933333335444331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23.300799999999999</v>
          </cell>
          <cell r="Z106">
            <v>1.9800000000000002E-2</v>
          </cell>
          <cell r="AA106">
            <v>23.280999999999999</v>
          </cell>
          <cell r="AB106" t="e">
            <v>#N/A</v>
          </cell>
          <cell r="AC106" t="e">
            <v>#N/A</v>
          </cell>
          <cell r="AD106" t="str">
            <v>0192-06</v>
          </cell>
          <cell r="AE106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07">
          <cell r="A107" t="str">
            <v>193-06</v>
          </cell>
          <cell r="B107">
            <v>4009</v>
          </cell>
          <cell r="C107" t="str">
            <v>DE.1.0.7.0</v>
          </cell>
          <cell r="D107" t="str">
            <v>204:462</v>
          </cell>
          <cell r="E107">
            <v>42588.631388888891</v>
          </cell>
          <cell r="F107">
            <v>42588.632453703707</v>
          </cell>
          <cell r="G107">
            <v>1</v>
          </cell>
          <cell r="H107" t="str">
            <v>204:233370</v>
          </cell>
          <cell r="I107">
            <v>42588.660416666666</v>
          </cell>
          <cell r="J107">
            <v>0</v>
          </cell>
          <cell r="K107" t="str">
            <v>4009/4010</v>
          </cell>
          <cell r="L107" t="str">
            <v>SHOOK</v>
          </cell>
          <cell r="M107">
            <v>2.7962962958554272E-2</v>
          </cell>
          <cell r="N107">
            <v>40.266666660318151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https://search-rtdc-monitor-bjffxe2xuh6vdkpspy63sjmuny.us-east-1.es.amazonaws.com/_plugin/kibana/#/discover/Steve-Slow-Train-Analysis-(2080s-and-2083s)?_g=(refreshInterval:(display:Off,section:0,value:0),time:(from:'2016-08-06 14:09:12-0600',mode:absolute,to:'2016-08-06 16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7" t="str">
            <v>N</v>
          </cell>
          <cell r="X107">
            <v>1</v>
          </cell>
          <cell r="Y107">
            <v>4.6199999999999998E-2</v>
          </cell>
          <cell r="Z107">
            <v>23.337</v>
          </cell>
          <cell r="AA107">
            <v>23.290800000000001</v>
          </cell>
          <cell r="AB107" t="e">
            <v>#N/A</v>
          </cell>
          <cell r="AC107" t="e">
            <v>#N/A</v>
          </cell>
          <cell r="AD107" t="str">
            <v>0193-06</v>
          </cell>
          <cell r="AE10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08">
          <cell r="A108" t="str">
            <v>194-06</v>
          </cell>
          <cell r="B108">
            <v>4010</v>
          </cell>
          <cell r="C108" t="str">
            <v>DE.1.0.7.0</v>
          </cell>
          <cell r="D108" t="str">
            <v>204:233059</v>
          </cell>
          <cell r="E108">
            <v>42588.66920138889</v>
          </cell>
          <cell r="F108">
            <v>42588.670289351852</v>
          </cell>
          <cell r="G108">
            <v>1</v>
          </cell>
          <cell r="H108" t="str">
            <v>204:127857</v>
          </cell>
          <cell r="I108">
            <v>42588.697534722225</v>
          </cell>
          <cell r="J108">
            <v>0</v>
          </cell>
          <cell r="K108" t="str">
            <v>4009/4010</v>
          </cell>
          <cell r="L108" t="str">
            <v>SHOOK</v>
          </cell>
          <cell r="M108">
            <v>2.7245370372838806E-2</v>
          </cell>
          <cell r="P108">
            <v>54.883333328180015</v>
          </cell>
          <cell r="R108" t="str">
            <v>Signaling outage at Chambers</v>
          </cell>
          <cell r="S108">
            <v>0.75</v>
          </cell>
          <cell r="T108" t="str">
            <v>Southbound</v>
          </cell>
          <cell r="U108">
            <v>0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https://search-rtdc-monitor-bjffxe2xuh6vdkpspy63sjmuny.us-east-1.es.amazonaws.com/_plugin/kibana/#/discover/Steve-Slow-Train-Analysis-(2080s-and-2083s)?_g=(refreshInterval:(display:Off,section:0,value:0),time:(from:'2016-08-06 15:03:39-0600',mode:absolute,to:'2016-08-06 17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8" t="str">
            <v>Y</v>
          </cell>
          <cell r="X108">
            <v>1</v>
          </cell>
          <cell r="Y108">
            <v>23.305900000000001</v>
          </cell>
          <cell r="Z108">
            <v>12.7857</v>
          </cell>
          <cell r="AA108">
            <v>10.520200000000001</v>
          </cell>
          <cell r="AB108" t="e">
            <v>#N/A</v>
          </cell>
          <cell r="AC108" t="e">
            <v>#N/A</v>
          </cell>
          <cell r="AD108" t="str">
            <v>0194-06</v>
          </cell>
          <cell r="AE108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09">
          <cell r="A109" t="str">
            <v>194-06</v>
          </cell>
          <cell r="B109">
            <v>4010</v>
          </cell>
          <cell r="C109" t="str">
            <v>DE.1.0.7.0</v>
          </cell>
          <cell r="D109" t="str">
            <v>204:64155</v>
          </cell>
          <cell r="E109">
            <v>42588.71402777778</v>
          </cell>
          <cell r="F109">
            <v>42588.714965277781</v>
          </cell>
          <cell r="G109">
            <v>1</v>
          </cell>
          <cell r="H109" t="str">
            <v>204:207</v>
          </cell>
          <cell r="I109">
            <v>42588.72583333333</v>
          </cell>
          <cell r="J109">
            <v>0</v>
          </cell>
          <cell r="K109" t="str">
            <v>4009/4010</v>
          </cell>
          <cell r="L109" t="str">
            <v>SHOOK</v>
          </cell>
          <cell r="M109">
            <v>1.0868055549508426E-2</v>
          </cell>
          <cell r="T109" t="str">
            <v>Southbound</v>
          </cell>
          <cell r="U109">
            <v>9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https://search-rtdc-monitor-bjffxe2xuh6vdkpspy63sjmuny.us-east-1.es.amazonaws.com/_plugin/kibana/#/discover/Steve-Slow-Train-Analysis-(2080s-and-2083s)?_g=(refreshInterval:(display:Off,section:0,value:0),time:(from:'2016-08-06 16:08:12-0600',mode:absolute,to:'2016-08-06 18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9" t="str">
            <v>Y</v>
          </cell>
          <cell r="X109">
            <v>0</v>
          </cell>
          <cell r="Y109">
            <v>6.4154999999999998</v>
          </cell>
          <cell r="Z109">
            <v>2.07E-2</v>
          </cell>
          <cell r="AA109">
            <v>6.3948</v>
          </cell>
          <cell r="AB109" t="e">
            <v>#N/A</v>
          </cell>
          <cell r="AC109" t="e">
            <v>#N/A</v>
          </cell>
          <cell r="AD109" t="str">
            <v>0194-06</v>
          </cell>
          <cell r="AE109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10">
          <cell r="A110" t="str">
            <v>195-06</v>
          </cell>
          <cell r="B110">
            <v>4018</v>
          </cell>
          <cell r="C110" t="str">
            <v>DE.1.0.7.0</v>
          </cell>
          <cell r="D110" t="str">
            <v>204:455</v>
          </cell>
          <cell r="E110">
            <v>42588.643206018518</v>
          </cell>
          <cell r="F110">
            <v>42588.644537037035</v>
          </cell>
          <cell r="G110">
            <v>1</v>
          </cell>
          <cell r="H110" t="str">
            <v>204:233321</v>
          </cell>
          <cell r="I110">
            <v>42588.670925925922</v>
          </cell>
          <cell r="J110">
            <v>0</v>
          </cell>
          <cell r="K110" t="str">
            <v>4017/4018</v>
          </cell>
          <cell r="L110" t="str">
            <v>DE LA ROSA</v>
          </cell>
          <cell r="M110">
            <v>2.6388888887595385E-2</v>
          </cell>
          <cell r="N110">
            <v>37.999999998137355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https://search-rtdc-monitor-bjffxe2xuh6vdkpspy63sjmuny.us-east-1.es.amazonaws.com/_plugin/kibana/#/discover/Steve-Slow-Train-Analysis-(2080s-and-2083s)?_g=(refreshInterval:(display:Off,section:0,value:0),time:(from:'2016-08-06 14:26:13-0600',mode:absolute,to:'2016-08-06 17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4.5499999999999999E-2</v>
          </cell>
          <cell r="Z110">
            <v>23.332100000000001</v>
          </cell>
          <cell r="AA110">
            <v>23.2866</v>
          </cell>
          <cell r="AB110" t="e">
            <v>#N/A</v>
          </cell>
          <cell r="AC110" t="e">
            <v>#N/A</v>
          </cell>
          <cell r="AD110" t="str">
            <v>0195-06</v>
          </cell>
          <cell r="AE110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11">
          <cell r="A111" t="str">
            <v>196-06</v>
          </cell>
          <cell r="B111">
            <v>4017</v>
          </cell>
          <cell r="C111" t="str">
            <v>DE.1.0.7.0</v>
          </cell>
          <cell r="D111" t="str">
            <v>204:232993</v>
          </cell>
          <cell r="E111">
            <v>42588.679490740738</v>
          </cell>
          <cell r="F111">
            <v>42588.680625000001</v>
          </cell>
          <cell r="G111">
            <v>1</v>
          </cell>
          <cell r="H111" t="str">
            <v>204:152</v>
          </cell>
          <cell r="I111">
            <v>42588.738275462965</v>
          </cell>
          <cell r="J111">
            <v>0</v>
          </cell>
          <cell r="K111" t="str">
            <v>4017/4018</v>
          </cell>
          <cell r="L111" t="str">
            <v>DE LA ROSA</v>
          </cell>
          <cell r="M111">
            <v>5.7650462964375038E-2</v>
          </cell>
          <cell r="N111">
            <v>83.016666668700054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https://search-rtdc-monitor-bjffxe2xuh6vdkpspy63sjmuny.us-east-1.es.amazonaws.com/_plugin/kibana/#/discover/Steve-Slow-Train-Analysis-(2080s-and-2083s)?_g=(refreshInterval:(display:Off,section:0,value:0),time:(from:'2016-08-06 15:18:28-0600',mode:absolute,to:'2016-08-06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23.299299999999999</v>
          </cell>
          <cell r="Z111">
            <v>1.52E-2</v>
          </cell>
          <cell r="AA111">
            <v>23.284099999999999</v>
          </cell>
          <cell r="AB111" t="e">
            <v>#N/A</v>
          </cell>
          <cell r="AC111" t="e">
            <v>#N/A</v>
          </cell>
          <cell r="AD111" t="str">
            <v>0196-06</v>
          </cell>
          <cell r="AE111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12">
          <cell r="A112" t="str">
            <v>197-06</v>
          </cell>
          <cell r="B112">
            <v>4014</v>
          </cell>
          <cell r="C112" t="str">
            <v>DE.1.0.7.0</v>
          </cell>
          <cell r="D112" t="str">
            <v>204:466</v>
          </cell>
          <cell r="E112">
            <v>42588.650625000002</v>
          </cell>
          <cell r="F112">
            <v>42588.652175925927</v>
          </cell>
          <cell r="G112">
            <v>2</v>
          </cell>
          <cell r="H112" t="str">
            <v>204:233286</v>
          </cell>
          <cell r="I112">
            <v>42588.683298611111</v>
          </cell>
          <cell r="J112">
            <v>2</v>
          </cell>
          <cell r="K112" t="str">
            <v>4013/4014</v>
          </cell>
          <cell r="L112" t="str">
            <v>MAYBERRY</v>
          </cell>
          <cell r="M112">
            <v>3.1122685184527654E-2</v>
          </cell>
          <cell r="N112">
            <v>44.816666665719822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2" t="str">
            <v>N</v>
          </cell>
          <cell r="X112">
            <v>1</v>
          </cell>
          <cell r="Y112">
            <v>4.6600000000000003E-2</v>
          </cell>
          <cell r="Z112">
            <v>23.328600000000002</v>
          </cell>
          <cell r="AA112">
            <v>23.282</v>
          </cell>
          <cell r="AB112">
            <v>116838</v>
          </cell>
          <cell r="AC112" t="str">
            <v>PERMANENT SPEED RESTRICTION</v>
          </cell>
          <cell r="AD112" t="str">
            <v>0197-06</v>
          </cell>
          <cell r="AE112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13">
          <cell r="A113" t="str">
            <v>198-06</v>
          </cell>
          <cell r="B113">
            <v>4013</v>
          </cell>
          <cell r="C113" t="str">
            <v>DE.1.0.7.0</v>
          </cell>
          <cell r="D113" t="str">
            <v>204:232971</v>
          </cell>
          <cell r="E113">
            <v>42588.689328703702</v>
          </cell>
          <cell r="F113">
            <v>42588.690520833334</v>
          </cell>
          <cell r="G113">
            <v>1</v>
          </cell>
          <cell r="H113" t="str">
            <v>204:149</v>
          </cell>
          <cell r="I113">
            <v>42588.744050925925</v>
          </cell>
          <cell r="J113">
            <v>0</v>
          </cell>
          <cell r="K113" t="str">
            <v>4013/4014</v>
          </cell>
          <cell r="L113" t="str">
            <v>MAYBERRY</v>
          </cell>
          <cell r="M113">
            <v>5.3530092591245193E-2</v>
          </cell>
          <cell r="N113">
            <v>77.083333331393078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https://search-rtdc-monitor-bjffxe2xuh6vdkpspy63sjmuny.us-east-1.es.amazonaws.com/_plugin/kibana/#/discover/Steve-Slow-Train-Analysis-(2080s-and-2083s)?_g=(refreshInterval:(display:Off,section:0,value:0),time:(from:'2016-08-06 15:32:38-0600',mode:absolute,to:'2016-08-06 18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3" t="str">
            <v>N</v>
          </cell>
          <cell r="X113">
            <v>1</v>
          </cell>
          <cell r="Y113">
            <v>23.2971</v>
          </cell>
          <cell r="Z113">
            <v>1.49E-2</v>
          </cell>
          <cell r="AA113">
            <v>23.2822</v>
          </cell>
          <cell r="AB113" t="e">
            <v>#N/A</v>
          </cell>
          <cell r="AC113" t="e">
            <v>#N/A</v>
          </cell>
          <cell r="AD113" t="str">
            <v>0198-06</v>
          </cell>
          <cell r="AE113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14">
          <cell r="A114" t="str">
            <v>199-06</v>
          </cell>
          <cell r="B114">
            <v>4031</v>
          </cell>
          <cell r="C114" t="str">
            <v>DE.1.0.7.0</v>
          </cell>
          <cell r="D114" t="str">
            <v>204:128261</v>
          </cell>
          <cell r="E114">
            <v>42588.684398148151</v>
          </cell>
          <cell r="F114">
            <v>42588.685057870367</v>
          </cell>
          <cell r="G114">
            <v>0</v>
          </cell>
          <cell r="H114" t="str">
            <v>204:233314</v>
          </cell>
          <cell r="I114">
            <v>42588.695057870369</v>
          </cell>
          <cell r="J114">
            <v>0</v>
          </cell>
          <cell r="K114" t="str">
            <v>4031/4032</v>
          </cell>
          <cell r="L114" t="str">
            <v>WEBSTER</v>
          </cell>
          <cell r="M114">
            <v>1.0000000002037268E-2</v>
          </cell>
          <cell r="P114">
            <v>41.833333336981013</v>
          </cell>
          <cell r="R114" t="str">
            <v>Signaling outage at Chambers</v>
          </cell>
          <cell r="S114">
            <v>1</v>
          </cell>
          <cell r="T114" t="str">
            <v>NorthBound</v>
          </cell>
          <cell r="U114">
            <v>0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4" t="str">
            <v>Y</v>
          </cell>
          <cell r="X114">
            <v>1</v>
          </cell>
          <cell r="Y114">
            <v>12.8261</v>
          </cell>
          <cell r="Z114">
            <v>23.331399999999999</v>
          </cell>
          <cell r="AA114">
            <v>10.505299999999998</v>
          </cell>
          <cell r="AB114" t="e">
            <v>#N/A</v>
          </cell>
          <cell r="AC114" t="e">
            <v>#N/A</v>
          </cell>
          <cell r="AD114" t="str">
            <v>0199-06</v>
          </cell>
          <cell r="AE114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5">
          <cell r="A115" t="str">
            <v>199-06</v>
          </cell>
          <cell r="B115">
            <v>4031</v>
          </cell>
          <cell r="C115" t="str">
            <v>DE.1.0.7.0</v>
          </cell>
          <cell r="D115" t="str">
            <v>204:464</v>
          </cell>
          <cell r="E115">
            <v>42588.66238425926</v>
          </cell>
          <cell r="F115">
            <v>42588.663402777776</v>
          </cell>
          <cell r="G115">
            <v>1</v>
          </cell>
          <cell r="H115" t="str">
            <v>204:110974</v>
          </cell>
          <cell r="I115">
            <v>42588.682453703703</v>
          </cell>
          <cell r="J115">
            <v>1</v>
          </cell>
          <cell r="K115" t="str">
            <v>4031/4032</v>
          </cell>
          <cell r="L115" t="str">
            <v>WEBSTER</v>
          </cell>
          <cell r="M115">
            <v>1.9050925926421769E-2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https://search-rtdc-monitor-bjffxe2xuh6vdkpspy63sjmuny.us-east-1.es.amazonaws.com/_plugin/kibana/#/discover/Steve-Slow-Train-Analysis-(2080s-and-2083s)?_g=(refreshInterval:(display:Off,section:0,value:0),time:(from:'2016-08-06 14:53:50-0600',mode:absolute,to:'2016-08-06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5" t="str">
            <v>Y</v>
          </cell>
          <cell r="X115">
            <v>0</v>
          </cell>
          <cell r="Y115">
            <v>4.6399999999999997E-2</v>
          </cell>
          <cell r="Z115">
            <v>11.0974</v>
          </cell>
          <cell r="AA115">
            <v>11.051</v>
          </cell>
          <cell r="AB115" t="e">
            <v>#N/A</v>
          </cell>
          <cell r="AC115" t="e">
            <v>#N/A</v>
          </cell>
          <cell r="AD115" t="str">
            <v>0199-06</v>
          </cell>
          <cell r="AE11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6">
          <cell r="A116" t="str">
            <v>201-06</v>
          </cell>
          <cell r="B116">
            <v>4027</v>
          </cell>
          <cell r="C116" t="str">
            <v>DE.1.0.7.0</v>
          </cell>
          <cell r="D116" t="str">
            <v>204:128272</v>
          </cell>
          <cell r="E116">
            <v>42588.721145833333</v>
          </cell>
          <cell r="F116">
            <v>42588.721782407411</v>
          </cell>
          <cell r="G116">
            <v>0</v>
          </cell>
          <cell r="H116" t="str">
            <v>204:233318</v>
          </cell>
          <cell r="I116">
            <v>42588.733159722222</v>
          </cell>
          <cell r="J116">
            <v>0</v>
          </cell>
          <cell r="K116" t="str">
            <v>4027/4028</v>
          </cell>
          <cell r="L116" t="str">
            <v>STEWART</v>
          </cell>
          <cell r="M116">
            <v>1.137731481139781E-2</v>
          </cell>
          <cell r="P116">
            <v>52.666666656732559</v>
          </cell>
          <cell r="R116" t="str">
            <v>Signaling outage at Chambers</v>
          </cell>
          <cell r="S116">
            <v>0.83333333333333337</v>
          </cell>
          <cell r="T116" t="str">
            <v>NorthBound</v>
          </cell>
          <cell r="U116">
            <v>0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https://search-rtdc-monitor-bjffxe2xuh6vdkpspy63sjmuny.us-east-1.es.amazonaws.com/_plugin/kibana/#/discover/Steve-Slow-Train-Analysis-(2080s-and-2083s)?_g=(refreshInterval:(display:Off,section:0,value:0),time:(from:'2016-08-06 16:18:27-0600',mode:absolute,to:'2016-08-06 18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Y</v>
          </cell>
          <cell r="X116">
            <v>2</v>
          </cell>
          <cell r="Y116">
            <v>12.827199999999999</v>
          </cell>
          <cell r="Z116">
            <v>23.331800000000001</v>
          </cell>
          <cell r="AA116">
            <v>10.504600000000002</v>
          </cell>
          <cell r="AB116" t="e">
            <v>#N/A</v>
          </cell>
          <cell r="AC116" t="e">
            <v>#N/A</v>
          </cell>
          <cell r="AD116" t="str">
            <v>0201-06</v>
          </cell>
          <cell r="AE116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7">
          <cell r="A117" t="str">
            <v>201-06</v>
          </cell>
          <cell r="B117">
            <v>4027</v>
          </cell>
          <cell r="C117" t="str">
            <v>DE.1.0.7.0</v>
          </cell>
          <cell r="D117" t="str">
            <v>204:471</v>
          </cell>
          <cell r="E117">
            <v>42588.672465277778</v>
          </cell>
          <cell r="F117">
            <v>42588.676585648151</v>
          </cell>
          <cell r="G117">
            <v>5</v>
          </cell>
          <cell r="H117" t="str">
            <v>204:102177</v>
          </cell>
          <cell r="I117">
            <v>42588.701782407406</v>
          </cell>
          <cell r="J117">
            <v>0</v>
          </cell>
          <cell r="K117" t="str">
            <v>4027/4028</v>
          </cell>
          <cell r="L117" t="str">
            <v>STEWART</v>
          </cell>
          <cell r="M117">
            <v>2.5196759255777579E-2</v>
          </cell>
          <cell r="T117" t="str">
            <v>NorthBound</v>
          </cell>
          <cell r="U117">
            <v>10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https://search-rtdc-monitor-bjffxe2xuh6vdkpspy63sjmuny.us-east-1.es.amazonaws.com/_plugin/kibana/#/discover/Steve-Slow-Train-Analysis-(2080s-and-2083s)?_g=(refreshInterval:(display:Off,section:0,value:0),time:(from:'2016-08-06 15:08:21-0600',mode:absolute,to:'2016-08-06 17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7" t="str">
            <v>Y</v>
          </cell>
          <cell r="X117">
            <v>0</v>
          </cell>
          <cell r="Y117">
            <v>4.7100000000000003E-2</v>
          </cell>
          <cell r="Z117">
            <v>10.217700000000001</v>
          </cell>
          <cell r="AA117">
            <v>10.1706</v>
          </cell>
          <cell r="AB117" t="e">
            <v>#N/A</v>
          </cell>
          <cell r="AC117" t="e">
            <v>#N/A</v>
          </cell>
          <cell r="AD117" t="str">
            <v>0201-06</v>
          </cell>
          <cell r="AE11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8">
          <cell r="A118" t="str">
            <v>202-06</v>
          </cell>
          <cell r="B118">
            <v>4032</v>
          </cell>
          <cell r="C118" t="str">
            <v>DE.1.0.7.0</v>
          </cell>
          <cell r="D118" t="str">
            <v>204:232985</v>
          </cell>
          <cell r="E118">
            <v>42588.715092592596</v>
          </cell>
          <cell r="F118">
            <v>42588.716006944444</v>
          </cell>
          <cell r="G118">
            <v>1</v>
          </cell>
          <cell r="H118" t="str">
            <v>204:150</v>
          </cell>
          <cell r="I118">
            <v>42588.753807870373</v>
          </cell>
          <cell r="J118">
            <v>0</v>
          </cell>
          <cell r="K118" t="str">
            <v>4031/4032</v>
          </cell>
          <cell r="L118" t="str">
            <v>WEBSTER</v>
          </cell>
          <cell r="M118">
            <v>3.7800925929332152E-2</v>
          </cell>
          <cell r="N118">
            <v>54.433333338238299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https://search-rtdc-monitor-bjffxe2xuh6vdkpspy63sjmuny.us-east-1.es.amazonaws.com/_plugin/kibana/#/discover/Steve-Slow-Train-Analysis-(2080s-and-2083s)?_g=(refreshInterval:(display:Off,section:0,value:0),time:(from:'2016-08-06 16:09:44-0600',mode:absolute,to:'2016-08-06 19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8" t="str">
            <v>N</v>
          </cell>
          <cell r="X118">
            <v>1</v>
          </cell>
          <cell r="Y118">
            <v>23.298500000000001</v>
          </cell>
          <cell r="Z118">
            <v>1.4999999999999999E-2</v>
          </cell>
          <cell r="AA118">
            <v>23.2835</v>
          </cell>
          <cell r="AB118" t="e">
            <v>#N/A</v>
          </cell>
          <cell r="AC118" t="e">
            <v>#N/A</v>
          </cell>
          <cell r="AD118" t="str">
            <v>0202-06</v>
          </cell>
          <cell r="AE118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19">
          <cell r="A119" t="str">
            <v>203-06</v>
          </cell>
          <cell r="B119">
            <v>4011</v>
          </cell>
          <cell r="C119" t="str">
            <v>DE.1.0.7.0</v>
          </cell>
          <cell r="D119" t="str">
            <v>204:522</v>
          </cell>
          <cell r="E119">
            <v>42588.684687499997</v>
          </cell>
          <cell r="F119">
            <v>42588.685960648145</v>
          </cell>
          <cell r="G119">
            <v>1</v>
          </cell>
          <cell r="H119" t="str">
            <v>204:233280</v>
          </cell>
          <cell r="I119">
            <v>42588.739259259259</v>
          </cell>
          <cell r="J119">
            <v>1</v>
          </cell>
          <cell r="K119" t="str">
            <v>4011/4012</v>
          </cell>
          <cell r="L119" t="str">
            <v>HELVIE</v>
          </cell>
          <cell r="M119">
            <v>5.3298611113859806E-2</v>
          </cell>
          <cell r="N119">
            <v>76.750000003958121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5.2200000000000003E-2</v>
          </cell>
          <cell r="Z119">
            <v>23.327999999999999</v>
          </cell>
          <cell r="AA119">
            <v>23.2758</v>
          </cell>
          <cell r="AB119" t="e">
            <v>#N/A</v>
          </cell>
          <cell r="AC119" t="e">
            <v>#N/A</v>
          </cell>
          <cell r="AD119" t="str">
            <v>0203-06</v>
          </cell>
          <cell r="AE11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20">
          <cell r="A120" t="str">
            <v>206-06</v>
          </cell>
          <cell r="B120">
            <v>4028</v>
          </cell>
          <cell r="C120" t="str">
            <v>DE.1.0.7.0</v>
          </cell>
          <cell r="D120" t="str">
            <v>204:232984</v>
          </cell>
          <cell r="E120">
            <v>42588.736701388887</v>
          </cell>
          <cell r="F120">
            <v>42588.737557870372</v>
          </cell>
          <cell r="G120">
            <v>1</v>
          </cell>
          <cell r="H120" t="str">
            <v>204:169</v>
          </cell>
          <cell r="I120">
            <v>42588.765879629631</v>
          </cell>
          <cell r="J120">
            <v>0</v>
          </cell>
          <cell r="K120" t="str">
            <v>4027/4028</v>
          </cell>
          <cell r="L120" t="str">
            <v>STEWART</v>
          </cell>
          <cell r="M120">
            <v>2.8321759258687962E-2</v>
          </cell>
          <cell r="N120">
            <v>40.783333332510665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https://search-rtdc-monitor-bjffxe2xuh6vdkpspy63sjmuny.us-east-1.es.amazonaws.com/_plugin/kibana/#/discover/Steve-Slow-Train-Analysis-(2080s-and-2083s)?_g=(refreshInterval:(display:Off,section:0,value:0),time:(from:'2016-08-06 16:40:51-0600',mode:absolute,to:'2016-08-06 19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3</v>
          </cell>
          <cell r="Y120">
            <v>23.298400000000001</v>
          </cell>
          <cell r="Z120">
            <v>1.6899999999999998E-2</v>
          </cell>
          <cell r="AA120">
            <v>23.281500000000001</v>
          </cell>
          <cell r="AB120" t="e">
            <v>#N/A</v>
          </cell>
          <cell r="AC120" t="e">
            <v>#N/A</v>
          </cell>
          <cell r="AD120" t="str">
            <v>0206-06</v>
          </cell>
          <cell r="AE120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21">
          <cell r="A121" t="str">
            <v>207-06</v>
          </cell>
          <cell r="B121">
            <v>4025</v>
          </cell>
          <cell r="C121" t="str">
            <v>DE.1.0.7.0</v>
          </cell>
          <cell r="D121" t="str">
            <v>204:517</v>
          </cell>
          <cell r="E121">
            <v>42588.70412037037</v>
          </cell>
          <cell r="F121">
            <v>42588.705462962964</v>
          </cell>
          <cell r="G121">
            <v>1</v>
          </cell>
          <cell r="H121" t="str">
            <v>204:233289</v>
          </cell>
          <cell r="I121">
            <v>42588.743368055555</v>
          </cell>
          <cell r="J121">
            <v>0</v>
          </cell>
          <cell r="K121" t="str">
            <v>4025/4026</v>
          </cell>
          <cell r="L121" t="str">
            <v>MOSES</v>
          </cell>
          <cell r="M121">
            <v>3.7905092591245193E-2</v>
          </cell>
          <cell r="N121">
            <v>54.583333331393078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https://search-rtdc-monitor-bjffxe2xuh6vdkpspy63sjmuny.us-east-1.es.amazonaws.com/_plugin/kibana/#/discover/Steve-Slow-Train-Analysis-(2080s-and-2083s)?_g=(refreshInterval:(display:Off,section:0,value:0),time:(from:'2016-08-06 15:53:56-0600',mode:absolute,to:'2016-08-06 18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1" t="str">
            <v>N</v>
          </cell>
          <cell r="X121">
            <v>1</v>
          </cell>
          <cell r="Y121">
            <v>5.1700000000000003E-2</v>
          </cell>
          <cell r="Z121">
            <v>23.328900000000001</v>
          </cell>
          <cell r="AA121">
            <v>23.277200000000001</v>
          </cell>
          <cell r="AB121" t="e">
            <v>#N/A</v>
          </cell>
          <cell r="AC121" t="e">
            <v>#N/A</v>
          </cell>
          <cell r="AD121" t="str">
            <v>0207-06</v>
          </cell>
          <cell r="AE12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22">
          <cell r="A122" t="str">
            <v>208-06</v>
          </cell>
          <cell r="B122">
            <v>4012</v>
          </cell>
          <cell r="C122" t="str">
            <v>DE.1.0.7.0</v>
          </cell>
          <cell r="D122" t="str">
            <v>204:232972</v>
          </cell>
          <cell r="E122">
            <v>42588.744652777779</v>
          </cell>
          <cell r="F122">
            <v>42588.745451388888</v>
          </cell>
          <cell r="G122">
            <v>1</v>
          </cell>
          <cell r="H122" t="str">
            <v>204:152</v>
          </cell>
          <cell r="I122">
            <v>42588.775347222225</v>
          </cell>
          <cell r="J122">
            <v>0</v>
          </cell>
          <cell r="K122" t="str">
            <v>4011/4012</v>
          </cell>
          <cell r="L122" t="str">
            <v>HELVIE</v>
          </cell>
          <cell r="M122">
            <v>2.9895833336922806E-2</v>
          </cell>
          <cell r="N122">
            <v>43.05000000516884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https://search-rtdc-monitor-bjffxe2xuh6vdkpspy63sjmuny.us-east-1.es.amazonaws.com/_plugin/kibana/#/discover/Steve-Slow-Train-Analysis-(2080s-and-2083s)?_g=(refreshInterval:(display:Off,section:0,value:0),time:(from:'2016-08-06 16:52:18-0600',mode:absolute,to:'2016-08-06 19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2" t="str">
            <v>N</v>
          </cell>
          <cell r="X122">
            <v>1</v>
          </cell>
          <cell r="Y122">
            <v>23.2972</v>
          </cell>
          <cell r="Z122">
            <v>1.52E-2</v>
          </cell>
          <cell r="AA122">
            <v>23.282</v>
          </cell>
          <cell r="AB122" t="e">
            <v>#N/A</v>
          </cell>
          <cell r="AC122" t="e">
            <v>#N/A</v>
          </cell>
          <cell r="AD122" t="str">
            <v>0208-06</v>
          </cell>
          <cell r="AE122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23">
          <cell r="A123" t="str">
            <v>210-06</v>
          </cell>
          <cell r="B123">
            <v>4026</v>
          </cell>
          <cell r="C123" t="str">
            <v>DE.1.0.7.0</v>
          </cell>
          <cell r="D123" t="str">
            <v>204:232969</v>
          </cell>
          <cell r="E123">
            <v>42588.753252314818</v>
          </cell>
          <cell r="F123">
            <v>42588.754884259259</v>
          </cell>
          <cell r="G123">
            <v>2</v>
          </cell>
          <cell r="H123" t="str">
            <v>204:158</v>
          </cell>
          <cell r="I123">
            <v>42588.784942129627</v>
          </cell>
          <cell r="J123">
            <v>1</v>
          </cell>
          <cell r="K123" t="str">
            <v>4025/4026</v>
          </cell>
          <cell r="L123" t="str">
            <v>MOSES</v>
          </cell>
          <cell r="M123">
            <v>3.0057870368182193E-2</v>
          </cell>
          <cell r="N123">
            <v>43.283333330182359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3" t="str">
            <v>N</v>
          </cell>
          <cell r="X123">
            <v>2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0210-06</v>
          </cell>
          <cell r="AE12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24">
          <cell r="A124" t="str">
            <v>211-06</v>
          </cell>
          <cell r="B124">
            <v>4009</v>
          </cell>
          <cell r="C124" t="str">
            <v>DE.1.0.7.0</v>
          </cell>
          <cell r="D124" t="str">
            <v>204:529</v>
          </cell>
          <cell r="E124">
            <v>42588.728634259256</v>
          </cell>
          <cell r="F124">
            <v>42588.729953703703</v>
          </cell>
          <cell r="G124">
            <v>1</v>
          </cell>
          <cell r="H124" t="str">
            <v>204:233331</v>
          </cell>
          <cell r="I124">
            <v>42588.754618055558</v>
          </cell>
          <cell r="J124">
            <v>0</v>
          </cell>
          <cell r="K124" t="str">
            <v>4009/4010</v>
          </cell>
          <cell r="L124" t="str">
            <v>NEWELL</v>
          </cell>
          <cell r="M124">
            <v>2.4664351854880806E-2</v>
          </cell>
          <cell r="N124">
            <v>35.516666671028361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https://search-rtdc-monitor-bjffxe2xuh6vdkpspy63sjmuny.us-east-1.es.amazonaws.com/_plugin/kibana/#/discover/Steve-Slow-Train-Analysis-(2080s-and-2083s)?_g=(refreshInterval:(display:Off,section:0,value:0),time:(from:'2016-08-06 16:29:14-0600',mode:absolute,to:'2016-08-06 19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5.2900000000000003E-2</v>
          </cell>
          <cell r="Z124">
            <v>23.333100000000002</v>
          </cell>
          <cell r="AA124">
            <v>23.280200000000001</v>
          </cell>
          <cell r="AB124" t="e">
            <v>#N/A</v>
          </cell>
          <cell r="AC124" t="e">
            <v>#N/A</v>
          </cell>
          <cell r="AD124" t="str">
            <v>0211-06</v>
          </cell>
          <cell r="AE12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25">
          <cell r="A125" t="str">
            <v>212-06</v>
          </cell>
          <cell r="B125">
            <v>4010</v>
          </cell>
          <cell r="C125" t="str">
            <v>DE.1.0.7.0</v>
          </cell>
          <cell r="D125" t="str">
            <v>204:233013</v>
          </cell>
          <cell r="E125">
            <v>42588.761574074073</v>
          </cell>
          <cell r="F125">
            <v>42588.762696759259</v>
          </cell>
          <cell r="G125">
            <v>1</v>
          </cell>
          <cell r="H125" t="str">
            <v>204:154</v>
          </cell>
          <cell r="I125">
            <v>42588.797256944446</v>
          </cell>
          <cell r="J125">
            <v>0</v>
          </cell>
          <cell r="K125" t="str">
            <v>4009/4010</v>
          </cell>
          <cell r="L125" t="str">
            <v>NEWELL</v>
          </cell>
          <cell r="M125">
            <v>3.4560185187729076E-2</v>
          </cell>
          <cell r="N125">
            <v>49.766666670329869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https://search-rtdc-monitor-bjffxe2xuh6vdkpspy63sjmuny.us-east-1.es.amazonaws.com/_plugin/kibana/#/discover/Steve-Slow-Train-Analysis-(2080s-and-2083s)?_g=(refreshInterval:(display:Off,section:0,value:0),time:(from:'2016-08-06 17:16:40-0600',mode:absolute,to:'2016-08-06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23.301300000000001</v>
          </cell>
          <cell r="Z125">
            <v>1.54E-2</v>
          </cell>
          <cell r="AA125">
            <v>23.285900000000002</v>
          </cell>
          <cell r="AB125" t="e">
            <v>#N/A</v>
          </cell>
          <cell r="AC125" t="e">
            <v>#N/A</v>
          </cell>
          <cell r="AD125" t="str">
            <v>0212-06</v>
          </cell>
          <cell r="AE12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26">
          <cell r="A126" t="str">
            <v>213-06</v>
          </cell>
          <cell r="B126">
            <v>4042</v>
          </cell>
          <cell r="C126" t="str">
            <v>DE.1.0.7.0</v>
          </cell>
          <cell r="D126" t="str">
            <v>204:451</v>
          </cell>
          <cell r="E126">
            <v>42588.736168981479</v>
          </cell>
          <cell r="F126">
            <v>42588.737951388888</v>
          </cell>
          <cell r="G126">
            <v>2</v>
          </cell>
          <cell r="H126" t="str">
            <v>204:233376</v>
          </cell>
          <cell r="I126">
            <v>42588.765393518515</v>
          </cell>
          <cell r="J126">
            <v>0</v>
          </cell>
          <cell r="K126" t="str">
            <v>4041/4042</v>
          </cell>
          <cell r="L126" t="str">
            <v>SHOOK</v>
          </cell>
          <cell r="M126">
            <v>2.7442129627161194E-2</v>
          </cell>
          <cell r="N126">
            <v>39.516666663112119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https://search-rtdc-monitor-bjffxe2xuh6vdkpspy63sjmuny.us-east-1.es.amazonaws.com/_plugin/kibana/#/discover/Steve-Slow-Train-Analysis-(2080s-and-2083s)?_g=(refreshInterval:(display:Off,section:0,value:0),time:(from:'2016-08-06 16:40:05-0600',mode:absolute,to:'2016-08-06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6" t="str">
            <v>N</v>
          </cell>
          <cell r="X126">
            <v>1</v>
          </cell>
          <cell r="Y126">
            <v>4.5100000000000001E-2</v>
          </cell>
          <cell r="Z126">
            <v>23.337599999999998</v>
          </cell>
          <cell r="AA126">
            <v>23.292499999999997</v>
          </cell>
          <cell r="AB126" t="e">
            <v>#N/A</v>
          </cell>
          <cell r="AC126" t="e">
            <v>#N/A</v>
          </cell>
          <cell r="AD126" t="str">
            <v>0213-06</v>
          </cell>
          <cell r="AE12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27">
          <cell r="A127" t="str">
            <v>214-06</v>
          </cell>
          <cell r="B127">
            <v>4041</v>
          </cell>
          <cell r="C127" t="str">
            <v>DE.1.0.7.0</v>
          </cell>
          <cell r="D127" t="str">
            <v>204:233049</v>
          </cell>
          <cell r="E127">
            <v>42588.7731712963</v>
          </cell>
          <cell r="F127">
            <v>42588.774363425924</v>
          </cell>
          <cell r="G127">
            <v>1</v>
          </cell>
          <cell r="H127" t="str">
            <v>204:139</v>
          </cell>
          <cell r="I127">
            <v>42588.805543981478</v>
          </cell>
          <cell r="J127">
            <v>0</v>
          </cell>
          <cell r="K127" t="str">
            <v>4041/4042</v>
          </cell>
          <cell r="L127" t="str">
            <v>SHOOK</v>
          </cell>
          <cell r="M127">
            <v>3.1180555553874001E-2</v>
          </cell>
          <cell r="N127">
            <v>44.899999997578561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https://search-rtdc-monitor-bjffxe2xuh6vdkpspy63sjmuny.us-east-1.es.amazonaws.com/_plugin/kibana/#/discover/Steve-Slow-Train-Analysis-(2080s-and-2083s)?_g=(refreshInterval:(display:Off,section:0,value:0),time:(from:'2016-08-06 17:33:22-0600',mode:absolute,to:'2016-08-06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7" t="str">
            <v>N</v>
          </cell>
          <cell r="X127">
            <v>1</v>
          </cell>
          <cell r="Y127">
            <v>23.3049</v>
          </cell>
          <cell r="Z127">
            <v>1.3899999999999999E-2</v>
          </cell>
          <cell r="AA127">
            <v>23.291</v>
          </cell>
          <cell r="AB127" t="e">
            <v>#N/A</v>
          </cell>
          <cell r="AC127" t="e">
            <v>#N/A</v>
          </cell>
          <cell r="AD127" t="str">
            <v>0214-06</v>
          </cell>
          <cell r="AE12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128">
          <cell r="A128" t="str">
            <v>215-06</v>
          </cell>
          <cell r="B128">
            <v>4018</v>
          </cell>
          <cell r="C128" t="str">
            <v>DE.1.0.7.0</v>
          </cell>
          <cell r="D128" t="str">
            <v>204:473</v>
          </cell>
          <cell r="E128">
            <v>42588.745462962965</v>
          </cell>
          <cell r="F128">
            <v>42588.746562499997</v>
          </cell>
          <cell r="G128">
            <v>1</v>
          </cell>
          <cell r="H128" t="str">
            <v>204:233293</v>
          </cell>
          <cell r="I128">
            <v>42588.774861111109</v>
          </cell>
          <cell r="J128">
            <v>0</v>
          </cell>
          <cell r="K128" t="str">
            <v>4017/4018</v>
          </cell>
          <cell r="L128" t="str">
            <v>DE LA ROSA</v>
          </cell>
          <cell r="M128">
            <v>2.8298611112404615E-2</v>
          </cell>
          <cell r="N128">
            <v>40.750000001862645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https://search-rtdc-monitor-bjffxe2xuh6vdkpspy63sjmuny.us-east-1.es.amazonaws.com/_plugin/kibana/#/discover/Steve-Slow-Train-Analysis-(2080s-and-2083s)?_g=(refreshInterval:(display:Off,section:0,value:0),time:(from:'2016-08-06 16:53:28-0600',mode:absolute,to:'2016-08-06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8" t="str">
            <v>N</v>
          </cell>
          <cell r="X128">
            <v>1</v>
          </cell>
          <cell r="Y128">
            <v>4.7300000000000002E-2</v>
          </cell>
          <cell r="Z128">
            <v>23.3293</v>
          </cell>
          <cell r="AA128">
            <v>23.282</v>
          </cell>
          <cell r="AB128" t="e">
            <v>#N/A</v>
          </cell>
          <cell r="AC128" t="e">
            <v>#N/A</v>
          </cell>
          <cell r="AD128" t="str">
            <v>0215-06</v>
          </cell>
          <cell r="AE12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29">
          <cell r="A129" t="str">
            <v>216-06</v>
          </cell>
          <cell r="B129">
            <v>4017</v>
          </cell>
          <cell r="C129" t="str">
            <v>DE.1.0.7.0</v>
          </cell>
          <cell r="D129" t="str">
            <v>204:232976</v>
          </cell>
          <cell r="E129">
            <v>42588.784456018519</v>
          </cell>
          <cell r="F129">
            <v>42588.785601851851</v>
          </cell>
          <cell r="G129">
            <v>1</v>
          </cell>
          <cell r="H129" t="str">
            <v>204:909</v>
          </cell>
          <cell r="I129">
            <v>42588.815960648149</v>
          </cell>
          <cell r="J129">
            <v>0</v>
          </cell>
          <cell r="K129" t="str">
            <v>4017/4018</v>
          </cell>
          <cell r="L129" t="str">
            <v>DE LA ROSA</v>
          </cell>
          <cell r="M129">
            <v>3.0358796298969537E-2</v>
          </cell>
          <cell r="N129">
            <v>43.716666670516133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https://search-rtdc-monitor-bjffxe2xuh6vdkpspy63sjmuny.us-east-1.es.amazonaws.com/_plugin/kibana/#/discover/Steve-Slow-Train-Analysis-(2080s-and-2083s)?_g=(refreshInterval:(display:Off,section:0,value:0),time:(from:'2016-08-06 17:49:37-0600',mode:absolute,to:'2016-08-06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9" t="str">
            <v>N</v>
          </cell>
          <cell r="X129">
            <v>1</v>
          </cell>
          <cell r="Y129">
            <v>23.297599999999999</v>
          </cell>
          <cell r="Z129">
            <v>9.0899999999999995E-2</v>
          </cell>
          <cell r="AA129">
            <v>23.206699999999998</v>
          </cell>
          <cell r="AB129" t="e">
            <v>#N/A</v>
          </cell>
          <cell r="AC129" t="e">
            <v>#N/A</v>
          </cell>
          <cell r="AD129" t="str">
            <v>0216-06</v>
          </cell>
          <cell r="AE12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30">
          <cell r="A130" t="str">
            <v>217-06</v>
          </cell>
          <cell r="B130">
            <v>4014</v>
          </cell>
          <cell r="C130" t="str">
            <v>DE.1.0.7.0</v>
          </cell>
          <cell r="D130" t="str">
            <v>204:469</v>
          </cell>
          <cell r="E130">
            <v>42588.759583333333</v>
          </cell>
          <cell r="F130">
            <v>42588.76021990741</v>
          </cell>
          <cell r="G130">
            <v>0</v>
          </cell>
          <cell r="H130" t="str">
            <v>204:233293</v>
          </cell>
          <cell r="I130">
            <v>42588.786446759259</v>
          </cell>
          <cell r="J130">
            <v>0</v>
          </cell>
          <cell r="K130" t="str">
            <v>4013/4014</v>
          </cell>
          <cell r="L130" t="str">
            <v>CHANDLER</v>
          </cell>
          <cell r="M130">
            <v>2.622685184906004E-2</v>
          </cell>
          <cell r="N130">
            <v>37.766666662646458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https://search-rtdc-monitor-bjffxe2xuh6vdkpspy63sjmuny.us-east-1.es.amazonaws.com/_plugin/kibana/#/discover/Steve-Slow-Train-Analysis-(2080s-and-2083s)?_g=(refreshInterval:(display:Off,section:0,value:0),time:(from:'2016-08-06 17:13:48-0600',mode:absolute,to:'2016-08-06 19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4.6899999999999997E-2</v>
          </cell>
          <cell r="Z130">
            <v>23.3293</v>
          </cell>
          <cell r="AA130">
            <v>23.282399999999999</v>
          </cell>
          <cell r="AB130" t="e">
            <v>#N/A</v>
          </cell>
          <cell r="AC130" t="e">
            <v>#N/A</v>
          </cell>
          <cell r="AD130" t="str">
            <v>0217-06</v>
          </cell>
          <cell r="AE13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1">
          <cell r="A131" t="str">
            <v>218-06</v>
          </cell>
          <cell r="B131">
            <v>4013</v>
          </cell>
          <cell r="C131" t="str">
            <v>DE.1.0.7.0</v>
          </cell>
          <cell r="D131" t="str">
            <v>204:232969</v>
          </cell>
          <cell r="E131">
            <v>42588.794050925928</v>
          </cell>
          <cell r="F131">
            <v>42588.796701388892</v>
          </cell>
          <cell r="G131">
            <v>3</v>
          </cell>
          <cell r="H131" t="str">
            <v>204:145</v>
          </cell>
          <cell r="I131">
            <v>42588.826851851853</v>
          </cell>
          <cell r="J131">
            <v>0</v>
          </cell>
          <cell r="K131" t="str">
            <v>4013/4014</v>
          </cell>
          <cell r="L131" t="str">
            <v>CHANDLER</v>
          </cell>
          <cell r="M131">
            <v>3.015046296059154E-2</v>
          </cell>
          <cell r="N131">
            <v>43.416666663251817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https://search-rtdc-monitor-bjffxe2xuh6vdkpspy63sjmuny.us-east-1.es.amazonaws.com/_plugin/kibana/#/discover/Steve-Slow-Train-Analysis-(2080s-and-2083s)?_g=(refreshInterval:(display:Off,section:0,value:0),time:(from:'2016-08-06 18:03:26-0600',mode:absolute,to:'2016-08-06 20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1" t="str">
            <v>N</v>
          </cell>
          <cell r="X131">
            <v>1</v>
          </cell>
          <cell r="Y131">
            <v>23.296900000000001</v>
          </cell>
          <cell r="Z131">
            <v>1.4500000000000001E-2</v>
          </cell>
          <cell r="AA131">
            <v>23.282399999999999</v>
          </cell>
          <cell r="AB131" t="e">
            <v>#N/A</v>
          </cell>
          <cell r="AC131" t="e">
            <v>#N/A</v>
          </cell>
          <cell r="AD131" t="str">
            <v>0218-06</v>
          </cell>
          <cell r="AE13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32">
          <cell r="A132" t="str">
            <v>219-06</v>
          </cell>
          <cell r="B132">
            <v>4031</v>
          </cell>
          <cell r="C132" t="str">
            <v>DE.1.0.7.0</v>
          </cell>
          <cell r="D132" t="str">
            <v>204:457</v>
          </cell>
          <cell r="E132">
            <v>42588.762928240743</v>
          </cell>
          <cell r="F132">
            <v>42588.7658912037</v>
          </cell>
          <cell r="G132">
            <v>4</v>
          </cell>
          <cell r="H132" t="str">
            <v>204:233293</v>
          </cell>
          <cell r="I132">
            <v>42588.796643518515</v>
          </cell>
          <cell r="J132">
            <v>0</v>
          </cell>
          <cell r="K132" t="str">
            <v>4031/4032</v>
          </cell>
          <cell r="L132" t="str">
            <v>STAMBAUGH</v>
          </cell>
          <cell r="M132">
            <v>3.0752314814890269E-2</v>
          </cell>
          <cell r="N132">
            <v>44.283333333441988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https://search-rtdc-monitor-bjffxe2xuh6vdkpspy63sjmuny.us-east-1.es.amazonaws.com/_plugin/kibana/#/discover/Steve-Slow-Train-Analysis-(2080s-and-2083s)?_g=(refreshInterval:(display:Off,section:0,value:0),time:(from:'2016-08-06 17:18:37-0600',mode:absolute,to:'2016-08-06 20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4.5699999999999998E-2</v>
          </cell>
          <cell r="Z132">
            <v>23.3293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0219-06</v>
          </cell>
          <cell r="AE132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33">
          <cell r="A133" t="str">
            <v>220-06</v>
          </cell>
          <cell r="B133">
            <v>4032</v>
          </cell>
          <cell r="C133" t="str">
            <v>DE.1.0.7.0</v>
          </cell>
          <cell r="D133" t="str">
            <v>204:232991</v>
          </cell>
          <cell r="E133">
            <v>42588.808379629627</v>
          </cell>
          <cell r="F133">
            <v>42588.809502314813</v>
          </cell>
          <cell r="G133">
            <v>1</v>
          </cell>
          <cell r="H133" t="str">
            <v>204:154</v>
          </cell>
          <cell r="I133">
            <v>42588.83734953704</v>
          </cell>
          <cell r="J133">
            <v>0</v>
          </cell>
          <cell r="K133" t="str">
            <v>4031/4032</v>
          </cell>
          <cell r="L133" t="str">
            <v>STAMBAUGH</v>
          </cell>
          <cell r="M133">
            <v>2.7847222227137536E-2</v>
          </cell>
          <cell r="N133">
            <v>40.100000007078052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https://search-rtdc-monitor-bjffxe2xuh6vdkpspy63sjmuny.us-east-1.es.amazonaws.com/_plugin/kibana/#/discover/Steve-Slow-Train-Analysis-(2080s-and-2083s)?_g=(refreshInterval:(display:Off,section:0,value:0),time:(from:'2016-08-06 18:24:04-0600',mode:absolute,to:'2016-08-06 21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23.299099999999999</v>
          </cell>
          <cell r="Z133">
            <v>1.54E-2</v>
          </cell>
          <cell r="AA133">
            <v>23.2837</v>
          </cell>
          <cell r="AB133" t="e">
            <v>#N/A</v>
          </cell>
          <cell r="AC133" t="e">
            <v>#N/A</v>
          </cell>
          <cell r="AD133" t="str">
            <v>0220-06</v>
          </cell>
          <cell r="AE133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34">
          <cell r="A134" t="str">
            <v>221-06</v>
          </cell>
          <cell r="B134">
            <v>4011</v>
          </cell>
          <cell r="C134" t="str">
            <v>DE.1.0.7.0</v>
          </cell>
          <cell r="D134" t="str">
            <v>204:451</v>
          </cell>
          <cell r="E134">
            <v>42588.780555555553</v>
          </cell>
          <cell r="F134">
            <v>42588.782094907408</v>
          </cell>
          <cell r="G134">
            <v>2</v>
          </cell>
          <cell r="H134" t="str">
            <v>204:233289</v>
          </cell>
          <cell r="I134">
            <v>42588.817523148151</v>
          </cell>
          <cell r="J134">
            <v>0</v>
          </cell>
          <cell r="K134" t="str">
            <v>4011/4012</v>
          </cell>
          <cell r="L134" t="str">
            <v>ARNOLD</v>
          </cell>
          <cell r="M134">
            <v>3.5428240742476191E-2</v>
          </cell>
          <cell r="N134">
            <v>51.016666669165716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https://search-rtdc-monitor-bjffxe2xuh6vdkpspy63sjmuny.us-east-1.es.amazonaws.com/_plugin/kibana/#/discover/Steve-Slow-Train-Analysis-(2080s-and-2083s)?_g=(refreshInterval:(display:Off,section:0,value:0),time:(from:'2016-08-06 17:44:00-0600',mode:absolute,to:'2016-08-06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4" t="str">
            <v>N</v>
          </cell>
          <cell r="X134">
            <v>1</v>
          </cell>
          <cell r="Y134">
            <v>4.5100000000000001E-2</v>
          </cell>
          <cell r="Z134">
            <v>23.328900000000001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0221-06</v>
          </cell>
          <cell r="AE13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35">
          <cell r="A135" t="str">
            <v>222-06</v>
          </cell>
          <cell r="B135">
            <v>4012</v>
          </cell>
          <cell r="C135" t="str">
            <v>DE.1.0.7.0</v>
          </cell>
          <cell r="D135" t="str">
            <v>204:232977</v>
          </cell>
          <cell r="E135">
            <v>42588.824548611112</v>
          </cell>
          <cell r="F135">
            <v>42588.825648148151</v>
          </cell>
          <cell r="G135">
            <v>1</v>
          </cell>
          <cell r="H135" t="str">
            <v>204:139</v>
          </cell>
          <cell r="I135">
            <v>42588.857951388891</v>
          </cell>
          <cell r="J135">
            <v>0</v>
          </cell>
          <cell r="K135" t="str">
            <v>4011/4012</v>
          </cell>
          <cell r="L135" t="str">
            <v>ARNOLD</v>
          </cell>
          <cell r="M135">
            <v>3.2303240739565808E-2</v>
          </cell>
          <cell r="N135">
            <v>46.516666664974764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https://search-rtdc-monitor-bjffxe2xuh6vdkpspy63sjmuny.us-east-1.es.amazonaws.com/_plugin/kibana/#/discover/Steve-Slow-Train-Analysis-(2080s-and-2083s)?_g=(refreshInterval:(display:Off,section:0,value:0),time:(from:'2016-08-06 18:47:21-0600',mode:absolute,to:'2016-08-06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5" t="str">
            <v>N</v>
          </cell>
          <cell r="X135">
            <v>1</v>
          </cell>
          <cell r="Y135">
            <v>23.297699999999999</v>
          </cell>
          <cell r="Z135">
            <v>1.3899999999999999E-2</v>
          </cell>
          <cell r="AA135">
            <v>23.283799999999999</v>
          </cell>
          <cell r="AB135" t="e">
            <v>#N/A</v>
          </cell>
          <cell r="AC135" t="e">
            <v>#N/A</v>
          </cell>
          <cell r="AD135" t="str">
            <v>0222-06</v>
          </cell>
          <cell r="AE135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36">
          <cell r="A136" t="str">
            <v>223-06</v>
          </cell>
          <cell r="B136">
            <v>4009</v>
          </cell>
          <cell r="C136" t="str">
            <v>DE.1.0.7.0</v>
          </cell>
          <cell r="D136" t="str">
            <v>204:457</v>
          </cell>
          <cell r="E136">
            <v>42588.800173611111</v>
          </cell>
          <cell r="F136">
            <v>42588.80232638889</v>
          </cell>
          <cell r="G136">
            <v>3</v>
          </cell>
          <cell r="H136" t="str">
            <v>204:233344</v>
          </cell>
          <cell r="I136">
            <v>42588.837094907409</v>
          </cell>
          <cell r="J136">
            <v>0</v>
          </cell>
          <cell r="K136" t="str">
            <v>4009/4010</v>
          </cell>
          <cell r="L136" t="str">
            <v>NEWELL</v>
          </cell>
          <cell r="M136">
            <v>3.4768518518831115E-2</v>
          </cell>
          <cell r="N136">
            <v>50.066666667116806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https://search-rtdc-monitor-bjffxe2xuh6vdkpspy63sjmuny.us-east-1.es.amazonaws.com/_plugin/kibana/#/discover/Steve-Slow-Train-Analysis-(2080s-and-2083s)?_g=(refreshInterval:(display:Off,section:0,value:0),time:(from:'2016-08-06 18:12:15-0600',mode:absolute,to:'2016-08-06 21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N</v>
          </cell>
          <cell r="X136">
            <v>1</v>
          </cell>
          <cell r="Y136">
            <v>4.5699999999999998E-2</v>
          </cell>
          <cell r="Z136">
            <v>23.334399999999999</v>
          </cell>
          <cell r="AA136">
            <v>23.288699999999999</v>
          </cell>
          <cell r="AB136" t="e">
            <v>#N/A</v>
          </cell>
          <cell r="AC136" t="e">
            <v>#N/A</v>
          </cell>
          <cell r="AD136" t="str">
            <v>0223-06</v>
          </cell>
          <cell r="AE1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37">
          <cell r="A137" t="str">
            <v>224-06</v>
          </cell>
          <cell r="B137">
            <v>4010</v>
          </cell>
          <cell r="C137" t="str">
            <v>DE.1.0.7.0</v>
          </cell>
          <cell r="D137" t="str">
            <v>204:233045</v>
          </cell>
          <cell r="E137">
            <v>42588.84175925926</v>
          </cell>
          <cell r="F137">
            <v>42588.842627314814</v>
          </cell>
          <cell r="G137">
            <v>1</v>
          </cell>
          <cell r="H137" t="str">
            <v>204:112</v>
          </cell>
          <cell r="I137">
            <v>42588.878391203703</v>
          </cell>
          <cell r="J137">
            <v>0</v>
          </cell>
          <cell r="K137" t="str">
            <v>4009/4010</v>
          </cell>
          <cell r="L137" t="str">
            <v>NEWELL</v>
          </cell>
          <cell r="M137">
            <v>3.5763888889050577E-2</v>
          </cell>
          <cell r="N137">
            <v>51.500000000232831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https://search-rtdc-monitor-bjffxe2xuh6vdkpspy63sjmuny.us-east-1.es.amazonaws.com/_plugin/kibana/#/discover/Steve-Slow-Train-Analysis-(2080s-and-2083s)?_g=(refreshInterval:(display:Off,section:0,value:0),time:(from:'2016-08-06 19:12:08-0600',mode:absolute,to:'2016-08-06 22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7" t="str">
            <v>N</v>
          </cell>
          <cell r="X137">
            <v>1</v>
          </cell>
          <cell r="Y137">
            <v>23.304500000000001</v>
          </cell>
          <cell r="Z137">
            <v>1.12E-2</v>
          </cell>
          <cell r="AA137">
            <v>23.293300000000002</v>
          </cell>
          <cell r="AB137" t="e">
            <v>#N/A</v>
          </cell>
          <cell r="AC137" t="e">
            <v>#N/A</v>
          </cell>
          <cell r="AD137" t="str">
            <v>0224-06</v>
          </cell>
          <cell r="AE1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38">
          <cell r="A138" t="str">
            <v>225-06</v>
          </cell>
          <cell r="B138">
            <v>4014</v>
          </cell>
          <cell r="C138" t="str">
            <v>DE.1.0.7.0</v>
          </cell>
          <cell r="D138" t="str">
            <v>204:457</v>
          </cell>
          <cell r="E138">
            <v>42588.833194444444</v>
          </cell>
          <cell r="F138">
            <v>42588.834189814814</v>
          </cell>
          <cell r="G138">
            <v>1</v>
          </cell>
          <cell r="H138" t="str">
            <v>204:233289</v>
          </cell>
          <cell r="I138">
            <v>42588.858611111114</v>
          </cell>
          <cell r="J138">
            <v>0</v>
          </cell>
          <cell r="K138" t="str">
            <v>4013/4014</v>
          </cell>
          <cell r="L138" t="str">
            <v>CHANDLER</v>
          </cell>
          <cell r="M138">
            <v>2.4421296300715767E-2</v>
          </cell>
          <cell r="N138">
            <v>35.166666673030704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https://search-rtdc-monitor-bjffxe2xuh6vdkpspy63sjmuny.us-east-1.es.amazonaws.com/_plugin/kibana/#/discover/Steve-Slow-Train-Analysis-(2080s-and-2083s)?_g=(refreshInterval:(display:Off,section:0,value:0),time:(from:'2016-08-06 18:59:48-0600',mode:absolute,to:'2016-08-06 21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23.328900000000001</v>
          </cell>
          <cell r="AA138">
            <v>23.283200000000001</v>
          </cell>
          <cell r="AB138" t="e">
            <v>#N/A</v>
          </cell>
          <cell r="AC138" t="e">
            <v>#N/A</v>
          </cell>
          <cell r="AD138" t="str">
            <v>0225-06</v>
          </cell>
          <cell r="AE13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9">
          <cell r="A139" t="str">
            <v>226-06</v>
          </cell>
          <cell r="B139">
            <v>4013</v>
          </cell>
          <cell r="C139" t="str">
            <v>DE.1.0.7.0</v>
          </cell>
          <cell r="D139" t="str">
            <v>204:232967</v>
          </cell>
          <cell r="E139">
            <v>42588.871886574074</v>
          </cell>
          <cell r="F139">
            <v>42588.872789351852</v>
          </cell>
          <cell r="G139">
            <v>1</v>
          </cell>
          <cell r="H139" t="str">
            <v>204:152</v>
          </cell>
          <cell r="I139">
            <v>42588.89984953704</v>
          </cell>
          <cell r="J139">
            <v>0</v>
          </cell>
          <cell r="K139" t="str">
            <v>4013/4014</v>
          </cell>
          <cell r="L139" t="str">
            <v>CHANDLER</v>
          </cell>
          <cell r="M139">
            <v>2.7060185188020114E-2</v>
          </cell>
          <cell r="N139">
            <v>38.966666670748964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https://search-rtdc-monitor-bjffxe2xuh6vdkpspy63sjmuny.us-east-1.es.amazonaws.com/_plugin/kibana/#/discover/Steve-Slow-Train-Analysis-(2080s-and-2083s)?_g=(refreshInterval:(display:Off,section:0,value:0),time:(from:'2016-08-06 19:55:31-0600',mode:absolute,to:'2016-08-06 22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9" t="str">
            <v>N</v>
          </cell>
          <cell r="X139">
            <v>1</v>
          </cell>
          <cell r="Y139">
            <v>23.296700000000001</v>
          </cell>
          <cell r="Z139">
            <v>1.52E-2</v>
          </cell>
          <cell r="AA139">
            <v>23.281500000000001</v>
          </cell>
          <cell r="AB139" t="e">
            <v>#N/A</v>
          </cell>
          <cell r="AC139" t="e">
            <v>#N/A</v>
          </cell>
          <cell r="AD139" t="str">
            <v>0226-06</v>
          </cell>
          <cell r="AE13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0">
          <cell r="A140" t="str">
            <v>227-06</v>
          </cell>
          <cell r="B140">
            <v>4031</v>
          </cell>
          <cell r="C140" t="str">
            <v>DE.1.0.7.0</v>
          </cell>
          <cell r="D140" t="str">
            <v>204:458</v>
          </cell>
          <cell r="E140">
            <v>42588.851284722223</v>
          </cell>
          <cell r="F140">
            <v>42588.85229166667</v>
          </cell>
          <cell r="G140">
            <v>1</v>
          </cell>
          <cell r="H140" t="str">
            <v>204:233317</v>
          </cell>
          <cell r="I140">
            <v>42588.879618055558</v>
          </cell>
          <cell r="J140">
            <v>0</v>
          </cell>
          <cell r="K140" t="str">
            <v>4031/4032</v>
          </cell>
          <cell r="L140" t="str">
            <v>STAMBAUGH</v>
          </cell>
          <cell r="M140">
            <v>2.73263888884685E-2</v>
          </cell>
          <cell r="N140">
            <v>39.34999999939464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https://search-rtdc-monitor-bjffxe2xuh6vdkpspy63sjmuny.us-east-1.es.amazonaws.com/_plugin/kibana/#/discover/Steve-Slow-Train-Analysis-(2080s-and-2083s)?_g=(refreshInterval:(display:Off,section:0,value:0),time:(from:'2016-08-06 19:25:51-0600',mode:absolute,to:'2016-08-06 22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4.58E-2</v>
          </cell>
          <cell r="Z140">
            <v>23.331700000000001</v>
          </cell>
          <cell r="AA140">
            <v>23.285900000000002</v>
          </cell>
          <cell r="AB140" t="e">
            <v>#N/A</v>
          </cell>
          <cell r="AC140" t="e">
            <v>#N/A</v>
          </cell>
          <cell r="AD140" t="str">
            <v>0227-06</v>
          </cell>
          <cell r="AE14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41">
          <cell r="A141" t="str">
            <v>228-06</v>
          </cell>
          <cell r="B141">
            <v>4032</v>
          </cell>
          <cell r="C141" t="str">
            <v>DE.1.0.7.0</v>
          </cell>
          <cell r="D141" t="str">
            <v>204:232996</v>
          </cell>
          <cell r="E141">
            <v>42588.890115740738</v>
          </cell>
          <cell r="F141">
            <v>42588.890787037039</v>
          </cell>
          <cell r="G141">
            <v>0</v>
          </cell>
          <cell r="H141" t="str">
            <v>204:138</v>
          </cell>
          <cell r="I141">
            <v>42588.920983796299</v>
          </cell>
          <cell r="J141">
            <v>0</v>
          </cell>
          <cell r="K141" t="str">
            <v>4031/4032</v>
          </cell>
          <cell r="L141" t="str">
            <v>STAMBAUGH</v>
          </cell>
          <cell r="M141">
            <v>3.0196759260434192E-2</v>
          </cell>
          <cell r="N141">
            <v>43.483333335025236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https://search-rtdc-monitor-bjffxe2xuh6vdkpspy63sjmuny.us-east-1.es.amazonaws.com/_plugin/kibana/#/discover/Steve-Slow-Train-Analysis-(2080s-and-2083s)?_g=(refreshInterval:(display:Off,section:0,value:0),time:(from:'2016-08-06 20:21:46-0600',mode:absolute,to:'2016-08-06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23.299600000000002</v>
          </cell>
          <cell r="Z141">
            <v>1.38E-2</v>
          </cell>
          <cell r="AA141">
            <v>23.285800000000002</v>
          </cell>
          <cell r="AB141" t="e">
            <v>#N/A</v>
          </cell>
          <cell r="AC141" t="e">
            <v>#N/A</v>
          </cell>
          <cell r="AD141" t="str">
            <v>0228-06</v>
          </cell>
          <cell r="AE14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42">
          <cell r="A142" t="str">
            <v>229-06</v>
          </cell>
          <cell r="B142">
            <v>4011</v>
          </cell>
          <cell r="C142" t="str">
            <v>DE.1.0.7.0</v>
          </cell>
          <cell r="D142" t="str">
            <v>204:449</v>
          </cell>
          <cell r="E142">
            <v>42588.866006944445</v>
          </cell>
          <cell r="F142">
            <v>42588.867569444446</v>
          </cell>
          <cell r="G142">
            <v>2</v>
          </cell>
          <cell r="H142" t="str">
            <v>204:233278</v>
          </cell>
          <cell r="I142">
            <v>42588.901979166665</v>
          </cell>
          <cell r="J142">
            <v>0</v>
          </cell>
          <cell r="K142" t="str">
            <v>4011/4012</v>
          </cell>
          <cell r="L142" t="str">
            <v>DE LA ROSA</v>
          </cell>
          <cell r="M142">
            <v>3.4409722218697425E-2</v>
          </cell>
          <cell r="N142">
            <v>49.549999994924292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https://search-rtdc-monitor-bjffxe2xuh6vdkpspy63sjmuny.us-east-1.es.amazonaws.com/_plugin/kibana/#/discover/Steve-Slow-Train-Analysis-(2080s-and-2083s)?_g=(refreshInterval:(display:Off,section:0,value:0),time:(from:'2016-08-06 19:47:03-0600',mode:absolute,to:'2016-08-06 22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2" t="str">
            <v>N</v>
          </cell>
          <cell r="X142">
            <v>1</v>
          </cell>
          <cell r="Y142">
            <v>4.4900000000000002E-2</v>
          </cell>
          <cell r="Z142">
            <v>23.3278</v>
          </cell>
          <cell r="AA142">
            <v>23.282900000000001</v>
          </cell>
          <cell r="AB142" t="e">
            <v>#N/A</v>
          </cell>
          <cell r="AC142" t="e">
            <v>#N/A</v>
          </cell>
          <cell r="AD142" t="str">
            <v>0229-06</v>
          </cell>
          <cell r="AE14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43">
          <cell r="A143" t="str">
            <v>230-06</v>
          </cell>
          <cell r="B143">
            <v>4012</v>
          </cell>
          <cell r="C143" t="str">
            <v>DE.1.0.7.0</v>
          </cell>
          <cell r="D143" t="str">
            <v>204:232973</v>
          </cell>
          <cell r="E143">
            <v>42588.909803240742</v>
          </cell>
          <cell r="F143">
            <v>42588.911041666666</v>
          </cell>
          <cell r="G143">
            <v>1</v>
          </cell>
          <cell r="H143" t="str">
            <v>204:169</v>
          </cell>
          <cell r="I143">
            <v>42588.941261574073</v>
          </cell>
          <cell r="J143">
            <v>0</v>
          </cell>
          <cell r="K143" t="str">
            <v>4011/4012</v>
          </cell>
          <cell r="L143" t="str">
            <v>DE LA ROSA</v>
          </cell>
          <cell r="M143">
            <v>3.0219907406717539E-2</v>
          </cell>
          <cell r="N143">
            <v>43.516666665673256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https://search-rtdc-monitor-bjffxe2xuh6vdkpspy63sjmuny.us-east-1.es.amazonaws.com/_plugin/kibana/#/discover/Steve-Slow-Train-Analysis-(2080s-and-2083s)?_g=(refreshInterval:(display:Off,section:0,value:0),time:(from:'2016-08-06 20:50:07-0600',mode:absolute,to:'2016-08-06 23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3" t="str">
            <v>N</v>
          </cell>
          <cell r="X143">
            <v>1</v>
          </cell>
          <cell r="Y143">
            <v>23.2973</v>
          </cell>
          <cell r="Z143">
            <v>1.6899999999999998E-2</v>
          </cell>
          <cell r="AA143">
            <v>23.2804</v>
          </cell>
          <cell r="AB143" t="e">
            <v>#N/A</v>
          </cell>
          <cell r="AC143" t="e">
            <v>#N/A</v>
          </cell>
          <cell r="AD143" t="str">
            <v>0230-06</v>
          </cell>
          <cell r="AE14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44">
          <cell r="A144" t="str">
            <v>231-06</v>
          </cell>
          <cell r="B144">
            <v>4009</v>
          </cell>
          <cell r="C144" t="str">
            <v>DE.1.0.7.0</v>
          </cell>
          <cell r="D144" t="str">
            <v>204:418</v>
          </cell>
          <cell r="E144">
            <v>42588.88559027778</v>
          </cell>
          <cell r="F144">
            <v>42588.886550925927</v>
          </cell>
          <cell r="G144">
            <v>1</v>
          </cell>
          <cell r="H144" t="str">
            <v>204:233300</v>
          </cell>
          <cell r="I144">
            <v>42588.921249999999</v>
          </cell>
          <cell r="J144">
            <v>1</v>
          </cell>
          <cell r="K144" t="str">
            <v>4009/4010</v>
          </cell>
          <cell r="L144" t="str">
            <v>NEWELL</v>
          </cell>
          <cell r="M144">
            <v>3.4699074072705116E-2</v>
          </cell>
          <cell r="N144">
            <v>49.966666664695367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4" t="str">
            <v>N</v>
          </cell>
          <cell r="X144">
            <v>1</v>
          </cell>
          <cell r="Y144">
            <v>4.1799999999999997E-2</v>
          </cell>
          <cell r="Z144">
            <v>23.33</v>
          </cell>
          <cell r="AA144">
            <v>23.2882</v>
          </cell>
          <cell r="AB144" t="e">
            <v>#N/A</v>
          </cell>
          <cell r="AC144" t="e">
            <v>#N/A</v>
          </cell>
          <cell r="AD144" t="str">
            <v>0231-06</v>
          </cell>
          <cell r="AE14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45">
          <cell r="A145" t="str">
            <v>232-06</v>
          </cell>
          <cell r="B145">
            <v>4010</v>
          </cell>
          <cell r="C145" t="str">
            <v>DE.1.0.7.0</v>
          </cell>
          <cell r="D145" t="str">
            <v>204:232998</v>
          </cell>
          <cell r="E145">
            <v>42588.927685185183</v>
          </cell>
          <cell r="F145">
            <v>42588.928425925929</v>
          </cell>
          <cell r="G145">
            <v>1</v>
          </cell>
          <cell r="H145" t="str">
            <v>204:149</v>
          </cell>
          <cell r="I145">
            <v>42588.964131944442</v>
          </cell>
          <cell r="J145">
            <v>0</v>
          </cell>
          <cell r="K145" t="str">
            <v>4009/4010</v>
          </cell>
          <cell r="L145" t="str">
            <v>NEWELL</v>
          </cell>
          <cell r="M145">
            <v>3.5706018512428273E-2</v>
          </cell>
          <cell r="N145">
            <v>51.416666657896712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https://search-rtdc-monitor-bjffxe2xuh6vdkpspy63sjmuny.us-east-1.es.amazonaws.com/_plugin/kibana/#/discover/Steve-Slow-Train-Analysis-(2080s-and-2083s)?_g=(refreshInterval:(display:Off,section:0,value:0),time:(from:'2016-08-06 21:15:52-0600',mode:absolute,to:'2016-08-07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5" t="str">
            <v>N</v>
          </cell>
          <cell r="X145">
            <v>1</v>
          </cell>
          <cell r="Y145">
            <v>23.299800000000001</v>
          </cell>
          <cell r="Z145">
            <v>1.49E-2</v>
          </cell>
          <cell r="AA145">
            <v>23.2849</v>
          </cell>
          <cell r="AB145" t="e">
            <v>#N/A</v>
          </cell>
          <cell r="AC145" t="e">
            <v>#N/A</v>
          </cell>
          <cell r="AD145" t="str">
            <v>0232-06</v>
          </cell>
          <cell r="AE14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46">
          <cell r="A146" t="str">
            <v>233-06</v>
          </cell>
          <cell r="B146">
            <v>4014</v>
          </cell>
          <cell r="C146" t="str">
            <v>DE.1.0.7.0</v>
          </cell>
          <cell r="D146" t="str">
            <v>204:462</v>
          </cell>
          <cell r="E146">
            <v>42588.914942129632</v>
          </cell>
          <cell r="F146">
            <v>42588.915960648148</v>
          </cell>
          <cell r="G146">
            <v>1</v>
          </cell>
          <cell r="H146" t="str">
            <v>204:233299</v>
          </cell>
          <cell r="I146">
            <v>42588.943483796298</v>
          </cell>
          <cell r="J146">
            <v>0</v>
          </cell>
          <cell r="K146" t="str">
            <v>4013/4014</v>
          </cell>
          <cell r="L146" t="str">
            <v>CHANDLER</v>
          </cell>
          <cell r="M146">
            <v>2.7523148150066845E-2</v>
          </cell>
          <cell r="N146">
            <v>39.633333336096257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https://search-rtdc-monitor-bjffxe2xuh6vdkpspy63sjmuny.us-east-1.es.amazonaws.com/_plugin/kibana/#/discover/Steve-Slow-Train-Analysis-(2080s-and-2083s)?_g=(refreshInterval:(display:Off,section:0,value:0),time:(from:'2016-08-06 20:57:31-0600',mode:absolute,to:'2016-08-06 23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6" t="str">
            <v>N</v>
          </cell>
          <cell r="X146">
            <v>1</v>
          </cell>
          <cell r="Y146">
            <v>4.6199999999999998E-2</v>
          </cell>
          <cell r="Z146">
            <v>23.329899999999999</v>
          </cell>
          <cell r="AA146">
            <v>23.2837</v>
          </cell>
          <cell r="AB146" t="e">
            <v>#N/A</v>
          </cell>
          <cell r="AC146" t="e">
            <v>#N/A</v>
          </cell>
          <cell r="AD146" t="str">
            <v>0233-06</v>
          </cell>
          <cell r="AE14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47">
          <cell r="A147" t="str">
            <v>234-06</v>
          </cell>
          <cell r="B147">
            <v>4013</v>
          </cell>
          <cell r="C147" t="str">
            <v>DE.1.0.7.0</v>
          </cell>
          <cell r="D147" t="str">
            <v>204:232971</v>
          </cell>
          <cell r="E147">
            <v>42588.953888888886</v>
          </cell>
          <cell r="F147">
            <v>42588.954826388886</v>
          </cell>
          <cell r="G147">
            <v>1</v>
          </cell>
          <cell r="H147" t="str">
            <v>204:143</v>
          </cell>
          <cell r="I147">
            <v>42588.987685185188</v>
          </cell>
          <cell r="J147">
            <v>0</v>
          </cell>
          <cell r="K147" t="str">
            <v>4013/4014</v>
          </cell>
          <cell r="L147" t="str">
            <v>CHANDLER</v>
          </cell>
          <cell r="M147">
            <v>3.2858796301297843E-2</v>
          </cell>
          <cell r="N147">
            <v>47.316666673868895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7" t="str">
            <v>N</v>
          </cell>
          <cell r="X147">
            <v>1</v>
          </cell>
          <cell r="Y147">
            <v>23.2971</v>
          </cell>
          <cell r="Z147">
            <v>1.43E-2</v>
          </cell>
          <cell r="AA147">
            <v>23.282800000000002</v>
          </cell>
          <cell r="AB147" t="e">
            <v>#N/A</v>
          </cell>
          <cell r="AC147" t="e">
            <v>#N/A</v>
          </cell>
          <cell r="AD147" t="str">
            <v>0234-06</v>
          </cell>
          <cell r="AE14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8">
          <cell r="A148" t="str">
            <v>234-06</v>
          </cell>
          <cell r="B148">
            <v>4013</v>
          </cell>
          <cell r="C148" t="str">
            <v>DE.1.0.7.0</v>
          </cell>
          <cell r="D148" t="str">
            <v>204:232971</v>
          </cell>
          <cell r="E148">
            <v>42588.953888888886</v>
          </cell>
          <cell r="F148">
            <v>42588.955011574071</v>
          </cell>
          <cell r="G148">
            <v>1</v>
          </cell>
          <cell r="H148" t="str">
            <v>204:143</v>
          </cell>
          <cell r="I148">
            <v>42588.987685185188</v>
          </cell>
          <cell r="J148">
            <v>0</v>
          </cell>
          <cell r="K148" t="str">
            <v>4013/4014</v>
          </cell>
          <cell r="L148" t="str">
            <v>CHANDLER</v>
          </cell>
          <cell r="M148">
            <v>3.2673611116479151E-2</v>
          </cell>
          <cell r="N148">
            <v>47.050000007729977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0</v>
          </cell>
          <cell r="Y148">
            <v>23.2971</v>
          </cell>
          <cell r="Z148">
            <v>1.43E-2</v>
          </cell>
          <cell r="AA148">
            <v>23.282800000000002</v>
          </cell>
          <cell r="AB148" t="e">
            <v>#N/A</v>
          </cell>
          <cell r="AC148" t="e">
            <v>#N/A</v>
          </cell>
          <cell r="AD148" t="str">
            <v>0234-06</v>
          </cell>
          <cell r="AE14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9">
          <cell r="A149" t="str">
            <v>235-06</v>
          </cell>
          <cell r="B149">
            <v>4031</v>
          </cell>
          <cell r="C149" t="str">
            <v>DE.1.0.7.0</v>
          </cell>
          <cell r="D149" t="str">
            <v>204:437</v>
          </cell>
          <cell r="E149">
            <v>42588.936238425929</v>
          </cell>
          <cell r="F149">
            <v>42588.9371875</v>
          </cell>
          <cell r="G149">
            <v>1</v>
          </cell>
          <cell r="H149" t="str">
            <v>204:233329</v>
          </cell>
          <cell r="I149">
            <v>42588.963379629633</v>
          </cell>
          <cell r="J149">
            <v>0</v>
          </cell>
          <cell r="K149" t="str">
            <v>4031/4032</v>
          </cell>
          <cell r="L149" t="str">
            <v>STAMBAUGH</v>
          </cell>
          <cell r="M149">
            <v>2.6192129633272998E-2</v>
          </cell>
          <cell r="N149">
            <v>37.716666671913117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https://search-rtdc-monitor-bjffxe2xuh6vdkpspy63sjmuny.us-east-1.es.amazonaws.com/_plugin/kibana/#/discover/Steve-Slow-Train-Analysis-(2080s-and-2083s)?_g=(refreshInterval:(display:Off,section:0,value:0),time:(from:'2016-08-06 21:28:11-0600',mode:absolute,to:'2016-08-07 00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9" t="str">
            <v>N</v>
          </cell>
          <cell r="X149">
            <v>1</v>
          </cell>
          <cell r="Y149">
            <v>4.3700000000000003E-2</v>
          </cell>
          <cell r="Z149">
            <v>23.332899999999999</v>
          </cell>
          <cell r="AA149">
            <v>23.289199999999997</v>
          </cell>
          <cell r="AB149" t="e">
            <v>#N/A</v>
          </cell>
          <cell r="AC149" t="e">
            <v>#N/A</v>
          </cell>
          <cell r="AD149" t="str">
            <v>0235-06</v>
          </cell>
          <cell r="AE14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50">
          <cell r="A150" t="str">
            <v>236-06</v>
          </cell>
          <cell r="B150">
            <v>4032</v>
          </cell>
          <cell r="C150" t="str">
            <v>DE.1.0.7.0</v>
          </cell>
          <cell r="D150" t="str">
            <v>204:233010</v>
          </cell>
          <cell r="E150">
            <v>42588.97519675926</v>
          </cell>
          <cell r="F150">
            <v>42588.975960648146</v>
          </cell>
          <cell r="G150">
            <v>1</v>
          </cell>
          <cell r="H150" t="str">
            <v>204:150</v>
          </cell>
          <cell r="I150">
            <v>42589.006435185183</v>
          </cell>
          <cell r="J150">
            <v>0</v>
          </cell>
          <cell r="K150" t="str">
            <v>4031/4032</v>
          </cell>
          <cell r="L150" t="str">
            <v>STAMBAUGH</v>
          </cell>
          <cell r="M150">
            <v>3.047453703766223E-2</v>
          </cell>
          <cell r="N150">
            <v>43.883333334233612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https://search-rtdc-monitor-bjffxe2xuh6vdkpspy63sjmuny.us-east-1.es.amazonaws.com/_plugin/kibana/#/discover/Steve-Slow-Train-Analysis-(2080s-and-2083s)?_g=(refreshInterval:(display:Off,section:0,value:0),time:(from:'2016-08-06 22:24:17-0600',mode:absolute,to:'2016-08-07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0" t="str">
            <v>N</v>
          </cell>
          <cell r="X150">
            <v>1</v>
          </cell>
          <cell r="Y150">
            <v>23.300999999999998</v>
          </cell>
          <cell r="Z150">
            <v>1.4999999999999999E-2</v>
          </cell>
          <cell r="AA150">
            <v>23.285999999999998</v>
          </cell>
          <cell r="AB150" t="e">
            <v>#N/A</v>
          </cell>
          <cell r="AC150" t="e">
            <v>#N/A</v>
          </cell>
          <cell r="AD150" t="str">
            <v>0236-06</v>
          </cell>
          <cell r="AE15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51">
          <cell r="A151" t="str">
            <v>237-06</v>
          </cell>
          <cell r="B151">
            <v>4011</v>
          </cell>
          <cell r="C151" t="str">
            <v>DE.1.0.7.0</v>
          </cell>
          <cell r="D151" t="str">
            <v>204:464</v>
          </cell>
          <cell r="E151">
            <v>42588.946192129632</v>
          </cell>
          <cell r="F151">
            <v>42588.947210648148</v>
          </cell>
          <cell r="G151">
            <v>1</v>
          </cell>
          <cell r="H151" t="str">
            <v>204:233314</v>
          </cell>
          <cell r="I151">
            <v>42588.984282407408</v>
          </cell>
          <cell r="J151">
            <v>0</v>
          </cell>
          <cell r="K151" t="str">
            <v>4011/4012</v>
          </cell>
          <cell r="L151" t="str">
            <v>GOLIGHTLY</v>
          </cell>
          <cell r="M151">
            <v>3.7071759259561077E-2</v>
          </cell>
          <cell r="N151">
            <v>53.383333333767951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https://search-rtdc-monitor-bjffxe2xuh6vdkpspy63sjmuny.us-east-1.es.amazonaws.com/_plugin/kibana/#/discover/Steve-Slow-Train-Analysis-(2080s-and-2083s)?_g=(refreshInterval:(display:Off,section:0,value:0),time:(from:'2016-08-06 21:42:31-0600',mode:absolute,to:'2016-08-07 00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1" t="str">
            <v>N</v>
          </cell>
          <cell r="X151">
            <v>1</v>
          </cell>
          <cell r="Y151">
            <v>4.6399999999999997E-2</v>
          </cell>
          <cell r="Z151">
            <v>23.331399999999999</v>
          </cell>
          <cell r="AA151">
            <v>23.285</v>
          </cell>
          <cell r="AB151" t="e">
            <v>#N/A</v>
          </cell>
          <cell r="AC151" t="e">
            <v>#N/A</v>
          </cell>
          <cell r="AD151" t="str">
            <v>0237-06</v>
          </cell>
          <cell r="AE151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52">
          <cell r="A152" t="str">
            <v>238-06</v>
          </cell>
          <cell r="B152">
            <v>4012</v>
          </cell>
          <cell r="C152" t="str">
            <v>DE.1.0.7.0</v>
          </cell>
          <cell r="D152" t="str">
            <v>204:127849</v>
          </cell>
          <cell r="E152">
            <v>42589.018553240741</v>
          </cell>
          <cell r="F152">
            <v>42589.019247685188</v>
          </cell>
          <cell r="G152">
            <v>0</v>
          </cell>
          <cell r="H152" t="str">
            <v>204:141</v>
          </cell>
          <cell r="I152">
            <v>42589.037569444445</v>
          </cell>
          <cell r="J152">
            <v>0</v>
          </cell>
          <cell r="K152" t="str">
            <v>4011/4012</v>
          </cell>
          <cell r="L152" t="str">
            <v>GOLIGHTLY</v>
          </cell>
          <cell r="M152">
            <v>1.8321759256650694E-2</v>
          </cell>
          <cell r="P152">
            <v>45.749999986728653</v>
          </cell>
          <cell r="R152" t="str">
            <v>Signaling outage at Pena/78th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https://search-rtdc-monitor-bjffxe2xuh6vdkpspy63sjmuny.us-east-1.es.amazonaws.com/_plugin/kibana/#/discover/Steve-Slow-Train-Analysis-(2080s-and-2083s)?_g=(refreshInterval:(display:Off,section:0,value:0),time:(from:'2016-08-06 23:26:43-0600',mode:absolute,to:'2016-08-07 01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2" t="str">
            <v>Y</v>
          </cell>
          <cell r="X152">
            <v>1</v>
          </cell>
          <cell r="Y152">
            <v>12.7849</v>
          </cell>
          <cell r="Z152">
            <v>1.41E-2</v>
          </cell>
          <cell r="AA152">
            <v>12.770800000000001</v>
          </cell>
          <cell r="AB152" t="e">
            <v>#N/A</v>
          </cell>
          <cell r="AC152" t="e">
            <v>#N/A</v>
          </cell>
          <cell r="AD152" t="str">
            <v>0238-06</v>
          </cell>
          <cell r="AE15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53">
          <cell r="A153" t="str">
            <v>238-06</v>
          </cell>
          <cell r="B153">
            <v>4012</v>
          </cell>
          <cell r="C153" t="str">
            <v>DE.1.0.7.0</v>
          </cell>
          <cell r="D153" t="str">
            <v>204:232982</v>
          </cell>
          <cell r="E153">
            <v>42588.988518518519</v>
          </cell>
          <cell r="F153">
            <v>42588.989930555559</v>
          </cell>
          <cell r="G153">
            <v>2</v>
          </cell>
          <cell r="H153" t="str">
            <v>204:220495</v>
          </cell>
          <cell r="I153">
            <v>42589.003379629627</v>
          </cell>
          <cell r="J153">
            <v>0</v>
          </cell>
          <cell r="K153" t="str">
            <v>4011/4012</v>
          </cell>
          <cell r="L153" t="str">
            <v>GOLIGHTLY</v>
          </cell>
          <cell r="M153">
            <v>1.3449074067466427E-2</v>
          </cell>
          <cell r="T153" t="str">
            <v>Southbound</v>
          </cell>
          <cell r="U153">
            <v>0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https://search-rtdc-monitor-bjffxe2xuh6vdkpspy63sjmuny.us-east-1.es.amazonaws.com/_plugin/kibana/#/discover/Steve-Slow-Train-Analysis-(2080s-and-2083s)?_g=(refreshInterval:(display:Off,section:0,value:0),time:(from:'2016-08-06 22:43:28-0600',mode:absolute,to:'2016-08-07 01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Y</v>
          </cell>
          <cell r="X153">
            <v>0</v>
          </cell>
          <cell r="Y153">
            <v>23.298200000000001</v>
          </cell>
          <cell r="Z153">
            <v>22.049499999999998</v>
          </cell>
          <cell r="AA153">
            <v>1.248700000000003</v>
          </cell>
          <cell r="AB153" t="e">
            <v>#N/A</v>
          </cell>
          <cell r="AC153" t="e">
            <v>#N/A</v>
          </cell>
          <cell r="AD153" t="str">
            <v>0238-06</v>
          </cell>
          <cell r="AE15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54">
          <cell r="A154" t="str">
            <v>239-06</v>
          </cell>
          <cell r="B154">
            <v>4009</v>
          </cell>
          <cell r="C154" t="str">
            <v>DE.1.0.7.0</v>
          </cell>
          <cell r="D154" t="str">
            <v>204:462</v>
          </cell>
          <cell r="E154">
            <v>42588.970208333332</v>
          </cell>
          <cell r="F154">
            <v>42588.971145833333</v>
          </cell>
          <cell r="G154">
            <v>1</v>
          </cell>
          <cell r="H154" t="str">
            <v>204:233336</v>
          </cell>
          <cell r="I154">
            <v>42589.005636574075</v>
          </cell>
          <cell r="J154">
            <v>1</v>
          </cell>
          <cell r="K154" t="str">
            <v>4009/4010</v>
          </cell>
          <cell r="L154" t="str">
            <v>NEWELL</v>
          </cell>
          <cell r="M154">
            <v>3.4490740741603076E-2</v>
          </cell>
          <cell r="N154">
            <v>49.66666666790843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4" t="str">
            <v>N</v>
          </cell>
          <cell r="X154">
            <v>1</v>
          </cell>
          <cell r="Y154">
            <v>4.6199999999999998E-2</v>
          </cell>
          <cell r="Z154">
            <v>23.333600000000001</v>
          </cell>
          <cell r="AA154">
            <v>23.287400000000002</v>
          </cell>
          <cell r="AB154">
            <v>0</v>
          </cell>
          <cell r="AC154" t="str">
            <v>PERMANENT SPEED RESTRICTION</v>
          </cell>
          <cell r="AD154" t="str">
            <v>0239-06</v>
          </cell>
          <cell r="AE15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55">
          <cell r="A155" t="str">
            <v>240-06</v>
          </cell>
          <cell r="B155">
            <v>4010</v>
          </cell>
          <cell r="C155" t="str">
            <v>DE.1.0.7.0</v>
          </cell>
          <cell r="D155" t="str">
            <v>204:233030</v>
          </cell>
          <cell r="E155">
            <v>42589.014097222222</v>
          </cell>
          <cell r="F155">
            <v>42589.015127314815</v>
          </cell>
          <cell r="G155">
            <v>1</v>
          </cell>
          <cell r="H155" t="str">
            <v>204:150</v>
          </cell>
          <cell r="I155">
            <v>42589.046423611115</v>
          </cell>
          <cell r="J155">
            <v>0</v>
          </cell>
          <cell r="K155" t="str">
            <v>4009/4010</v>
          </cell>
          <cell r="L155" t="str">
            <v>NEWELL</v>
          </cell>
          <cell r="M155">
            <v>3.1296296299842652E-2</v>
          </cell>
          <cell r="N155">
            <v>45.066666671773419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https://search-rtdc-monitor-bjffxe2xuh6vdkpspy63sjmuny.us-east-1.es.amazonaws.com/_plugin/kibana/#/discover/Steve-Slow-Train-Analysis-(2080s-and-2083s)?_g=(refreshInterval:(display:Off,section:0,value:0),time:(from:'2016-08-06 23:20:18-0600',mode:absolute,to:'2016-08-07 02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5" t="str">
            <v>N</v>
          </cell>
          <cell r="X155">
            <v>1</v>
          </cell>
          <cell r="Y155">
            <v>23.303000000000001</v>
          </cell>
          <cell r="Z155">
            <v>1.4999999999999999E-2</v>
          </cell>
          <cell r="AA155">
            <v>23.288</v>
          </cell>
          <cell r="AB155" t="e">
            <v>#N/A</v>
          </cell>
          <cell r="AC155" t="e">
            <v>#N/A</v>
          </cell>
          <cell r="AD155" t="str">
            <v>0240-06</v>
          </cell>
          <cell r="AE155" t="str">
            <v>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 &amp; aws s3 cp s3://rtdc.mdm.uploadarchive/RTDC4010/2016-08-08/ "%USERPROFILE%\AppData\Local\Temp\OnboardLogs"\RTDC4010\2016-08-08 --recursive &amp; "%USERPROFILE%\Documents\GitHub\mrs-test-scripts\Headless Mode &amp; Sideloading\WalkAndUnGZ.bat" "%USERPROFILE%\AppData\Local\Temp\OnboardLogs"\RTDC4010\2016-08-08</v>
          </cell>
        </row>
        <row r="156">
          <cell r="A156" t="str">
            <v>241-06</v>
          </cell>
          <cell r="B156">
            <v>4014</v>
          </cell>
          <cell r="C156" t="str">
            <v>DE.1.0.7.0</v>
          </cell>
          <cell r="D156" t="str">
            <v>204:451</v>
          </cell>
          <cell r="E156">
            <v>42588.999861111108</v>
          </cell>
          <cell r="F156">
            <v>42589.000578703701</v>
          </cell>
          <cell r="G156">
            <v>1</v>
          </cell>
          <cell r="H156" t="str">
            <v>204:233318</v>
          </cell>
          <cell r="I156">
            <v>42589.027789351851</v>
          </cell>
          <cell r="J156">
            <v>1</v>
          </cell>
          <cell r="K156" t="str">
            <v>4013/4014</v>
          </cell>
          <cell r="L156" t="str">
            <v>CHANDLER</v>
          </cell>
          <cell r="M156">
            <v>2.7210648149775807E-2</v>
          </cell>
          <cell r="N156">
            <v>39.183333335677162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6" t="str">
            <v>N</v>
          </cell>
          <cell r="X156">
            <v>1</v>
          </cell>
          <cell r="Y156">
            <v>4.5100000000000001E-2</v>
          </cell>
          <cell r="Z156">
            <v>23.331800000000001</v>
          </cell>
          <cell r="AA156">
            <v>23.2867</v>
          </cell>
          <cell r="AB156">
            <v>53155</v>
          </cell>
          <cell r="AC156" t="str">
            <v>GRADE CROSSING</v>
          </cell>
          <cell r="AD156" t="str">
            <v>0241-06</v>
          </cell>
          <cell r="AE156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157">
          <cell r="A157" t="str">
            <v>242-06</v>
          </cell>
          <cell r="B157">
            <v>4013</v>
          </cell>
          <cell r="C157" t="str">
            <v>DE.1.0.7.0</v>
          </cell>
          <cell r="D157" t="str">
            <v>204:232973</v>
          </cell>
          <cell r="E157">
            <v>42589.036840277775</v>
          </cell>
          <cell r="F157">
            <v>42589.037719907406</v>
          </cell>
          <cell r="G157">
            <v>1</v>
          </cell>
          <cell r="H157" t="str">
            <v>204:154</v>
          </cell>
          <cell r="I157">
            <v>42589.067418981482</v>
          </cell>
          <cell r="J157">
            <v>0</v>
          </cell>
          <cell r="K157" t="str">
            <v>4013/4014</v>
          </cell>
          <cell r="L157" t="str">
            <v>CHANDLER</v>
          </cell>
          <cell r="M157">
            <v>2.9699074075324461E-2</v>
          </cell>
          <cell r="N157">
            <v>42.766666668467224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https://search-rtdc-monitor-bjffxe2xuh6vdkpspy63sjmuny.us-east-1.es.amazonaws.com/_plugin/kibana/#/discover/Steve-Slow-Train-Analysis-(2080s-and-2083s)?_g=(refreshInterval:(display:Off,section:0,value:0),time:(from:'2016-08-06 23:53:03-0600',mode:absolute,to:'2016-08-07 02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1.54E-2</v>
          </cell>
          <cell r="AA157">
            <v>23.2819</v>
          </cell>
          <cell r="AB157" t="e">
            <v>#N/A</v>
          </cell>
          <cell r="AC157" t="e">
            <v>#N/A</v>
          </cell>
          <cell r="AD157" t="str">
            <v>0242-06</v>
          </cell>
          <cell r="AE157" t="str">
            <v>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 &amp; 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</v>
          </cell>
        </row>
        <row r="158">
          <cell r="A158" t="str">
            <v>243-06</v>
          </cell>
          <cell r="B158">
            <v>4031</v>
          </cell>
          <cell r="C158" t="str">
            <v>DE.1.0.7.0</v>
          </cell>
          <cell r="D158" t="str">
            <v>204:460</v>
          </cell>
          <cell r="E158">
            <v>42589.017951388887</v>
          </cell>
          <cell r="F158">
            <v>42589.019293981481</v>
          </cell>
          <cell r="G158">
            <v>1</v>
          </cell>
          <cell r="H158" t="str">
            <v>204:233308</v>
          </cell>
          <cell r="I158">
            <v>42589.046967592592</v>
          </cell>
          <cell r="J158">
            <v>0</v>
          </cell>
          <cell r="K158" t="str">
            <v>4031/4032</v>
          </cell>
          <cell r="L158" t="str">
            <v>STAMBAUGH</v>
          </cell>
          <cell r="M158">
            <v>2.7673611111822538E-2</v>
          </cell>
          <cell r="N158">
            <v>39.850000001024455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https://search-rtdc-monitor-bjffxe2xuh6vdkpspy63sjmuny.us-east-1.es.amazonaws.com/_plugin/kibana/#/discover/Steve-Slow-Train-Analysis-(2080s-and-2083s)?_g=(refreshInterval:(display:Off,section:0,value:0),time:(from:'2016-08-06 23:25:51-0600',mode:absolute,to:'2016-08-07 02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8" t="str">
            <v>N</v>
          </cell>
          <cell r="X158">
            <v>1</v>
          </cell>
          <cell r="Y158">
            <v>4.5999999999999999E-2</v>
          </cell>
          <cell r="Z158">
            <v>23.3308</v>
          </cell>
          <cell r="AA158">
            <v>23.284800000000001</v>
          </cell>
          <cell r="AB158" t="e">
            <v>#N/A</v>
          </cell>
          <cell r="AC158" t="e">
            <v>#N/A</v>
          </cell>
          <cell r="AD158" t="str">
            <v>0243-06</v>
          </cell>
          <cell r="AE158" t="str">
            <v>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 &amp; 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</v>
          </cell>
        </row>
        <row r="159">
          <cell r="A159" t="str">
            <v>244-06</v>
          </cell>
          <cell r="B159">
            <v>4032</v>
          </cell>
          <cell r="C159" t="str">
            <v>DE.1.0.7.0</v>
          </cell>
          <cell r="D159" t="str">
            <v>204:233004</v>
          </cell>
          <cell r="E159">
            <v>42589.058379629627</v>
          </cell>
          <cell r="F159">
            <v>42589.05909722222</v>
          </cell>
          <cell r="G159">
            <v>1</v>
          </cell>
          <cell r="H159" t="str">
            <v>204:145</v>
          </cell>
          <cell r="I159">
            <v>42589.086817129632</v>
          </cell>
          <cell r="J159">
            <v>0</v>
          </cell>
          <cell r="K159" t="str">
            <v>4031/4032</v>
          </cell>
          <cell r="L159" t="str">
            <v>STAMBAUGH</v>
          </cell>
          <cell r="M159">
            <v>2.771990741166519E-2</v>
          </cell>
          <cell r="N159">
            <v>39.916666672797874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00:24:04-0600',mode:absolute,to:'2016-08-07 03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9" t="str">
            <v>N</v>
          </cell>
          <cell r="X159">
            <v>1</v>
          </cell>
          <cell r="Y159">
            <v>23.3004</v>
          </cell>
          <cell r="Z159">
            <v>1.4500000000000001E-2</v>
          </cell>
          <cell r="AA159">
            <v>23.285899999999998</v>
          </cell>
          <cell r="AB159" t="e">
            <v>#N/A</v>
          </cell>
          <cell r="AC159" t="e">
            <v>#N/A</v>
          </cell>
          <cell r="AD159" t="str">
            <v>0244-06</v>
          </cell>
          <cell r="AE159" t="str">
            <v>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 &amp; 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</v>
          </cell>
        </row>
        <row r="160">
          <cell r="A160" t="str">
            <v>245-06</v>
          </cell>
          <cell r="B160">
            <v>4011</v>
          </cell>
          <cell r="C160" t="str">
            <v>DE.1.0.7.0</v>
          </cell>
          <cell r="D160" t="str">
            <v>204:460</v>
          </cell>
          <cell r="E160">
            <v>42589.039907407408</v>
          </cell>
          <cell r="F160">
            <v>42589.040914351855</v>
          </cell>
          <cell r="G160">
            <v>1</v>
          </cell>
          <cell r="H160" t="str">
            <v>204:233297</v>
          </cell>
          <cell r="I160">
            <v>42589.067314814813</v>
          </cell>
          <cell r="J160">
            <v>0</v>
          </cell>
          <cell r="K160" t="str">
            <v>4011/4012</v>
          </cell>
          <cell r="L160" t="str">
            <v>GOLIGHTLY</v>
          </cell>
          <cell r="M160">
            <v>2.640046295709908E-2</v>
          </cell>
          <cell r="N160">
            <v>38.016666658222675</v>
          </cell>
          <cell r="S160">
            <v>1</v>
          </cell>
          <cell r="T160" t="str">
            <v>NorthBound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23:57:28-0600',mode:absolute,to:'2016-08-07 02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60" t="str">
            <v>N</v>
          </cell>
          <cell r="X160">
            <v>1</v>
          </cell>
          <cell r="Y160">
            <v>4.5999999999999999E-2</v>
          </cell>
          <cell r="Z160">
            <v>23.329699999999999</v>
          </cell>
          <cell r="AA160">
            <v>23.2837</v>
          </cell>
          <cell r="AB160" t="e">
            <v>#N/A</v>
          </cell>
          <cell r="AC160" t="e">
            <v>#N/A</v>
          </cell>
          <cell r="AD160" t="str">
            <v>0245-06</v>
          </cell>
          <cell r="AE160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61">
          <cell r="A161" t="str">
            <v>246-05</v>
          </cell>
          <cell r="B161">
            <v>4043</v>
          </cell>
          <cell r="C161" t="str">
            <v>DE.1.0.7.0</v>
          </cell>
          <cell r="D161" t="str">
            <v>204:232992</v>
          </cell>
          <cell r="E161">
            <v>42588.074166666665</v>
          </cell>
          <cell r="F161">
            <v>42588.074953703705</v>
          </cell>
          <cell r="G161">
            <v>1</v>
          </cell>
          <cell r="H161" t="str">
            <v>204:156</v>
          </cell>
          <cell r="I161">
            <v>42588.10659722222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3.1643518515920732E-2</v>
          </cell>
          <cell r="N161">
            <v>45.566666662925854</v>
          </cell>
          <cell r="S161">
            <v>1</v>
          </cell>
          <cell r="T161" t="str">
            <v>Southbound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1" t="str">
            <v>N</v>
          </cell>
          <cell r="X161">
            <v>1</v>
          </cell>
          <cell r="Y161">
            <v>23.299199999999999</v>
          </cell>
          <cell r="Z161">
            <v>1.5599999999999999E-2</v>
          </cell>
          <cell r="AA161">
            <v>23.2836</v>
          </cell>
          <cell r="AB161" t="e">
            <v>#N/A</v>
          </cell>
          <cell r="AC161" t="e">
            <v>#N/A</v>
          </cell>
          <cell r="AD161" t="str">
            <v>0246-05</v>
          </cell>
          <cell r="AE161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2">
          <cell r="A162" t="str">
            <v>246-06</v>
          </cell>
          <cell r="B162">
            <v>4012</v>
          </cell>
          <cell r="C162" t="str">
            <v>DE.1.0.7.0</v>
          </cell>
          <cell r="D162" t="str">
            <v>204:232975</v>
          </cell>
          <cell r="E162">
            <v>42589.073969907404</v>
          </cell>
          <cell r="F162">
            <v>42589.074930555558</v>
          </cell>
          <cell r="G162">
            <v>1</v>
          </cell>
          <cell r="H162" t="str">
            <v>204:152</v>
          </cell>
          <cell r="I162">
            <v>42589.108113425929</v>
          </cell>
          <cell r="J162">
            <v>1</v>
          </cell>
          <cell r="K162" t="str">
            <v>4011/4012</v>
          </cell>
          <cell r="L162" t="str">
            <v>GOLIGHTLY</v>
          </cell>
          <cell r="M162">
            <v>3.3182870371092577E-2</v>
          </cell>
          <cell r="N162">
            <v>47.78333333437331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2" t="str">
            <v>N</v>
          </cell>
          <cell r="X162">
            <v>0</v>
          </cell>
          <cell r="Y162">
            <v>23.297499999999999</v>
          </cell>
          <cell r="Z162">
            <v>1.52E-2</v>
          </cell>
          <cell r="AA162">
            <v>23.282299999999999</v>
          </cell>
          <cell r="AB162" t="e">
            <v>#N/A</v>
          </cell>
          <cell r="AC162" t="e">
            <v>#N/A</v>
          </cell>
          <cell r="AD162" t="str">
            <v>0246-06</v>
          </cell>
          <cell r="AE16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63">
          <cell r="A163" t="str">
            <v>1801-06</v>
          </cell>
          <cell r="B163">
            <v>4029</v>
          </cell>
          <cell r="C163" t="str">
            <v>DE.1.0.7.0</v>
          </cell>
          <cell r="D163" t="str">
            <v>204:1128</v>
          </cell>
          <cell r="E163">
            <v>42588.251747685186</v>
          </cell>
          <cell r="F163">
            <v>42588.252986111111</v>
          </cell>
          <cell r="G163">
            <v>1</v>
          </cell>
          <cell r="H163" t="str">
            <v>300:58944</v>
          </cell>
          <cell r="I163">
            <v>42588.274502314816</v>
          </cell>
          <cell r="J163">
            <v>0</v>
          </cell>
          <cell r="K163" t="str">
            <v>4029/4030</v>
          </cell>
          <cell r="L163" t="str">
            <v>YORK</v>
          </cell>
          <cell r="M163">
            <v>2.1516203705687076E-2</v>
          </cell>
          <cell r="N163">
            <v>30.983333336189389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https://search-rtdc-monitor-bjffxe2xuh6vdkpspy63sjmuny.us-east-1.es.amazonaws.com/_plugin/kibana/#/discover/Steve-Slow-Train-Analysis-(2080s-and-2083s)?_g=(refreshInterval:(display:Off,section:0,value:0),time:(from:'2016-08-06 05:02:31-0600',mode:absolute,to:'2016-08-06 07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3" t="str">
            <v>N</v>
          </cell>
          <cell r="X163">
            <v>1486</v>
          </cell>
          <cell r="Y163">
            <v>0.1128</v>
          </cell>
          <cell r="Z163">
            <v>5.8944000000000001</v>
          </cell>
          <cell r="AA163">
            <v>5.7816000000000001</v>
          </cell>
          <cell r="AB163" t="e">
            <v>#N/A</v>
          </cell>
          <cell r="AC163" t="e">
            <v>#N/A</v>
          </cell>
          <cell r="AD163" t="str">
            <v>1801-06</v>
          </cell>
          <cell r="AE16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4">
          <cell r="A164" t="str">
            <v>1802-06</v>
          </cell>
          <cell r="B164">
            <v>4030</v>
          </cell>
          <cell r="C164" t="str">
            <v>DE.1.0.7.0</v>
          </cell>
          <cell r="D164" t="str">
            <v>300:58632</v>
          </cell>
          <cell r="E164">
            <v>42588.276307870372</v>
          </cell>
          <cell r="F164">
            <v>42588.276979166665</v>
          </cell>
          <cell r="G164">
            <v>0</v>
          </cell>
          <cell r="H164" t="str">
            <v>204:843</v>
          </cell>
          <cell r="I164">
            <v>42588.287858796299</v>
          </cell>
          <cell r="J164">
            <v>0</v>
          </cell>
          <cell r="K164" t="str">
            <v>4029/4030</v>
          </cell>
          <cell r="L164" t="str">
            <v>YORK</v>
          </cell>
          <cell r="M164">
            <v>1.0879629633564036E-2</v>
          </cell>
          <cell r="N164">
            <v>15.666666672332212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https://search-rtdc-monitor-bjffxe2xuh6vdkpspy63sjmuny.us-east-1.es.amazonaws.com/_plugin/kibana/#/discover/Steve-Slow-Train-Analysis-(2080s-and-2083s)?_g=(refreshInterval:(display:Off,section:0,value:0),time:(from:'2016-08-06 05:37:53-0600',mode:absolute,to:'2016-08-06 07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4" t="str">
            <v>N</v>
          </cell>
          <cell r="X164">
            <v>1</v>
          </cell>
          <cell r="Y164">
            <v>5.8632</v>
          </cell>
          <cell r="Z164">
            <v>8.43E-2</v>
          </cell>
          <cell r="AA164">
            <v>5.7789000000000001</v>
          </cell>
          <cell r="AB164" t="e">
            <v>#N/A</v>
          </cell>
          <cell r="AC164" t="e">
            <v>#N/A</v>
          </cell>
          <cell r="AD164" t="str">
            <v>1802-06</v>
          </cell>
          <cell r="AE16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5">
          <cell r="A165" t="str">
            <v>1803-06</v>
          </cell>
          <cell r="B165">
            <v>4029</v>
          </cell>
          <cell r="C165" t="str">
            <v>DE.1.0.7.0</v>
          </cell>
          <cell r="D165" t="str">
            <v>204:1123</v>
          </cell>
          <cell r="E165">
            <v>42588.290219907409</v>
          </cell>
          <cell r="F165">
            <v>42588.291041666664</v>
          </cell>
          <cell r="G165">
            <v>1</v>
          </cell>
          <cell r="H165" t="str">
            <v>300:58954</v>
          </cell>
          <cell r="I165">
            <v>42588.316527777781</v>
          </cell>
          <cell r="J165">
            <v>1</v>
          </cell>
          <cell r="K165" t="str">
            <v>4029/4030</v>
          </cell>
          <cell r="L165" t="str">
            <v>YORK</v>
          </cell>
          <cell r="M165">
            <v>2.5486111117061228E-2</v>
          </cell>
          <cell r="N165">
            <v>36.700000008568168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5" t="str">
            <v>N</v>
          </cell>
          <cell r="X165">
            <v>1</v>
          </cell>
          <cell r="Y165">
            <v>0.1123</v>
          </cell>
          <cell r="Z165">
            <v>5.8954000000000004</v>
          </cell>
          <cell r="AA165">
            <v>5.7831000000000001</v>
          </cell>
          <cell r="AB165" t="e">
            <v>#N/A</v>
          </cell>
          <cell r="AC165" t="e">
            <v>#N/A</v>
          </cell>
          <cell r="AD165" t="str">
            <v>1803-06</v>
          </cell>
          <cell r="AE16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6">
          <cell r="A166" t="str">
            <v>1804-06</v>
          </cell>
          <cell r="B166">
            <v>4030</v>
          </cell>
          <cell r="C166" t="str">
            <v>DE.1.0.7.0</v>
          </cell>
          <cell r="D166" t="str">
            <v>300:58636</v>
          </cell>
          <cell r="E166">
            <v>42588.317569444444</v>
          </cell>
          <cell r="F166">
            <v>42588.318483796298</v>
          </cell>
          <cell r="G166">
            <v>1</v>
          </cell>
          <cell r="H166" t="str">
            <v>204:892</v>
          </cell>
          <cell r="I166">
            <v>42588.329421296294</v>
          </cell>
          <cell r="J166">
            <v>0</v>
          </cell>
          <cell r="K166" t="str">
            <v>4029/4030</v>
          </cell>
          <cell r="L166" t="str">
            <v>YORK</v>
          </cell>
          <cell r="M166">
            <v>1.0937499995634425E-2</v>
          </cell>
          <cell r="N166">
            <v>15.749999993713573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https://search-rtdc-monitor-bjffxe2xuh6vdkpspy63sjmuny.us-east-1.es.amazonaws.com/_plugin/kibana/#/discover/Steve-Slow-Train-Analysis-(2080s-and-2083s)?_g=(refreshInterval:(display:Off,section:0,value:0),time:(from:'2016-08-06 06:37:18-0600',mode:absolute,to:'2016-08-06 08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6" t="str">
            <v>N</v>
          </cell>
          <cell r="X166">
            <v>1</v>
          </cell>
          <cell r="Y166">
            <v>5.8635999999999999</v>
          </cell>
          <cell r="Z166">
            <v>8.9200000000000002E-2</v>
          </cell>
          <cell r="AA166">
            <v>5.7744</v>
          </cell>
          <cell r="AB166" t="e">
            <v>#N/A</v>
          </cell>
          <cell r="AC166" t="e">
            <v>#N/A</v>
          </cell>
          <cell r="AD166" t="str">
            <v>1804-06</v>
          </cell>
          <cell r="AE16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7">
          <cell r="A167" t="str">
            <v>1805-06</v>
          </cell>
          <cell r="B167">
            <v>4029</v>
          </cell>
          <cell r="C167" t="str">
            <v>DE.1.0.7.0</v>
          </cell>
          <cell r="D167" t="str">
            <v>204:1191</v>
          </cell>
          <cell r="E167">
            <v>42588.332118055558</v>
          </cell>
          <cell r="F167">
            <v>42588.333402777775</v>
          </cell>
          <cell r="G167">
            <v>1</v>
          </cell>
          <cell r="H167" t="str">
            <v>300:58943</v>
          </cell>
          <cell r="I167">
            <v>42588.358935185184</v>
          </cell>
          <cell r="J167">
            <v>1</v>
          </cell>
          <cell r="K167" t="str">
            <v>4029/4030</v>
          </cell>
          <cell r="L167" t="str">
            <v>YORK</v>
          </cell>
          <cell r="M167">
            <v>2.5532407409627922E-2</v>
          </cell>
          <cell r="N167">
            <v>36.766666669864208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7" t="str">
            <v>N</v>
          </cell>
          <cell r="X167">
            <v>1</v>
          </cell>
          <cell r="Y167">
            <v>0.1191</v>
          </cell>
          <cell r="Z167">
            <v>5.8943000000000003</v>
          </cell>
          <cell r="AA167">
            <v>5.7751999999999999</v>
          </cell>
          <cell r="AB167" t="e">
            <v>#N/A</v>
          </cell>
          <cell r="AC167" t="e">
            <v>#N/A</v>
          </cell>
          <cell r="AD167" t="str">
            <v>1805-06</v>
          </cell>
          <cell r="AE16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8">
          <cell r="A168" t="str">
            <v>1806-06</v>
          </cell>
          <cell r="B168">
            <v>4030</v>
          </cell>
          <cell r="C168" t="str">
            <v>DE.1.0.7.0</v>
          </cell>
          <cell r="D168" t="str">
            <v>300:58624</v>
          </cell>
          <cell r="E168">
            <v>42588.360092592593</v>
          </cell>
          <cell r="F168">
            <v>42588.361157407409</v>
          </cell>
          <cell r="G168">
            <v>1</v>
          </cell>
          <cell r="H168" t="str">
            <v>204:841</v>
          </cell>
          <cell r="I168">
            <v>42588.371006944442</v>
          </cell>
          <cell r="J168">
            <v>0</v>
          </cell>
          <cell r="K168" t="str">
            <v>4029/4030</v>
          </cell>
          <cell r="L168" t="str">
            <v>YORK</v>
          </cell>
          <cell r="M168">
            <v>9.8495370330056176E-3</v>
          </cell>
          <cell r="N168">
            <v>14.183333327528089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https://search-rtdc-monitor-bjffxe2xuh6vdkpspy63sjmuny.us-east-1.es.amazonaws.com/_plugin/kibana/#/discover/Steve-Slow-Train-Analysis-(2080s-and-2083s)?_g=(refreshInterval:(display:Off,section:0,value:0),time:(from:'2016-08-06 07:38:32-0600',mode:absolute,to:'2016-08-06 09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8" t="str">
            <v>N</v>
          </cell>
          <cell r="X168">
            <v>1</v>
          </cell>
          <cell r="Y168">
            <v>5.8624000000000001</v>
          </cell>
          <cell r="Z168">
            <v>8.4099999999999994E-2</v>
          </cell>
          <cell r="AA168">
            <v>5.7782999999999998</v>
          </cell>
          <cell r="AB168" t="e">
            <v>#N/A</v>
          </cell>
          <cell r="AC168" t="e">
            <v>#N/A</v>
          </cell>
          <cell r="AD168" t="str">
            <v>1806-06</v>
          </cell>
          <cell r="AE16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9">
          <cell r="A169" t="str">
            <v>1807-06</v>
          </cell>
          <cell r="B169">
            <v>4029</v>
          </cell>
          <cell r="C169" t="str">
            <v>DE.1.0.7.0</v>
          </cell>
          <cell r="D169" t="str">
            <v>204:1147</v>
          </cell>
          <cell r="E169">
            <v>42588.372928240744</v>
          </cell>
          <cell r="F169">
            <v>42588.373726851853</v>
          </cell>
          <cell r="G169">
            <v>1</v>
          </cell>
          <cell r="H169" t="str">
            <v>300:58943</v>
          </cell>
          <cell r="I169">
            <v>42588.399444444447</v>
          </cell>
          <cell r="J169">
            <v>0</v>
          </cell>
          <cell r="K169" t="str">
            <v>4029/4030</v>
          </cell>
          <cell r="L169" t="str">
            <v>YORK</v>
          </cell>
          <cell r="M169">
            <v>2.5717592594446614E-2</v>
          </cell>
          <cell r="N169">
            <v>37.033333336003125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https://search-rtdc-monitor-bjffxe2xuh6vdkpspy63sjmuny.us-east-1.es.amazonaws.com/_plugin/kibana/#/discover/Steve-Slow-Train-Analysis-(2080s-and-2083s)?_g=(refreshInterval:(display:Off,section:0,value:0),time:(from:'2016-08-06 07:57:01-0600',mode:absolute,to:'2016-08-06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9" t="str">
            <v>N</v>
          </cell>
          <cell r="X169">
            <v>1</v>
          </cell>
          <cell r="Y169">
            <v>0.1147</v>
          </cell>
          <cell r="Z169">
            <v>5.8943000000000003</v>
          </cell>
          <cell r="AA169">
            <v>5.7796000000000003</v>
          </cell>
          <cell r="AB169" t="e">
            <v>#N/A</v>
          </cell>
          <cell r="AC169" t="e">
            <v>#N/A</v>
          </cell>
          <cell r="AD169" t="str">
            <v>1807-06</v>
          </cell>
          <cell r="AE16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0">
          <cell r="A170" t="str">
            <v>1808-06</v>
          </cell>
          <cell r="B170">
            <v>4030</v>
          </cell>
          <cell r="C170" t="str">
            <v>DE.1.0.7.0</v>
          </cell>
          <cell r="D170" t="str">
            <v>300:58632</v>
          </cell>
          <cell r="E170">
            <v>42588.400706018518</v>
          </cell>
          <cell r="F170">
            <v>42588.401516203703</v>
          </cell>
          <cell r="G170">
            <v>1</v>
          </cell>
          <cell r="H170" t="str">
            <v>300:14044</v>
          </cell>
          <cell r="I170">
            <v>42588.409918981481</v>
          </cell>
          <cell r="J170">
            <v>0</v>
          </cell>
          <cell r="K170" t="str">
            <v>4029/4030</v>
          </cell>
          <cell r="L170" t="str">
            <v>YORK</v>
          </cell>
          <cell r="M170">
            <v>8.4027777775190771E-3</v>
          </cell>
          <cell r="N170">
            <v>12.099999999627471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https://search-rtdc-monitor-bjffxe2xuh6vdkpspy63sjmuny.us-east-1.es.amazonaws.com/_plugin/kibana/#/discover/Steve-Slow-Train-Analysis-(2080s-and-2083s)?_g=(refreshInterval:(display:Off,section:0,value:0),time:(from:'2016-08-06 08:37:01-0600',mode:absolute,to:'2016-08-06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0" t="str">
            <v>N</v>
          </cell>
          <cell r="X170">
            <v>1</v>
          </cell>
          <cell r="Y170">
            <v>5.8632</v>
          </cell>
          <cell r="Z170">
            <v>0.08</v>
          </cell>
          <cell r="AA170">
            <v>5.7831999999999999</v>
          </cell>
          <cell r="AB170" t="e">
            <v>#N/A</v>
          </cell>
          <cell r="AC170" t="e">
            <v>#N/A</v>
          </cell>
          <cell r="AD170" t="str">
            <v>1808-06</v>
          </cell>
          <cell r="AE17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1">
          <cell r="A171" t="str">
            <v>1809-06</v>
          </cell>
          <cell r="B171">
            <v>4029</v>
          </cell>
          <cell r="C171" t="str">
            <v>DE.1.0.7.0</v>
          </cell>
          <cell r="D171" t="str">
            <v>204:1126</v>
          </cell>
          <cell r="E171">
            <v>42588.416365740741</v>
          </cell>
          <cell r="F171">
            <v>42588.417175925926</v>
          </cell>
          <cell r="G171">
            <v>1</v>
          </cell>
          <cell r="H171" t="str">
            <v>300:58933</v>
          </cell>
          <cell r="I171">
            <v>42588.441921296297</v>
          </cell>
          <cell r="J171">
            <v>0</v>
          </cell>
          <cell r="K171" t="str">
            <v>4029/4030</v>
          </cell>
          <cell r="L171" t="str">
            <v>YORK</v>
          </cell>
          <cell r="M171">
            <v>2.47453703705105E-2</v>
          </cell>
          <cell r="N171">
            <v>35.63333333353512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https://search-rtdc-monitor-bjffxe2xuh6vdkpspy63sjmuny.us-east-1.es.amazonaws.com/_plugin/kibana/#/discover/Steve-Slow-Train-Analysis-(2080s-and-2083s)?_g=(refreshInterval:(display:Off,section:0,value:0),time:(from:'2016-08-06 08:59:34-0600',mode:absolute,to:'2016-08-06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1" t="str">
            <v>N</v>
          </cell>
          <cell r="X171">
            <v>1</v>
          </cell>
          <cell r="Y171">
            <v>0.11260000000000001</v>
          </cell>
          <cell r="Z171">
            <v>5.8933</v>
          </cell>
          <cell r="AA171">
            <v>5.7807000000000004</v>
          </cell>
          <cell r="AB171" t="e">
            <v>#N/A</v>
          </cell>
          <cell r="AC171" t="e">
            <v>#N/A</v>
          </cell>
          <cell r="AD171" t="str">
            <v>1809-06</v>
          </cell>
          <cell r="AE17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2">
          <cell r="A172" t="str">
            <v>1810-06</v>
          </cell>
          <cell r="B172">
            <v>4030</v>
          </cell>
          <cell r="C172" t="str">
            <v>DE.1.0.7.0</v>
          </cell>
          <cell r="D172" t="str">
            <v>300:58619</v>
          </cell>
          <cell r="E172">
            <v>42588.442719907405</v>
          </cell>
          <cell r="F172">
            <v>42588.443414351852</v>
          </cell>
          <cell r="G172">
            <v>0</v>
          </cell>
          <cell r="H172" t="str">
            <v>204:853</v>
          </cell>
          <cell r="I172">
            <v>42588.45453703704</v>
          </cell>
          <cell r="J172">
            <v>0</v>
          </cell>
          <cell r="K172" t="str">
            <v>4029/4030</v>
          </cell>
          <cell r="L172" t="str">
            <v>YORK</v>
          </cell>
          <cell r="M172">
            <v>1.1122685187729076E-2</v>
          </cell>
          <cell r="N172">
            <v>16.016666670329869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https://search-rtdc-monitor-bjffxe2xuh6vdkpspy63sjmuny.us-east-1.es.amazonaws.com/_plugin/kibana/#/discover/Steve-Slow-Train-Analysis-(2080s-and-2083s)?_g=(refreshInterval:(display:Off,section:0,value:0),time:(from:'2016-08-06 09:37:31-0600',mode:absolute,to:'2016-08-06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2" t="str">
            <v>N</v>
          </cell>
          <cell r="X172">
            <v>1</v>
          </cell>
          <cell r="Y172">
            <v>5.8619000000000003</v>
          </cell>
          <cell r="Z172">
            <v>8.5300000000000001E-2</v>
          </cell>
          <cell r="AA172">
            <v>5.7766000000000002</v>
          </cell>
          <cell r="AB172" t="e">
            <v>#N/A</v>
          </cell>
          <cell r="AC172" t="e">
            <v>#N/A</v>
          </cell>
          <cell r="AD172" t="str">
            <v>1810-06</v>
          </cell>
          <cell r="AE17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3">
          <cell r="A173" t="str">
            <v>1811-06</v>
          </cell>
          <cell r="B173">
            <v>4029</v>
          </cell>
          <cell r="C173" t="str">
            <v>DE.1.0.7.0</v>
          </cell>
          <cell r="D173" t="str">
            <v>204:1149</v>
          </cell>
          <cell r="E173">
            <v>42588.456307870372</v>
          </cell>
          <cell r="F173">
            <v>42588.457083333335</v>
          </cell>
          <cell r="G173">
            <v>1</v>
          </cell>
          <cell r="H173" t="str">
            <v>300:58941</v>
          </cell>
          <cell r="I173">
            <v>42588.482268518521</v>
          </cell>
          <cell r="J173">
            <v>0</v>
          </cell>
          <cell r="K173" t="str">
            <v>4029/4030</v>
          </cell>
          <cell r="L173" t="str">
            <v>YORK</v>
          </cell>
          <cell r="M173">
            <v>2.5185185186273884E-2</v>
          </cell>
          <cell r="N173">
            <v>36.266666668234393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https://search-rtdc-monitor-bjffxe2xuh6vdkpspy63sjmuny.us-east-1.es.amazonaws.com/_plugin/kibana/#/discover/Steve-Slow-Train-Analysis-(2080s-and-2083s)?_g=(refreshInterval:(display:Off,section:0,value:0),time:(from:'2016-08-06 09:57:05-0600',mode:absolute,to:'2016-08-06 12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3" t="str">
            <v>N</v>
          </cell>
          <cell r="X173">
            <v>1</v>
          </cell>
          <cell r="Y173">
            <v>0.1149</v>
          </cell>
          <cell r="Z173">
            <v>5.8940999999999999</v>
          </cell>
          <cell r="AA173">
            <v>5.7791999999999994</v>
          </cell>
          <cell r="AB173" t="e">
            <v>#N/A</v>
          </cell>
          <cell r="AC173" t="e">
            <v>#N/A</v>
          </cell>
          <cell r="AD173" t="str">
            <v>1811-06</v>
          </cell>
          <cell r="AE17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4">
          <cell r="A174" t="str">
            <v>1812-06</v>
          </cell>
          <cell r="B174">
            <v>4030</v>
          </cell>
          <cell r="C174" t="str">
            <v>DE.1.0.7.0</v>
          </cell>
          <cell r="D174" t="str">
            <v>300:58621</v>
          </cell>
          <cell r="E174">
            <v>42588.483275462961</v>
          </cell>
          <cell r="F174">
            <v>42588.4841087963</v>
          </cell>
          <cell r="G174">
            <v>1</v>
          </cell>
          <cell r="H174" t="str">
            <v>204:846</v>
          </cell>
          <cell r="I174">
            <v>42588.496354166666</v>
          </cell>
          <cell r="J174">
            <v>0</v>
          </cell>
          <cell r="K174" t="str">
            <v>4029/4030</v>
          </cell>
          <cell r="L174" t="str">
            <v>YORK</v>
          </cell>
          <cell r="M174">
            <v>1.2245370366144925E-2</v>
          </cell>
          <cell r="N174">
            <v>17.633333327248693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https://search-rtdc-monitor-bjffxe2xuh6vdkpspy63sjmuny.us-east-1.es.amazonaws.com/_plugin/kibana/#/discover/Steve-Slow-Train-Analysis-(2080s-and-2083s)?_g=(refreshInterval:(display:Off,section:0,value:0),time:(from:'2016-08-06 10:35:55-0600',mode:absolute,to:'2016-08-06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4" t="str">
            <v>N</v>
          </cell>
          <cell r="X174">
            <v>1</v>
          </cell>
          <cell r="Y174">
            <v>5.8620999999999999</v>
          </cell>
          <cell r="Z174">
            <v>8.4599999999999995E-2</v>
          </cell>
          <cell r="AA174">
            <v>5.7774999999999999</v>
          </cell>
          <cell r="AB174" t="e">
            <v>#N/A</v>
          </cell>
          <cell r="AC174" t="e">
            <v>#N/A</v>
          </cell>
          <cell r="AD174" t="str">
            <v>1812-06</v>
          </cell>
          <cell r="AE17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5">
          <cell r="A175" t="str">
            <v>1813-06</v>
          </cell>
          <cell r="B175">
            <v>4029</v>
          </cell>
          <cell r="C175" t="str">
            <v>DE.1.0.7.0</v>
          </cell>
          <cell r="D175" t="str">
            <v>204:1144</v>
          </cell>
          <cell r="E175">
            <v>42588.497615740744</v>
          </cell>
          <cell r="F175">
            <v>42588.498425925929</v>
          </cell>
          <cell r="G175">
            <v>1</v>
          </cell>
          <cell r="H175" t="str">
            <v>300:58946</v>
          </cell>
          <cell r="I175">
            <v>42588.524513888886</v>
          </cell>
          <cell r="J175">
            <v>0</v>
          </cell>
          <cell r="K175" t="str">
            <v>4029/4030</v>
          </cell>
          <cell r="L175" t="str">
            <v>YORK</v>
          </cell>
          <cell r="M175">
            <v>2.6087962956808042E-2</v>
          </cell>
          <cell r="N175">
            <v>37.56666665780358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https://search-rtdc-monitor-bjffxe2xuh6vdkpspy63sjmuny.us-east-1.es.amazonaws.com/_plugin/kibana/#/discover/Steve-Slow-Train-Analysis-(2080s-and-2083s)?_g=(refreshInterval:(display:Off,section:0,value:0),time:(from:'2016-08-06 10:56:34-0600',mode:absolute,to:'2016-08-06 13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5" t="str">
            <v>N</v>
          </cell>
          <cell r="X175">
            <v>1</v>
          </cell>
          <cell r="Y175">
            <v>0.1144</v>
          </cell>
          <cell r="Z175">
            <v>5.8945999999999996</v>
          </cell>
          <cell r="AA175">
            <v>5.7801999999999998</v>
          </cell>
          <cell r="AB175" t="e">
            <v>#N/A</v>
          </cell>
          <cell r="AC175" t="e">
            <v>#N/A</v>
          </cell>
          <cell r="AD175" t="str">
            <v>1813-06</v>
          </cell>
          <cell r="AE17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6">
          <cell r="A176" t="str">
            <v>1814-06</v>
          </cell>
          <cell r="B176">
            <v>4030</v>
          </cell>
          <cell r="C176" t="str">
            <v>DE.1.0.7.0</v>
          </cell>
          <cell r="D176" t="str">
            <v>300:58626</v>
          </cell>
          <cell r="E176">
            <v>42588.526458333334</v>
          </cell>
          <cell r="F176">
            <v>42588.527337962965</v>
          </cell>
          <cell r="G176">
            <v>1</v>
          </cell>
          <cell r="H176" t="str">
            <v>204:853</v>
          </cell>
          <cell r="I176">
            <v>42588.538576388892</v>
          </cell>
          <cell r="J176">
            <v>1</v>
          </cell>
          <cell r="K176" t="str">
            <v>4029/4030</v>
          </cell>
          <cell r="L176" t="str">
            <v>YORK</v>
          </cell>
          <cell r="M176">
            <v>1.1238425926421769E-2</v>
          </cell>
          <cell r="N176">
            <v>16.183333334047347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6" t="str">
            <v>N</v>
          </cell>
          <cell r="X176">
            <v>1</v>
          </cell>
          <cell r="Y176">
            <v>5.8625999999999996</v>
          </cell>
          <cell r="Z176">
            <v>8.5300000000000001E-2</v>
          </cell>
          <cell r="AA176">
            <v>5.7772999999999994</v>
          </cell>
          <cell r="AB176" t="e">
            <v>#N/A</v>
          </cell>
          <cell r="AC176" t="e">
            <v>#N/A</v>
          </cell>
          <cell r="AD176" t="str">
            <v>1814-06</v>
          </cell>
          <cell r="AE17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7">
          <cell r="A177" t="str">
            <v>1815-06</v>
          </cell>
          <cell r="B177">
            <v>4029</v>
          </cell>
          <cell r="C177" t="str">
            <v>DE.1.0.7.0</v>
          </cell>
          <cell r="D177" t="str">
            <v>204:1133</v>
          </cell>
          <cell r="E177">
            <v>42588.540578703702</v>
          </cell>
          <cell r="F177">
            <v>42588.541284722225</v>
          </cell>
          <cell r="G177">
            <v>1</v>
          </cell>
          <cell r="H177" t="str">
            <v>300:58939</v>
          </cell>
          <cell r="I177">
            <v>42588.566423611112</v>
          </cell>
          <cell r="J177">
            <v>0</v>
          </cell>
          <cell r="K177" t="str">
            <v>4029/4030</v>
          </cell>
          <cell r="L177" t="str">
            <v>YORK</v>
          </cell>
          <cell r="M177">
            <v>2.5138888886431232E-2</v>
          </cell>
          <cell r="N177">
            <v>36.199999996460974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https://search-rtdc-monitor-bjffxe2xuh6vdkpspy63sjmuny.us-east-1.es.amazonaws.com/_plugin/kibana/#/discover/Steve-Slow-Train-Analysis-(2080s-and-2083s)?_g=(refreshInterval:(display:Off,section:0,value:0),time:(from:'2016-08-06 11:58:26-0600',mode:absolute,to:'2016-08-06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7" t="str">
            <v>N</v>
          </cell>
          <cell r="X177">
            <v>1</v>
          </cell>
          <cell r="Y177">
            <v>0.1133</v>
          </cell>
          <cell r="Z177">
            <v>5.8939000000000004</v>
          </cell>
          <cell r="AA177">
            <v>5.7806000000000006</v>
          </cell>
          <cell r="AB177" t="e">
            <v>#N/A</v>
          </cell>
          <cell r="AC177" t="e">
            <v>#N/A</v>
          </cell>
          <cell r="AD177" t="str">
            <v>1815-06</v>
          </cell>
          <cell r="AE17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8">
          <cell r="A178" t="str">
            <v>1816-06</v>
          </cell>
          <cell r="B178">
            <v>4030</v>
          </cell>
          <cell r="C178" t="str">
            <v>DE.1.0.7.0</v>
          </cell>
          <cell r="D178" t="str">
            <v>300:58630</v>
          </cell>
          <cell r="E178">
            <v>42588.567430555559</v>
          </cell>
          <cell r="F178">
            <v>42588.568287037036</v>
          </cell>
          <cell r="G178">
            <v>1</v>
          </cell>
          <cell r="H178" t="str">
            <v>204:855</v>
          </cell>
          <cell r="I178">
            <v>42588.579560185186</v>
          </cell>
          <cell r="J178">
            <v>0</v>
          </cell>
          <cell r="K178" t="str">
            <v>4029/4030</v>
          </cell>
          <cell r="L178" t="str">
            <v>YORK</v>
          </cell>
          <cell r="M178">
            <v>1.1273148149484769E-2</v>
          </cell>
          <cell r="N178">
            <v>16.233333335258067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https://search-rtdc-monitor-bjffxe2xuh6vdkpspy63sjmuny.us-east-1.es.amazonaws.com/_plugin/kibana/#/discover/Steve-Slow-Train-Analysis-(2080s-and-2083s)?_g=(refreshInterval:(display:Off,section:0,value:0),time:(from:'2016-08-06 12:37:06-0600',mode:absolute,to:'2016-08-06 14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8" t="str">
            <v>N</v>
          </cell>
          <cell r="X178">
            <v>1</v>
          </cell>
          <cell r="Y178">
            <v>5.8630000000000004</v>
          </cell>
          <cell r="Z178">
            <v>8.5500000000000007E-2</v>
          </cell>
          <cell r="AA178">
            <v>5.7775000000000007</v>
          </cell>
          <cell r="AB178" t="e">
            <v>#N/A</v>
          </cell>
          <cell r="AC178" t="e">
            <v>#N/A</v>
          </cell>
          <cell r="AD178" t="str">
            <v>1816-06</v>
          </cell>
          <cell r="AE17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9">
          <cell r="A179" t="str">
            <v>1817-06</v>
          </cell>
          <cell r="B179">
            <v>4029</v>
          </cell>
          <cell r="C179" t="str">
            <v>DE.1.0.7.0</v>
          </cell>
          <cell r="D179" t="str">
            <v>204:1163</v>
          </cell>
          <cell r="E179">
            <v>42588.582743055558</v>
          </cell>
          <cell r="F179">
            <v>42588.58390046296</v>
          </cell>
          <cell r="G179">
            <v>1</v>
          </cell>
          <cell r="H179" t="str">
            <v>300:58901</v>
          </cell>
          <cell r="I179">
            <v>42588.608067129629</v>
          </cell>
          <cell r="J179">
            <v>0</v>
          </cell>
          <cell r="K179" t="str">
            <v>4029/4030</v>
          </cell>
          <cell r="L179" t="str">
            <v>KILLION</v>
          </cell>
          <cell r="M179">
            <v>2.4166666669771075E-2</v>
          </cell>
          <cell r="N179">
            <v>34.800000004470348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https://search-rtdc-monitor-bjffxe2xuh6vdkpspy63sjmuny.us-east-1.es.amazonaws.com/_plugin/kibana/#/discover/Steve-Slow-Train-Analysis-(2080s-and-2083s)?_g=(refreshInterval:(display:Off,section:0,value:0),time:(from:'2016-08-06 12:59:09-0600',mode:absolute,to:'2016-08-06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9" t="str">
            <v>N</v>
          </cell>
          <cell r="X179">
            <v>1</v>
          </cell>
          <cell r="Y179">
            <v>0.1163</v>
          </cell>
          <cell r="Z179">
            <v>5.8901000000000003</v>
          </cell>
          <cell r="AA179">
            <v>5.7738000000000005</v>
          </cell>
          <cell r="AB179" t="e">
            <v>#N/A</v>
          </cell>
          <cell r="AC179" t="e">
            <v>#N/A</v>
          </cell>
          <cell r="AD179" t="str">
            <v>1817-06</v>
          </cell>
          <cell r="AE17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0">
          <cell r="A180" t="str">
            <v>1818-06</v>
          </cell>
          <cell r="B180">
            <v>4030</v>
          </cell>
          <cell r="C180" t="str">
            <v>DE.1.0.7.0</v>
          </cell>
          <cell r="D180" t="str">
            <v>300:58587</v>
          </cell>
          <cell r="E180">
            <v>42588.609282407408</v>
          </cell>
          <cell r="F180">
            <v>42588.610381944447</v>
          </cell>
          <cell r="G180">
            <v>1</v>
          </cell>
          <cell r="H180" t="str">
            <v>204:631</v>
          </cell>
          <cell r="I180">
            <v>42588.621666666666</v>
          </cell>
          <cell r="J180">
            <v>0</v>
          </cell>
          <cell r="K180" t="str">
            <v>4029/4030</v>
          </cell>
          <cell r="L180" t="str">
            <v>KILLION</v>
          </cell>
          <cell r="M180">
            <v>1.1284722218988463E-2</v>
          </cell>
          <cell r="N180">
            <v>16.249999995343387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https://search-rtdc-monitor-bjffxe2xuh6vdkpspy63sjmuny.us-east-1.es.amazonaws.com/_plugin/kibana/#/discover/Steve-Slow-Train-Analysis-(2080s-and-2083s)?_g=(refreshInterval:(display:Off,section:0,value:0),time:(from:'2016-08-06 13:37:22-0600',mode:absolute,to:'2016-08-06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0" t="str">
            <v>N</v>
          </cell>
          <cell r="X180">
            <v>1</v>
          </cell>
          <cell r="Y180">
            <v>5.8586999999999998</v>
          </cell>
          <cell r="Z180">
            <v>6.3100000000000003E-2</v>
          </cell>
          <cell r="AA180">
            <v>5.7955999999999994</v>
          </cell>
          <cell r="AB180" t="e">
            <v>#N/A</v>
          </cell>
          <cell r="AC180" t="e">
            <v>#N/A</v>
          </cell>
          <cell r="AD180" t="str">
            <v>1818-06</v>
          </cell>
          <cell r="AE18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1">
          <cell r="A181" t="str">
            <v>1819-06</v>
          </cell>
          <cell r="B181">
            <v>4029</v>
          </cell>
          <cell r="C181" t="str">
            <v>DE.1.0.7.0</v>
          </cell>
          <cell r="D181" t="str">
            <v>204:920</v>
          </cell>
          <cell r="E181">
            <v>42588.625949074078</v>
          </cell>
          <cell r="F181">
            <v>42588.626967592594</v>
          </cell>
          <cell r="G181">
            <v>1</v>
          </cell>
          <cell r="H181" t="str">
            <v>300:58918</v>
          </cell>
          <cell r="I181">
            <v>42588.649502314816</v>
          </cell>
          <cell r="J181">
            <v>0</v>
          </cell>
          <cell r="K181" t="str">
            <v>4029/4030</v>
          </cell>
          <cell r="L181" t="str">
            <v>KILLION</v>
          </cell>
          <cell r="M181">
            <v>2.2534722222189885E-2</v>
          </cell>
          <cell r="N181">
            <v>32.449999999953434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https://search-rtdc-monitor-bjffxe2xuh6vdkpspy63sjmuny.us-east-1.es.amazonaws.com/_plugin/kibana/#/discover/Steve-Slow-Train-Analysis-(2080s-and-2083s)?_g=(refreshInterval:(display:Off,section:0,value:0),time:(from:'2016-08-06 14:01:22-0600',mode:absolute,to:'2016-08-06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1" t="str">
            <v>N</v>
          </cell>
          <cell r="X181">
            <v>1</v>
          </cell>
          <cell r="Y181">
            <v>9.1999999999999998E-2</v>
          </cell>
          <cell r="Z181">
            <v>5.8917999999999999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1819-06</v>
          </cell>
          <cell r="AE18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2">
          <cell r="A182" t="str">
            <v>1820-06</v>
          </cell>
          <cell r="B182">
            <v>4030</v>
          </cell>
          <cell r="C182" t="str">
            <v>DE.1.0.7.0</v>
          </cell>
          <cell r="D182" t="str">
            <v>300:58596</v>
          </cell>
          <cell r="E182">
            <v>42588.650902777779</v>
          </cell>
          <cell r="F182">
            <v>42588.651643518519</v>
          </cell>
          <cell r="G182">
            <v>1</v>
          </cell>
          <cell r="H182" t="str">
            <v>204:638</v>
          </cell>
          <cell r="I182">
            <v>42588.663402777776</v>
          </cell>
          <cell r="J182">
            <v>0</v>
          </cell>
          <cell r="K182" t="str">
            <v>4029/4030</v>
          </cell>
          <cell r="L182" t="str">
            <v>KILLION</v>
          </cell>
          <cell r="M182">
            <v>1.1759259257814847E-2</v>
          </cell>
          <cell r="N182">
            <v>16.93333333125338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https://search-rtdc-monitor-bjffxe2xuh6vdkpspy63sjmuny.us-east-1.es.amazonaws.com/_plugin/kibana/#/discover/Steve-Slow-Train-Analysis-(2080s-and-2083s)?_g=(refreshInterval:(display:Off,section:0,value:0),time:(from:'2016-08-06 14:37:18-0600',mode:absolute,to:'2016-08-06 16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2" t="str">
            <v>N</v>
          </cell>
          <cell r="X182">
            <v>1</v>
          </cell>
          <cell r="Y182">
            <v>5.8596000000000004</v>
          </cell>
          <cell r="Z182">
            <v>6.3799999999999996E-2</v>
          </cell>
          <cell r="AA182">
            <v>5.7958000000000007</v>
          </cell>
          <cell r="AB182" t="e">
            <v>#N/A</v>
          </cell>
          <cell r="AC182" t="e">
            <v>#N/A</v>
          </cell>
          <cell r="AD182" t="str">
            <v>1820-06</v>
          </cell>
          <cell r="AE18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3">
          <cell r="A183" t="str">
            <v>1821-06</v>
          </cell>
          <cell r="B183">
            <v>4029</v>
          </cell>
          <cell r="C183" t="str">
            <v>DE.1.0.7.0</v>
          </cell>
          <cell r="D183" t="str">
            <v>204:937</v>
          </cell>
          <cell r="E183">
            <v>42588.665578703702</v>
          </cell>
          <cell r="F183">
            <v>42588.666805555556</v>
          </cell>
          <cell r="G183">
            <v>1</v>
          </cell>
          <cell r="H183" t="str">
            <v>300:58920</v>
          </cell>
          <cell r="I183">
            <v>42588.69122685185</v>
          </cell>
          <cell r="J183">
            <v>0</v>
          </cell>
          <cell r="K183" t="str">
            <v>4029/4030</v>
          </cell>
          <cell r="L183" t="str">
            <v>KILLION</v>
          </cell>
          <cell r="M183">
            <v>2.4421296293439809E-2</v>
          </cell>
          <cell r="N183">
            <v>35.166666662553325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https://search-rtdc-monitor-bjffxe2xuh6vdkpspy63sjmuny.us-east-1.es.amazonaws.com/_plugin/kibana/#/discover/Steve-Slow-Train-Analysis-(2080s-and-2083s)?_g=(refreshInterval:(display:Off,section:0,value:0),time:(from:'2016-08-06 14:58:26-0600',mode:absolute,to:'2016-08-06 17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3" t="str">
            <v>N</v>
          </cell>
          <cell r="X183">
            <v>1</v>
          </cell>
          <cell r="Y183">
            <v>9.3700000000000006E-2</v>
          </cell>
          <cell r="Z183">
            <v>5.8920000000000003</v>
          </cell>
          <cell r="AA183">
            <v>5.7983000000000002</v>
          </cell>
          <cell r="AB183" t="e">
            <v>#N/A</v>
          </cell>
          <cell r="AC183" t="e">
            <v>#N/A</v>
          </cell>
          <cell r="AD183" t="str">
            <v>1821-06</v>
          </cell>
          <cell r="AE18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4">
          <cell r="A184" t="str">
            <v>1822-06</v>
          </cell>
          <cell r="B184">
            <v>4030</v>
          </cell>
          <cell r="C184" t="str">
            <v>DE.1.0.7.0</v>
          </cell>
          <cell r="D184" t="str">
            <v>300:58598</v>
          </cell>
          <cell r="E184">
            <v>42588.692303240743</v>
          </cell>
          <cell r="F184">
            <v>42588.693148148152</v>
          </cell>
          <cell r="G184">
            <v>1</v>
          </cell>
          <cell r="H184" t="str">
            <v>204:635</v>
          </cell>
          <cell r="I184">
            <v>42588.719282407408</v>
          </cell>
          <cell r="J184">
            <v>1</v>
          </cell>
          <cell r="K184" t="str">
            <v>4029/4030</v>
          </cell>
          <cell r="L184" t="str">
            <v>KILLION</v>
          </cell>
          <cell r="M184">
            <v>2.6134259256650694E-2</v>
          </cell>
          <cell r="N184">
            <v>37.633333329576999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4" t="str">
            <v>N</v>
          </cell>
          <cell r="X184">
            <v>1</v>
          </cell>
          <cell r="Y184">
            <v>5.8597999999999999</v>
          </cell>
          <cell r="Z184">
            <v>6.3500000000000001E-2</v>
          </cell>
          <cell r="AA184">
            <v>5.7962999999999996</v>
          </cell>
          <cell r="AB184" t="e">
            <v>#N/A</v>
          </cell>
          <cell r="AC184" t="e">
            <v>#N/A</v>
          </cell>
          <cell r="AD184" t="str">
            <v>1822-06</v>
          </cell>
          <cell r="AE18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5">
          <cell r="A185" t="str">
            <v>1823-06</v>
          </cell>
          <cell r="B185">
            <v>4029</v>
          </cell>
          <cell r="C185" t="str">
            <v>DE.1.0.7.0</v>
          </cell>
          <cell r="D185" t="str">
            <v>204:939</v>
          </cell>
          <cell r="E185">
            <v>42588.707337962966</v>
          </cell>
          <cell r="F185">
            <v>42588.708182870374</v>
          </cell>
          <cell r="G185">
            <v>1</v>
          </cell>
          <cell r="H185" t="str">
            <v>300:58909</v>
          </cell>
          <cell r="I185">
            <v>42588.733078703706</v>
          </cell>
          <cell r="J185">
            <v>0</v>
          </cell>
          <cell r="K185" t="str">
            <v>4029/4030</v>
          </cell>
          <cell r="L185" t="str">
            <v>KILLION</v>
          </cell>
          <cell r="M185">
            <v>2.4895833332266193E-2</v>
          </cell>
          <cell r="N185">
            <v>35.849999998463318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https://search-rtdc-monitor-bjffxe2xuh6vdkpspy63sjmuny.us-east-1.es.amazonaws.com/_plugin/kibana/#/discover/Steve-Slow-Train-Analysis-(2080s-and-2083s)?_g=(refreshInterval:(display:Off,section:0,value:0),time:(from:'2016-08-06 15:58:34-0600',mode:absolute,to:'2016-08-06 18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5" t="str">
            <v>N</v>
          </cell>
          <cell r="X185">
            <v>1</v>
          </cell>
          <cell r="Y185">
            <v>9.3899999999999997E-2</v>
          </cell>
          <cell r="Z185">
            <v>5.8909000000000002</v>
          </cell>
          <cell r="AA185">
            <v>5.7970000000000006</v>
          </cell>
          <cell r="AB185" t="e">
            <v>#N/A</v>
          </cell>
          <cell r="AC185" t="e">
            <v>#N/A</v>
          </cell>
          <cell r="AD185" t="str">
            <v>1823-06</v>
          </cell>
          <cell r="AE18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6">
          <cell r="A186" t="str">
            <v>1824-06</v>
          </cell>
          <cell r="B186">
            <v>4030</v>
          </cell>
          <cell r="C186" t="str">
            <v>DE.1.0.7.0</v>
          </cell>
          <cell r="D186" t="str">
            <v>300:58596</v>
          </cell>
          <cell r="E186">
            <v>42588.734120370369</v>
          </cell>
          <cell r="F186">
            <v>42588.734953703701</v>
          </cell>
          <cell r="G186">
            <v>1</v>
          </cell>
          <cell r="H186" t="str">
            <v>204:663</v>
          </cell>
          <cell r="I186">
            <v>42588.747453703705</v>
          </cell>
          <cell r="J186">
            <v>2</v>
          </cell>
          <cell r="K186" t="str">
            <v>4029/4030</v>
          </cell>
          <cell r="L186" t="str">
            <v>KILLION</v>
          </cell>
          <cell r="M186">
            <v>1.2500000004365575E-2</v>
          </cell>
          <cell r="N186">
            <v>18.000000006286427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6.6299999999999998E-2</v>
          </cell>
          <cell r="AA186">
            <v>5.7933000000000003</v>
          </cell>
          <cell r="AB186" t="e">
            <v>#N/A</v>
          </cell>
          <cell r="AC186" t="e">
            <v>#N/A</v>
          </cell>
          <cell r="AD186" t="str">
            <v>1824-06</v>
          </cell>
          <cell r="AE18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7">
          <cell r="A187" t="str">
            <v>1825-06</v>
          </cell>
          <cell r="B187">
            <v>4029</v>
          </cell>
          <cell r="C187" t="str">
            <v>DE.1.0.7.0</v>
          </cell>
          <cell r="D187" t="str">
            <v>204:951</v>
          </cell>
          <cell r="E187">
            <v>42588.750138888892</v>
          </cell>
          <cell r="F187">
            <v>42588.751597222225</v>
          </cell>
          <cell r="G187">
            <v>2</v>
          </cell>
          <cell r="H187" t="str">
            <v>300:58911</v>
          </cell>
          <cell r="I187">
            <v>42588.775127314817</v>
          </cell>
          <cell r="J187">
            <v>1</v>
          </cell>
          <cell r="K187" t="str">
            <v>4029/4030</v>
          </cell>
          <cell r="L187" t="str">
            <v>KILLION</v>
          </cell>
          <cell r="M187">
            <v>2.3530092592409346E-2</v>
          </cell>
          <cell r="N187">
            <v>33.883333333069459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7" t="str">
            <v>N</v>
          </cell>
          <cell r="X187">
            <v>1</v>
          </cell>
          <cell r="Y187">
            <v>9.5100000000000004E-2</v>
          </cell>
          <cell r="Z187">
            <v>5.8910999999999998</v>
          </cell>
          <cell r="AA187">
            <v>5.7959999999999994</v>
          </cell>
          <cell r="AB187" t="e">
            <v>#N/A</v>
          </cell>
          <cell r="AC187" t="e">
            <v>#N/A</v>
          </cell>
          <cell r="AD187" t="str">
            <v>1825-06</v>
          </cell>
          <cell r="AE18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8">
          <cell r="A188" t="str">
            <v>1826-06</v>
          </cell>
          <cell r="B188">
            <v>4030</v>
          </cell>
          <cell r="C188" t="str">
            <v>DE.1.0.7.0</v>
          </cell>
          <cell r="D188" t="str">
            <v>300:58585</v>
          </cell>
          <cell r="E188">
            <v>42588.776469907411</v>
          </cell>
          <cell r="F188">
            <v>42588.777245370373</v>
          </cell>
          <cell r="G188">
            <v>1</v>
          </cell>
          <cell r="H188" t="str">
            <v>204:782</v>
          </cell>
          <cell r="I188">
            <v>42588.788738425923</v>
          </cell>
          <cell r="J188">
            <v>2</v>
          </cell>
          <cell r="K188" t="str">
            <v>4029/4030</v>
          </cell>
          <cell r="L188" t="str">
            <v>KILLION</v>
          </cell>
          <cell r="M188">
            <v>1.1493055550090503E-2</v>
          </cell>
          <cell r="N188">
            <v>16.549999992130324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8" t="str">
            <v>N</v>
          </cell>
          <cell r="X188">
            <v>1</v>
          </cell>
          <cell r="Y188">
            <v>5.8585000000000003</v>
          </cell>
          <cell r="Z188">
            <v>7.8200000000000006E-2</v>
          </cell>
          <cell r="AA188">
            <v>5.7803000000000004</v>
          </cell>
          <cell r="AB188" t="e">
            <v>#N/A</v>
          </cell>
          <cell r="AC188" t="e">
            <v>#N/A</v>
          </cell>
          <cell r="AD188" t="str">
            <v>1826-06</v>
          </cell>
          <cell r="AE18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9">
          <cell r="A189" t="str">
            <v>1827-06</v>
          </cell>
          <cell r="B189">
            <v>4029</v>
          </cell>
          <cell r="C189" t="str">
            <v>DE.1.0.7.0</v>
          </cell>
          <cell r="D189" t="str">
            <v>204:1074</v>
          </cell>
          <cell r="E189">
            <v>42588.790671296294</v>
          </cell>
          <cell r="F189">
            <v>42588.79142361111</v>
          </cell>
          <cell r="G189">
            <v>1</v>
          </cell>
          <cell r="H189" t="str">
            <v>300:58916</v>
          </cell>
          <cell r="I189">
            <v>42588.816157407404</v>
          </cell>
          <cell r="J189">
            <v>1</v>
          </cell>
          <cell r="K189" t="str">
            <v>4029/4030</v>
          </cell>
          <cell r="L189" t="str">
            <v>KILLION</v>
          </cell>
          <cell r="M189">
            <v>2.4733796293730848E-2</v>
          </cell>
          <cell r="N189">
            <v>35.61666666297242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9" t="str">
            <v>N</v>
          </cell>
          <cell r="X189">
            <v>1</v>
          </cell>
          <cell r="Y189">
            <v>0.1074</v>
          </cell>
          <cell r="Z189">
            <v>5.8916000000000004</v>
          </cell>
          <cell r="AA189">
            <v>5.7842000000000002</v>
          </cell>
          <cell r="AB189" t="e">
            <v>#N/A</v>
          </cell>
          <cell r="AC189" t="e">
            <v>#N/A</v>
          </cell>
          <cell r="AD189" t="str">
            <v>1827-06</v>
          </cell>
          <cell r="AE18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0">
          <cell r="A190" t="str">
            <v>1828-06</v>
          </cell>
          <cell r="B190">
            <v>4030</v>
          </cell>
          <cell r="C190" t="str">
            <v>DE.1.0.7.0</v>
          </cell>
          <cell r="D190" t="str">
            <v>300:58598</v>
          </cell>
          <cell r="E190">
            <v>42588.817395833335</v>
          </cell>
          <cell r="F190">
            <v>42588.818194444444</v>
          </cell>
          <cell r="G190">
            <v>1</v>
          </cell>
          <cell r="H190" t="str">
            <v>204:650</v>
          </cell>
          <cell r="I190">
            <v>42588.830601851849</v>
          </cell>
          <cell r="J190">
            <v>1</v>
          </cell>
          <cell r="K190" t="str">
            <v>4029/4030</v>
          </cell>
          <cell r="L190" t="str">
            <v>KILLION</v>
          </cell>
          <cell r="M190">
            <v>1.2407407404680271E-2</v>
          </cell>
          <cell r="N190">
            <v>17.86666666273959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0" t="str">
            <v>N</v>
          </cell>
          <cell r="X190">
            <v>1</v>
          </cell>
          <cell r="Y190">
            <v>5.8597999999999999</v>
          </cell>
          <cell r="Z190">
            <v>6.5000000000000002E-2</v>
          </cell>
          <cell r="AA190">
            <v>5.7947999999999995</v>
          </cell>
          <cell r="AB190" t="e">
            <v>#N/A</v>
          </cell>
          <cell r="AC190" t="e">
            <v>#N/A</v>
          </cell>
          <cell r="AD190" t="str">
            <v>1828-06</v>
          </cell>
          <cell r="AE19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1">
          <cell r="A191" t="str">
            <v>1829-06</v>
          </cell>
          <cell r="B191">
            <v>4029</v>
          </cell>
          <cell r="C191" t="str">
            <v>DE.1.0.7.0</v>
          </cell>
          <cell r="D191" t="str">
            <v>204:946</v>
          </cell>
          <cell r="E191">
            <v>42588.832766203705</v>
          </cell>
          <cell r="F191">
            <v>42588.83353009259</v>
          </cell>
          <cell r="G191">
            <v>1</v>
          </cell>
          <cell r="H191" t="str">
            <v>300:58912</v>
          </cell>
          <cell r="I191">
            <v>42588.858530092592</v>
          </cell>
          <cell r="J191">
            <v>1</v>
          </cell>
          <cell r="K191" t="str">
            <v>4029/4030</v>
          </cell>
          <cell r="L191" t="str">
            <v>KILLION</v>
          </cell>
          <cell r="M191">
            <v>2.5000000001455192E-2</v>
          </cell>
          <cell r="N191">
            <v>36.000000002095476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5.8912000000000004</v>
          </cell>
          <cell r="AA191">
            <v>5.7966000000000006</v>
          </cell>
          <cell r="AB191" t="e">
            <v>#N/A</v>
          </cell>
          <cell r="AC191" t="e">
            <v>#N/A</v>
          </cell>
          <cell r="AD191" t="str">
            <v>1829-06</v>
          </cell>
          <cell r="AE19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2">
          <cell r="A192" t="str">
            <v>1830-06</v>
          </cell>
          <cell r="B192">
            <v>4030</v>
          </cell>
          <cell r="C192" t="str">
            <v>DE.1.0.7.0</v>
          </cell>
          <cell r="D192" t="str">
            <v>300:58600</v>
          </cell>
          <cell r="E192">
            <v>42588.859675925924</v>
          </cell>
          <cell r="F192">
            <v>42588.860451388886</v>
          </cell>
          <cell r="G192">
            <v>1</v>
          </cell>
          <cell r="H192" t="str">
            <v>204:645</v>
          </cell>
          <cell r="I192">
            <v>42588.871747685182</v>
          </cell>
          <cell r="J192">
            <v>0</v>
          </cell>
          <cell r="K192" t="str">
            <v>4029/4030</v>
          </cell>
          <cell r="L192" t="str">
            <v>KILLION</v>
          </cell>
          <cell r="M192">
            <v>1.1296296295768116E-2</v>
          </cell>
          <cell r="N192">
            <v>16.266666665906087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https://search-rtdc-monitor-bjffxe2xuh6vdkpspy63sjmuny.us-east-1.es.amazonaws.com/_plugin/kibana/#/discover/Steve-Slow-Train-Analysis-(2080s-and-2083s)?_g=(refreshInterval:(display:Off,section:0,value:0),time:(from:'2016-08-06 19:37:56-0600',mode:absolute,to:'2016-08-06 21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2" t="str">
            <v>N</v>
          </cell>
          <cell r="X192">
            <v>1</v>
          </cell>
          <cell r="Y192">
            <v>5.86</v>
          </cell>
          <cell r="Z192">
            <v>6.4500000000000002E-2</v>
          </cell>
          <cell r="AA192">
            <v>5.7955000000000005</v>
          </cell>
          <cell r="AB192" t="e">
            <v>#N/A</v>
          </cell>
          <cell r="AC192" t="e">
            <v>#N/A</v>
          </cell>
          <cell r="AD192" t="str">
            <v>1830-06</v>
          </cell>
          <cell r="AE19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3">
          <cell r="A193" t="str">
            <v>1831-06</v>
          </cell>
          <cell r="B193">
            <v>4029</v>
          </cell>
          <cell r="C193" t="str">
            <v>DE.1.0.7.0</v>
          </cell>
          <cell r="D193" t="str">
            <v>204:934</v>
          </cell>
          <cell r="E193">
            <v>42588.873425925929</v>
          </cell>
          <cell r="F193">
            <v>42588.874328703707</v>
          </cell>
          <cell r="G193">
            <v>1</v>
          </cell>
          <cell r="H193" t="str">
            <v>300:58909</v>
          </cell>
          <cell r="I193">
            <v>42588.899953703702</v>
          </cell>
          <cell r="J193">
            <v>0</v>
          </cell>
          <cell r="K193" t="str">
            <v>4029/4030</v>
          </cell>
          <cell r="L193" t="str">
            <v>KILLION</v>
          </cell>
          <cell r="M193">
            <v>2.5624999994761311E-2</v>
          </cell>
          <cell r="N193">
            <v>36.899999992456287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https://search-rtdc-monitor-bjffxe2xuh6vdkpspy63sjmuny.us-east-1.es.amazonaws.com/_plugin/kibana/#/discover/Steve-Slow-Train-Analysis-(2080s-and-2083s)?_g=(refreshInterval:(display:Off,section:0,value:0),time:(from:'2016-08-06 19:57:44-0600',mode:absolute,to:'2016-08-06 22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3" t="str">
            <v>N</v>
          </cell>
          <cell r="X193">
            <v>1</v>
          </cell>
          <cell r="Y193">
            <v>9.3399999999999997E-2</v>
          </cell>
          <cell r="Z193">
            <v>5.8909000000000002</v>
          </cell>
          <cell r="AA193">
            <v>5.7975000000000003</v>
          </cell>
          <cell r="AB193" t="e">
            <v>#N/A</v>
          </cell>
          <cell r="AC193" t="e">
            <v>#N/A</v>
          </cell>
          <cell r="AD193" t="str">
            <v>1831-06</v>
          </cell>
          <cell r="AE19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4">
          <cell r="A194" t="str">
            <v>1832-06</v>
          </cell>
          <cell r="B194">
            <v>4030</v>
          </cell>
          <cell r="C194" t="str">
            <v>DE.1.0.7.0</v>
          </cell>
          <cell r="D194" t="str">
            <v>300:58589</v>
          </cell>
          <cell r="E194">
            <v>42588.901099537034</v>
          </cell>
          <cell r="F194">
            <v>42588.901932870373</v>
          </cell>
          <cell r="G194">
            <v>1</v>
          </cell>
          <cell r="H194" t="str">
            <v>204:761</v>
          </cell>
          <cell r="I194">
            <v>42588.912881944445</v>
          </cell>
          <cell r="J194">
            <v>0</v>
          </cell>
          <cell r="K194" t="str">
            <v>4029/4030</v>
          </cell>
          <cell r="L194" t="str">
            <v>KILLION</v>
          </cell>
          <cell r="M194">
            <v>1.0949074072414078E-2</v>
          </cell>
          <cell r="N194">
            <v>15.766666664276272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https://search-rtdc-monitor-bjffxe2xuh6vdkpspy63sjmuny.us-east-1.es.amazonaws.com/_plugin/kibana/#/discover/Steve-Slow-Train-Analysis-(2080s-and-2083s)?_g=(refreshInterval:(display:Off,section:0,value:0),time:(from:'2016-08-06 20:37:35-0600',mode:absolute,to:'2016-08-06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4" t="str">
            <v>N</v>
          </cell>
          <cell r="X194">
            <v>1</v>
          </cell>
          <cell r="Y194">
            <v>5.8589000000000002</v>
          </cell>
          <cell r="Z194">
            <v>7.6100000000000001E-2</v>
          </cell>
          <cell r="AA194">
            <v>5.7827999999999999</v>
          </cell>
          <cell r="AB194" t="e">
            <v>#N/A</v>
          </cell>
          <cell r="AC194" t="e">
            <v>#N/A</v>
          </cell>
          <cell r="AD194" t="str">
            <v>1832-06</v>
          </cell>
          <cell r="AE19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5">
          <cell r="A195" t="str">
            <v>1833-06</v>
          </cell>
          <cell r="B195">
            <v>4029</v>
          </cell>
          <cell r="C195" t="str">
            <v>DE.1.0.7.0</v>
          </cell>
          <cell r="D195" t="str">
            <v>204:1042</v>
          </cell>
          <cell r="E195">
            <v>42588.91511574074</v>
          </cell>
          <cell r="F195">
            <v>42588.915891203702</v>
          </cell>
          <cell r="G195">
            <v>1</v>
          </cell>
          <cell r="H195" t="str">
            <v>300:58911</v>
          </cell>
          <cell r="I195">
            <v>42588.941689814812</v>
          </cell>
          <cell r="J195">
            <v>0</v>
          </cell>
          <cell r="K195" t="str">
            <v>4029/4030</v>
          </cell>
          <cell r="L195" t="str">
            <v>KILLION</v>
          </cell>
          <cell r="M195">
            <v>2.5798611110076308E-2</v>
          </cell>
          <cell r="N195">
            <v>37.149999998509884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https://search-rtdc-monitor-bjffxe2xuh6vdkpspy63sjmuny.us-east-1.es.amazonaws.com/_plugin/kibana/#/discover/Steve-Slow-Train-Analysis-(2080s-and-2083s)?_g=(refreshInterval:(display:Off,section:0,value:0),time:(from:'2016-08-06 20:57:46-0600',mode:absolute,to:'2016-08-06 23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5" t="str">
            <v>N</v>
          </cell>
          <cell r="X195">
            <v>1</v>
          </cell>
          <cell r="Y195">
            <v>0.1042</v>
          </cell>
          <cell r="Z195">
            <v>5.8910999999999998</v>
          </cell>
          <cell r="AA195">
            <v>5.7869000000000002</v>
          </cell>
          <cell r="AB195" t="e">
            <v>#N/A</v>
          </cell>
          <cell r="AC195" t="e">
            <v>#N/A</v>
          </cell>
          <cell r="AD195" t="str">
            <v>1833-06</v>
          </cell>
          <cell r="AE19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6">
          <cell r="A196" t="str">
            <v>303-06</v>
          </cell>
          <cell r="B196">
            <v>4007</v>
          </cell>
          <cell r="C196" t="str">
            <v>DE.1.0.7.0</v>
          </cell>
          <cell r="D196" t="str">
            <v>204:1199</v>
          </cell>
          <cell r="E196">
            <v>42588.748773148145</v>
          </cell>
          <cell r="F196">
            <v>42588.750150462962</v>
          </cell>
          <cell r="G196">
            <v>1</v>
          </cell>
          <cell r="H196" t="str">
            <v>300:23306</v>
          </cell>
          <cell r="I196">
            <v>42588.763449074075</v>
          </cell>
          <cell r="J196">
            <v>0</v>
          </cell>
          <cell r="K196" t="str">
            <v>4007/4008</v>
          </cell>
          <cell r="L196" t="str">
            <v>MAYBERRY</v>
          </cell>
          <cell r="M196">
            <v>1.3298611112986691E-2</v>
          </cell>
          <cell r="N196">
            <v>19.150000002700835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https://search-rtdc-monitor-bjffxe2xuh6vdkpspy63sjmuny.us-east-1.es.amazonaws.com/_plugin/kibana/#/discover/Steve-Slow-Train-Analysis-(2080s-and-2083s)?_g=(refreshInterval:(display:Off,section:0,value:0),time:(from:'2016-08-06 16:58:14-0600',mode:absolute,to:'2016-08-06 19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Y</v>
          </cell>
          <cell r="X196">
            <v>-1530</v>
          </cell>
          <cell r="Y196">
            <v>0.11990000000000001</v>
          </cell>
          <cell r="Z196">
            <v>2.3306</v>
          </cell>
          <cell r="AA196">
            <v>2.2107000000000001</v>
          </cell>
          <cell r="AB196" t="e">
            <v>#N/A</v>
          </cell>
          <cell r="AC196" t="e">
            <v>#N/A</v>
          </cell>
          <cell r="AD196" t="str">
            <v>0303-06</v>
          </cell>
          <cell r="AE196" t="str">
            <v>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 &amp; 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</v>
          </cell>
        </row>
        <row r="197">
          <cell r="A197" t="str">
            <v>308-06</v>
          </cell>
          <cell r="B197">
            <v>4025</v>
          </cell>
          <cell r="C197" t="str">
            <v>DE.1.0.7.0</v>
          </cell>
          <cell r="D197" t="str">
            <v>204:466</v>
          </cell>
          <cell r="E197">
            <v>42588.790648148148</v>
          </cell>
          <cell r="F197">
            <v>42588.791747685187</v>
          </cell>
          <cell r="G197">
            <v>1</v>
          </cell>
          <cell r="H197" t="str">
            <v>300:23302</v>
          </cell>
          <cell r="I197">
            <v>42588.799247685187</v>
          </cell>
          <cell r="J197">
            <v>0</v>
          </cell>
          <cell r="K197" t="str">
            <v>4025/4026</v>
          </cell>
          <cell r="L197" t="str">
            <v>MOSES</v>
          </cell>
          <cell r="M197">
            <v>7.4999999997089617E-3</v>
          </cell>
          <cell r="N197">
            <v>10.799999999580905</v>
          </cell>
          <cell r="S197">
            <v>0</v>
          </cell>
          <cell r="T197" t="str">
            <v>Southbound</v>
          </cell>
          <cell r="U197">
            <v>0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https://search-rtdc-monitor-bjffxe2xuh6vdkpspy63sjmuny.us-east-1.es.amazonaws.com/_plugin/kibana/#/discover/Steve-Slow-Train-Analysis-(2080s-and-2083s)?_g=(refreshInterval:(display:Off,section:0,value:0),time:(from:'2016-08-06 17:58:32-0600',mode:absolute,to:'2016-08-06 20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7" t="str">
            <v>Y</v>
          </cell>
          <cell r="X197">
            <v>5</v>
          </cell>
          <cell r="Y197">
            <v>4.6600000000000003E-2</v>
          </cell>
          <cell r="Z197">
            <v>2.3302</v>
          </cell>
          <cell r="AA197">
            <v>2.2835999999999999</v>
          </cell>
          <cell r="AB197" t="e">
            <v>#N/A</v>
          </cell>
          <cell r="AC197" t="e">
            <v>#N/A</v>
          </cell>
          <cell r="AD197" t="str">
            <v>0308-06</v>
          </cell>
          <cell r="AE19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98">
          <cell r="A198" t="str">
            <v>309-06</v>
          </cell>
          <cell r="B198">
            <v>4009</v>
          </cell>
          <cell r="C198" t="str">
            <v>DE.1.0.7.0</v>
          </cell>
          <cell r="D198" t="str">
            <v>204:447</v>
          </cell>
          <cell r="E198">
            <v>42589.048807870371</v>
          </cell>
          <cell r="F198">
            <v>42589.049803240741</v>
          </cell>
          <cell r="G198">
            <v>1</v>
          </cell>
          <cell r="H198" t="str">
            <v>300:23301</v>
          </cell>
          <cell r="I198">
            <v>42589.056562500002</v>
          </cell>
          <cell r="J198">
            <v>0</v>
          </cell>
          <cell r="K198" t="str">
            <v>4009/4010</v>
          </cell>
          <cell r="L198" t="str">
            <v>NEWELL</v>
          </cell>
          <cell r="M198">
            <v>6.7592592604341917E-3</v>
          </cell>
          <cell r="N198">
            <v>9.733333335025236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00:10:17-0600',mode:absolute,to:'2016-08-07 02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98" t="str">
            <v>Y</v>
          </cell>
          <cell r="X198">
            <v>1</v>
          </cell>
          <cell r="Y198">
            <v>4.4699999999999997E-2</v>
          </cell>
          <cell r="Z198">
            <v>2.3300999999999998</v>
          </cell>
          <cell r="AA198">
            <v>2.2853999999999997</v>
          </cell>
          <cell r="AB198" t="e">
            <v>#N/A</v>
          </cell>
          <cell r="AC198" t="e">
            <v>#N/A</v>
          </cell>
          <cell r="AD198" t="str">
            <v>0309-06</v>
          </cell>
          <cell r="AE198" t="str">
            <v>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 &amp; aws s3 cp s3://rtdc.mdm.uploadarchive/RTDC4009/2016-08-08/ "%USERPROFILE%\AppData\Local\Temp\OnboardLogs"\RTDC4009\2016-08-08 --recursive &amp; "%USERPROFILE%\Documents\GitHub\mrs-test-scripts\Headless Mode &amp; Sideloading\WalkAndUnGZ.bat" "%USERPROFILE%\AppData\Local\Temp\OnboardLogs"\RTDC4009\2016-08-08</v>
          </cell>
        </row>
        <row r="199">
          <cell r="A199" t="str">
            <v>311-06</v>
          </cell>
          <cell r="B199">
            <v>4014</v>
          </cell>
          <cell r="C199" t="str">
            <v>DE.1.0.7.0</v>
          </cell>
          <cell r="D199" t="str">
            <v>204:458</v>
          </cell>
          <cell r="E199">
            <v>42589.070520833331</v>
          </cell>
          <cell r="F199">
            <v>42589.071851851855</v>
          </cell>
          <cell r="G199">
            <v>1</v>
          </cell>
          <cell r="H199" t="str">
            <v>300:23304</v>
          </cell>
          <cell r="I199">
            <v>42589.080972222226</v>
          </cell>
          <cell r="J199">
            <v>0</v>
          </cell>
          <cell r="K199" t="str">
            <v>4013/4014</v>
          </cell>
          <cell r="L199" t="str">
            <v>CHANDLER</v>
          </cell>
          <cell r="M199">
            <v>9.1203703705104999E-3</v>
          </cell>
          <cell r="N199">
            <v>13.13333333353512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https://search-rtdc-monitor-bjffxe2xuh6vdkpspy63sjmuny.us-east-1.es.amazonaws.com/_plugin/kibana/#/discover/Steve-Slow-Train-Analysis-(2080s-and-2083s)?_g=(refreshInterval:(display:Off,section:0,value:0),time:(from:'2016-08-07 00:41:33-0600',mode:absolute,to:'2016-08-07 02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9" t="str">
            <v>Y</v>
          </cell>
          <cell r="X199">
            <v>2</v>
          </cell>
          <cell r="Y199">
            <v>4.58E-2</v>
          </cell>
          <cell r="Z199">
            <v>2.3304</v>
          </cell>
          <cell r="AA199">
            <v>2.2846000000000002</v>
          </cell>
          <cell r="AB199" t="e">
            <v>#N/A</v>
          </cell>
          <cell r="AC199" t="e">
            <v>#N/A</v>
          </cell>
          <cell r="AD199" t="str">
            <v>0311-06</v>
          </cell>
          <cell r="AE199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200">
          <cell r="A200" t="str">
            <v>313-05</v>
          </cell>
          <cell r="B200">
            <v>4038</v>
          </cell>
          <cell r="C200" t="str">
            <v>DE.1.0.7.0</v>
          </cell>
          <cell r="D200" t="str">
            <v>204:446</v>
          </cell>
          <cell r="E200">
            <v>42588.090729166666</v>
          </cell>
          <cell r="F200">
            <v>42588.091863425929</v>
          </cell>
          <cell r="G200">
            <v>1</v>
          </cell>
          <cell r="H200" t="str">
            <v>300:23306</v>
          </cell>
          <cell r="I200">
            <v>42588.103518518517</v>
          </cell>
          <cell r="J200">
            <v>0</v>
          </cell>
          <cell r="K200" t="str">
            <v>4037/4038</v>
          </cell>
          <cell r="L200" t="str">
            <v>ROBINSON</v>
          </cell>
          <cell r="M200">
            <v>1.1655092588625848E-2</v>
          </cell>
          <cell r="N200">
            <v>16.783333327621222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0" t="str">
            <v>Y</v>
          </cell>
          <cell r="X200">
            <v>2</v>
          </cell>
          <cell r="Y200">
            <v>4.4600000000000001E-2</v>
          </cell>
          <cell r="Z200">
            <v>2.3306</v>
          </cell>
          <cell r="AA200">
            <v>2.286</v>
          </cell>
          <cell r="AB200" t="e">
            <v>#N/A</v>
          </cell>
          <cell r="AC200" t="e">
            <v>#N/A</v>
          </cell>
          <cell r="AD200" t="str">
            <v>0313-05</v>
          </cell>
          <cell r="AE200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01">
          <cell r="A201" t="str">
            <v>315-06</v>
          </cell>
          <cell r="B201">
            <v>4011</v>
          </cell>
          <cell r="C201" t="str">
            <v>DE.1.0.7.0</v>
          </cell>
          <cell r="D201" t="str">
            <v>204:457</v>
          </cell>
          <cell r="E201">
            <v>42589.110254629632</v>
          </cell>
          <cell r="F201">
            <v>42589.110925925925</v>
          </cell>
          <cell r="G201">
            <v>0</v>
          </cell>
          <cell r="H201" t="str">
            <v>300:23121</v>
          </cell>
          <cell r="I201">
            <v>42589.117465277777</v>
          </cell>
          <cell r="J201">
            <v>0</v>
          </cell>
          <cell r="K201" t="str">
            <v>4011/4012</v>
          </cell>
          <cell r="L201" t="str">
            <v>GOLIGHTLY</v>
          </cell>
          <cell r="M201">
            <v>6.5393518525524996E-3</v>
          </cell>
          <cell r="N201">
            <v>9.4166666676755995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1" t="str">
            <v>Y</v>
          </cell>
          <cell r="X201">
            <v>2</v>
          </cell>
          <cell r="Y201">
            <v>4.5699999999999998E-2</v>
          </cell>
          <cell r="Z201">
            <v>2.3121</v>
          </cell>
          <cell r="AA201">
            <v>2.2664</v>
          </cell>
          <cell r="AB201" t="e">
            <v>#N/A</v>
          </cell>
          <cell r="AC201" t="e">
            <v>#N/A</v>
          </cell>
          <cell r="AD201" t="str">
            <v>0315-06</v>
          </cell>
          <cell r="AE201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202">
          <cell r="A202" t="str">
            <v>1901-06</v>
          </cell>
          <cell r="B202">
            <v>4030</v>
          </cell>
          <cell r="C202" t="str">
            <v>DE.1.0.7.0</v>
          </cell>
          <cell r="D202" t="str">
            <v>300:58640</v>
          </cell>
          <cell r="E202">
            <v>42588.231678240743</v>
          </cell>
          <cell r="F202">
            <v>42588.232708333337</v>
          </cell>
          <cell r="G202">
            <v>1</v>
          </cell>
          <cell r="H202" t="str">
            <v>204:899</v>
          </cell>
          <cell r="I202">
            <v>42588.24722222222</v>
          </cell>
          <cell r="J202">
            <v>0</v>
          </cell>
          <cell r="K202" t="str">
            <v>4029/4030</v>
          </cell>
          <cell r="L202" t="str">
            <v>YORK</v>
          </cell>
          <cell r="M202">
            <v>1.4513888883811887E-2</v>
          </cell>
          <cell r="N202">
            <v>20.899999992689118</v>
          </cell>
          <cell r="S202">
            <v>0</v>
          </cell>
          <cell r="T202" t="str">
            <v>NorthBound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https://search-rtdc-monitor-bjffxe2xuh6vdkpspy63sjmuny.us-east-1.es.amazonaws.com/_plugin/kibana/#/discover/Steve-Slow-Train-Analysis-(2080s-and-2083s)?_g=(refreshInterval:(display:Off,section:0,value:0),time:(from:'2016-08-06 04:33:37-0600',mode:absolute,to:'2016-08-06 06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2" t="str">
            <v>N</v>
          </cell>
          <cell r="X202">
            <v>1586</v>
          </cell>
          <cell r="Y202">
            <v>5.8639999999999999</v>
          </cell>
          <cell r="Z202">
            <v>8.9899999999999994E-2</v>
          </cell>
          <cell r="AA202">
            <v>5.7740999999999998</v>
          </cell>
          <cell r="AB202" t="e">
            <v>#N/A</v>
          </cell>
          <cell r="AC202" t="e">
            <v>#N/A</v>
          </cell>
          <cell r="AD202" t="str">
            <v>1901-06</v>
          </cell>
          <cell r="AE20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203">
          <cell r="A203" t="str">
            <v>1902-06</v>
          </cell>
          <cell r="B203">
            <v>4030</v>
          </cell>
          <cell r="C203" t="str">
            <v>DE.1.0.7.0</v>
          </cell>
          <cell r="D203" t="str">
            <v>300:58589</v>
          </cell>
          <cell r="E203">
            <v>42588.942800925928</v>
          </cell>
          <cell r="F203">
            <v>42588.943564814814</v>
          </cell>
          <cell r="G203">
            <v>1</v>
          </cell>
          <cell r="H203" t="str">
            <v>300:21551</v>
          </cell>
          <cell r="I203">
            <v>42588.950868055559</v>
          </cell>
          <cell r="J203">
            <v>0</v>
          </cell>
          <cell r="K203" t="str">
            <v>4029/4030</v>
          </cell>
          <cell r="L203" t="str">
            <v>KILLION</v>
          </cell>
          <cell r="M203">
            <v>7.3032407453865744E-3</v>
          </cell>
          <cell r="N203">
            <v>10.516666673356667</v>
          </cell>
          <cell r="S203">
            <v>0</v>
          </cell>
          <cell r="T203" t="str">
            <v>Southbound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https://search-rtdc-monitor-bjffxe2xuh6vdkpspy63sjmuny.us-east-1.es.amazonaws.com/_plugin/kibana/#/discover/Steve-Slow-Train-Analysis-(2080s-and-2083s)?_g=(refreshInterval:(display:Off,section:0,value:0),time:(from:'2016-08-06 21:37:38-0600',mode:absolute,to:'2016-08-06 23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3" t="str">
            <v>Y</v>
          </cell>
          <cell r="X203">
            <v>1</v>
          </cell>
          <cell r="Y203">
            <v>5.8589000000000002</v>
          </cell>
          <cell r="Z203">
            <v>2.1551</v>
          </cell>
          <cell r="AA203">
            <v>3.7038000000000002</v>
          </cell>
          <cell r="AB203" t="e">
            <v>#N/A</v>
          </cell>
          <cell r="AC203" t="e">
            <v>#N/A</v>
          </cell>
          <cell r="AD203" t="str">
            <v>1902-06</v>
          </cell>
          <cell r="AE203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</sheetData>
      <sheetData sheetId="1" refreshError="1"/>
      <sheetData sheetId="2" refreshError="1"/>
      <sheetData sheetId="3">
        <row r="1">
          <cell r="C1" t="str">
            <v>309-05</v>
          </cell>
          <cell r="D1">
            <v>2090000</v>
          </cell>
          <cell r="E1" t="str">
            <v>HAITHCOX</v>
          </cell>
        </row>
        <row r="2">
          <cell r="C2" t="str">
            <v>200-06</v>
          </cell>
          <cell r="D2">
            <v>950000</v>
          </cell>
          <cell r="E2" t="str">
            <v>WEBSTER</v>
          </cell>
        </row>
        <row r="3">
          <cell r="C3" t="str">
            <v>217-06</v>
          </cell>
          <cell r="D3">
            <v>1800000</v>
          </cell>
          <cell r="E3" t="str">
            <v>CHANDLER</v>
          </cell>
        </row>
        <row r="4">
          <cell r="C4" t="str">
            <v>1833-06</v>
          </cell>
          <cell r="D4">
            <v>2030000</v>
          </cell>
          <cell r="E4" t="str">
            <v>KILLION</v>
          </cell>
        </row>
        <row r="5">
          <cell r="C5" t="str">
            <v>196-06</v>
          </cell>
          <cell r="D5">
            <v>1780000</v>
          </cell>
          <cell r="E5" t="str">
            <v>DE LA ROSA</v>
          </cell>
        </row>
        <row r="6">
          <cell r="C6" t="str">
            <v>154-06</v>
          </cell>
          <cell r="D6">
            <v>1100000</v>
          </cell>
          <cell r="E6" t="str">
            <v>GEBRETEKLE</v>
          </cell>
        </row>
        <row r="7">
          <cell r="C7" t="str">
            <v>1813-06</v>
          </cell>
          <cell r="D7">
            <v>1830000</v>
          </cell>
          <cell r="E7" t="str">
            <v>YORK</v>
          </cell>
        </row>
        <row r="8">
          <cell r="C8" t="str">
            <v>1817-06</v>
          </cell>
          <cell r="D8">
            <v>2030000</v>
          </cell>
          <cell r="E8" t="str">
            <v>KILLION</v>
          </cell>
        </row>
        <row r="9">
          <cell r="C9" t="str">
            <v>230-06</v>
          </cell>
          <cell r="D9">
            <v>1780000</v>
          </cell>
          <cell r="E9" t="str">
            <v>DE LA ROSA</v>
          </cell>
        </row>
        <row r="10">
          <cell r="C10" t="str">
            <v>232-06</v>
          </cell>
          <cell r="D10">
            <v>1810000</v>
          </cell>
          <cell r="E10" t="str">
            <v>NEWELL</v>
          </cell>
        </row>
        <row r="11">
          <cell r="C11" t="str">
            <v>177-06</v>
          </cell>
          <cell r="D11">
            <v>2040000</v>
          </cell>
          <cell r="E11" t="str">
            <v>MOSES</v>
          </cell>
        </row>
        <row r="12">
          <cell r="C12" t="str">
            <v>235-06</v>
          </cell>
          <cell r="D12">
            <v>2000000</v>
          </cell>
          <cell r="E12" t="str">
            <v>STAMBAUGH</v>
          </cell>
        </row>
        <row r="13">
          <cell r="C13" t="str">
            <v>164-06</v>
          </cell>
          <cell r="D13">
            <v>2040000</v>
          </cell>
          <cell r="E13" t="str">
            <v>MOSES</v>
          </cell>
        </row>
        <row r="14">
          <cell r="C14" t="str">
            <v>150-06</v>
          </cell>
          <cell r="D14">
            <v>1990000</v>
          </cell>
          <cell r="E14" t="str">
            <v>DAVIS</v>
          </cell>
        </row>
        <row r="15">
          <cell r="C15" t="str">
            <v>135-06</v>
          </cell>
          <cell r="D15">
            <v>1990000</v>
          </cell>
          <cell r="E15" t="str">
            <v>DAVIS</v>
          </cell>
        </row>
        <row r="16">
          <cell r="C16" t="str">
            <v>156-06</v>
          </cell>
          <cell r="D16">
            <v>1520000</v>
          </cell>
          <cell r="E16" t="str">
            <v>MAYBERRY</v>
          </cell>
        </row>
        <row r="17">
          <cell r="C17" t="str">
            <v>124-06</v>
          </cell>
          <cell r="D17">
            <v>1740000</v>
          </cell>
          <cell r="E17" t="str">
            <v>STORY</v>
          </cell>
        </row>
        <row r="18">
          <cell r="C18" t="str">
            <v>1812-06</v>
          </cell>
          <cell r="D18">
            <v>1830000</v>
          </cell>
          <cell r="E18" t="str">
            <v>YORK</v>
          </cell>
        </row>
        <row r="19">
          <cell r="C19" t="str">
            <v>120-06</v>
          </cell>
          <cell r="D19">
            <v>1260000</v>
          </cell>
          <cell r="E19" t="str">
            <v>ACKERMAN</v>
          </cell>
        </row>
        <row r="20">
          <cell r="C20" t="str">
            <v>162-06</v>
          </cell>
          <cell r="D20">
            <v>1540000</v>
          </cell>
          <cell r="E20" t="str">
            <v>HELVIE</v>
          </cell>
        </row>
        <row r="21">
          <cell r="C21" t="str">
            <v>123-06</v>
          </cell>
          <cell r="D21">
            <v>1740000</v>
          </cell>
          <cell r="E21" t="str">
            <v>STORY</v>
          </cell>
        </row>
        <row r="22">
          <cell r="C22" t="str">
            <v>194-06</v>
          </cell>
          <cell r="D22">
            <v>2020000</v>
          </cell>
          <cell r="E22" t="str">
            <v>SHOOK</v>
          </cell>
        </row>
        <row r="23">
          <cell r="C23" t="str">
            <v>119-06</v>
          </cell>
          <cell r="D23">
            <v>1260000</v>
          </cell>
          <cell r="E23" t="str">
            <v>ACKERMAN</v>
          </cell>
        </row>
        <row r="24">
          <cell r="C24" t="str">
            <v>225-06</v>
          </cell>
          <cell r="D24">
            <v>1800000</v>
          </cell>
          <cell r="E24" t="str">
            <v>CHANDLER</v>
          </cell>
        </row>
        <row r="25">
          <cell r="C25" t="str">
            <v>122-06</v>
          </cell>
          <cell r="D25">
            <v>1990000</v>
          </cell>
          <cell r="E25" t="str">
            <v>DAVIS</v>
          </cell>
        </row>
        <row r="26">
          <cell r="C26" t="str">
            <v>226-06</v>
          </cell>
          <cell r="D26">
            <v>1800000</v>
          </cell>
          <cell r="E26" t="str">
            <v>CHANDLER</v>
          </cell>
        </row>
        <row r="27">
          <cell r="C27" t="str">
            <v>1803-06</v>
          </cell>
          <cell r="D27">
            <v>1830000</v>
          </cell>
          <cell r="E27" t="str">
            <v>YORK</v>
          </cell>
        </row>
        <row r="28">
          <cell r="C28" t="str">
            <v>235-06</v>
          </cell>
          <cell r="D28">
            <v>2000000</v>
          </cell>
          <cell r="E28" t="str">
            <v>STAMBAUGH</v>
          </cell>
        </row>
        <row r="29">
          <cell r="C29" t="str">
            <v>106-06</v>
          </cell>
          <cell r="D29">
            <v>1260000</v>
          </cell>
          <cell r="E29" t="str">
            <v>ACKERMAN</v>
          </cell>
        </row>
        <row r="30">
          <cell r="C30" t="str">
            <v>242-06</v>
          </cell>
          <cell r="D30">
            <v>1800000</v>
          </cell>
          <cell r="E30" t="str">
            <v>CHANDLER</v>
          </cell>
        </row>
        <row r="31">
          <cell r="C31" t="str">
            <v>103-06</v>
          </cell>
          <cell r="D31">
            <v>1360000</v>
          </cell>
          <cell r="E31" t="str">
            <v>SANTIZO</v>
          </cell>
        </row>
        <row r="32">
          <cell r="C32" t="str">
            <v>128-06</v>
          </cell>
          <cell r="D32">
            <v>2010000</v>
          </cell>
          <cell r="E32" t="str">
            <v>MAELZER</v>
          </cell>
        </row>
        <row r="33">
          <cell r="C33" t="str">
            <v>101-06</v>
          </cell>
          <cell r="D33">
            <v>2010000</v>
          </cell>
          <cell r="E33" t="str">
            <v>MAELZER</v>
          </cell>
        </row>
        <row r="34">
          <cell r="C34" t="str">
            <v>137-06</v>
          </cell>
          <cell r="D34">
            <v>1740000</v>
          </cell>
          <cell r="E34" t="str">
            <v>STORY</v>
          </cell>
        </row>
        <row r="35">
          <cell r="C35" t="str">
            <v>315-05</v>
          </cell>
          <cell r="D35">
            <v>1300000</v>
          </cell>
          <cell r="E35" t="str">
            <v>LEVIN</v>
          </cell>
        </row>
        <row r="36">
          <cell r="C36" t="str">
            <v>141-06</v>
          </cell>
          <cell r="D36">
            <v>2010000</v>
          </cell>
          <cell r="E36" t="str">
            <v>MAELZER</v>
          </cell>
        </row>
        <row r="37">
          <cell r="C37" t="str">
            <v>311-05</v>
          </cell>
          <cell r="D37">
            <v>1800000</v>
          </cell>
          <cell r="E37" t="str">
            <v>CHANDLER</v>
          </cell>
        </row>
        <row r="38">
          <cell r="C38" t="str">
            <v>161-06</v>
          </cell>
          <cell r="D38">
            <v>1540000</v>
          </cell>
          <cell r="E38" t="str">
            <v>HELVIE</v>
          </cell>
        </row>
        <row r="39">
          <cell r="C39" t="str">
            <v>243-05</v>
          </cell>
          <cell r="D39">
            <v>2140000</v>
          </cell>
          <cell r="E39" t="str">
            <v>ROBINSON</v>
          </cell>
        </row>
        <row r="40">
          <cell r="C40" t="str">
            <v>201-06</v>
          </cell>
          <cell r="D40">
            <v>880000</v>
          </cell>
          <cell r="E40" t="str">
            <v>STEWART</v>
          </cell>
        </row>
        <row r="41">
          <cell r="C41" t="str">
            <v>238-06</v>
          </cell>
          <cell r="D41">
            <v>1410000</v>
          </cell>
          <cell r="E41" t="str">
            <v>GOLIGHTLY</v>
          </cell>
        </row>
        <row r="42">
          <cell r="C42" t="str">
            <v>203-06</v>
          </cell>
          <cell r="D42">
            <v>1540000</v>
          </cell>
          <cell r="E42" t="str">
            <v>HELVIE</v>
          </cell>
        </row>
        <row r="43">
          <cell r="C43" t="str">
            <v>199-06</v>
          </cell>
          <cell r="D43">
            <v>950000</v>
          </cell>
          <cell r="E43" t="str">
            <v>WEBSTER</v>
          </cell>
        </row>
        <row r="44">
          <cell r="C44" t="str">
            <v>246-06</v>
          </cell>
          <cell r="D44">
            <v>1410000</v>
          </cell>
          <cell r="E44" t="str">
            <v>GOLIGHTLY</v>
          </cell>
        </row>
        <row r="45">
          <cell r="C45" t="str">
            <v>189-06</v>
          </cell>
          <cell r="D45">
            <v>1540000</v>
          </cell>
          <cell r="E45" t="str">
            <v>HELVIE</v>
          </cell>
        </row>
        <row r="46">
          <cell r="C46" t="str">
            <v>101-07</v>
          </cell>
          <cell r="D46">
            <v>1740000</v>
          </cell>
          <cell r="E46" t="str">
            <v>STORY</v>
          </cell>
        </row>
        <row r="47">
          <cell r="C47" t="str">
            <v>1816-06</v>
          </cell>
          <cell r="D47">
            <v>1830000</v>
          </cell>
          <cell r="E47" t="str">
            <v>YORK</v>
          </cell>
        </row>
        <row r="48">
          <cell r="C48" t="str">
            <v>157-06</v>
          </cell>
          <cell r="D48">
            <v>1760000</v>
          </cell>
          <cell r="E48" t="str">
            <v>STRICKLAND</v>
          </cell>
        </row>
        <row r="49">
          <cell r="C49" t="str">
            <v>175-06</v>
          </cell>
          <cell r="D49">
            <v>1540000</v>
          </cell>
          <cell r="E49" t="str">
            <v>HELVIE</v>
          </cell>
        </row>
        <row r="50">
          <cell r="C50" t="str">
            <v>181-06</v>
          </cell>
          <cell r="D50">
            <v>1780000</v>
          </cell>
          <cell r="E50" t="str">
            <v>DE LA ROSA</v>
          </cell>
        </row>
        <row r="51">
          <cell r="C51" t="str">
            <v>158-06</v>
          </cell>
          <cell r="D51">
            <v>1760000</v>
          </cell>
          <cell r="E51" t="str">
            <v>STRICKLAND</v>
          </cell>
        </row>
        <row r="52">
          <cell r="C52" t="str">
            <v>195-06</v>
          </cell>
          <cell r="D52">
            <v>1780000</v>
          </cell>
          <cell r="E52" t="str">
            <v>DE LA ROSA</v>
          </cell>
        </row>
        <row r="53">
          <cell r="C53" t="str">
            <v>163-06</v>
          </cell>
          <cell r="D53">
            <v>2040000</v>
          </cell>
          <cell r="E53" t="str">
            <v>MOSES</v>
          </cell>
        </row>
        <row r="54">
          <cell r="C54" t="str">
            <v>161-06</v>
          </cell>
          <cell r="D54">
            <v>1540000</v>
          </cell>
          <cell r="E54" t="str">
            <v>HELVIE</v>
          </cell>
        </row>
        <row r="55">
          <cell r="C55" t="str">
            <v>1809-06</v>
          </cell>
          <cell r="D55">
            <v>1830000</v>
          </cell>
          <cell r="E55" t="str">
            <v>YORK</v>
          </cell>
        </row>
        <row r="56">
          <cell r="C56" t="str">
            <v>231-06</v>
          </cell>
          <cell r="D56">
            <v>1810000</v>
          </cell>
          <cell r="E56" t="str">
            <v>NEWELL</v>
          </cell>
        </row>
        <row r="57">
          <cell r="C57" t="str">
            <v>136-06</v>
          </cell>
          <cell r="D57">
            <v>1990000</v>
          </cell>
          <cell r="E57" t="str">
            <v>DAVIS</v>
          </cell>
        </row>
        <row r="58">
          <cell r="C58" t="str">
            <v>1806-06</v>
          </cell>
          <cell r="D58">
            <v>1830000</v>
          </cell>
          <cell r="E58" t="str">
            <v>YORK</v>
          </cell>
        </row>
        <row r="59">
          <cell r="C59" t="str">
            <v>139-06</v>
          </cell>
          <cell r="D59">
            <v>1100000</v>
          </cell>
          <cell r="E59" t="str">
            <v>GEBRETEKLE</v>
          </cell>
        </row>
        <row r="60">
          <cell r="C60" t="str">
            <v>126-06</v>
          </cell>
          <cell r="D60">
            <v>1100000</v>
          </cell>
          <cell r="E60" t="str">
            <v>GEBRETEKLE</v>
          </cell>
        </row>
        <row r="61">
          <cell r="C61" t="str">
            <v>227-06</v>
          </cell>
          <cell r="D61">
            <v>2000000</v>
          </cell>
          <cell r="E61" t="str">
            <v>STAMBAUGH</v>
          </cell>
        </row>
        <row r="62">
          <cell r="C62" t="str">
            <v>130-06</v>
          </cell>
          <cell r="D62">
            <v>1760000</v>
          </cell>
          <cell r="E62" t="str">
            <v>STRICKLAND</v>
          </cell>
        </row>
        <row r="63">
          <cell r="C63" t="str">
            <v>STAMBAUGH-06</v>
          </cell>
          <cell r="D63">
            <v>2000000</v>
          </cell>
          <cell r="E63" t="str">
            <v>STAMBAUGH</v>
          </cell>
        </row>
        <row r="64">
          <cell r="C64" t="str">
            <v>138-06</v>
          </cell>
          <cell r="D64">
            <v>1740000</v>
          </cell>
          <cell r="E64" t="str">
            <v>STORY</v>
          </cell>
        </row>
        <row r="65">
          <cell r="C65" t="str">
            <v>1818-06</v>
          </cell>
          <cell r="D65">
            <v>2030000</v>
          </cell>
          <cell r="E65" t="str">
            <v>KILLION</v>
          </cell>
        </row>
        <row r="66">
          <cell r="C66" t="str">
            <v>110-06</v>
          </cell>
          <cell r="D66">
            <v>1740000</v>
          </cell>
          <cell r="E66" t="str">
            <v>STORY</v>
          </cell>
        </row>
        <row r="67">
          <cell r="C67" t="str">
            <v>167-06</v>
          </cell>
          <cell r="D67">
            <v>750000</v>
          </cell>
          <cell r="E67" t="str">
            <v>NATION</v>
          </cell>
        </row>
        <row r="68">
          <cell r="C68" t="str">
            <v>113-06</v>
          </cell>
          <cell r="D68">
            <v>2010000</v>
          </cell>
          <cell r="E68" t="str">
            <v>MAELZER</v>
          </cell>
        </row>
        <row r="69">
          <cell r="C69" t="str">
            <v>152-06</v>
          </cell>
          <cell r="D69">
            <v>1740000</v>
          </cell>
          <cell r="E69" t="str">
            <v>STORY</v>
          </cell>
        </row>
        <row r="70">
          <cell r="C70" t="str">
            <v>114-06</v>
          </cell>
          <cell r="D70">
            <v>2010000</v>
          </cell>
          <cell r="E70" t="str">
            <v>MAELZER</v>
          </cell>
        </row>
        <row r="71">
          <cell r="C71" t="str">
            <v>1802-06</v>
          </cell>
          <cell r="D71">
            <v>1830000</v>
          </cell>
          <cell r="E71" t="str">
            <v>YORK</v>
          </cell>
        </row>
        <row r="72">
          <cell r="C72" t="str">
            <v>240-05</v>
          </cell>
          <cell r="D72">
            <v>2090000</v>
          </cell>
          <cell r="E72" t="str">
            <v>HAITHCOX</v>
          </cell>
        </row>
        <row r="73">
          <cell r="C73" t="str">
            <v>1801-06</v>
          </cell>
          <cell r="D73">
            <v>1830000</v>
          </cell>
          <cell r="E73" t="str">
            <v>YORK</v>
          </cell>
        </row>
        <row r="74">
          <cell r="C74" t="str">
            <v>313-05</v>
          </cell>
          <cell r="D74">
            <v>2140000</v>
          </cell>
          <cell r="E74" t="str">
            <v>ROBINSON</v>
          </cell>
        </row>
        <row r="75">
          <cell r="C75" t="str">
            <v>244-06</v>
          </cell>
          <cell r="D75">
            <v>2000000</v>
          </cell>
          <cell r="E75" t="str">
            <v>STAMBAUGH</v>
          </cell>
        </row>
        <row r="76">
          <cell r="C76" t="str">
            <v>101-06</v>
          </cell>
          <cell r="D76">
            <v>2010000</v>
          </cell>
          <cell r="E76" t="str">
            <v>MAELZER</v>
          </cell>
        </row>
        <row r="77">
          <cell r="C77" t="str">
            <v>309-06</v>
          </cell>
          <cell r="D77">
            <v>1810000</v>
          </cell>
          <cell r="E77" t="str">
            <v>NEWELL</v>
          </cell>
        </row>
        <row r="78">
          <cell r="C78" t="str">
            <v>102-06</v>
          </cell>
          <cell r="D78">
            <v>2010000</v>
          </cell>
          <cell r="E78" t="str">
            <v>MAELZER</v>
          </cell>
        </row>
        <row r="79">
          <cell r="C79" t="str">
            <v>240-06</v>
          </cell>
          <cell r="D79">
            <v>1810000</v>
          </cell>
          <cell r="E79" t="str">
            <v>NEWELL</v>
          </cell>
        </row>
        <row r="80">
          <cell r="C80" t="str">
            <v>107-06</v>
          </cell>
          <cell r="D80">
            <v>1990000</v>
          </cell>
          <cell r="E80" t="str">
            <v>DAVIS</v>
          </cell>
        </row>
        <row r="81">
          <cell r="C81" t="str">
            <v>229-06</v>
          </cell>
          <cell r="D81">
            <v>1780000</v>
          </cell>
          <cell r="E81" t="str">
            <v>DE LA ROSA</v>
          </cell>
        </row>
        <row r="82">
          <cell r="C82" t="str">
            <v>109-06</v>
          </cell>
          <cell r="D82">
            <v>1740000</v>
          </cell>
          <cell r="E82" t="str">
            <v>STORY</v>
          </cell>
        </row>
        <row r="83">
          <cell r="C83" t="str">
            <v>1830-06</v>
          </cell>
          <cell r="D83">
            <v>2030000</v>
          </cell>
          <cell r="E83" t="str">
            <v>KILLION</v>
          </cell>
        </row>
        <row r="84">
          <cell r="C84" t="str">
            <v>121-06</v>
          </cell>
          <cell r="D84">
            <v>1990000</v>
          </cell>
          <cell r="E84" t="str">
            <v>DAVIS</v>
          </cell>
        </row>
        <row r="85">
          <cell r="C85" t="str">
            <v>221-06</v>
          </cell>
          <cell r="D85">
            <v>860000</v>
          </cell>
          <cell r="E85" t="str">
            <v>ARNOLD</v>
          </cell>
        </row>
        <row r="86">
          <cell r="C86" t="str">
            <v>133-06</v>
          </cell>
          <cell r="D86">
            <v>1260000</v>
          </cell>
          <cell r="E86" t="str">
            <v>ACKERMAN</v>
          </cell>
        </row>
        <row r="87">
          <cell r="C87" t="str">
            <v>198-06</v>
          </cell>
          <cell r="D87">
            <v>1520000</v>
          </cell>
          <cell r="E87" t="str">
            <v>MAYBERRY</v>
          </cell>
        </row>
        <row r="88">
          <cell r="C88" t="str">
            <v>193-06</v>
          </cell>
          <cell r="D88">
            <v>2020000</v>
          </cell>
          <cell r="E88" t="str">
            <v>SHOOK</v>
          </cell>
        </row>
        <row r="89">
          <cell r="C89" t="str">
            <v>165-06</v>
          </cell>
          <cell r="D89">
            <v>2020000</v>
          </cell>
          <cell r="E89" t="str">
            <v>SHOOK</v>
          </cell>
        </row>
        <row r="90">
          <cell r="C90" t="str">
            <v>1827-06</v>
          </cell>
          <cell r="D90">
            <v>2030000</v>
          </cell>
          <cell r="E90" t="str">
            <v>KILLION</v>
          </cell>
        </row>
        <row r="91">
          <cell r="C91" t="str">
            <v>144-06</v>
          </cell>
          <cell r="D91">
            <v>1760000</v>
          </cell>
          <cell r="E91" t="str">
            <v>STRICKLAND</v>
          </cell>
        </row>
        <row r="92">
          <cell r="C92" t="str">
            <v>1829-06</v>
          </cell>
          <cell r="D92">
            <v>2030000</v>
          </cell>
          <cell r="E92" t="str">
            <v>KILLION</v>
          </cell>
        </row>
        <row r="93">
          <cell r="C93" t="str">
            <v>1807-06</v>
          </cell>
          <cell r="D93">
            <v>1830000</v>
          </cell>
          <cell r="E93" t="str">
            <v>YORK</v>
          </cell>
        </row>
        <row r="94">
          <cell r="C94" t="str">
            <v>236-06</v>
          </cell>
          <cell r="D94">
            <v>2000000</v>
          </cell>
          <cell r="E94" t="str">
            <v>STAMBAUGH</v>
          </cell>
        </row>
        <row r="95">
          <cell r="C95" t="str">
            <v>132-06</v>
          </cell>
          <cell r="D95">
            <v>1360000</v>
          </cell>
          <cell r="E95" t="str">
            <v>SANTIZO</v>
          </cell>
        </row>
        <row r="96">
          <cell r="C96" t="str">
            <v>150-06</v>
          </cell>
          <cell r="D96">
            <v>1990000</v>
          </cell>
          <cell r="E96" t="str">
            <v>DAVIS</v>
          </cell>
        </row>
        <row r="97">
          <cell r="C97" t="str">
            <v>1801-06</v>
          </cell>
          <cell r="D97">
            <v>1830000</v>
          </cell>
          <cell r="E97" t="str">
            <v>YORK</v>
          </cell>
        </row>
        <row r="98">
          <cell r="C98" t="str">
            <v>1823-06</v>
          </cell>
          <cell r="D98">
            <v>2030000</v>
          </cell>
          <cell r="E98" t="str">
            <v>KILLION</v>
          </cell>
        </row>
        <row r="99">
          <cell r="C99" t="str">
            <v>112-06</v>
          </cell>
          <cell r="D99">
            <v>1100000</v>
          </cell>
          <cell r="E99" t="str">
            <v>GEBRETEKLE</v>
          </cell>
        </row>
        <row r="100">
          <cell r="C100" t="str">
            <v>202-06</v>
          </cell>
          <cell r="D100">
            <v>950000</v>
          </cell>
          <cell r="E100" t="str">
            <v>WEBSTER</v>
          </cell>
        </row>
        <row r="101">
          <cell r="C101" t="str">
            <v>1901-06</v>
          </cell>
          <cell r="D101">
            <v>1830000</v>
          </cell>
          <cell r="E101" t="str">
            <v>YORK</v>
          </cell>
        </row>
        <row r="102">
          <cell r="C102" t="str">
            <v>1826-06</v>
          </cell>
          <cell r="D102">
            <v>2030000</v>
          </cell>
          <cell r="E102" t="str">
            <v>KILLION</v>
          </cell>
        </row>
        <row r="103">
          <cell r="C103" t="str">
            <v>233-06</v>
          </cell>
          <cell r="D103">
            <v>1800000</v>
          </cell>
          <cell r="E103" t="str">
            <v>CHANDLER</v>
          </cell>
        </row>
        <row r="104">
          <cell r="C104" t="str">
            <v>1828-06</v>
          </cell>
          <cell r="D104">
            <v>2030000</v>
          </cell>
          <cell r="E104" t="str">
            <v>KILLION</v>
          </cell>
        </row>
        <row r="105">
          <cell r="C105" t="str">
            <v>1825-06</v>
          </cell>
          <cell r="D105">
            <v>2030000</v>
          </cell>
          <cell r="E105" t="str">
            <v>KILLION</v>
          </cell>
        </row>
        <row r="106">
          <cell r="C106" t="str">
            <v>1831-06</v>
          </cell>
          <cell r="D106">
            <v>2030000</v>
          </cell>
          <cell r="E106" t="str">
            <v>KILLION</v>
          </cell>
        </row>
        <row r="107">
          <cell r="C107" t="str">
            <v>190-06</v>
          </cell>
          <cell r="D107">
            <v>1540000</v>
          </cell>
          <cell r="E107" t="str">
            <v>HELVIE</v>
          </cell>
        </row>
        <row r="108">
          <cell r="C108" t="str">
            <v>237-06</v>
          </cell>
          <cell r="D108">
            <v>1410000</v>
          </cell>
          <cell r="E108" t="str">
            <v>GOLIGHTLY</v>
          </cell>
        </row>
        <row r="109">
          <cell r="C109" t="str">
            <v>180-06</v>
          </cell>
          <cell r="D109">
            <v>2020000</v>
          </cell>
          <cell r="E109" t="str">
            <v>SHOOK</v>
          </cell>
        </row>
        <row r="110">
          <cell r="C110" t="str">
            <v>243-06</v>
          </cell>
          <cell r="D110">
            <v>2000000</v>
          </cell>
          <cell r="E110" t="str">
            <v>STAMBAUGH</v>
          </cell>
        </row>
        <row r="111">
          <cell r="C111" t="str">
            <v>1805-06</v>
          </cell>
          <cell r="D111">
            <v>1830000</v>
          </cell>
          <cell r="E111" t="str">
            <v>YORK</v>
          </cell>
        </row>
        <row r="112">
          <cell r="C112" t="str">
            <v>102-07</v>
          </cell>
          <cell r="D112">
            <v>1740000</v>
          </cell>
          <cell r="E112" t="str">
            <v>STORY</v>
          </cell>
        </row>
        <row r="113">
          <cell r="C113" t="str">
            <v>1804-06</v>
          </cell>
          <cell r="D113">
            <v>1830000</v>
          </cell>
          <cell r="E113" t="str">
            <v>YORK</v>
          </cell>
        </row>
        <row r="114">
          <cell r="C114" t="str">
            <v>186-06</v>
          </cell>
          <cell r="D114">
            <v>950000</v>
          </cell>
          <cell r="E114" t="str">
            <v>WEBSTER</v>
          </cell>
        </row>
        <row r="115">
          <cell r="C115" t="str">
            <v>122-06</v>
          </cell>
          <cell r="D115">
            <v>1990000</v>
          </cell>
          <cell r="E115" t="str">
            <v>DAVIS</v>
          </cell>
        </row>
        <row r="116">
          <cell r="C116" t="str">
            <v>197-06</v>
          </cell>
          <cell r="D116">
            <v>1520000</v>
          </cell>
          <cell r="E116" t="str">
            <v>MAYBERRY</v>
          </cell>
        </row>
        <row r="117">
          <cell r="C117" t="str">
            <v>108-06</v>
          </cell>
          <cell r="D117">
            <v>1990000</v>
          </cell>
          <cell r="E117" t="str">
            <v>DAVIS</v>
          </cell>
        </row>
        <row r="118">
          <cell r="C118" t="str">
            <v>STAMBAUGH-06</v>
          </cell>
          <cell r="D118">
            <v>2000000</v>
          </cell>
          <cell r="E118" t="str">
            <v>STAMBAUGH</v>
          </cell>
        </row>
        <row r="119">
          <cell r="C119" t="str">
            <v>311-06</v>
          </cell>
          <cell r="D119">
            <v>1800000</v>
          </cell>
          <cell r="E119" t="str">
            <v>CHANDLER</v>
          </cell>
        </row>
        <row r="120">
          <cell r="C120" t="str">
            <v>224-06</v>
          </cell>
          <cell r="D120">
            <v>1810000</v>
          </cell>
          <cell r="E120" t="str">
            <v>NEWELL</v>
          </cell>
        </row>
        <row r="121">
          <cell r="C121" t="str">
            <v>219-06</v>
          </cell>
          <cell r="D121">
            <v>2000000</v>
          </cell>
          <cell r="E121" t="str">
            <v>STAMBAUGH</v>
          </cell>
        </row>
        <row r="122">
          <cell r="C122" t="str">
            <v>1832-06</v>
          </cell>
          <cell r="D122">
            <v>2030000</v>
          </cell>
          <cell r="E122" t="str">
            <v>KILLION</v>
          </cell>
        </row>
        <row r="123">
          <cell r="C123" t="str">
            <v>217-06</v>
          </cell>
          <cell r="D123">
            <v>1800000</v>
          </cell>
          <cell r="E123" t="str">
            <v>CHANDLER</v>
          </cell>
        </row>
        <row r="124">
          <cell r="C124" t="str">
            <v>173-06</v>
          </cell>
          <cell r="D124">
            <v>880000</v>
          </cell>
          <cell r="E124" t="str">
            <v>STEWART</v>
          </cell>
        </row>
        <row r="125">
          <cell r="C125" t="str">
            <v>215-06</v>
          </cell>
          <cell r="D125">
            <v>1780000</v>
          </cell>
          <cell r="E125" t="str">
            <v>DE LA ROSA</v>
          </cell>
        </row>
        <row r="126">
          <cell r="C126" t="str">
            <v>182-06</v>
          </cell>
          <cell r="D126">
            <v>1780000</v>
          </cell>
          <cell r="E126" t="str">
            <v>DE LA ROSA</v>
          </cell>
        </row>
        <row r="127">
          <cell r="C127" t="str">
            <v>178-06</v>
          </cell>
          <cell r="D127">
            <v>2040000</v>
          </cell>
          <cell r="E127" t="str">
            <v>MOSES</v>
          </cell>
        </row>
        <row r="128">
          <cell r="C128" t="str">
            <v>1820-06</v>
          </cell>
          <cell r="D128">
            <v>2030000</v>
          </cell>
          <cell r="E128" t="str">
            <v>KILLION</v>
          </cell>
        </row>
        <row r="129">
          <cell r="C129" t="str">
            <v>174-06</v>
          </cell>
          <cell r="D129">
            <v>880000</v>
          </cell>
          <cell r="E129" t="str">
            <v>STEWART</v>
          </cell>
        </row>
        <row r="130">
          <cell r="C130" t="str">
            <v>222-06</v>
          </cell>
          <cell r="D130">
            <v>860000</v>
          </cell>
          <cell r="E130" t="str">
            <v>ARNOLD</v>
          </cell>
        </row>
        <row r="131">
          <cell r="C131" t="str">
            <v>179-06</v>
          </cell>
          <cell r="D131">
            <v>2020000</v>
          </cell>
          <cell r="E131" t="str">
            <v>SHOOK</v>
          </cell>
        </row>
        <row r="132">
          <cell r="C132" t="str">
            <v>146-06</v>
          </cell>
          <cell r="D132">
            <v>1360000</v>
          </cell>
          <cell r="E132" t="str">
            <v>SANTIZO</v>
          </cell>
        </row>
        <row r="133">
          <cell r="C133" t="str">
            <v>170-06</v>
          </cell>
          <cell r="D133">
            <v>1520000</v>
          </cell>
          <cell r="E133" t="str">
            <v>MAYBERRY</v>
          </cell>
        </row>
        <row r="134">
          <cell r="C134" t="str">
            <v>169-06</v>
          </cell>
          <cell r="D134">
            <v>1520000</v>
          </cell>
          <cell r="E134" t="str">
            <v>MAYBERRY</v>
          </cell>
        </row>
        <row r="135">
          <cell r="C135" t="str">
            <v>1808-06</v>
          </cell>
          <cell r="D135">
            <v>1830000</v>
          </cell>
          <cell r="E135" t="str">
            <v>YORK</v>
          </cell>
        </row>
        <row r="136">
          <cell r="C136" t="str">
            <v>1814-06</v>
          </cell>
          <cell r="D136">
            <v>1830000</v>
          </cell>
          <cell r="E136" t="str">
            <v>YORK</v>
          </cell>
        </row>
        <row r="137">
          <cell r="C137" t="str">
            <v>116-06</v>
          </cell>
          <cell r="D137">
            <v>1760000</v>
          </cell>
          <cell r="E137" t="str">
            <v>STRICKLAND</v>
          </cell>
        </row>
        <row r="138">
          <cell r="C138" t="str">
            <v>168-06</v>
          </cell>
          <cell r="D138">
            <v>750000</v>
          </cell>
          <cell r="E138" t="str">
            <v>NATION</v>
          </cell>
        </row>
        <row r="139">
          <cell r="C139" t="str">
            <v>105-06</v>
          </cell>
          <cell r="D139">
            <v>1260000</v>
          </cell>
          <cell r="E139" t="str">
            <v>ACKERMAN</v>
          </cell>
        </row>
        <row r="140">
          <cell r="C140" t="str">
            <v>216-06</v>
          </cell>
          <cell r="D140">
            <v>1780000</v>
          </cell>
          <cell r="E140" t="str">
            <v>DE LA ROSA</v>
          </cell>
        </row>
        <row r="141">
          <cell r="C141" t="str">
            <v>199-06</v>
          </cell>
          <cell r="D141">
            <v>950000</v>
          </cell>
          <cell r="E141" t="str">
            <v>WEBSTER</v>
          </cell>
        </row>
        <row r="142">
          <cell r="C142" t="str">
            <v>172-06</v>
          </cell>
          <cell r="D142">
            <v>950000</v>
          </cell>
          <cell r="E142" t="str">
            <v>WEBSTER</v>
          </cell>
        </row>
        <row r="143">
          <cell r="C143" t="str">
            <v>245-05</v>
          </cell>
          <cell r="D143">
            <v>1300000</v>
          </cell>
          <cell r="E143" t="str">
            <v>LEVIN</v>
          </cell>
        </row>
        <row r="144">
          <cell r="C144" t="str">
            <v>208-06</v>
          </cell>
          <cell r="D144">
            <v>1540000</v>
          </cell>
          <cell r="E144" t="str">
            <v>HELVIE</v>
          </cell>
        </row>
        <row r="145">
          <cell r="C145" t="str">
            <v>239-06</v>
          </cell>
          <cell r="D145">
            <v>1810000</v>
          </cell>
          <cell r="E145" t="str">
            <v>NEWELL</v>
          </cell>
        </row>
        <row r="146">
          <cell r="C146" t="str">
            <v>218-06</v>
          </cell>
          <cell r="D146">
            <v>1800000</v>
          </cell>
          <cell r="E146" t="str">
            <v>CHANDLER</v>
          </cell>
        </row>
        <row r="147">
          <cell r="C147" t="str">
            <v>308-06</v>
          </cell>
          <cell r="D147">
            <v>2040000</v>
          </cell>
          <cell r="E147" t="str">
            <v>MOSES</v>
          </cell>
        </row>
        <row r="148">
          <cell r="C148" t="str">
            <v>101-06</v>
          </cell>
          <cell r="D148">
            <v>2010000</v>
          </cell>
          <cell r="E148" t="str">
            <v>MAELZER</v>
          </cell>
        </row>
        <row r="149">
          <cell r="C149" t="str">
            <v>214-06</v>
          </cell>
          <cell r="D149">
            <v>2020000</v>
          </cell>
          <cell r="E149" t="str">
            <v>SHOOK</v>
          </cell>
        </row>
        <row r="150">
          <cell r="C150" t="str">
            <v>111-06</v>
          </cell>
          <cell r="D150">
            <v>1100000</v>
          </cell>
          <cell r="E150" t="str">
            <v>GEBRETEKLE</v>
          </cell>
        </row>
        <row r="151">
          <cell r="C151" t="str">
            <v>211-06</v>
          </cell>
          <cell r="D151">
            <v>1810000</v>
          </cell>
          <cell r="E151" t="str">
            <v>NEWELL</v>
          </cell>
        </row>
        <row r="152">
          <cell r="C152" t="str">
            <v>119-06</v>
          </cell>
          <cell r="D152">
            <v>1260000</v>
          </cell>
          <cell r="E152" t="str">
            <v>ACKERMAN</v>
          </cell>
        </row>
        <row r="153">
          <cell r="C153" t="str">
            <v>201-06</v>
          </cell>
          <cell r="D153">
            <v>880000</v>
          </cell>
          <cell r="E153" t="str">
            <v>STEWART</v>
          </cell>
        </row>
        <row r="154">
          <cell r="C154" t="str">
            <v>244-05</v>
          </cell>
          <cell r="D154">
            <v>2140000</v>
          </cell>
          <cell r="E154" t="str">
            <v>ROBINSON</v>
          </cell>
        </row>
        <row r="155">
          <cell r="C155" t="str">
            <v>1811-06</v>
          </cell>
          <cell r="D155">
            <v>1830000</v>
          </cell>
          <cell r="E155" t="str">
            <v>YORK</v>
          </cell>
        </row>
        <row r="156">
          <cell r="C156" t="str">
            <v>104-06</v>
          </cell>
          <cell r="D156">
            <v>1360000</v>
          </cell>
          <cell r="E156" t="str">
            <v>SANTIZO</v>
          </cell>
        </row>
        <row r="157">
          <cell r="C157" t="str">
            <v>148-06</v>
          </cell>
          <cell r="D157">
            <v>1260000</v>
          </cell>
          <cell r="E157" t="str">
            <v>ACKERMAN</v>
          </cell>
        </row>
        <row r="158">
          <cell r="C158" t="str">
            <v>1815-06</v>
          </cell>
          <cell r="D158">
            <v>1830000</v>
          </cell>
          <cell r="E158" t="str">
            <v>YORK</v>
          </cell>
        </row>
        <row r="159">
          <cell r="C159" t="str">
            <v>134-06</v>
          </cell>
          <cell r="D159">
            <v>1260000</v>
          </cell>
          <cell r="E159" t="str">
            <v>ACKERMAN</v>
          </cell>
        </row>
        <row r="160">
          <cell r="C160" t="str">
            <v>191-06</v>
          </cell>
          <cell r="D160">
            <v>2040000</v>
          </cell>
          <cell r="E160" t="str">
            <v>MOSES</v>
          </cell>
        </row>
        <row r="161">
          <cell r="C161" t="str">
            <v>118-06</v>
          </cell>
          <cell r="D161">
            <v>1360000</v>
          </cell>
          <cell r="E161" t="str">
            <v>SANTIZO</v>
          </cell>
        </row>
        <row r="162">
          <cell r="C162" t="str">
            <v>1819-06</v>
          </cell>
          <cell r="D162">
            <v>2030000</v>
          </cell>
          <cell r="E162" t="str">
            <v>KILLION</v>
          </cell>
        </row>
        <row r="163">
          <cell r="C163" t="str">
            <v>313-06</v>
          </cell>
          <cell r="D163">
            <v>2000000</v>
          </cell>
          <cell r="E163" t="str">
            <v>STAMBAUGH</v>
          </cell>
        </row>
        <row r="164">
          <cell r="C164" t="str">
            <v>194-06</v>
          </cell>
          <cell r="D164">
            <v>2020000</v>
          </cell>
          <cell r="E164" t="str">
            <v>SHOOK</v>
          </cell>
        </row>
        <row r="165">
          <cell r="C165" t="str">
            <v>241-06</v>
          </cell>
          <cell r="D165">
            <v>1800000</v>
          </cell>
          <cell r="E165" t="str">
            <v>CHANDLER</v>
          </cell>
        </row>
        <row r="166">
          <cell r="C166" t="str">
            <v>206-06</v>
          </cell>
          <cell r="D166">
            <v>880000</v>
          </cell>
          <cell r="E166" t="str">
            <v>STEWART</v>
          </cell>
        </row>
        <row r="167">
          <cell r="C167" t="str">
            <v>234-06</v>
          </cell>
          <cell r="D167">
            <v>1800000</v>
          </cell>
          <cell r="E167" t="str">
            <v>CHANDLER</v>
          </cell>
        </row>
        <row r="168">
          <cell r="C168" t="str">
            <v>212-06</v>
          </cell>
          <cell r="D168">
            <v>1810000</v>
          </cell>
          <cell r="E168" t="str">
            <v>NEWELL</v>
          </cell>
        </row>
        <row r="169">
          <cell r="C169" t="str">
            <v>1902-06</v>
          </cell>
          <cell r="D169">
            <v>2030000</v>
          </cell>
          <cell r="E169" t="str">
            <v>KILLION</v>
          </cell>
        </row>
        <row r="170">
          <cell r="C170" t="str">
            <v>125-06</v>
          </cell>
          <cell r="D170">
            <v>1100000</v>
          </cell>
          <cell r="E170" t="str">
            <v>GEBRETEKLE</v>
          </cell>
        </row>
        <row r="171">
          <cell r="C171" t="str">
            <v>213-06</v>
          </cell>
          <cell r="D171">
            <v>2020000</v>
          </cell>
          <cell r="E171" t="str">
            <v>SHOOK</v>
          </cell>
        </row>
        <row r="172">
          <cell r="C172" t="str">
            <v>153-06</v>
          </cell>
          <cell r="D172">
            <v>1100000</v>
          </cell>
          <cell r="E172" t="str">
            <v>GEBRETEKLE</v>
          </cell>
        </row>
        <row r="173">
          <cell r="C173" t="str">
            <v>185-06</v>
          </cell>
          <cell r="D173">
            <v>950000</v>
          </cell>
          <cell r="E173" t="str">
            <v>WEBSTER</v>
          </cell>
        </row>
        <row r="174">
          <cell r="C174" t="str">
            <v>155-06</v>
          </cell>
          <cell r="D174">
            <v>1520000</v>
          </cell>
          <cell r="E174" t="str">
            <v>MAYBERRY</v>
          </cell>
        </row>
        <row r="175">
          <cell r="C175" t="str">
            <v>176-06</v>
          </cell>
          <cell r="D175">
            <v>1540000</v>
          </cell>
          <cell r="E175" t="str">
            <v>HELVIE</v>
          </cell>
        </row>
        <row r="176">
          <cell r="C176" t="str">
            <v>1813-06</v>
          </cell>
          <cell r="D176">
            <v>1830000</v>
          </cell>
          <cell r="E176" t="str">
            <v>YORK</v>
          </cell>
        </row>
        <row r="177">
          <cell r="C177" t="str">
            <v>140-06</v>
          </cell>
          <cell r="D177">
            <v>1100000</v>
          </cell>
          <cell r="E177" t="str">
            <v>GEBRETEKLE</v>
          </cell>
        </row>
        <row r="178">
          <cell r="C178" t="str">
            <v>187-06</v>
          </cell>
          <cell r="D178">
            <v>880000</v>
          </cell>
          <cell r="E178" t="str">
            <v>STEWART</v>
          </cell>
        </row>
        <row r="179">
          <cell r="C179" t="str">
            <v>127-06</v>
          </cell>
          <cell r="D179">
            <v>2010000</v>
          </cell>
          <cell r="E179" t="str">
            <v>MAELZER</v>
          </cell>
        </row>
        <row r="180">
          <cell r="C180" t="str">
            <v>205-06</v>
          </cell>
          <cell r="D180">
            <v>2040000</v>
          </cell>
          <cell r="E180" t="str">
            <v>MOSES</v>
          </cell>
        </row>
        <row r="181">
          <cell r="C181" t="str">
            <v>119-06</v>
          </cell>
          <cell r="D181">
            <v>1260000</v>
          </cell>
          <cell r="E181" t="str">
            <v>ACKERMAN</v>
          </cell>
        </row>
        <row r="182">
          <cell r="C182" t="str">
            <v>202-06</v>
          </cell>
          <cell r="D182">
            <v>950000</v>
          </cell>
          <cell r="E182" t="str">
            <v>WEBSTER</v>
          </cell>
        </row>
        <row r="183">
          <cell r="C183" t="str">
            <v>238-06</v>
          </cell>
          <cell r="D183">
            <v>1410000</v>
          </cell>
          <cell r="E183" t="str">
            <v>GOLIGHTLY</v>
          </cell>
        </row>
        <row r="184">
          <cell r="C184" t="str">
            <v>105-07</v>
          </cell>
          <cell r="D184">
            <v>2010000</v>
          </cell>
          <cell r="E184" t="str">
            <v>MAELZER</v>
          </cell>
        </row>
        <row r="185">
          <cell r="C185" t="str">
            <v>166-06</v>
          </cell>
          <cell r="D185">
            <v>2020000</v>
          </cell>
          <cell r="E185" t="str">
            <v>SHOOK</v>
          </cell>
        </row>
        <row r="186">
          <cell r="C186" t="str">
            <v>129-06</v>
          </cell>
          <cell r="D186">
            <v>1760000</v>
          </cell>
          <cell r="E186" t="str">
            <v>STRICKLAND</v>
          </cell>
        </row>
        <row r="187">
          <cell r="C187" t="str">
            <v>1810-06</v>
          </cell>
          <cell r="D187">
            <v>1830000</v>
          </cell>
          <cell r="E187" t="str">
            <v>YORK</v>
          </cell>
        </row>
        <row r="188">
          <cell r="C188" t="str">
            <v>131-06</v>
          </cell>
          <cell r="D188">
            <v>1360000</v>
          </cell>
          <cell r="E188" t="str">
            <v>SANTIZO</v>
          </cell>
        </row>
        <row r="189">
          <cell r="C189" t="str">
            <v>245-06</v>
          </cell>
          <cell r="D189">
            <v>1410000</v>
          </cell>
          <cell r="E189" t="str">
            <v>GOLIGHTLY</v>
          </cell>
        </row>
        <row r="190">
          <cell r="C190" t="str">
            <v>151-06</v>
          </cell>
          <cell r="D190">
            <v>1740000</v>
          </cell>
          <cell r="E190" t="str">
            <v>STORY</v>
          </cell>
        </row>
        <row r="191">
          <cell r="C191" t="str">
            <v>159-06</v>
          </cell>
          <cell r="D191">
            <v>880000</v>
          </cell>
          <cell r="E191" t="str">
            <v>STEWART</v>
          </cell>
        </row>
        <row r="192">
          <cell r="C192" t="str">
            <v>188-06</v>
          </cell>
          <cell r="D192">
            <v>880000</v>
          </cell>
          <cell r="E192" t="str">
            <v>STEWART</v>
          </cell>
        </row>
        <row r="193">
          <cell r="C193" t="str">
            <v>145-06</v>
          </cell>
          <cell r="D193">
            <v>1360000</v>
          </cell>
          <cell r="E193" t="str">
            <v>SANTIZO</v>
          </cell>
        </row>
        <row r="194">
          <cell r="C194" t="str">
            <v>1822-06</v>
          </cell>
          <cell r="D194">
            <v>2030000</v>
          </cell>
          <cell r="E194" t="str">
            <v>KILLION</v>
          </cell>
        </row>
        <row r="195">
          <cell r="C195" t="str">
            <v>143-06</v>
          </cell>
          <cell r="D195">
            <v>1760000</v>
          </cell>
          <cell r="E195" t="str">
            <v>STRICKLAND</v>
          </cell>
        </row>
        <row r="196">
          <cell r="C196" t="str">
            <v>202-06</v>
          </cell>
          <cell r="D196">
            <v>950000</v>
          </cell>
          <cell r="E196" t="str">
            <v>WEBSTER</v>
          </cell>
        </row>
        <row r="197">
          <cell r="C197" t="str">
            <v>107-07</v>
          </cell>
          <cell r="D197">
            <v>1990000</v>
          </cell>
          <cell r="E197" t="str">
            <v>DAVIS</v>
          </cell>
        </row>
        <row r="198">
          <cell r="C198" t="str">
            <v>1824-06</v>
          </cell>
          <cell r="D198">
            <v>2030000</v>
          </cell>
          <cell r="E198" t="str">
            <v>KILLION</v>
          </cell>
        </row>
        <row r="199">
          <cell r="C199" t="str">
            <v>184-06</v>
          </cell>
          <cell r="D199">
            <v>1520000</v>
          </cell>
          <cell r="E199" t="str">
            <v>MAYBERRY</v>
          </cell>
        </row>
        <row r="200">
          <cell r="C200" t="str">
            <v>210-06</v>
          </cell>
          <cell r="D200">
            <v>2040000</v>
          </cell>
          <cell r="E200" t="str">
            <v>MOSES</v>
          </cell>
        </row>
        <row r="201">
          <cell r="C201" t="str">
            <v>183-06</v>
          </cell>
          <cell r="D201">
            <v>1520000</v>
          </cell>
          <cell r="E201" t="str">
            <v>MAYBERRY</v>
          </cell>
        </row>
        <row r="202">
          <cell r="C202" t="str">
            <v>103-07</v>
          </cell>
          <cell r="D202">
            <v>1260000</v>
          </cell>
          <cell r="E202" t="str">
            <v>ACKERMAN</v>
          </cell>
        </row>
        <row r="203">
          <cell r="C203" t="str">
            <v>228-06</v>
          </cell>
          <cell r="D203">
            <v>2000000</v>
          </cell>
          <cell r="E203" t="str">
            <v>STAMBAUGH</v>
          </cell>
        </row>
        <row r="204">
          <cell r="C204" t="str">
            <v>147-06</v>
          </cell>
          <cell r="D204">
            <v>1260000</v>
          </cell>
          <cell r="E204" t="str">
            <v>ACKERMAN</v>
          </cell>
        </row>
        <row r="205">
          <cell r="C205" t="str">
            <v>1821-06</v>
          </cell>
          <cell r="D205">
            <v>2030000</v>
          </cell>
          <cell r="E205" t="str">
            <v>KILLION</v>
          </cell>
        </row>
        <row r="206">
          <cell r="C206" t="str">
            <v>192-06</v>
          </cell>
          <cell r="D206">
            <v>2040000</v>
          </cell>
          <cell r="E206" t="str">
            <v>MOSES</v>
          </cell>
        </row>
        <row r="207">
          <cell r="C207" t="str">
            <v>160-06</v>
          </cell>
          <cell r="D207">
            <v>880000</v>
          </cell>
          <cell r="E207" t="str">
            <v>STEWART</v>
          </cell>
        </row>
        <row r="208">
          <cell r="C208" t="str">
            <v>171-06</v>
          </cell>
          <cell r="D208">
            <v>950000</v>
          </cell>
          <cell r="E208" t="str">
            <v>WEBSTER</v>
          </cell>
        </row>
        <row r="209">
          <cell r="C209" t="str">
            <v>149-06</v>
          </cell>
          <cell r="D209">
            <v>1990000</v>
          </cell>
          <cell r="E209" t="str">
            <v>DAVIS</v>
          </cell>
        </row>
        <row r="210">
          <cell r="C210" t="str">
            <v>STAMBAUGH-06</v>
          </cell>
          <cell r="D210">
            <v>2000000</v>
          </cell>
          <cell r="E210" t="str">
            <v>STAMBAUGH</v>
          </cell>
        </row>
        <row r="211">
          <cell r="C211" t="str">
            <v>242-05</v>
          </cell>
          <cell r="D211">
            <v>1800000</v>
          </cell>
          <cell r="E211" t="str">
            <v>CHANDLER</v>
          </cell>
        </row>
        <row r="212">
          <cell r="C212" t="str">
            <v>142-06</v>
          </cell>
          <cell r="D212">
            <v>2010000</v>
          </cell>
          <cell r="E212" t="str">
            <v>MAELZER</v>
          </cell>
        </row>
        <row r="213">
          <cell r="C213" t="str">
            <v>117-06</v>
          </cell>
          <cell r="D213">
            <v>1360000</v>
          </cell>
          <cell r="E213" t="str">
            <v>SANTIZO</v>
          </cell>
        </row>
        <row r="214">
          <cell r="C214" t="str">
            <v>207-06</v>
          </cell>
          <cell r="D214">
            <v>2040000</v>
          </cell>
          <cell r="E214" t="str">
            <v>MOSES</v>
          </cell>
        </row>
        <row r="215">
          <cell r="C215" t="str">
            <v>108-06</v>
          </cell>
          <cell r="D215">
            <v>1990000</v>
          </cell>
          <cell r="E215" t="str">
            <v>DAVIS</v>
          </cell>
        </row>
        <row r="216">
          <cell r="C216" t="str">
            <v>303-06</v>
          </cell>
          <cell r="D216">
            <v>1520000</v>
          </cell>
          <cell r="E216" t="str">
            <v>MAYBERRY</v>
          </cell>
        </row>
        <row r="217">
          <cell r="C217" t="str">
            <v>115-06</v>
          </cell>
          <cell r="D217">
            <v>1760000</v>
          </cell>
          <cell r="E217" t="str">
            <v>STRICKLAND</v>
          </cell>
        </row>
        <row r="218">
          <cell r="C218" t="str">
            <v>223-06</v>
          </cell>
          <cell r="D218">
            <v>1810000</v>
          </cell>
          <cell r="E218" t="str">
            <v>NEWELL</v>
          </cell>
        </row>
        <row r="219">
          <cell r="C219" t="str">
            <v>246-05</v>
          </cell>
          <cell r="D219">
            <v>1300000</v>
          </cell>
          <cell r="E219" t="str">
            <v>LEVIN</v>
          </cell>
        </row>
        <row r="220">
          <cell r="C220" t="str">
            <v>220-06</v>
          </cell>
          <cell r="D220">
            <v>2000000</v>
          </cell>
          <cell r="E220" t="str">
            <v>STAMBAUGH</v>
          </cell>
        </row>
        <row r="221">
          <cell r="C221" t="str">
            <v>315-06</v>
          </cell>
          <cell r="D221">
            <v>1410000</v>
          </cell>
          <cell r="E221" t="str">
            <v>GOLIGHTLY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101-07</v>
          </cell>
          <cell r="B13">
            <v>4038</v>
          </cell>
          <cell r="C13" t="str">
            <v>DE.1.0.7.0</v>
          </cell>
          <cell r="D13" t="str">
            <v>204:783</v>
          </cell>
          <cell r="E13">
            <v>42589.129918981482</v>
          </cell>
          <cell r="F13">
            <v>42589.131597222222</v>
          </cell>
          <cell r="G13">
            <v>2</v>
          </cell>
          <cell r="H13" t="str">
            <v>204:233408</v>
          </cell>
          <cell r="I13">
            <v>42589.161412037036</v>
          </cell>
          <cell r="J13">
            <v>0</v>
          </cell>
          <cell r="K13" t="str">
            <v>4037/4038</v>
          </cell>
          <cell r="L13" t="str">
            <v>STORY</v>
          </cell>
          <cell r="M13">
            <v>2.9814814814017154E-2</v>
          </cell>
          <cell r="N13">
            <v>42.933333332184702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https://search-rtdc-monitor-bjffxe2xuh6vdkpspy63sjmuny.us-east-1.es.amazonaws.com/_plugin/kibana/#/discover/Steve-Slow-Train-Analysis-(2080s-and-2083s)?_g=(refreshInterval:(display:Off,section:0,value:0),time:(from:'2016-08-07 02:07:05-0600',mode:absolute,to:'2016-08-07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7.8299999999999995E-2</v>
          </cell>
          <cell r="Z13">
            <v>23.340800000000002</v>
          </cell>
          <cell r="AA13">
            <v>23.262500000000003</v>
          </cell>
          <cell r="AB13" t="e">
            <v>#N/A</v>
          </cell>
          <cell r="AC13" t="e">
            <v>#N/A</v>
          </cell>
          <cell r="AD13" t="str">
            <v>0101-07</v>
          </cell>
          <cell r="AE13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">
          <cell r="A14" t="str">
            <v>102-07</v>
          </cell>
          <cell r="B14">
            <v>4008</v>
          </cell>
          <cell r="C14" t="str">
            <v>DE.1.0.7.0</v>
          </cell>
          <cell r="D14" t="str">
            <v>204:232738</v>
          </cell>
          <cell r="E14">
            <v>42589.165046296293</v>
          </cell>
          <cell r="F14">
            <v>42589.166030092594</v>
          </cell>
          <cell r="G14">
            <v>1</v>
          </cell>
          <cell r="H14" t="str">
            <v>204:185</v>
          </cell>
          <cell r="I14">
            <v>42589.202662037038</v>
          </cell>
          <cell r="J14">
            <v>1</v>
          </cell>
          <cell r="K14" t="str">
            <v>4007/4008</v>
          </cell>
          <cell r="L14" t="str">
            <v>STORY</v>
          </cell>
          <cell r="M14">
            <v>3.6631944443797693E-2</v>
          </cell>
          <cell r="N14">
            <v>52.749999999068677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" t="str">
            <v>N</v>
          </cell>
          <cell r="X14">
            <v>1</v>
          </cell>
          <cell r="Y14">
            <v>23.273800000000001</v>
          </cell>
          <cell r="Z14">
            <v>1.8499999999999999E-2</v>
          </cell>
          <cell r="AA14">
            <v>23.255300000000002</v>
          </cell>
          <cell r="AB14" t="e">
            <v>#N/A</v>
          </cell>
          <cell r="AC14" t="e">
            <v>#N/A</v>
          </cell>
          <cell r="AD14" t="str">
            <v>0102-07</v>
          </cell>
          <cell r="AE14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5">
          <cell r="A15" t="str">
            <v>103-07</v>
          </cell>
          <cell r="B15">
            <v>4025</v>
          </cell>
          <cell r="C15" t="str">
            <v>DE.1.0.7.0</v>
          </cell>
          <cell r="D15" t="str">
            <v>204:652</v>
          </cell>
          <cell r="E15">
            <v>42589.150763888887</v>
          </cell>
          <cell r="F15">
            <v>42589.151932870373</v>
          </cell>
          <cell r="G15">
            <v>1</v>
          </cell>
          <cell r="H15" t="str">
            <v>204:233374</v>
          </cell>
          <cell r="I15">
            <v>42589.182210648149</v>
          </cell>
          <cell r="J15">
            <v>0</v>
          </cell>
          <cell r="K15" t="str">
            <v>4025/4026</v>
          </cell>
          <cell r="L15" t="str">
            <v>ACKERMAN</v>
          </cell>
          <cell r="M15">
            <v>3.0277777776063886E-2</v>
          </cell>
          <cell r="N15">
            <v>43.599999997531995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https://search-rtdc-monitor-bjffxe2xuh6vdkpspy63sjmuny.us-east-1.es.amazonaws.com/_plugin/kibana/#/discover/Steve-Slow-Train-Analysis-(2080s-and-2083s)?_g=(refreshInterval:(display:Off,section:0,value:0),time:(from:'2016-08-07 02:37:06-0600',mode:absolute,to:'2016-08-07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23.337399999999999</v>
          </cell>
          <cell r="AA15">
            <v>23.272199999999998</v>
          </cell>
          <cell r="AB15" t="e">
            <v>#N/A</v>
          </cell>
          <cell r="AC15" t="e">
            <v>#N/A</v>
          </cell>
          <cell r="AD15" t="str">
            <v>0103-07</v>
          </cell>
          <cell r="AE15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6">
          <cell r="A16" t="str">
            <v>104-07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42589.190497685187</v>
          </cell>
          <cell r="F16">
            <v>42589.191631944443</v>
          </cell>
          <cell r="G16">
            <v>1</v>
          </cell>
          <cell r="H16" t="str">
            <v>204:132</v>
          </cell>
          <cell r="I16">
            <v>42589.222638888888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3.1006944445834961E-2</v>
          </cell>
          <cell r="N16">
            <v>44.650000002002344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https://search-rtdc-monitor-bjffxe2xuh6vdkpspy63sjmuny.us-east-1.es.amazonaws.com/_plugin/kibana/#/discover/Steve-Slow-Train-Analysis-(2080s-and-2083s)?_g=(refreshInterval:(display:Off,section:0,value:0),time:(from:'2016-08-07 03:34:19-0600',mode:absolute,to:'2016-08-07 06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1.32E-2</v>
          </cell>
          <cell r="AA16">
            <v>23.258899999999997</v>
          </cell>
          <cell r="AB16" t="e">
            <v>#N/A</v>
          </cell>
          <cell r="AC16" t="e">
            <v>#N/A</v>
          </cell>
          <cell r="AD16" t="str">
            <v>0104-07</v>
          </cell>
          <cell r="AE16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7">
          <cell r="A17" t="str">
            <v>105-07</v>
          </cell>
          <cell r="B17">
            <v>4044</v>
          </cell>
          <cell r="C17" t="str">
            <v>DE.1.0.7.0</v>
          </cell>
          <cell r="D17" t="str">
            <v>204:690</v>
          </cell>
          <cell r="E17">
            <v>42589.169039351851</v>
          </cell>
          <cell r="F17">
            <v>42589.170034722221</v>
          </cell>
          <cell r="G17">
            <v>1</v>
          </cell>
          <cell r="H17" t="str">
            <v>204:233320</v>
          </cell>
          <cell r="I17">
            <v>42589.202685185184</v>
          </cell>
          <cell r="J17">
            <v>0</v>
          </cell>
          <cell r="K17" t="str">
            <v>4043/4044</v>
          </cell>
          <cell r="L17" t="str">
            <v>MAELZER</v>
          </cell>
          <cell r="M17">
            <v>3.2650462962919846E-2</v>
          </cell>
          <cell r="N17">
            <v>47.016666666604578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https://search-rtdc-monitor-bjffxe2xuh6vdkpspy63sjmuny.us-east-1.es.amazonaws.com/_plugin/kibana/#/discover/Steve-Slow-Train-Analysis-(2080s-and-2083s)?_g=(refreshInterval:(display:Off,section:0,value:0),time:(from:'2016-08-07 03:03:25-0600',mode:absolute,to:'2016-08-07 05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6.9000000000000006E-2</v>
          </cell>
          <cell r="Z17">
            <v>23.332000000000001</v>
          </cell>
          <cell r="AA17">
            <v>23.263000000000002</v>
          </cell>
          <cell r="AB17" t="e">
            <v>#N/A</v>
          </cell>
          <cell r="AC17" t="e">
            <v>#N/A</v>
          </cell>
          <cell r="AD17" t="str">
            <v>0105-07</v>
          </cell>
          <cell r="AE17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8">
          <cell r="A18" t="str">
            <v>106-07</v>
          </cell>
          <cell r="B18">
            <v>4028</v>
          </cell>
          <cell r="C18" t="str">
            <v>DE.1.0.7.0</v>
          </cell>
          <cell r="D18" t="str">
            <v>204:232654</v>
          </cell>
          <cell r="E18">
            <v>42589.212488425925</v>
          </cell>
          <cell r="F18">
            <v>42589.213495370372</v>
          </cell>
          <cell r="G18">
            <v>1</v>
          </cell>
          <cell r="H18" t="str">
            <v>204:198</v>
          </cell>
          <cell r="I18">
            <v>42589.243368055555</v>
          </cell>
          <cell r="J18">
            <v>1</v>
          </cell>
          <cell r="K18" t="str">
            <v>4027/4028</v>
          </cell>
          <cell r="L18" t="str">
            <v>MAELZER</v>
          </cell>
          <cell r="M18">
            <v>2.9872685183363501E-2</v>
          </cell>
          <cell r="N18">
            <v>43.016666664043441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1.9800000000000002E-2</v>
          </cell>
          <cell r="AA18">
            <v>23.2456</v>
          </cell>
          <cell r="AB18" t="e">
            <v>#N/A</v>
          </cell>
          <cell r="AC18" t="e">
            <v>#N/A</v>
          </cell>
          <cell r="AD18" t="str">
            <v>0106-07</v>
          </cell>
          <cell r="AE1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">
          <cell r="A19" t="str">
            <v>107-07</v>
          </cell>
          <cell r="B19">
            <v>4018</v>
          </cell>
          <cell r="C19" t="str">
            <v>DE.1.0.7.0</v>
          </cell>
          <cell r="D19" t="str">
            <v>204:473</v>
          </cell>
          <cell r="E19">
            <v>42589.180601851855</v>
          </cell>
          <cell r="F19">
            <v>42589.181840277779</v>
          </cell>
          <cell r="G19">
            <v>1</v>
          </cell>
          <cell r="H19" t="str">
            <v>204:233319</v>
          </cell>
          <cell r="I19">
            <v>42589.213541666664</v>
          </cell>
          <cell r="J19">
            <v>0</v>
          </cell>
          <cell r="K19" t="str">
            <v>4017/4018</v>
          </cell>
          <cell r="L19" t="str">
            <v>DAVIS</v>
          </cell>
          <cell r="M19">
            <v>3.1701388885267079E-2</v>
          </cell>
          <cell r="N19">
            <v>45.649999994784594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https://search-rtdc-monitor-bjffxe2xuh6vdkpspy63sjmuny.us-east-1.es.amazonaws.com/_plugin/kibana/#/discover/Steve-Slow-Train-Analysis-(2080s-and-2083s)?_g=(refreshInterval:(display:Off,section:0,value:0),time:(from:'2016-08-07 03:20:04-0600',mode:absolute,to:'2016-08-07 06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23.331900000000001</v>
          </cell>
          <cell r="AA19">
            <v>23.284600000000001</v>
          </cell>
          <cell r="AB19" t="e">
            <v>#N/A</v>
          </cell>
          <cell r="AC19" t="e">
            <v>#N/A</v>
          </cell>
          <cell r="AD19" t="str">
            <v>0107-07</v>
          </cell>
          <cell r="AE19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20">
          <cell r="A20" t="str">
            <v>108-07</v>
          </cell>
          <cell r="B20">
            <v>4017</v>
          </cell>
          <cell r="C20" t="str">
            <v>DE.1.0.7.0</v>
          </cell>
          <cell r="D20" t="str">
            <v>204:232994</v>
          </cell>
          <cell r="E20">
            <v>42589.220729166664</v>
          </cell>
          <cell r="F20">
            <v>42589.222071759257</v>
          </cell>
          <cell r="G20">
            <v>1</v>
          </cell>
          <cell r="H20" t="str">
            <v>204:161</v>
          </cell>
          <cell r="I20">
            <v>42589.254618055558</v>
          </cell>
          <cell r="J20">
            <v>1</v>
          </cell>
          <cell r="K20" t="str">
            <v>4017/4018</v>
          </cell>
          <cell r="L20" t="str">
            <v>DAVIS</v>
          </cell>
          <cell r="M20">
            <v>3.2546296301006805E-2</v>
          </cell>
          <cell r="N20">
            <v>46.866666673449799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1.61E-2</v>
          </cell>
          <cell r="AA20">
            <v>23.283299999999997</v>
          </cell>
          <cell r="AB20">
            <v>183829</v>
          </cell>
          <cell r="AC20" t="str">
            <v>PERMANENT SPEED RESTRICTION</v>
          </cell>
          <cell r="AD20" t="str">
            <v>0108-07</v>
          </cell>
          <cell r="AE20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21">
          <cell r="A21" t="str">
            <v>109-07</v>
          </cell>
          <cell r="B21">
            <v>4029</v>
          </cell>
          <cell r="C21" t="str">
            <v>DE.1.0.7.0</v>
          </cell>
          <cell r="D21" t="str">
            <v>204:462</v>
          </cell>
          <cell r="E21">
            <v>42589.196608796294</v>
          </cell>
          <cell r="F21">
            <v>42589.197581018518</v>
          </cell>
          <cell r="G21">
            <v>1</v>
          </cell>
          <cell r="H21" t="str">
            <v>204:233278</v>
          </cell>
          <cell r="I21">
            <v>42589.223310185182</v>
          </cell>
          <cell r="J21">
            <v>0</v>
          </cell>
          <cell r="K21" t="str">
            <v>4029/4030</v>
          </cell>
          <cell r="L21" t="str">
            <v>MALAVE</v>
          </cell>
          <cell r="M21">
            <v>2.5729166663950309E-2</v>
          </cell>
          <cell r="N21">
            <v>37.049999996088445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https://search-rtdc-monitor-bjffxe2xuh6vdkpspy63sjmuny.us-east-1.es.amazonaws.com/_plugin/kibana/#/discover/Steve-Slow-Train-Analysis-(2080s-and-2083s)?_g=(refreshInterval:(display:Off,section:0,value:0),time:(from:'2016-08-07 03:43:07-0600',mode:absolute,to:'2016-08-07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4.6199999999999998E-2</v>
          </cell>
          <cell r="Z21">
            <v>23.3278</v>
          </cell>
          <cell r="AA21">
            <v>23.281600000000001</v>
          </cell>
          <cell r="AB21" t="e">
            <v>#N/A</v>
          </cell>
          <cell r="AC21" t="e">
            <v>#N/A</v>
          </cell>
          <cell r="AD21" t="str">
            <v>0109-07</v>
          </cell>
          <cell r="AE21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22">
          <cell r="A22" t="str">
            <v>110-07</v>
          </cell>
          <cell r="B22">
            <v>4030</v>
          </cell>
          <cell r="C22" t="str">
            <v>DE.1.0.7.0</v>
          </cell>
          <cell r="D22" t="str">
            <v>204:127857</v>
          </cell>
          <cell r="E22">
            <v>42589.248182870368</v>
          </cell>
          <cell r="F22">
            <v>42589.248923611114</v>
          </cell>
          <cell r="G22">
            <v>1</v>
          </cell>
          <cell r="H22" t="str">
            <v>204:174</v>
          </cell>
          <cell r="I22">
            <v>42589.265972222223</v>
          </cell>
          <cell r="J22">
            <v>0</v>
          </cell>
          <cell r="K22" t="str">
            <v>4029/4030</v>
          </cell>
          <cell r="L22" t="str">
            <v>MALAVE</v>
          </cell>
          <cell r="M22">
            <v>1.7048611109203193E-2</v>
          </cell>
          <cell r="P22">
            <v>27.433333334047347</v>
          </cell>
          <cell r="R22" t="str">
            <v>DIA 4S inefficient dispatching - no clear request sent until after cut out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https://search-rtdc-monitor-bjffxe2xuh6vdkpspy63sjmuny.us-east-1.es.amazonaws.com/_plugin/kibana/#/discover/Steve-Slow-Train-Analysis-(2080s-and-2083s)?_g=(refreshInterval:(display:Off,section:0,value:0),time:(from:'2016-08-07 04:57:23-0600',mode:absolute,to:'2016-08-07 07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Y</v>
          </cell>
          <cell r="X22">
            <v>1</v>
          </cell>
          <cell r="Y22">
            <v>12.7857</v>
          </cell>
          <cell r="Z22">
            <v>1.7399999999999999E-2</v>
          </cell>
          <cell r="AA22">
            <v>12.7683</v>
          </cell>
          <cell r="AB22" t="e">
            <v>#N/A</v>
          </cell>
          <cell r="AC22" t="e">
            <v>#N/A</v>
          </cell>
          <cell r="AD22" t="str">
            <v>0110-07</v>
          </cell>
          <cell r="AE22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3">
          <cell r="A23" t="str">
            <v>110-07</v>
          </cell>
          <cell r="B23">
            <v>4030</v>
          </cell>
          <cell r="C23" t="str">
            <v>DE.1.0.7.0</v>
          </cell>
          <cell r="D23" t="str">
            <v>204:232976</v>
          </cell>
          <cell r="E23">
            <v>42589.234560185185</v>
          </cell>
          <cell r="F23">
            <v>42589.235983796294</v>
          </cell>
          <cell r="G23">
            <v>2</v>
          </cell>
          <cell r="H23" t="str">
            <v>204:231937</v>
          </cell>
          <cell r="I23">
            <v>42589.237986111111</v>
          </cell>
          <cell r="J23">
            <v>0</v>
          </cell>
          <cell r="K23" t="str">
            <v>4029/4030</v>
          </cell>
          <cell r="L23" t="str">
            <v>MALAVE</v>
          </cell>
          <cell r="M23">
            <v>2.0023148172185756E-3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https://search-rtdc-monitor-bjffxe2xuh6vdkpspy63sjmuny.us-east-1.es.amazonaws.com/_plugin/kibana/#/discover/Steve-Slow-Train-Analysis-(2080s-and-2083s)?_g=(refreshInterval:(display:Off,section:0,value:0),time:(from:'2016-08-07 04:37:46-0600',mode:absolute,to:'2016-08-07 06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3" t="str">
            <v>Y</v>
          </cell>
          <cell r="X23">
            <v>0</v>
          </cell>
          <cell r="Y23">
            <v>23.297599999999999</v>
          </cell>
          <cell r="Z23">
            <v>23.1937</v>
          </cell>
          <cell r="AA23">
            <v>0.10389999999999944</v>
          </cell>
          <cell r="AB23" t="e">
            <v>#N/A</v>
          </cell>
          <cell r="AC23" t="e">
            <v>#N/A</v>
          </cell>
          <cell r="AD23" t="str">
            <v>0110-07</v>
          </cell>
          <cell r="AE2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4">
          <cell r="A24" t="str">
            <v>111-07</v>
          </cell>
          <cell r="B24">
            <v>4038</v>
          </cell>
          <cell r="C24" t="str">
            <v>DE.1.0.7.0</v>
          </cell>
          <cell r="D24" t="str">
            <v>204:728</v>
          </cell>
          <cell r="E24">
            <v>42589.207233796296</v>
          </cell>
          <cell r="F24">
            <v>42589.208495370367</v>
          </cell>
          <cell r="G24">
            <v>1</v>
          </cell>
          <cell r="H24" t="str">
            <v>204:233304</v>
          </cell>
          <cell r="I24">
            <v>42589.234675925924</v>
          </cell>
          <cell r="J24">
            <v>0</v>
          </cell>
          <cell r="K24" t="str">
            <v>4037/4038</v>
          </cell>
          <cell r="L24" t="str">
            <v>STRICKLAND</v>
          </cell>
          <cell r="M24">
            <v>2.6180555556493346E-2</v>
          </cell>
          <cell r="N24">
            <v>37.700000001350418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https://search-rtdc-monitor-bjffxe2xuh6vdkpspy63sjmuny.us-east-1.es.amazonaws.com/_plugin/kibana/#/discover/Steve-Slow-Train-Analysis-(2080s-and-2083s)?_g=(refreshInterval:(display:Off,section:0,value:0),time:(from:'2016-08-07 03:58:25-0600',mode:absolute,to:'2016-08-07 06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4" t="str">
            <v>N</v>
          </cell>
          <cell r="X24">
            <v>1</v>
          </cell>
          <cell r="Y24">
            <v>7.2800000000000004E-2</v>
          </cell>
          <cell r="Z24">
            <v>23.330400000000001</v>
          </cell>
          <cell r="AA24">
            <v>23.2576</v>
          </cell>
          <cell r="AB24" t="e">
            <v>#N/A</v>
          </cell>
          <cell r="AC24" t="e">
            <v>#N/A</v>
          </cell>
          <cell r="AD24" t="str">
            <v>0111-07</v>
          </cell>
          <cell r="AE2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25">
          <cell r="A25" t="str">
            <v>112-07</v>
          </cell>
          <cell r="B25">
            <v>4037</v>
          </cell>
          <cell r="C25" t="str">
            <v>DE.1.0.7.0</v>
          </cell>
          <cell r="D25" t="str">
            <v>204:232985</v>
          </cell>
          <cell r="E25">
            <v>42589.243796296294</v>
          </cell>
          <cell r="F25">
            <v>42589.245243055557</v>
          </cell>
          <cell r="G25">
            <v>2</v>
          </cell>
          <cell r="H25" t="str">
            <v>204:160</v>
          </cell>
          <cell r="I25">
            <v>42589.278229166666</v>
          </cell>
          <cell r="J25">
            <v>1</v>
          </cell>
          <cell r="K25" t="str">
            <v>4037/4038</v>
          </cell>
          <cell r="L25" t="str">
            <v>STRICKLAND</v>
          </cell>
          <cell r="M25">
            <v>3.2986111109494232E-2</v>
          </cell>
          <cell r="N25">
            <v>47.499999997671694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5" t="str">
            <v>N</v>
          </cell>
          <cell r="X25">
            <v>1</v>
          </cell>
          <cell r="Y25">
            <v>23.298500000000001</v>
          </cell>
          <cell r="Z25">
            <v>1.6E-2</v>
          </cell>
          <cell r="AA25">
            <v>23.282500000000002</v>
          </cell>
          <cell r="AB25" t="e">
            <v>#N/A</v>
          </cell>
          <cell r="AC25" t="e">
            <v>#N/A</v>
          </cell>
          <cell r="AD25" t="str">
            <v>0112-07</v>
          </cell>
          <cell r="AE2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26">
          <cell r="A26" t="str">
            <v>113-07</v>
          </cell>
          <cell r="B26">
            <v>4007</v>
          </cell>
          <cell r="C26" t="str">
            <v>DE.1.0.7.0</v>
          </cell>
          <cell r="D26" t="str">
            <v>204:471</v>
          </cell>
          <cell r="E26">
            <v>42589.212314814817</v>
          </cell>
          <cell r="F26">
            <v>42589.213622685187</v>
          </cell>
          <cell r="G26">
            <v>1</v>
          </cell>
          <cell r="H26" t="str">
            <v>204:233347</v>
          </cell>
          <cell r="I26">
            <v>42589.24454861111</v>
          </cell>
          <cell r="J26">
            <v>0</v>
          </cell>
          <cell r="K26" t="str">
            <v>4007/4008</v>
          </cell>
          <cell r="L26" t="str">
            <v>STORY</v>
          </cell>
          <cell r="M26">
            <v>3.0925925922929309E-2</v>
          </cell>
          <cell r="N26">
            <v>44.533333329018205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https://search-rtdc-monitor-bjffxe2xuh6vdkpspy63sjmuny.us-east-1.es.amazonaws.com/_plugin/kibana/#/discover/Steve-Slow-Train-Analysis-(2080s-and-2083s)?_g=(refreshInterval:(display:Off,section:0,value:0),time:(from:'2016-08-07 04:05:44-0600',mode:absolute,to:'2016-08-07 06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6" t="str">
            <v>N</v>
          </cell>
          <cell r="X26">
            <v>1</v>
          </cell>
          <cell r="Y26">
            <v>4.7100000000000003E-2</v>
          </cell>
          <cell r="Z26">
            <v>23.334700000000002</v>
          </cell>
          <cell r="AA26">
            <v>23.287600000000001</v>
          </cell>
          <cell r="AB26" t="e">
            <v>#N/A</v>
          </cell>
          <cell r="AC26" t="e">
            <v>#N/A</v>
          </cell>
          <cell r="AD26" t="str">
            <v>0113-07</v>
          </cell>
          <cell r="AE2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27">
          <cell r="A27" t="str">
            <v>114-07</v>
          </cell>
          <cell r="B27">
            <v>4008</v>
          </cell>
          <cell r="C27" t="str">
            <v>DE.1.0.7.0</v>
          </cell>
          <cell r="D27" t="str">
            <v>204:233023</v>
          </cell>
          <cell r="E27">
            <v>42589.252754629626</v>
          </cell>
          <cell r="F27">
            <v>42589.25372685185</v>
          </cell>
          <cell r="G27">
            <v>1</v>
          </cell>
          <cell r="H27" t="str">
            <v>204:147</v>
          </cell>
          <cell r="I27">
            <v>42589.284814814811</v>
          </cell>
          <cell r="J27">
            <v>0</v>
          </cell>
          <cell r="K27" t="str">
            <v>4007/4008</v>
          </cell>
          <cell r="L27" t="str">
            <v>STORY</v>
          </cell>
          <cell r="M27">
            <v>3.1087962961464655E-2</v>
          </cell>
          <cell r="N27">
            <v>44.766666664509103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https://search-rtdc-monitor-bjffxe2xuh6vdkpspy63sjmuny.us-east-1.es.amazonaws.com/_plugin/kibana/#/discover/Steve-Slow-Train-Analysis-(2080s-and-2083s)?_g=(refreshInterval:(display:Off,section:0,value:0),time:(from:'2016-08-07 05:03:58-0600',mode:absolute,to:'2016-08-07 07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7" t="str">
            <v>N</v>
          </cell>
          <cell r="X27">
            <v>1</v>
          </cell>
          <cell r="Y27">
            <v>23.302299999999999</v>
          </cell>
          <cell r="Z27">
            <v>1.47E-2</v>
          </cell>
          <cell r="AA27">
            <v>23.287599999999998</v>
          </cell>
          <cell r="AB27" t="e">
            <v>#N/A</v>
          </cell>
          <cell r="AC27" t="e">
            <v>#N/A</v>
          </cell>
          <cell r="AD27" t="str">
            <v>0114-07</v>
          </cell>
          <cell r="AE2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28">
          <cell r="A28" t="str">
            <v>115-07</v>
          </cell>
          <cell r="B28">
            <v>4025</v>
          </cell>
          <cell r="C28" t="str">
            <v>DE.1.0.7.0</v>
          </cell>
          <cell r="D28" t="str">
            <v>204:739</v>
          </cell>
          <cell r="E28">
            <v>42589.22420138889</v>
          </cell>
          <cell r="F28">
            <v>42589.225428240738</v>
          </cell>
          <cell r="G28">
            <v>1</v>
          </cell>
          <cell r="H28" t="str">
            <v>204:233283</v>
          </cell>
          <cell r="I28">
            <v>42589.254571759258</v>
          </cell>
          <cell r="J28">
            <v>1</v>
          </cell>
          <cell r="K28" t="str">
            <v>4025/4026</v>
          </cell>
          <cell r="L28" t="str">
            <v>YORK</v>
          </cell>
          <cell r="M28">
            <v>2.9143518520868383E-2</v>
          </cell>
          <cell r="N28">
            <v>41.966666670050472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8" t="str">
            <v>N</v>
          </cell>
          <cell r="X28">
            <v>1</v>
          </cell>
          <cell r="Y28">
            <v>7.3899999999999993E-2</v>
          </cell>
          <cell r="Z28">
            <v>23.328299999999999</v>
          </cell>
          <cell r="AA28">
            <v>23.2544</v>
          </cell>
          <cell r="AB28">
            <v>230436</v>
          </cell>
          <cell r="AC28" t="str">
            <v>PERMANENT SPEED RESTRICTION</v>
          </cell>
          <cell r="AD28" t="str">
            <v>0115-07</v>
          </cell>
          <cell r="AE2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29">
          <cell r="A29" t="str">
            <v>116-07</v>
          </cell>
          <cell r="B29">
            <v>4026</v>
          </cell>
          <cell r="C29" t="str">
            <v>DE.1.0.7.0</v>
          </cell>
          <cell r="D29" t="str">
            <v>204:232974</v>
          </cell>
          <cell r="E29">
            <v>42589.256516203706</v>
          </cell>
          <cell r="F29">
            <v>42589.257384259261</v>
          </cell>
          <cell r="G29">
            <v>1</v>
          </cell>
          <cell r="H29" t="str">
            <v>204:158</v>
          </cell>
          <cell r="I29">
            <v>42589.294108796297</v>
          </cell>
          <cell r="J29">
            <v>0</v>
          </cell>
          <cell r="K29" t="str">
            <v>4025/4026</v>
          </cell>
          <cell r="L29" t="str">
            <v>YORK</v>
          </cell>
          <cell r="M29">
            <v>3.6724537036207039E-2</v>
          </cell>
          <cell r="N29">
            <v>52.883333332138136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https://search-rtdc-monitor-bjffxe2xuh6vdkpspy63sjmuny.us-east-1.es.amazonaws.com/_plugin/kibana/#/discover/Steve-Slow-Train-Analysis-(2080s-and-2083s)?_g=(refreshInterval:(display:Off,section:0,value:0),time:(from:'2016-08-07 05:09:23-0600',mode:absolute,to:'2016-08-07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9" t="str">
            <v>N</v>
          </cell>
          <cell r="X29">
            <v>1</v>
          </cell>
          <cell r="Y29">
            <v>23.2974</v>
          </cell>
          <cell r="Z29">
            <v>1.5800000000000002E-2</v>
          </cell>
          <cell r="AA29">
            <v>23.281600000000001</v>
          </cell>
          <cell r="AB29" t="e">
            <v>#N/A</v>
          </cell>
          <cell r="AC29" t="e">
            <v>#N/A</v>
          </cell>
          <cell r="AD29" t="str">
            <v>0116-07</v>
          </cell>
          <cell r="AE2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30">
          <cell r="A30" t="str">
            <v>117-07</v>
          </cell>
          <cell r="B30">
            <v>4016</v>
          </cell>
          <cell r="C30" t="str">
            <v>DE.1.0.7.0</v>
          </cell>
          <cell r="D30" t="str">
            <v>204:398</v>
          </cell>
          <cell r="E30">
            <v>42589.233182870368</v>
          </cell>
          <cell r="F30">
            <v>42589.234432870369</v>
          </cell>
          <cell r="G30">
            <v>1</v>
          </cell>
          <cell r="H30" t="str">
            <v>204:233299</v>
          </cell>
          <cell r="I30">
            <v>42589.264317129629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2.9884259260143153E-2</v>
          </cell>
          <cell r="N30">
            <v>43.033333334606141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https://search-rtdc-monitor-bjffxe2xuh6vdkpspy63sjmuny.us-east-1.es.amazonaws.com/_plugin/kibana/#/discover/Steve-Slow-Train-Analysis-(2080s-and-2083s)?_g=(refreshInterval:(display:Off,section:0,value:0),time:(from:'2016-08-07 04:35:47-0600',mode:absolute,to:'2016-08-07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0" t="str">
            <v>N</v>
          </cell>
          <cell r="X30">
            <v>1</v>
          </cell>
          <cell r="Y30">
            <v>3.9800000000000002E-2</v>
          </cell>
          <cell r="Z30">
            <v>23.329899999999999</v>
          </cell>
          <cell r="AA30">
            <v>23.290099999999999</v>
          </cell>
          <cell r="AB30" t="e">
            <v>#N/A</v>
          </cell>
          <cell r="AC30" t="e">
            <v>#N/A</v>
          </cell>
          <cell r="AD30" t="str">
            <v>0117-07</v>
          </cell>
          <cell r="AE3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31">
          <cell r="A31" t="str">
            <v>118-07</v>
          </cell>
          <cell r="B31">
            <v>4015</v>
          </cell>
          <cell r="C31" t="str">
            <v>DE.1.0.7.0</v>
          </cell>
          <cell r="D31" t="str">
            <v>204:232984</v>
          </cell>
          <cell r="E31">
            <v>42589.271053240744</v>
          </cell>
          <cell r="F31">
            <v>42589.27244212963</v>
          </cell>
          <cell r="G31">
            <v>1</v>
          </cell>
          <cell r="H31" t="str">
            <v>204:134</v>
          </cell>
          <cell r="I31">
            <v>42589.305312500001</v>
          </cell>
          <cell r="J31">
            <v>1</v>
          </cell>
          <cell r="K31" t="str">
            <v>4015/4016</v>
          </cell>
          <cell r="L31" t="str">
            <v>ACKERMAN</v>
          </cell>
          <cell r="M31">
            <v>3.2870370370801538E-2</v>
          </cell>
          <cell r="N31">
            <v>47.333333333954215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1" t="str">
            <v>N</v>
          </cell>
          <cell r="X31">
            <v>1</v>
          </cell>
          <cell r="Y31">
            <v>23.298400000000001</v>
          </cell>
          <cell r="Z31">
            <v>1.34E-2</v>
          </cell>
          <cell r="AA31">
            <v>23.285</v>
          </cell>
          <cell r="AB31" t="e">
            <v>#N/A</v>
          </cell>
          <cell r="AC31" t="e">
            <v>#N/A</v>
          </cell>
          <cell r="AD31" t="str">
            <v>0118-07</v>
          </cell>
          <cell r="AE3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32">
          <cell r="A32" t="str">
            <v>119-07</v>
          </cell>
          <cell r="B32">
            <v>4044</v>
          </cell>
          <cell r="C32" t="str">
            <v>DE.1.0.7.0</v>
          </cell>
          <cell r="D32" t="str">
            <v>204:903</v>
          </cell>
          <cell r="E32">
            <v>42589.247546296298</v>
          </cell>
          <cell r="F32">
            <v>42589.248495370368</v>
          </cell>
          <cell r="G32">
            <v>1</v>
          </cell>
          <cell r="H32" t="str">
            <v>204:233321</v>
          </cell>
          <cell r="I32">
            <v>42589.275543981479</v>
          </cell>
          <cell r="J32">
            <v>0</v>
          </cell>
          <cell r="K32" t="str">
            <v>4043/4044</v>
          </cell>
          <cell r="L32" t="str">
            <v>MAELZER</v>
          </cell>
          <cell r="M32">
            <v>2.7048611111240461E-2</v>
          </cell>
          <cell r="N32">
            <v>38.950000000186265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https://search-rtdc-monitor-bjffxe2xuh6vdkpspy63sjmuny.us-east-1.es.amazonaws.com/_plugin/kibana/#/discover/Steve-Slow-Train-Analysis-(2080s-and-2083s)?_g=(refreshInterval:(display:Off,section:0,value:0),time:(from:'2016-08-07 04:56:28-0600',mode:absolute,to:'2016-08-07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2" t="str">
            <v>N</v>
          </cell>
          <cell r="X32">
            <v>1</v>
          </cell>
          <cell r="Y32">
            <v>9.0300000000000005E-2</v>
          </cell>
          <cell r="Z32">
            <v>23.332100000000001</v>
          </cell>
          <cell r="AA32">
            <v>23.241800000000001</v>
          </cell>
          <cell r="AB32" t="e">
            <v>#N/A</v>
          </cell>
          <cell r="AC32" t="e">
            <v>#N/A</v>
          </cell>
          <cell r="AD32" t="str">
            <v>0119-07</v>
          </cell>
          <cell r="AE3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33">
          <cell r="A33" t="str">
            <v>120-07</v>
          </cell>
          <cell r="B33">
            <v>4043</v>
          </cell>
          <cell r="C33" t="str">
            <v>DE.1.0.7.0</v>
          </cell>
          <cell r="D33" t="str">
            <v>204:232994</v>
          </cell>
          <cell r="E33">
            <v>42589.283854166664</v>
          </cell>
          <cell r="F33">
            <v>42589.284803240742</v>
          </cell>
          <cell r="G33">
            <v>1</v>
          </cell>
          <cell r="H33" t="str">
            <v>204:147</v>
          </cell>
          <cell r="I33">
            <v>42589.315405092595</v>
          </cell>
          <cell r="J33">
            <v>0</v>
          </cell>
          <cell r="K33" t="str">
            <v>4043/4044</v>
          </cell>
          <cell r="L33" t="str">
            <v>MAELZER</v>
          </cell>
          <cell r="M33">
            <v>3.0601851853134576E-2</v>
          </cell>
          <cell r="N33">
            <v>44.06666666851379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https://search-rtdc-monitor-bjffxe2xuh6vdkpspy63sjmuny.us-east-1.es.amazonaws.com/_plugin/kibana/#/discover/Steve-Slow-Train-Analysis-(2080s-and-2083s)?_g=(refreshInterval:(display:Off,section:0,value:0),time:(from:'2016-08-07 05:48:45-0600',mode:absolute,to:'2016-08-07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3" t="str">
            <v>N</v>
          </cell>
          <cell r="X33">
            <v>1</v>
          </cell>
          <cell r="Y33">
            <v>23.299399999999999</v>
          </cell>
          <cell r="Z33">
            <v>1.47E-2</v>
          </cell>
          <cell r="AA33">
            <v>23.284699999999997</v>
          </cell>
          <cell r="AB33" t="e">
            <v>#N/A</v>
          </cell>
          <cell r="AC33" t="e">
            <v>#N/A</v>
          </cell>
          <cell r="AD33" t="str">
            <v>0120-07</v>
          </cell>
          <cell r="AE3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34">
          <cell r="A34" t="str">
            <v>121-07</v>
          </cell>
          <cell r="B34">
            <v>4018</v>
          </cell>
          <cell r="C34" t="str">
            <v>DE.1.0.7.0</v>
          </cell>
          <cell r="D34" t="str">
            <v>204:460</v>
          </cell>
          <cell r="E34">
            <v>42589.256053240744</v>
          </cell>
          <cell r="F34">
            <v>42589.257048611114</v>
          </cell>
          <cell r="G34">
            <v>1</v>
          </cell>
          <cell r="H34" t="str">
            <v>204:233272</v>
          </cell>
          <cell r="I34">
            <v>42589.286539351851</v>
          </cell>
          <cell r="J34">
            <v>0</v>
          </cell>
          <cell r="K34" t="str">
            <v>4017/4018</v>
          </cell>
          <cell r="L34" t="str">
            <v>DAVIS</v>
          </cell>
          <cell r="M34">
            <v>2.9490740736946464E-2</v>
          </cell>
          <cell r="N34">
            <v>42.466666661202908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https://search-rtdc-monitor-bjffxe2xuh6vdkpspy63sjmuny.us-east-1.es.amazonaws.com/_plugin/kibana/#/discover/Steve-Slow-Train-Analysis-(2080s-and-2083s)?_g=(refreshInterval:(display:Off,section:0,value:0),time:(from:'2016-08-07 05:08:43-0600',mode:absolute,to:'2016-08-07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4" t="str">
            <v>N</v>
          </cell>
          <cell r="X34">
            <v>1</v>
          </cell>
          <cell r="Y34">
            <v>4.5999999999999999E-2</v>
          </cell>
          <cell r="Z34">
            <v>23.327200000000001</v>
          </cell>
          <cell r="AA34">
            <v>23.281200000000002</v>
          </cell>
          <cell r="AB34" t="e">
            <v>#N/A</v>
          </cell>
          <cell r="AC34" t="e">
            <v>#N/A</v>
          </cell>
          <cell r="AD34" t="str">
            <v>0121-07</v>
          </cell>
          <cell r="AE3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35">
          <cell r="A35" t="str">
            <v>122-07</v>
          </cell>
          <cell r="B35">
            <v>4017</v>
          </cell>
          <cell r="C35" t="str">
            <v>DE.1.0.7.0</v>
          </cell>
          <cell r="D35" t="str">
            <v>204:232975</v>
          </cell>
          <cell r="E35">
            <v>42589.293020833335</v>
          </cell>
          <cell r="F35">
            <v>42589.294166666667</v>
          </cell>
          <cell r="G35">
            <v>1</v>
          </cell>
          <cell r="H35" t="str">
            <v>204:147</v>
          </cell>
          <cell r="I35">
            <v>42589.327766203707</v>
          </cell>
          <cell r="J35">
            <v>0</v>
          </cell>
          <cell r="K35" t="str">
            <v>4017/4018</v>
          </cell>
          <cell r="L35" t="str">
            <v>DAVIS</v>
          </cell>
          <cell r="M35">
            <v>3.3599537040572613E-2</v>
          </cell>
          <cell r="N35">
            <v>48.383333338424563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5" t="str">
            <v>N</v>
          </cell>
          <cell r="X35">
            <v>1</v>
          </cell>
          <cell r="Y35">
            <v>23.297499999999999</v>
          </cell>
          <cell r="Z35">
            <v>1.47E-2</v>
          </cell>
          <cell r="AA35">
            <v>23.282799999999998</v>
          </cell>
          <cell r="AB35" t="e">
            <v>#N/A</v>
          </cell>
          <cell r="AC35" t="e">
            <v>#N/A</v>
          </cell>
          <cell r="AD35" t="str">
            <v>0122-07</v>
          </cell>
          <cell r="AE3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36">
          <cell r="A36" t="str">
            <v>123-07</v>
          </cell>
          <cell r="B36">
            <v>4030</v>
          </cell>
          <cell r="C36" t="str">
            <v>DE.1.0.7.0</v>
          </cell>
          <cell r="D36" t="str">
            <v>204:232975</v>
          </cell>
          <cell r="E36">
            <v>42589.293020833335</v>
          </cell>
          <cell r="F36">
            <v>42589.234224537038</v>
          </cell>
          <cell r="G36">
            <v>1</v>
          </cell>
          <cell r="H36" t="str">
            <v>204:147</v>
          </cell>
          <cell r="I36">
            <v>42589.248472222222</v>
          </cell>
          <cell r="J36">
            <v>0</v>
          </cell>
          <cell r="K36" t="str">
            <v>4029/4030</v>
          </cell>
          <cell r="L36" t="str">
            <v>-</v>
          </cell>
          <cell r="M36">
            <v>1.4247685183363501E-2</v>
          </cell>
          <cell r="P36">
            <v>1</v>
          </cell>
          <cell r="R36" t="str">
            <v>Did not initialize</v>
          </cell>
          <cell r="S36">
            <v>0</v>
          </cell>
          <cell r="T36" t="str">
            <v>NorthBound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23.297499999999999</v>
          </cell>
          <cell r="Z36">
            <v>1.47E-2</v>
          </cell>
          <cell r="AA36">
            <v>23.282799999999998</v>
          </cell>
          <cell r="AB36" t="e">
            <v>#N/A</v>
          </cell>
          <cell r="AC36" t="e">
            <v>#N/A</v>
          </cell>
          <cell r="AD36" t="str">
            <v>0123-07</v>
          </cell>
          <cell r="AE36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7">
          <cell r="A37" t="str">
            <v>124-07</v>
          </cell>
          <cell r="B37">
            <v>4030</v>
          </cell>
          <cell r="C37" t="str">
            <v>DE.1.0.7.0</v>
          </cell>
          <cell r="D37" t="str">
            <v>204:233006</v>
          </cell>
          <cell r="E37">
            <v>42589.308715277781</v>
          </cell>
          <cell r="F37">
            <v>42589.309641203705</v>
          </cell>
          <cell r="G37">
            <v>1</v>
          </cell>
          <cell r="H37" t="str">
            <v>204:147</v>
          </cell>
          <cell r="I37">
            <v>42589.337002314816</v>
          </cell>
          <cell r="J37">
            <v>0</v>
          </cell>
          <cell r="K37" t="str">
            <v>4029/4030</v>
          </cell>
          <cell r="L37" t="str">
            <v>ROCHA</v>
          </cell>
          <cell r="M37">
            <v>2.73611111115315E-2</v>
          </cell>
          <cell r="N37">
            <v>39.40000000060536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https://search-rtdc-monitor-bjffxe2xuh6vdkpspy63sjmuny.us-east-1.es.amazonaws.com/_plugin/kibana/#/discover/Steve-Slow-Train-Analysis-(2080s-and-2083s)?_g=(refreshInterval:(display:Off,section:0,value:0),time:(from:'2016-08-07 06:24:33-0600',mode:absolute,to:'2016-08-07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7" t="str">
            <v>N</v>
          </cell>
          <cell r="X37">
            <v>1</v>
          </cell>
          <cell r="Y37">
            <v>23.300599999999999</v>
          </cell>
          <cell r="Z37">
            <v>1.47E-2</v>
          </cell>
          <cell r="AA37">
            <v>23.285899999999998</v>
          </cell>
          <cell r="AB37" t="e">
            <v>#N/A</v>
          </cell>
          <cell r="AC37" t="e">
            <v>#N/A</v>
          </cell>
          <cell r="AD37" t="str">
            <v>0124-07</v>
          </cell>
          <cell r="AE3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8">
          <cell r="A38" t="str">
            <v>125-07</v>
          </cell>
          <cell r="B38">
            <v>4038</v>
          </cell>
          <cell r="C38" t="str">
            <v>DE.1.0.7.0</v>
          </cell>
          <cell r="D38" t="str">
            <v>204:446</v>
          </cell>
          <cell r="E38">
            <v>42589.278194444443</v>
          </cell>
          <cell r="F38">
            <v>42589.279664351852</v>
          </cell>
          <cell r="G38">
            <v>2</v>
          </cell>
          <cell r="H38" t="str">
            <v>204:233305</v>
          </cell>
          <cell r="I38">
            <v>42589.30841435185</v>
          </cell>
          <cell r="J38">
            <v>1</v>
          </cell>
          <cell r="K38" t="str">
            <v>4037/4038</v>
          </cell>
          <cell r="L38" t="str">
            <v>STRICKLAND</v>
          </cell>
          <cell r="M38">
            <v>2.8749999997671694E-2</v>
          </cell>
          <cell r="N38">
            <v>41.399999996647239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8" t="str">
            <v>N</v>
          </cell>
          <cell r="X38">
            <v>1</v>
          </cell>
          <cell r="Y38">
            <v>4.4600000000000001E-2</v>
          </cell>
          <cell r="Z38">
            <v>23.330500000000001</v>
          </cell>
          <cell r="AA38">
            <v>23.285900000000002</v>
          </cell>
          <cell r="AB38">
            <v>224578</v>
          </cell>
          <cell r="AC38" t="str">
            <v>PERMANENT SPEED RESTRICTION</v>
          </cell>
          <cell r="AD38" t="str">
            <v>0125-07</v>
          </cell>
          <cell r="AE3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39">
          <cell r="A39" t="str">
            <v>126-07</v>
          </cell>
          <cell r="B39">
            <v>4037</v>
          </cell>
          <cell r="C39" t="str">
            <v>DE.1.0.7.0</v>
          </cell>
          <cell r="D39" t="str">
            <v>204:233009</v>
          </cell>
          <cell r="E39">
            <v>42589.315567129626</v>
          </cell>
          <cell r="F39">
            <v>42589.317175925928</v>
          </cell>
          <cell r="G39">
            <v>2</v>
          </cell>
          <cell r="H39" t="str">
            <v>204:158</v>
          </cell>
          <cell r="I39">
            <v>42589.349004629628</v>
          </cell>
          <cell r="J39">
            <v>2</v>
          </cell>
          <cell r="K39" t="str">
            <v>4037/4038</v>
          </cell>
          <cell r="L39" t="str">
            <v>STRICKLAND</v>
          </cell>
          <cell r="M39">
            <v>3.1828703700739425E-2</v>
          </cell>
          <cell r="N39">
            <v>45.833333329064772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9" t="str">
            <v>N</v>
          </cell>
          <cell r="X39">
            <v>1</v>
          </cell>
          <cell r="Y39">
            <v>23.300899999999999</v>
          </cell>
          <cell r="Z39">
            <v>1.5800000000000002E-2</v>
          </cell>
          <cell r="AA39">
            <v>23.2851</v>
          </cell>
          <cell r="AB39">
            <v>33257</v>
          </cell>
          <cell r="AC39" t="str">
            <v>GRADE CROSSING</v>
          </cell>
          <cell r="AD39" t="str">
            <v>0126-07</v>
          </cell>
          <cell r="AE3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40">
          <cell r="A40" t="str">
            <v>127-07</v>
          </cell>
          <cell r="B40">
            <v>4007</v>
          </cell>
          <cell r="C40" t="str">
            <v>DE.1.0.7.0</v>
          </cell>
          <cell r="D40" t="str">
            <v>204:451</v>
          </cell>
          <cell r="E40">
            <v>42589.288923611108</v>
          </cell>
          <cell r="F40">
            <v>42589.289895833332</v>
          </cell>
          <cell r="G40">
            <v>1</v>
          </cell>
          <cell r="H40" t="str">
            <v>204:233397</v>
          </cell>
          <cell r="I40">
            <v>42589.317824074074</v>
          </cell>
          <cell r="J40">
            <v>1</v>
          </cell>
          <cell r="K40" t="str">
            <v>4007/4008</v>
          </cell>
          <cell r="L40" t="str">
            <v>STORY</v>
          </cell>
          <cell r="M40">
            <v>2.792824074276723E-2</v>
          </cell>
          <cell r="N40">
            <v>40.216666669584811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0" t="str">
            <v>N</v>
          </cell>
          <cell r="X40">
            <v>1</v>
          </cell>
          <cell r="Y40">
            <v>4.5100000000000001E-2</v>
          </cell>
          <cell r="Z40">
            <v>23.339700000000001</v>
          </cell>
          <cell r="AA40">
            <v>23.294599999999999</v>
          </cell>
          <cell r="AB40">
            <v>116838</v>
          </cell>
          <cell r="AC40" t="str">
            <v>PERMANENT SPEED RESTRICTION</v>
          </cell>
          <cell r="AD40" t="str">
            <v>0127-07</v>
          </cell>
          <cell r="AE4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41">
          <cell r="A41" t="str">
            <v>128-07</v>
          </cell>
          <cell r="B41">
            <v>4008</v>
          </cell>
          <cell r="C41" t="str">
            <v>DE.1.0.7.0</v>
          </cell>
          <cell r="D41" t="str">
            <v>204:233060</v>
          </cell>
          <cell r="E41">
            <v>42589.322106481479</v>
          </cell>
          <cell r="F41">
            <v>42589.326226851852</v>
          </cell>
          <cell r="G41">
            <v>5</v>
          </cell>
          <cell r="H41" t="str">
            <v>204:143</v>
          </cell>
          <cell r="I41">
            <v>42589.357974537037</v>
          </cell>
          <cell r="J41">
            <v>1</v>
          </cell>
          <cell r="K41" t="str">
            <v>4007/4008</v>
          </cell>
          <cell r="L41" t="str">
            <v>STORY</v>
          </cell>
          <cell r="M41">
            <v>3.1747685185109731E-2</v>
          </cell>
          <cell r="N41">
            <v>45.716666666558012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1" t="str">
            <v>N</v>
          </cell>
          <cell r="X41">
            <v>1</v>
          </cell>
          <cell r="Y41">
            <v>23.306000000000001</v>
          </cell>
          <cell r="Z41">
            <v>1.43E-2</v>
          </cell>
          <cell r="AA41">
            <v>23.291700000000002</v>
          </cell>
          <cell r="AB41">
            <v>21848</v>
          </cell>
          <cell r="AC41" t="str">
            <v>PERMANENT SPEED RESTRICTION</v>
          </cell>
          <cell r="AD41" t="str">
            <v>0128-07</v>
          </cell>
          <cell r="AE4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42">
          <cell r="A42" t="str">
            <v>129-07</v>
          </cell>
          <cell r="B42">
            <v>4025</v>
          </cell>
          <cell r="C42" t="str">
            <v>DE.1.0.7.0</v>
          </cell>
          <cell r="D42" t="str">
            <v>204:464</v>
          </cell>
          <cell r="E42">
            <v>42589.298206018517</v>
          </cell>
          <cell r="F42">
            <v>42589.300312500003</v>
          </cell>
          <cell r="G42">
            <v>3</v>
          </cell>
          <cell r="H42" t="str">
            <v>204:233299</v>
          </cell>
          <cell r="I42">
            <v>42589.327673611115</v>
          </cell>
          <cell r="J42">
            <v>0</v>
          </cell>
          <cell r="K42" t="str">
            <v>4025/4026</v>
          </cell>
          <cell r="L42" t="str">
            <v>HOMIK</v>
          </cell>
          <cell r="M42">
            <v>2.73611111115315E-2</v>
          </cell>
          <cell r="N42">
            <v>39.40000000060536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https://search-rtdc-monitor-bjffxe2xuh6vdkpspy63sjmuny.us-east-1.es.amazonaws.com/_plugin/kibana/#/discover/Steve-Slow-Train-Analysis-(2080s-and-2083s)?_g=(refreshInterval:(display:Off,section:0,value:0),time:(from:'2016-08-07 06:09:25-0600',mode:absolute,to:'2016-08-07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2" t="str">
            <v>N</v>
          </cell>
          <cell r="X42">
            <v>1</v>
          </cell>
          <cell r="Y42">
            <v>4.6399999999999997E-2</v>
          </cell>
          <cell r="Z42">
            <v>23.329899999999999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0129-07</v>
          </cell>
          <cell r="AE4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43">
          <cell r="A43" t="str">
            <v>130-07</v>
          </cell>
          <cell r="B43">
            <v>4026</v>
          </cell>
          <cell r="C43" t="str">
            <v>DE.1.0.7.0</v>
          </cell>
          <cell r="D43" t="str">
            <v>204:233001</v>
          </cell>
          <cell r="E43">
            <v>42589.334224537037</v>
          </cell>
          <cell r="F43">
            <v>42589.335775462961</v>
          </cell>
          <cell r="G43">
            <v>2</v>
          </cell>
          <cell r="H43" t="str">
            <v>204:132</v>
          </cell>
          <cell r="I43">
            <v>42589.367534722223</v>
          </cell>
          <cell r="J43">
            <v>0</v>
          </cell>
          <cell r="K43" t="str">
            <v>4025/4026</v>
          </cell>
          <cell r="L43" t="str">
            <v>HOMIK</v>
          </cell>
          <cell r="M43">
            <v>3.1759259261889383E-2</v>
          </cell>
          <cell r="N43">
            <v>45.733333337120712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https://search-rtdc-monitor-bjffxe2xuh6vdkpspy63sjmuny.us-east-1.es.amazonaws.com/_plugin/kibana/#/discover/Steve-Slow-Train-Analysis-(2080s-and-2083s)?_g=(refreshInterval:(display:Off,section:0,value:0),time:(from:'2016-08-07 07:01:17-0600',mode:absolute,to:'2016-08-07 09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3" t="str">
            <v>N</v>
          </cell>
          <cell r="X43">
            <v>1</v>
          </cell>
          <cell r="Y43">
            <v>23.3001</v>
          </cell>
          <cell r="Z43">
            <v>1.32E-2</v>
          </cell>
          <cell r="AA43">
            <v>23.286899999999999</v>
          </cell>
          <cell r="AB43" t="e">
            <v>#N/A</v>
          </cell>
          <cell r="AC43" t="e">
            <v>#N/A</v>
          </cell>
          <cell r="AD43" t="str">
            <v>0130-07</v>
          </cell>
          <cell r="AE4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44">
          <cell r="A44" t="str">
            <v>131-07</v>
          </cell>
          <cell r="B44">
            <v>4016</v>
          </cell>
          <cell r="C44" t="str">
            <v>DE.1.0.7.0</v>
          </cell>
          <cell r="D44" t="str">
            <v>204:422</v>
          </cell>
          <cell r="E44">
            <v>42589.307488425926</v>
          </cell>
          <cell r="F44">
            <v>42589.308969907404</v>
          </cell>
          <cell r="G44">
            <v>2</v>
          </cell>
          <cell r="H44" t="str">
            <v>204:233315</v>
          </cell>
          <cell r="I44">
            <v>42589.33734953704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2.8379629635310266E-2</v>
          </cell>
          <cell r="N44">
            <v>40.866666674846783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https://search-rtdc-monitor-bjffxe2xuh6vdkpspy63sjmuny.us-east-1.es.amazonaws.com/_plugin/kibana/#/discover/Steve-Slow-Train-Analysis-(2080s-and-2083s)?_g=(refreshInterval:(display:Off,section:0,value:0),time:(from:'2016-08-07 06:22:47-0600',mode:absolute,to:'2016-08-07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4" t="str">
            <v>N</v>
          </cell>
          <cell r="X44">
            <v>1</v>
          </cell>
          <cell r="Y44">
            <v>4.2200000000000001E-2</v>
          </cell>
          <cell r="Z44">
            <v>23.331499999999998</v>
          </cell>
          <cell r="AA44">
            <v>23.289299999999997</v>
          </cell>
          <cell r="AB44" t="e">
            <v>#N/A</v>
          </cell>
          <cell r="AC44" t="e">
            <v>#N/A</v>
          </cell>
          <cell r="AD44" t="str">
            <v>0131-07</v>
          </cell>
          <cell r="AE4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45">
          <cell r="A45" t="str">
            <v>132-07</v>
          </cell>
          <cell r="B45">
            <v>4015</v>
          </cell>
          <cell r="C45" t="str">
            <v>DE.1.0.7.0</v>
          </cell>
          <cell r="D45" t="str">
            <v>204:233011</v>
          </cell>
          <cell r="E45">
            <v>42589.34542824074</v>
          </cell>
          <cell r="F45">
            <v>42589.346921296295</v>
          </cell>
          <cell r="G45">
            <v>2</v>
          </cell>
          <cell r="H45" t="str">
            <v>204:134</v>
          </cell>
          <cell r="I45">
            <v>42589.378287037034</v>
          </cell>
          <cell r="J45">
            <v>1</v>
          </cell>
          <cell r="K45" t="str">
            <v>4015/4016</v>
          </cell>
          <cell r="L45" t="str">
            <v>ACKERMAN</v>
          </cell>
          <cell r="M45">
            <v>3.1365740738692693E-2</v>
          </cell>
          <cell r="N45">
            <v>45.166666663717479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5" t="str">
            <v>N</v>
          </cell>
          <cell r="X45">
            <v>1</v>
          </cell>
          <cell r="Y45">
            <v>23.301100000000002</v>
          </cell>
          <cell r="Z45">
            <v>1.34E-2</v>
          </cell>
          <cell r="AA45">
            <v>23.287700000000001</v>
          </cell>
          <cell r="AB45" t="e">
            <v>#N/A</v>
          </cell>
          <cell r="AC45" t="e">
            <v>#N/A</v>
          </cell>
          <cell r="AD45" t="str">
            <v>0132-07</v>
          </cell>
          <cell r="AE4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46">
          <cell r="A46" t="str">
            <v>133-07</v>
          </cell>
          <cell r="B46">
            <v>4044</v>
          </cell>
          <cell r="C46" t="str">
            <v>DE.1.0.7.0</v>
          </cell>
          <cell r="D46" t="str">
            <v>204:433</v>
          </cell>
          <cell r="E46">
            <v>42589.318622685183</v>
          </cell>
          <cell r="F46">
            <v>42589.319421296299</v>
          </cell>
          <cell r="G46">
            <v>1</v>
          </cell>
          <cell r="H46" t="str">
            <v>204:233312</v>
          </cell>
          <cell r="I46">
            <v>42589.347615740742</v>
          </cell>
          <cell r="J46">
            <v>0</v>
          </cell>
          <cell r="K46" t="str">
            <v>4043/4044</v>
          </cell>
          <cell r="L46" t="str">
            <v>MAELZER</v>
          </cell>
          <cell r="M46">
            <v>2.8194444443215616E-2</v>
          </cell>
          <cell r="N46">
            <v>40.599999998230487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https://search-rtdc-monitor-bjffxe2xuh6vdkpspy63sjmuny.us-east-1.es.amazonaws.com/_plugin/kibana/#/discover/Steve-Slow-Train-Analysis-(2080s-and-2083s)?_g=(refreshInterval:(display:Off,section:0,value:0),time:(from:'2016-08-07 06:38:49-0600',mode:absolute,to:'2016-08-07 09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6" t="str">
            <v>N</v>
          </cell>
          <cell r="X46">
            <v>1</v>
          </cell>
          <cell r="Y46">
            <v>4.3299999999999998E-2</v>
          </cell>
          <cell r="Z46">
            <v>23.331199999999999</v>
          </cell>
          <cell r="AA46">
            <v>23.2879</v>
          </cell>
          <cell r="AB46" t="e">
            <v>#N/A</v>
          </cell>
          <cell r="AC46" t="e">
            <v>#N/A</v>
          </cell>
          <cell r="AD46" t="str">
            <v>0133-07</v>
          </cell>
          <cell r="AE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47">
          <cell r="A47" t="str">
            <v>134-07</v>
          </cell>
          <cell r="B47">
            <v>4043</v>
          </cell>
          <cell r="C47" t="str">
            <v>DE.1.0.7.0</v>
          </cell>
          <cell r="D47" t="str">
            <v>204:233003</v>
          </cell>
          <cell r="E47">
            <v>42589.353692129633</v>
          </cell>
          <cell r="F47">
            <v>42589.354386574072</v>
          </cell>
          <cell r="G47">
            <v>0</v>
          </cell>
          <cell r="H47" t="str">
            <v>204:160</v>
          </cell>
          <cell r="I47">
            <v>42589.388541666667</v>
          </cell>
          <cell r="J47">
            <v>0</v>
          </cell>
          <cell r="K47" t="str">
            <v>4043/4044</v>
          </cell>
          <cell r="L47" t="str">
            <v>MAELZER</v>
          </cell>
          <cell r="M47">
            <v>3.4155092595028691E-2</v>
          </cell>
          <cell r="N47">
            <v>49.183333336841315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https://search-rtdc-monitor-bjffxe2xuh6vdkpspy63sjmuny.us-east-1.es.amazonaws.com/_plugin/kibana/#/discover/Steve-Slow-Train-Analysis-(2080s-and-2083s)?_g=(refreshInterval:(display:Off,section:0,value:0),time:(from:'2016-08-07 07:29:19-0600',mode:absolute,to:'2016-08-07 10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7" t="str">
            <v>N</v>
          </cell>
          <cell r="X47">
            <v>1</v>
          </cell>
          <cell r="Y47">
            <v>23.3003</v>
          </cell>
          <cell r="Z47">
            <v>1.6E-2</v>
          </cell>
          <cell r="AA47">
            <v>23.284300000000002</v>
          </cell>
          <cell r="AB47" t="e">
            <v>#N/A</v>
          </cell>
          <cell r="AC47" t="e">
            <v>#N/A</v>
          </cell>
          <cell r="AD47" t="str">
            <v>0134-07</v>
          </cell>
          <cell r="AE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48">
          <cell r="A48" t="str">
            <v>135-07</v>
          </cell>
          <cell r="B48">
            <v>4018</v>
          </cell>
          <cell r="C48" t="str">
            <v>DE.1.0.7.0</v>
          </cell>
          <cell r="D48" t="str">
            <v>204:457</v>
          </cell>
          <cell r="E48">
            <v>42589.329247685186</v>
          </cell>
          <cell r="F48">
            <v>42589.330266203702</v>
          </cell>
          <cell r="G48">
            <v>1</v>
          </cell>
          <cell r="H48" t="str">
            <v>204:233308</v>
          </cell>
          <cell r="I48">
            <v>42589.365891203706</v>
          </cell>
          <cell r="J48">
            <v>1</v>
          </cell>
          <cell r="K48" t="str">
            <v>4017/4018</v>
          </cell>
          <cell r="L48" t="str">
            <v>DAVIS</v>
          </cell>
          <cell r="M48">
            <v>3.5625000004074536E-2</v>
          </cell>
          <cell r="N48">
            <v>51.300000005867332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8" t="str">
            <v>N</v>
          </cell>
          <cell r="X48">
            <v>1</v>
          </cell>
          <cell r="Y48">
            <v>4.5699999999999998E-2</v>
          </cell>
          <cell r="Z48">
            <v>23.3308</v>
          </cell>
          <cell r="AA48">
            <v>23.2851</v>
          </cell>
          <cell r="AB48" t="e">
            <v>#N/A</v>
          </cell>
          <cell r="AC48" t="e">
            <v>#N/A</v>
          </cell>
          <cell r="AD48" t="str">
            <v>0135-07</v>
          </cell>
          <cell r="AE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49">
          <cell r="A49" t="str">
            <v>136-07</v>
          </cell>
          <cell r="B49">
            <v>4017</v>
          </cell>
          <cell r="C49" t="str">
            <v>DE.1.0.7.0</v>
          </cell>
          <cell r="D49" t="str">
            <v>204:232991</v>
          </cell>
          <cell r="E49">
            <v>42589.367106481484</v>
          </cell>
          <cell r="F49">
            <v>42589.368113425924</v>
          </cell>
          <cell r="G49">
            <v>1</v>
          </cell>
          <cell r="H49" t="str">
            <v>204:165</v>
          </cell>
          <cell r="I49">
            <v>42589.400740740741</v>
          </cell>
          <cell r="J49">
            <v>1</v>
          </cell>
          <cell r="K49" t="str">
            <v>4017/4018</v>
          </cell>
          <cell r="L49" t="str">
            <v>DAVIS</v>
          </cell>
          <cell r="M49">
            <v>3.2627314816636499E-2</v>
          </cell>
          <cell r="N49">
            <v>46.983333335956559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9" t="str">
            <v>N</v>
          </cell>
          <cell r="X49">
            <v>1</v>
          </cell>
          <cell r="Y49">
            <v>23.299099999999999</v>
          </cell>
          <cell r="Z49">
            <v>1.6500000000000001E-2</v>
          </cell>
          <cell r="AA49">
            <v>23.282599999999999</v>
          </cell>
          <cell r="AB49" t="e">
            <v>#N/A</v>
          </cell>
          <cell r="AC49" t="e">
            <v>#N/A</v>
          </cell>
          <cell r="AD49" t="str">
            <v>0136-07</v>
          </cell>
          <cell r="AE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50">
          <cell r="A50" t="str">
            <v>137-07</v>
          </cell>
          <cell r="B50">
            <v>4029</v>
          </cell>
          <cell r="C50" t="str">
            <v>DE.1.0.7.0</v>
          </cell>
          <cell r="D50" t="str">
            <v>204:451</v>
          </cell>
          <cell r="E50">
            <v>42589.341921296298</v>
          </cell>
          <cell r="F50">
            <v>42589.342789351853</v>
          </cell>
          <cell r="G50">
            <v>1</v>
          </cell>
          <cell r="H50" t="str">
            <v>204:233295</v>
          </cell>
          <cell r="I50">
            <v>42589.369270833333</v>
          </cell>
          <cell r="J50">
            <v>0</v>
          </cell>
          <cell r="K50" t="str">
            <v>4029/4030</v>
          </cell>
          <cell r="L50" t="str">
            <v>MALAVE</v>
          </cell>
          <cell r="M50">
            <v>2.6481481480004732E-2</v>
          </cell>
          <cell r="N50">
            <v>38.133333331206813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https://search-rtdc-monitor-bjffxe2xuh6vdkpspy63sjmuny.us-east-1.es.amazonaws.com/_plugin/kibana/#/discover/Steve-Slow-Train-Analysis-(2080s-and-2083s)?_g=(refreshInterval:(display:Off,section:0,value:0),time:(from:'2016-08-07 07:12:22-0600',mode:absolute,to:'2016-08-07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0" t="str">
            <v>N</v>
          </cell>
          <cell r="X50">
            <v>1</v>
          </cell>
          <cell r="Y50">
            <v>4.5100000000000001E-2</v>
          </cell>
          <cell r="Z50">
            <v>23.329499999999999</v>
          </cell>
          <cell r="AA50">
            <v>23.284399999999998</v>
          </cell>
          <cell r="AB50" t="e">
            <v>#N/A</v>
          </cell>
          <cell r="AC50" t="e">
            <v>#N/A</v>
          </cell>
          <cell r="AD50" t="str">
            <v>0137-07</v>
          </cell>
          <cell r="AE5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51">
          <cell r="A51" t="str">
            <v>138-07</v>
          </cell>
          <cell r="B51">
            <v>4030</v>
          </cell>
          <cell r="C51" t="str">
            <v>DE.1.0.7.0</v>
          </cell>
          <cell r="D51" t="str">
            <v>204:232969</v>
          </cell>
          <cell r="E51">
            <v>42589.382384259261</v>
          </cell>
          <cell r="F51">
            <v>42589.383275462962</v>
          </cell>
          <cell r="G51">
            <v>1</v>
          </cell>
          <cell r="H51" t="str">
            <v>204:160</v>
          </cell>
          <cell r="I51">
            <v>42589.409699074073</v>
          </cell>
          <cell r="J51">
            <v>0</v>
          </cell>
          <cell r="K51" t="str">
            <v>4029/4030</v>
          </cell>
          <cell r="L51" t="str">
            <v>MALAVE</v>
          </cell>
          <cell r="M51">
            <v>2.6423611110658385E-2</v>
          </cell>
          <cell r="N51">
            <v>38.049999999348074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https://search-rtdc-monitor-bjffxe2xuh6vdkpspy63sjmuny.us-east-1.es.amazonaws.com/_plugin/kibana/#/discover/Steve-Slow-Train-Analysis-(2080s-and-2083s)?_g=(refreshInterval:(display:Off,section:0,value:0),time:(from:'2016-08-07 08:10:38-0600',mode:absolute,to:'2016-08-07 10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1" t="str">
            <v>N</v>
          </cell>
          <cell r="X51">
            <v>1</v>
          </cell>
          <cell r="Y51">
            <v>23.296900000000001</v>
          </cell>
          <cell r="Z51">
            <v>1.6E-2</v>
          </cell>
          <cell r="AA51">
            <v>23.280900000000003</v>
          </cell>
          <cell r="AB51" t="e">
            <v>#N/A</v>
          </cell>
          <cell r="AC51" t="e">
            <v>#N/A</v>
          </cell>
          <cell r="AD51" t="str">
            <v>0138-07</v>
          </cell>
          <cell r="AE5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52">
          <cell r="A52" t="str">
            <v>139-07</v>
          </cell>
          <cell r="B52">
            <v>4038</v>
          </cell>
          <cell r="C52" t="str">
            <v>DE.1.0.7.0</v>
          </cell>
          <cell r="D52" t="str">
            <v>204:442</v>
          </cell>
          <cell r="E52">
            <v>42589.350740740738</v>
          </cell>
          <cell r="F52">
            <v>42589.3518287037</v>
          </cell>
          <cell r="G52">
            <v>1</v>
          </cell>
          <cell r="H52" t="str">
            <v>204:233306</v>
          </cell>
          <cell r="I52">
            <v>42589.380555555559</v>
          </cell>
          <cell r="J52">
            <v>1</v>
          </cell>
          <cell r="K52" t="str">
            <v>4037/4038</v>
          </cell>
          <cell r="L52" t="str">
            <v>STRICKLAND</v>
          </cell>
          <cell r="M52">
            <v>2.8726851858664304E-2</v>
          </cell>
          <cell r="N52">
            <v>41.366666676476598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2" t="str">
            <v>N</v>
          </cell>
          <cell r="X52">
            <v>1</v>
          </cell>
          <cell r="Y52">
            <v>4.4200000000000003E-2</v>
          </cell>
          <cell r="Z52">
            <v>23.3306</v>
          </cell>
          <cell r="AA52">
            <v>23.2864</v>
          </cell>
          <cell r="AB52">
            <v>0</v>
          </cell>
          <cell r="AC52" t="str">
            <v>PERMANENT SPEED RESTRICTION</v>
          </cell>
          <cell r="AD52" t="str">
            <v>0139-07</v>
          </cell>
          <cell r="AE5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53">
          <cell r="A53" t="str">
            <v>140-07</v>
          </cell>
          <cell r="B53">
            <v>4037</v>
          </cell>
          <cell r="C53" t="str">
            <v>DE.1.0.7.0</v>
          </cell>
          <cell r="D53" t="str">
            <v>204:232998</v>
          </cell>
          <cell r="E53">
            <v>42589.387743055559</v>
          </cell>
          <cell r="F53">
            <v>42589.389039351852</v>
          </cell>
          <cell r="G53">
            <v>1</v>
          </cell>
          <cell r="H53" t="str">
            <v>204:143</v>
          </cell>
          <cell r="I53">
            <v>42589.420624999999</v>
          </cell>
          <cell r="J53">
            <v>1</v>
          </cell>
          <cell r="K53" t="str">
            <v>4037/4038</v>
          </cell>
          <cell r="L53" t="str">
            <v>STRICKLAND</v>
          </cell>
          <cell r="M53">
            <v>3.1585648146574385E-2</v>
          </cell>
          <cell r="N53">
            <v>45.483333331067115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3" t="str">
            <v>N</v>
          </cell>
          <cell r="X53">
            <v>1</v>
          </cell>
          <cell r="Y53">
            <v>23.299800000000001</v>
          </cell>
          <cell r="Z53">
            <v>1.43E-2</v>
          </cell>
          <cell r="AA53">
            <v>23.285500000000003</v>
          </cell>
          <cell r="AB53">
            <v>30562</v>
          </cell>
          <cell r="AC53" t="str">
            <v>PERMANENT SPEED RESTRICTION</v>
          </cell>
          <cell r="AD53" t="str">
            <v>0140-07</v>
          </cell>
          <cell r="AE5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54">
          <cell r="A54" t="str">
            <v>141-07</v>
          </cell>
          <cell r="B54">
            <v>4007</v>
          </cell>
          <cell r="C54" t="str">
            <v>DE.1.0.7.0</v>
          </cell>
          <cell r="D54" t="str">
            <v>204:477</v>
          </cell>
          <cell r="E54">
            <v>42589.359282407408</v>
          </cell>
          <cell r="F54">
            <v>42589.363541666666</v>
          </cell>
          <cell r="G54">
            <v>6</v>
          </cell>
          <cell r="H54" t="str">
            <v>204:233359</v>
          </cell>
          <cell r="I54">
            <v>42589.39099537037</v>
          </cell>
          <cell r="J54">
            <v>2</v>
          </cell>
          <cell r="K54" t="str">
            <v>4007/4008</v>
          </cell>
          <cell r="L54" t="str">
            <v>STORY</v>
          </cell>
          <cell r="M54">
            <v>2.7453703703940846E-2</v>
          </cell>
          <cell r="N54">
            <v>39.533333333674818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23.335899999999999</v>
          </cell>
          <cell r="AA54">
            <v>23.2882</v>
          </cell>
          <cell r="AB54">
            <v>33137</v>
          </cell>
          <cell r="AC54" t="str">
            <v>GRADE CROSSING</v>
          </cell>
          <cell r="AD54" t="str">
            <v>0141-07</v>
          </cell>
          <cell r="AE5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55">
          <cell r="A55" t="str">
            <v>142-07</v>
          </cell>
          <cell r="B55">
            <v>4008</v>
          </cell>
          <cell r="C55" t="str">
            <v>DE.1.0.7.0</v>
          </cell>
          <cell r="D55" t="str">
            <v>204:233007</v>
          </cell>
          <cell r="E55">
            <v>42589.400081018517</v>
          </cell>
          <cell r="F55">
            <v>42589.401087962964</v>
          </cell>
          <cell r="G55">
            <v>1</v>
          </cell>
          <cell r="H55" t="str">
            <v>204:223</v>
          </cell>
          <cell r="I55">
            <v>42589.430243055554</v>
          </cell>
          <cell r="J55">
            <v>1</v>
          </cell>
          <cell r="K55" t="str">
            <v>4007/4008</v>
          </cell>
          <cell r="L55" t="str">
            <v>STORY</v>
          </cell>
          <cell r="M55">
            <v>2.9155092590372078E-2</v>
          </cell>
          <cell r="N55">
            <v>41.983333330135792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5" t="str">
            <v>N</v>
          </cell>
          <cell r="X55">
            <v>1</v>
          </cell>
          <cell r="Y55">
            <v>23.300699999999999</v>
          </cell>
          <cell r="Z55">
            <v>2.23E-2</v>
          </cell>
          <cell r="AA55">
            <v>23.278399999999998</v>
          </cell>
          <cell r="AB55" t="e">
            <v>#N/A</v>
          </cell>
          <cell r="AC55" t="e">
            <v>#N/A</v>
          </cell>
          <cell r="AD55" t="str">
            <v>0142-07</v>
          </cell>
          <cell r="AE5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56">
          <cell r="A56" t="str">
            <v>143-07</v>
          </cell>
          <cell r="B56">
            <v>4025</v>
          </cell>
          <cell r="C56" t="str">
            <v>DE.1.0.7.0</v>
          </cell>
          <cell r="D56" t="str">
            <v>204:449</v>
          </cell>
          <cell r="E56">
            <v>42589.37122685185</v>
          </cell>
          <cell r="F56">
            <v>42589.37228009259</v>
          </cell>
          <cell r="G56">
            <v>1</v>
          </cell>
          <cell r="H56" t="str">
            <v>204:233308</v>
          </cell>
          <cell r="I56">
            <v>42589.399756944447</v>
          </cell>
          <cell r="J56">
            <v>0</v>
          </cell>
          <cell r="K56" t="str">
            <v>4025/4026</v>
          </cell>
          <cell r="L56" t="str">
            <v>YORK</v>
          </cell>
          <cell r="M56">
            <v>2.7476851857500151E-2</v>
          </cell>
          <cell r="N56">
            <v>39.566666674800217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https://search-rtdc-monitor-bjffxe2xuh6vdkpspy63sjmuny.us-east-1.es.amazonaws.com/_plugin/kibana/#/discover/Steve-Slow-Train-Analysis-(2080s-and-2083s)?_g=(refreshInterval:(display:Off,section:0,value:0),time:(from:'2016-08-07 07:54:34-0600',mode:absolute,to:'2016-08-07 10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6" t="str">
            <v>N</v>
          </cell>
          <cell r="X56">
            <v>1</v>
          </cell>
          <cell r="Y56">
            <v>4.4900000000000002E-2</v>
          </cell>
          <cell r="Z56">
            <v>23.3308</v>
          </cell>
          <cell r="AA56">
            <v>23.285900000000002</v>
          </cell>
          <cell r="AB56" t="e">
            <v>#N/A</v>
          </cell>
          <cell r="AC56" t="e">
            <v>#N/A</v>
          </cell>
          <cell r="AD56" t="str">
            <v>0143-07</v>
          </cell>
          <cell r="AE5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57">
          <cell r="A57" t="str">
            <v>144-07</v>
          </cell>
          <cell r="B57">
            <v>4026</v>
          </cell>
          <cell r="C57" t="str">
            <v>DE.1.0.7.0</v>
          </cell>
          <cell r="D57" t="str">
            <v>204:232989</v>
          </cell>
          <cell r="E57">
            <v>42589.400706018518</v>
          </cell>
          <cell r="F57">
            <v>42589.401574074072</v>
          </cell>
          <cell r="G57">
            <v>1</v>
          </cell>
          <cell r="H57" t="str">
            <v>204:136</v>
          </cell>
          <cell r="I57">
            <v>42589.439918981479</v>
          </cell>
          <cell r="J57">
            <v>0</v>
          </cell>
          <cell r="K57" t="str">
            <v>4025/4026</v>
          </cell>
          <cell r="L57" t="str">
            <v>YORK</v>
          </cell>
          <cell r="M57">
            <v>3.8344907407008577E-2</v>
          </cell>
          <cell r="N57">
            <v>55.216666666092351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https://search-rtdc-monitor-bjffxe2xuh6vdkpspy63sjmuny.us-east-1.es.amazonaws.com/_plugin/kibana/#/discover/Steve-Slow-Train-Analysis-(2080s-and-2083s)?_g=(refreshInterval:(display:Off,section:0,value:0),time:(from:'2016-08-07 08:37:01-0600',mode:absolute,to:'2016-08-07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7" t="str">
            <v>N</v>
          </cell>
          <cell r="X57">
            <v>1</v>
          </cell>
          <cell r="Y57">
            <v>23.2989</v>
          </cell>
          <cell r="Z57">
            <v>1.3599999999999999E-2</v>
          </cell>
          <cell r="AA57">
            <v>23.285299999999999</v>
          </cell>
          <cell r="AB57" t="e">
            <v>#N/A</v>
          </cell>
          <cell r="AC57" t="e">
            <v>#N/A</v>
          </cell>
          <cell r="AD57" t="str">
            <v>0144-07</v>
          </cell>
          <cell r="AE5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58">
          <cell r="A58" t="str">
            <v>145-07</v>
          </cell>
          <cell r="B58">
            <v>4016</v>
          </cell>
          <cell r="C58" t="str">
            <v>DE.1.0.7.0</v>
          </cell>
          <cell r="D58" t="str">
            <v>204:438</v>
          </cell>
          <cell r="E58">
            <v>42589.380150462966</v>
          </cell>
          <cell r="F58">
            <v>42589.381331018521</v>
          </cell>
          <cell r="G58">
            <v>1</v>
          </cell>
          <cell r="H58" t="str">
            <v>204:233295</v>
          </cell>
          <cell r="I58">
            <v>42589.410231481481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2.8900462959427387E-2</v>
          </cell>
          <cell r="N58">
            <v>41.616666661575437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https://search-rtdc-monitor-bjffxe2xuh6vdkpspy63sjmuny.us-east-1.es.amazonaws.com/_plugin/kibana/#/discover/Steve-Slow-Train-Analysis-(2080s-and-2083s)?_g=(refreshInterval:(display:Off,section:0,value:0),time:(from:'2016-08-07 08:07:25-0600',mode:absolute,to:'2016-08-07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8" t="str">
            <v>N</v>
          </cell>
          <cell r="X58">
            <v>1</v>
          </cell>
          <cell r="Y58">
            <v>4.3799999999999999E-2</v>
          </cell>
          <cell r="Z58">
            <v>23.329499999999999</v>
          </cell>
          <cell r="AA58">
            <v>23.285699999999999</v>
          </cell>
          <cell r="AB58" t="e">
            <v>#N/A</v>
          </cell>
          <cell r="AC58" t="e">
            <v>#N/A</v>
          </cell>
          <cell r="AD58" t="str">
            <v>0145-07</v>
          </cell>
          <cell r="AE5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59">
          <cell r="A59" t="str">
            <v>146-07</v>
          </cell>
          <cell r="B59">
            <v>4015</v>
          </cell>
          <cell r="C59" t="str">
            <v>DE.1.0.7.0</v>
          </cell>
          <cell r="D59" t="str">
            <v>204:232984</v>
          </cell>
          <cell r="E59">
            <v>42589.418321759258</v>
          </cell>
          <cell r="F59">
            <v>42589.419722222221</v>
          </cell>
          <cell r="G59">
            <v>2</v>
          </cell>
          <cell r="H59" t="str">
            <v>204:134</v>
          </cell>
          <cell r="I59">
            <v>42589.451064814813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3.1342592592409346E-2</v>
          </cell>
          <cell r="N59">
            <v>45.133333333069459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https://search-rtdc-monitor-bjffxe2xuh6vdkpspy63sjmuny.us-east-1.es.amazonaws.com/_plugin/kibana/#/discover/Steve-Slow-Train-Analysis-(2080s-and-2083s)?_g=(refreshInterval:(display:Off,section:0,value:0),time:(from:'2016-08-07 09:02:23-0600',mode:absolute,to:'2016-08-07 11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9" t="str">
            <v>N</v>
          </cell>
          <cell r="X59">
            <v>1</v>
          </cell>
          <cell r="Y59">
            <v>23.298400000000001</v>
          </cell>
          <cell r="Z59">
            <v>1.34E-2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0146-07</v>
          </cell>
          <cell r="AE5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60">
          <cell r="A60" t="str">
            <v>147-07</v>
          </cell>
          <cell r="B60">
            <v>4044</v>
          </cell>
          <cell r="C60" t="str">
            <v>DE.1.0.7.0</v>
          </cell>
          <cell r="D60" t="str">
            <v>204:442</v>
          </cell>
          <cell r="E60">
            <v>42589.390868055554</v>
          </cell>
          <cell r="F60">
            <v>42589.391631944447</v>
          </cell>
          <cell r="G60">
            <v>1</v>
          </cell>
          <cell r="H60" t="str">
            <v>204:233293</v>
          </cell>
          <cell r="I60">
            <v>42589.42119212963</v>
          </cell>
          <cell r="J60">
            <v>0</v>
          </cell>
          <cell r="K60" t="str">
            <v>4043/4044</v>
          </cell>
          <cell r="L60" t="str">
            <v>MAELZER</v>
          </cell>
          <cell r="M60">
            <v>2.9560185183072463E-2</v>
          </cell>
          <cell r="N60">
            <v>42.566666663624346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https://search-rtdc-monitor-bjffxe2xuh6vdkpspy63sjmuny.us-east-1.es.amazonaws.com/_plugin/kibana/#/discover/Steve-Slow-Train-Analysis-(2080s-and-2083s)?_g=(refreshInterval:(display:Off,section:0,value:0),time:(from:'2016-08-07 08:22:51-0600',mode:absolute,to:'2016-08-07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0" t="str">
            <v>N</v>
          </cell>
          <cell r="X60">
            <v>1</v>
          </cell>
          <cell r="Y60">
            <v>4.4200000000000003E-2</v>
          </cell>
          <cell r="Z60">
            <v>23.3293</v>
          </cell>
          <cell r="AA60">
            <v>23.2851</v>
          </cell>
          <cell r="AB60" t="e">
            <v>#N/A</v>
          </cell>
          <cell r="AC60" t="e">
            <v>#N/A</v>
          </cell>
          <cell r="AD60" t="str">
            <v>0147-07</v>
          </cell>
          <cell r="AE6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61">
          <cell r="A61" t="str">
            <v>148-07</v>
          </cell>
          <cell r="B61">
            <v>4043</v>
          </cell>
          <cell r="C61" t="str">
            <v>DE.1.0.7.0</v>
          </cell>
          <cell r="D61" t="str">
            <v>204:232976</v>
          </cell>
          <cell r="E61">
            <v>42589.428206018521</v>
          </cell>
          <cell r="F61">
            <v>42589.428923611114</v>
          </cell>
          <cell r="G61">
            <v>1</v>
          </cell>
          <cell r="H61" t="str">
            <v>204:136</v>
          </cell>
          <cell r="I61">
            <v>42589.460914351854</v>
          </cell>
          <cell r="J61">
            <v>0</v>
          </cell>
          <cell r="K61" t="str">
            <v>4043/4044</v>
          </cell>
          <cell r="L61" t="str">
            <v>MAELZER</v>
          </cell>
          <cell r="M61">
            <v>3.199074073927477E-2</v>
          </cell>
          <cell r="N61">
            <v>46.066666664555669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https://search-rtdc-monitor-bjffxe2xuh6vdkpspy63sjmuny.us-east-1.es.amazonaws.com/_plugin/kibana/#/discover/Steve-Slow-Train-Analysis-(2080s-and-2083s)?_g=(refreshInterval:(display:Off,section:0,value:0),time:(from:'2016-08-07 09:16:37-0600',mode:absolute,to:'2016-08-07 12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1" t="str">
            <v>N</v>
          </cell>
          <cell r="X61">
            <v>1</v>
          </cell>
          <cell r="Y61">
            <v>23.297599999999999</v>
          </cell>
          <cell r="Z61">
            <v>1.3599999999999999E-2</v>
          </cell>
          <cell r="AA61">
            <v>23.283999999999999</v>
          </cell>
          <cell r="AB61" t="e">
            <v>#N/A</v>
          </cell>
          <cell r="AC61" t="e">
            <v>#N/A</v>
          </cell>
          <cell r="AD61" t="str">
            <v>0148-07</v>
          </cell>
          <cell r="AE6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62">
          <cell r="A62" t="str">
            <v>149-07</v>
          </cell>
          <cell r="B62">
            <v>4018</v>
          </cell>
          <cell r="C62" t="str">
            <v>DE.1.0.7.0</v>
          </cell>
          <cell r="D62" t="str">
            <v>204:451</v>
          </cell>
          <cell r="E62">
            <v>42589.401967592596</v>
          </cell>
          <cell r="F62">
            <v>42589.403043981481</v>
          </cell>
          <cell r="G62">
            <v>1</v>
          </cell>
          <cell r="H62" t="str">
            <v>204:233299</v>
          </cell>
          <cell r="I62">
            <v>42589.432268518518</v>
          </cell>
          <cell r="J62">
            <v>0</v>
          </cell>
          <cell r="K62" t="str">
            <v>4017/4018</v>
          </cell>
          <cell r="L62" t="str">
            <v>DAVIS</v>
          </cell>
          <cell r="M62">
            <v>2.9224537036498077E-2</v>
          </cell>
          <cell r="N62">
            <v>42.083333332557231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https://search-rtdc-monitor-bjffxe2xuh6vdkpspy63sjmuny.us-east-1.es.amazonaws.com/_plugin/kibana/#/discover/Steve-Slow-Train-Analysis-(2080s-and-2083s)?_g=(refreshInterval:(display:Off,section:0,value:0),time:(from:'2016-08-07 08:38:50-0600',mode:absolute,to:'2016-08-07 11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2" t="str">
            <v>N</v>
          </cell>
          <cell r="X62">
            <v>1</v>
          </cell>
          <cell r="Y62">
            <v>4.5100000000000001E-2</v>
          </cell>
          <cell r="Z62">
            <v>23.329899999999999</v>
          </cell>
          <cell r="AA62">
            <v>23.284799999999997</v>
          </cell>
          <cell r="AB62" t="e">
            <v>#N/A</v>
          </cell>
          <cell r="AC62" t="e">
            <v>#N/A</v>
          </cell>
          <cell r="AD62" t="str">
            <v>0149-07</v>
          </cell>
          <cell r="AE6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63">
          <cell r="A63" t="str">
            <v>150-07</v>
          </cell>
          <cell r="B63">
            <v>4017</v>
          </cell>
          <cell r="C63" t="str">
            <v>DE.1.0.7.0</v>
          </cell>
          <cell r="D63" t="str">
            <v>204:232980</v>
          </cell>
          <cell r="E63">
            <v>42589.440937500003</v>
          </cell>
          <cell r="F63">
            <v>42589.442187499997</v>
          </cell>
          <cell r="G63">
            <v>1</v>
          </cell>
          <cell r="H63" t="str">
            <v>204:149</v>
          </cell>
          <cell r="I63">
            <v>42589.478715277779</v>
          </cell>
          <cell r="J63">
            <v>1</v>
          </cell>
          <cell r="K63" t="str">
            <v>4017/4018</v>
          </cell>
          <cell r="L63" t="str">
            <v>DAVIS</v>
          </cell>
          <cell r="M63">
            <v>3.6527777781884652E-2</v>
          </cell>
          <cell r="N63">
            <v>52.600000005913898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3" t="str">
            <v>N</v>
          </cell>
          <cell r="X63">
            <v>1</v>
          </cell>
          <cell r="Y63">
            <v>23.297999999999998</v>
          </cell>
          <cell r="Z63">
            <v>1.49E-2</v>
          </cell>
          <cell r="AA63">
            <v>23.283099999999997</v>
          </cell>
          <cell r="AB63">
            <v>58904</v>
          </cell>
          <cell r="AC63" t="str">
            <v>GRADE CROSSING</v>
          </cell>
          <cell r="AD63" t="str">
            <v>0150-07</v>
          </cell>
          <cell r="AE6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64">
          <cell r="A64" t="str">
            <v>151-07</v>
          </cell>
          <cell r="B64">
            <v>4029</v>
          </cell>
          <cell r="C64" t="str">
            <v>DE.1.0.7.0</v>
          </cell>
          <cell r="D64" t="str">
            <v>204:447</v>
          </cell>
          <cell r="E64">
            <v>42589.415046296293</v>
          </cell>
          <cell r="F64">
            <v>42589.415844907409</v>
          </cell>
          <cell r="G64">
            <v>1</v>
          </cell>
          <cell r="H64" t="str">
            <v>204:233314</v>
          </cell>
          <cell r="I64">
            <v>42589.441655092596</v>
          </cell>
          <cell r="J64">
            <v>0</v>
          </cell>
          <cell r="K64" t="str">
            <v>4029/4030</v>
          </cell>
          <cell r="L64" t="str">
            <v>MALAVE</v>
          </cell>
          <cell r="M64">
            <v>2.5810185186855961E-2</v>
          </cell>
          <cell r="N64">
            <v>37.166666669072583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https://search-rtdc-monitor-bjffxe2xuh6vdkpspy63sjmuny.us-east-1.es.amazonaws.com/_plugin/kibana/#/discover/Steve-Slow-Train-Analysis-(2080s-and-2083s)?_g=(refreshInterval:(display:Off,section:0,value:0),time:(from:'2016-08-07 08:57:40-0600',mode:absolute,to:'2016-08-07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4.4699999999999997E-2</v>
          </cell>
          <cell r="Z64">
            <v>23.331399999999999</v>
          </cell>
          <cell r="AA64">
            <v>23.2867</v>
          </cell>
          <cell r="AB64" t="e">
            <v>#N/A</v>
          </cell>
          <cell r="AC64" t="e">
            <v>#N/A</v>
          </cell>
          <cell r="AD64" t="str">
            <v>0151-07</v>
          </cell>
          <cell r="AE6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65">
          <cell r="A65" t="str">
            <v>152-07</v>
          </cell>
          <cell r="B65">
            <v>4030</v>
          </cell>
          <cell r="C65" t="str">
            <v>DE.1.0.7.0</v>
          </cell>
          <cell r="D65" t="str">
            <v>204:232993</v>
          </cell>
          <cell r="E65">
            <v>42589.454131944447</v>
          </cell>
          <cell r="F65">
            <v>42589.455034722225</v>
          </cell>
          <cell r="G65">
            <v>1</v>
          </cell>
          <cell r="H65" t="str">
            <v>204:161</v>
          </cell>
          <cell r="I65">
            <v>42589.4846875</v>
          </cell>
          <cell r="J65">
            <v>0</v>
          </cell>
          <cell r="K65" t="str">
            <v>4029/4030</v>
          </cell>
          <cell r="L65" t="str">
            <v>MALAVE</v>
          </cell>
          <cell r="M65">
            <v>2.9652777775481809E-2</v>
          </cell>
          <cell r="N65">
            <v>42.699999996693805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https://search-rtdc-monitor-bjffxe2xuh6vdkpspy63sjmuny.us-east-1.es.amazonaws.com/_plugin/kibana/#/discover/Steve-Slow-Train-Analysis-(2080s-and-2083s)?_g=(refreshInterval:(display:Off,section:0,value:0),time:(from:'2016-08-07 09:53:57-0600',mode:absolute,to:'2016-08-07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23.299299999999999</v>
          </cell>
          <cell r="Z65">
            <v>1.61E-2</v>
          </cell>
          <cell r="AA65">
            <v>23.283199999999997</v>
          </cell>
          <cell r="AB65" t="e">
            <v>#N/A</v>
          </cell>
          <cell r="AC65" t="e">
            <v>#N/A</v>
          </cell>
          <cell r="AD65" t="str">
            <v>0152-07</v>
          </cell>
          <cell r="AE65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66">
          <cell r="A66" t="str">
            <v>153-07</v>
          </cell>
          <cell r="B66">
            <v>4038</v>
          </cell>
          <cell r="C66" t="str">
            <v>DE.1.0.7.0</v>
          </cell>
          <cell r="D66" t="str">
            <v>204:464</v>
          </cell>
          <cell r="E66">
            <v>42589.422071759262</v>
          </cell>
          <cell r="F66">
            <v>42589.423715277779</v>
          </cell>
          <cell r="G66">
            <v>2</v>
          </cell>
          <cell r="H66" t="str">
            <v>204:233309</v>
          </cell>
          <cell r="I66">
            <v>42589.452916666669</v>
          </cell>
          <cell r="J66">
            <v>1</v>
          </cell>
          <cell r="K66" t="str">
            <v>4037/4038</v>
          </cell>
          <cell r="L66" t="str">
            <v>STRICKLAND</v>
          </cell>
          <cell r="M66">
            <v>2.920138889021473E-2</v>
          </cell>
          <cell r="N66">
            <v>42.050000001909211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23.3309</v>
          </cell>
          <cell r="AA66">
            <v>23.284500000000001</v>
          </cell>
          <cell r="AB66">
            <v>27333</v>
          </cell>
          <cell r="AC66" t="str">
            <v>PERMANENT SPEED RESTRICTION</v>
          </cell>
          <cell r="AD66" t="str">
            <v>0153-07</v>
          </cell>
          <cell r="AE66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67">
          <cell r="A67" t="str">
            <v>154-07</v>
          </cell>
          <cell r="B67">
            <v>4037</v>
          </cell>
          <cell r="C67" t="str">
            <v>DE.1.0.7.0</v>
          </cell>
          <cell r="D67" t="str">
            <v>204:232975</v>
          </cell>
          <cell r="E67">
            <v>42589.45957175926</v>
          </cell>
          <cell r="F67">
            <v>42589.461539351854</v>
          </cell>
          <cell r="G67">
            <v>2</v>
          </cell>
          <cell r="H67" t="str">
            <v>204:149</v>
          </cell>
          <cell r="I67">
            <v>42589.496215277781</v>
          </cell>
          <cell r="J67">
            <v>0</v>
          </cell>
          <cell r="K67" t="str">
            <v>4037/4038</v>
          </cell>
          <cell r="L67" t="str">
            <v>STRICKLAND</v>
          </cell>
          <cell r="M67">
            <v>3.4675925926421769E-2</v>
          </cell>
          <cell r="N67">
            <v>49.933333334047347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https://search-rtdc-monitor-bjffxe2xuh6vdkpspy63sjmuny.us-east-1.es.amazonaws.com/_plugin/kibana/#/discover/Steve-Slow-Train-Analysis-(2080s-and-2083s)?_g=(refreshInterval:(display:Off,section:0,value:0),time:(from:'2016-08-07 10:01:47-0600',mode:absolute,to:'2016-08-07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7" t="str">
            <v>N</v>
          </cell>
          <cell r="X67">
            <v>1</v>
          </cell>
          <cell r="Y67">
            <v>23.297499999999999</v>
          </cell>
          <cell r="Z67">
            <v>1.49E-2</v>
          </cell>
          <cell r="AA67">
            <v>23.282599999999999</v>
          </cell>
          <cell r="AB67" t="e">
            <v>#N/A</v>
          </cell>
          <cell r="AC67" t="e">
            <v>#N/A</v>
          </cell>
          <cell r="AD67" t="str">
            <v>0154-07</v>
          </cell>
          <cell r="AE67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68">
          <cell r="A68" t="str">
            <v>155-07</v>
          </cell>
          <cell r="B68">
            <v>4007</v>
          </cell>
          <cell r="C68" t="str">
            <v>DE.1.0.7.0</v>
          </cell>
          <cell r="D68" t="str">
            <v>204:564</v>
          </cell>
          <cell r="E68">
            <v>42589.432604166665</v>
          </cell>
          <cell r="F68">
            <v>42589.433749999997</v>
          </cell>
          <cell r="G68">
            <v>1</v>
          </cell>
          <cell r="H68" t="str">
            <v>204:233293</v>
          </cell>
          <cell r="I68">
            <v>42589.463206018518</v>
          </cell>
          <cell r="J68">
            <v>0</v>
          </cell>
          <cell r="K68" t="str">
            <v>4007/4008</v>
          </cell>
          <cell r="L68" t="str">
            <v>MAYBERRY</v>
          </cell>
          <cell r="M68">
            <v>2.9456018521159422E-2</v>
          </cell>
          <cell r="N68">
            <v>42.416666670469567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https://search-rtdc-monitor-bjffxe2xuh6vdkpspy63sjmuny.us-east-1.es.amazonaws.com/_plugin/kibana/#/discover/Steve-Slow-Train-Analysis-(2080s-and-2083s)?_g=(refreshInterval:(display:Off,section:0,value:0),time:(from:'2016-08-07 09:22:57-0600',mode:absolute,to:'2016-08-07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8" t="str">
            <v>N</v>
          </cell>
          <cell r="X68">
            <v>1</v>
          </cell>
          <cell r="Y68">
            <v>5.6399999999999999E-2</v>
          </cell>
          <cell r="Z68">
            <v>23.3293</v>
          </cell>
          <cell r="AA68">
            <v>23.2729</v>
          </cell>
          <cell r="AB68" t="e">
            <v>#N/A</v>
          </cell>
          <cell r="AC68" t="e">
            <v>#N/A</v>
          </cell>
          <cell r="AD68" t="str">
            <v>0155-07</v>
          </cell>
          <cell r="AE68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69">
          <cell r="A69" t="str">
            <v>156-07</v>
          </cell>
          <cell r="B69">
            <v>4008</v>
          </cell>
          <cell r="C69" t="str">
            <v>DE.1.0.7.0</v>
          </cell>
          <cell r="D69" t="str">
            <v>204:232977</v>
          </cell>
          <cell r="E69">
            <v>42589.467743055553</v>
          </cell>
          <cell r="F69">
            <v>42589.468854166669</v>
          </cell>
          <cell r="G69">
            <v>1</v>
          </cell>
          <cell r="H69" t="str">
            <v>204:150</v>
          </cell>
          <cell r="I69">
            <v>42589.507673611108</v>
          </cell>
          <cell r="J69">
            <v>0</v>
          </cell>
          <cell r="K69" t="str">
            <v>4007/4008</v>
          </cell>
          <cell r="L69" t="str">
            <v>MAYBERRY</v>
          </cell>
          <cell r="M69">
            <v>3.8819444438559003E-2</v>
          </cell>
          <cell r="N69">
            <v>55.899999991524965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https://search-rtdc-monitor-bjffxe2xuh6vdkpspy63sjmuny.us-east-1.es.amazonaws.com/_plugin/kibana/#/discover/Steve-Slow-Train-Analysis-(2080s-and-2083s)?_g=(refreshInterval:(display:Off,section:0,value:0),time:(from:'2016-08-07 10:13:33-0600',mode:absolute,to:'2016-08-07 13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9" t="str">
            <v>N</v>
          </cell>
          <cell r="X69">
            <v>1</v>
          </cell>
          <cell r="Y69">
            <v>23.297699999999999</v>
          </cell>
          <cell r="Z69">
            <v>1.4999999999999999E-2</v>
          </cell>
          <cell r="AA69">
            <v>23.282699999999998</v>
          </cell>
          <cell r="AB69" t="e">
            <v>#N/A</v>
          </cell>
          <cell r="AC69" t="e">
            <v>#N/A</v>
          </cell>
          <cell r="AD69" t="str">
            <v>0156-07</v>
          </cell>
          <cell r="AE69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70">
          <cell r="A70" t="str">
            <v>157-07</v>
          </cell>
          <cell r="B70">
            <v>4025</v>
          </cell>
          <cell r="C70" t="str">
            <v>DE.1.0.7.0</v>
          </cell>
          <cell r="D70" t="str">
            <v>204:449</v>
          </cell>
          <cell r="E70">
            <v>42589.442812499998</v>
          </cell>
          <cell r="F70">
            <v>42589.444027777776</v>
          </cell>
          <cell r="G70">
            <v>1</v>
          </cell>
          <cell r="H70" t="str">
            <v>204:233303</v>
          </cell>
          <cell r="I70">
            <v>42589.473101851851</v>
          </cell>
          <cell r="J70">
            <v>0</v>
          </cell>
          <cell r="K70" t="str">
            <v>4025/4026</v>
          </cell>
          <cell r="L70" t="str">
            <v>HOMIK</v>
          </cell>
          <cell r="M70">
            <v>2.9074074074742384E-2</v>
          </cell>
          <cell r="N70">
            <v>41.866666667629033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https://search-rtdc-monitor-bjffxe2xuh6vdkpspy63sjmuny.us-east-1.es.amazonaws.com/_plugin/kibana/#/discover/Steve-Slow-Train-Analysis-(2080s-and-2083s)?_g=(refreshInterval:(display:Off,section:0,value:0),time:(from:'2016-08-07 09:37:39-0600',mode:absolute,to:'2016-08-07 12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0" t="str">
            <v>N</v>
          </cell>
          <cell r="X70">
            <v>1</v>
          </cell>
          <cell r="Y70">
            <v>4.4900000000000002E-2</v>
          </cell>
          <cell r="Z70">
            <v>23.330300000000001</v>
          </cell>
          <cell r="AA70">
            <v>23.285400000000003</v>
          </cell>
          <cell r="AB70" t="e">
            <v>#N/A</v>
          </cell>
          <cell r="AC70" t="e">
            <v>#N/A</v>
          </cell>
          <cell r="AD70" t="str">
            <v>0157-07</v>
          </cell>
          <cell r="AE70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71">
          <cell r="A71" t="str">
            <v>158-07</v>
          </cell>
          <cell r="B71">
            <v>4026</v>
          </cell>
          <cell r="C71" t="str">
            <v>DE.1.0.7.0</v>
          </cell>
          <cell r="D71" t="str">
            <v>204:232986</v>
          </cell>
          <cell r="E71">
            <v>42589.477812500001</v>
          </cell>
          <cell r="F71">
            <v>42589.482152777775</v>
          </cell>
          <cell r="G71">
            <v>6</v>
          </cell>
          <cell r="H71" t="str">
            <v>204:147</v>
          </cell>
          <cell r="I71">
            <v>42589.515810185185</v>
          </cell>
          <cell r="J71">
            <v>0</v>
          </cell>
          <cell r="K71" t="str">
            <v>4025/4026</v>
          </cell>
          <cell r="L71" t="str">
            <v>HOMIK</v>
          </cell>
          <cell r="M71">
            <v>3.365740740991896E-2</v>
          </cell>
          <cell r="N71">
            <v>48.466666670283303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https://search-rtdc-monitor-bjffxe2xuh6vdkpspy63sjmuny.us-east-1.es.amazonaws.com/_plugin/kibana/#/discover/Steve-Slow-Train-Analysis-(2080s-and-2083s)?_g=(refreshInterval:(display:Off,section:0,value:0),time:(from:'2016-08-07 10:28:03-0600',mode:absolute,to:'2016-08-07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0158-07</v>
          </cell>
          <cell r="AE71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72">
          <cell r="A72" t="str">
            <v>159-07</v>
          </cell>
          <cell r="B72">
            <v>4016</v>
          </cell>
          <cell r="C72" t="str">
            <v>DE.1.0.7.0</v>
          </cell>
          <cell r="D72" t="str">
            <v>204:446</v>
          </cell>
          <cell r="E72">
            <v>42589.453449074077</v>
          </cell>
          <cell r="F72">
            <v>42589.454641203702</v>
          </cell>
          <cell r="G72">
            <v>1</v>
          </cell>
          <cell r="H72" t="str">
            <v>204:233312</v>
          </cell>
          <cell r="I72">
            <v>42589.487210648149</v>
          </cell>
          <cell r="J72">
            <v>0</v>
          </cell>
          <cell r="K72" t="str">
            <v>4015/4016</v>
          </cell>
          <cell r="L72" t="str">
            <v>STEWART</v>
          </cell>
          <cell r="M72">
            <v>3.2569444447290152E-2</v>
          </cell>
          <cell r="N72">
            <v>46.900000004097819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https://search-rtdc-monitor-bjffxe2xuh6vdkpspy63sjmuny.us-east-1.es.amazonaws.com/_plugin/kibana/#/discover/Steve-Slow-Train-Analysis-(2080s-and-2083s)?_g=(refreshInterval:(display:Off,section:0,value:0),time:(from:'2016-08-07 09:52:58-0600',mode:absolute,to:'2016-08-07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4.4600000000000001E-2</v>
          </cell>
          <cell r="Z72">
            <v>23.331199999999999</v>
          </cell>
          <cell r="AA72">
            <v>23.2866</v>
          </cell>
          <cell r="AB72" t="e">
            <v>#N/A</v>
          </cell>
          <cell r="AC72" t="e">
            <v>#N/A</v>
          </cell>
          <cell r="AD72" t="str">
            <v>0159-07</v>
          </cell>
          <cell r="AE72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73">
          <cell r="A73" t="str">
            <v>160-07</v>
          </cell>
          <cell r="B73">
            <v>4015</v>
          </cell>
          <cell r="C73" t="str">
            <v>DE.1.0.7.0</v>
          </cell>
          <cell r="D73" t="str">
            <v>204:232976</v>
          </cell>
          <cell r="E73">
            <v>42589.49454861111</v>
          </cell>
          <cell r="F73">
            <v>42589.495648148149</v>
          </cell>
          <cell r="G73">
            <v>1</v>
          </cell>
          <cell r="H73" t="str">
            <v>204:150</v>
          </cell>
          <cell r="I73">
            <v>42589.524143518516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2.8495370366727002E-2</v>
          </cell>
          <cell r="N73">
            <v>41.033333328086883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https://search-rtdc-monitor-bjffxe2xuh6vdkpspy63sjmuny.us-east-1.es.amazonaws.com/_plugin/kibana/#/discover/Steve-Slow-Train-Analysis-(2080s-and-2083s)?_g=(refreshInterval:(display:Off,section:0,value:0),time:(from:'2016-08-07 10:52:09-0600',mode:absolute,to:'2016-08-07 13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23.297599999999999</v>
          </cell>
          <cell r="Z73">
            <v>1.4999999999999999E-2</v>
          </cell>
          <cell r="AA73">
            <v>23.282599999999999</v>
          </cell>
          <cell r="AB73" t="e">
            <v>#N/A</v>
          </cell>
          <cell r="AC73" t="e">
            <v>#N/A</v>
          </cell>
          <cell r="AD73" t="str">
            <v>0160-07</v>
          </cell>
          <cell r="AE73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74">
          <cell r="A74" t="str">
            <v>161-07</v>
          </cell>
          <cell r="B74">
            <v>4044</v>
          </cell>
          <cell r="C74" t="str">
            <v>DE.1.0.7.0</v>
          </cell>
          <cell r="D74" t="str">
            <v>204:453</v>
          </cell>
          <cell r="E74">
            <v>42589.463043981479</v>
          </cell>
          <cell r="F74">
            <v>42589.464525462965</v>
          </cell>
          <cell r="G74">
            <v>2</v>
          </cell>
          <cell r="H74" t="str">
            <v>204:233299</v>
          </cell>
          <cell r="I74">
            <v>42589.49554398148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3.1018518515338656E-2</v>
          </cell>
          <cell r="N74">
            <v>44.666666662087664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https://search-rtdc-monitor-bjffxe2xuh6vdkpspy63sjmuny.us-east-1.es.amazonaws.com/_plugin/kibana/#/discover/Steve-Slow-Train-Analysis-(2080s-and-2083s)?_g=(refreshInterval:(display:Off,section:0,value:0),time:(from:'2016-08-07 10:06:47-0600',mode:absolute,to:'2016-08-07 12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4" t="str">
            <v>N</v>
          </cell>
          <cell r="X74">
            <v>1</v>
          </cell>
          <cell r="Y74">
            <v>4.53E-2</v>
          </cell>
          <cell r="Z74">
            <v>23.329899999999999</v>
          </cell>
          <cell r="AA74">
            <v>23.284599999999998</v>
          </cell>
          <cell r="AB74" t="e">
            <v>#N/A</v>
          </cell>
          <cell r="AC74" t="e">
            <v>#N/A</v>
          </cell>
          <cell r="AD74" t="str">
            <v>0161-07</v>
          </cell>
          <cell r="AE7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75">
          <cell r="A75" t="str">
            <v>162-07</v>
          </cell>
          <cell r="B75">
            <v>4043</v>
          </cell>
          <cell r="C75" t="str">
            <v>DE.1.0.7.0</v>
          </cell>
          <cell r="D75" t="str">
            <v>204:232959</v>
          </cell>
          <cell r="E75">
            <v>42589.498414351852</v>
          </cell>
          <cell r="F75">
            <v>42589.499212962961</v>
          </cell>
          <cell r="G75">
            <v>1</v>
          </cell>
          <cell r="H75" t="str">
            <v>204:147</v>
          </cell>
          <cell r="I75">
            <v>42589.536504629628</v>
          </cell>
          <cell r="J75">
            <v>0</v>
          </cell>
          <cell r="K75" t="str">
            <v>4043/4044</v>
          </cell>
          <cell r="L75" t="str">
            <v>BARTLETT</v>
          </cell>
          <cell r="M75">
            <v>3.7291666667442769E-2</v>
          </cell>
          <cell r="N75">
            <v>53.700000001117587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https://search-rtdc-monitor-bjffxe2xuh6vdkpspy63sjmuny.us-east-1.es.amazonaws.com/_plugin/kibana/#/discover/Steve-Slow-Train-Analysis-(2080s-and-2083s)?_g=(refreshInterval:(display:Off,section:0,value:0),time:(from:'2016-08-07 10:57:43-0600',mode:absolute,to:'2016-08-07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5" t="str">
            <v>N</v>
          </cell>
          <cell r="X75">
            <v>1</v>
          </cell>
          <cell r="Y75">
            <v>23.2959</v>
          </cell>
          <cell r="Z75">
            <v>1.47E-2</v>
          </cell>
          <cell r="AA75">
            <v>23.281199999999998</v>
          </cell>
          <cell r="AB75" t="e">
            <v>#N/A</v>
          </cell>
          <cell r="AC75" t="e">
            <v>#N/A</v>
          </cell>
          <cell r="AD75" t="str">
            <v>0162-07</v>
          </cell>
          <cell r="AE75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76">
          <cell r="A76" t="str">
            <v>163-07</v>
          </cell>
          <cell r="B76">
            <v>4018</v>
          </cell>
          <cell r="C76" t="str">
            <v>DE.1.0.7.0</v>
          </cell>
          <cell r="D76" t="str">
            <v>204:460</v>
          </cell>
          <cell r="E76">
            <v>42589.480011574073</v>
          </cell>
          <cell r="F76">
            <v>42589.481238425928</v>
          </cell>
          <cell r="G76">
            <v>1</v>
          </cell>
          <cell r="H76" t="str">
            <v>204:233317</v>
          </cell>
          <cell r="I76">
            <v>42589.511759259258</v>
          </cell>
          <cell r="J76">
            <v>0</v>
          </cell>
          <cell r="K76" t="str">
            <v>4017/4018</v>
          </cell>
          <cell r="L76" t="str">
            <v>DE LA ROSA</v>
          </cell>
          <cell r="M76">
            <v>3.0520833330228925E-2</v>
          </cell>
          <cell r="N76">
            <v>43.949999995529652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https://search-rtdc-monitor-bjffxe2xuh6vdkpspy63sjmuny.us-east-1.es.amazonaws.com/_plugin/kibana/#/discover/Steve-Slow-Train-Analysis-(2080s-and-2083s)?_g=(refreshInterval:(display:Off,section:0,value:0),time:(from:'2016-08-07 10:31:13-0600',mode:absolute,to:'2016-08-07 13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6" t="str">
            <v>N</v>
          </cell>
          <cell r="X76">
            <v>1</v>
          </cell>
          <cell r="Y76">
            <v>4.5999999999999999E-2</v>
          </cell>
          <cell r="Z76">
            <v>23.331700000000001</v>
          </cell>
          <cell r="AA76">
            <v>23.285700000000002</v>
          </cell>
          <cell r="AB76" t="e">
            <v>#N/A</v>
          </cell>
          <cell r="AC76" t="e">
            <v>#N/A</v>
          </cell>
          <cell r="AD76" t="str">
            <v>0163-07</v>
          </cell>
          <cell r="AE76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77">
          <cell r="A77" t="str">
            <v>164-07</v>
          </cell>
          <cell r="B77">
            <v>4017</v>
          </cell>
          <cell r="C77" t="str">
            <v>DE.1.0.7.0</v>
          </cell>
          <cell r="D77" t="str">
            <v>204:232981</v>
          </cell>
          <cell r="E77">
            <v>42589.514884259261</v>
          </cell>
          <cell r="F77">
            <v>42589.515868055554</v>
          </cell>
          <cell r="G77">
            <v>1</v>
          </cell>
          <cell r="H77" t="str">
            <v>204:145</v>
          </cell>
          <cell r="I77">
            <v>42589.547395833331</v>
          </cell>
          <cell r="J77">
            <v>0</v>
          </cell>
          <cell r="K77" t="str">
            <v>4017/4018</v>
          </cell>
          <cell r="L77" t="str">
            <v>DE LA ROSA</v>
          </cell>
          <cell r="M77">
            <v>3.1527777777228039E-2</v>
          </cell>
          <cell r="N77">
            <v>45.399999999208376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https://search-rtdc-monitor-bjffxe2xuh6vdkpspy63sjmuny.us-east-1.es.amazonaws.com/_plugin/kibana/#/discover/Steve-Slow-Train-Analysis-(2080s-and-2083s)?_g=(refreshInterval:(display:Off,section:0,value:0),time:(from:'2016-08-07 11:21:26-0600',mode:absolute,to:'2016-08-07 14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7" t="str">
            <v>N</v>
          </cell>
          <cell r="X77">
            <v>1</v>
          </cell>
          <cell r="Y77">
            <v>23.298100000000002</v>
          </cell>
          <cell r="Z77">
            <v>1.4500000000000001E-2</v>
          </cell>
          <cell r="AA77">
            <v>23.2836</v>
          </cell>
          <cell r="AB77" t="e">
            <v>#N/A</v>
          </cell>
          <cell r="AC77" t="e">
            <v>#N/A</v>
          </cell>
          <cell r="AD77" t="str">
            <v>0164-07</v>
          </cell>
          <cell r="AE77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78">
          <cell r="A78" t="str">
            <v>165-07</v>
          </cell>
          <cell r="B78">
            <v>4029</v>
          </cell>
          <cell r="C78" t="str">
            <v>DE.1.0.7.0</v>
          </cell>
          <cell r="D78" t="str">
            <v>204:462</v>
          </cell>
          <cell r="E78">
            <v>42589.48883101852</v>
          </cell>
          <cell r="F78">
            <v>42589.490069444444</v>
          </cell>
          <cell r="G78">
            <v>1</v>
          </cell>
          <cell r="H78" t="str">
            <v>204:233337</v>
          </cell>
          <cell r="I78">
            <v>42589.521666666667</v>
          </cell>
          <cell r="J78">
            <v>0</v>
          </cell>
          <cell r="K78" t="str">
            <v>4029/4030</v>
          </cell>
          <cell r="L78" t="str">
            <v>MOSES</v>
          </cell>
          <cell r="M78">
            <v>3.1597222223354038E-2</v>
          </cell>
          <cell r="N78">
            <v>45.500000001629815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https://search-rtdc-monitor-bjffxe2xuh6vdkpspy63sjmuny.us-east-1.es.amazonaws.com/_plugin/kibana/#/discover/Steve-Slow-Train-Analysis-(2080s-and-2083s)?_g=(refreshInterval:(display:Off,section:0,value:0),time:(from:'2016-08-07 10:43:55-0600',mode:absolute,to:'2016-08-07 13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23.3337</v>
          </cell>
          <cell r="AA78">
            <v>23.287500000000001</v>
          </cell>
          <cell r="AB78" t="e">
            <v>#N/A</v>
          </cell>
          <cell r="AC78" t="e">
            <v>#N/A</v>
          </cell>
          <cell r="AD78" t="str">
            <v>0165-07</v>
          </cell>
          <cell r="AE78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79">
          <cell r="A79" t="str">
            <v>166-07</v>
          </cell>
          <cell r="B79">
            <v>4030</v>
          </cell>
          <cell r="C79" t="str">
            <v>DE.1.0.7.0</v>
          </cell>
          <cell r="D79" t="str">
            <v>204:233013</v>
          </cell>
          <cell r="E79">
            <v>42589.525706018518</v>
          </cell>
          <cell r="F79">
            <v>42589.526898148149</v>
          </cell>
          <cell r="G79">
            <v>1</v>
          </cell>
          <cell r="H79" t="str">
            <v>204:165</v>
          </cell>
          <cell r="I79">
            <v>42589.557372685187</v>
          </cell>
          <cell r="J79">
            <v>1</v>
          </cell>
          <cell r="K79" t="str">
            <v>4029/4030</v>
          </cell>
          <cell r="L79" t="str">
            <v>MOSES</v>
          </cell>
          <cell r="M79">
            <v>3.047453703766223E-2</v>
          </cell>
          <cell r="N79">
            <v>43.883333334233612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23.301300000000001</v>
          </cell>
          <cell r="Z79">
            <v>1.6500000000000001E-2</v>
          </cell>
          <cell r="AA79">
            <v>23.284800000000001</v>
          </cell>
          <cell r="AB79" t="e">
            <v>#N/A</v>
          </cell>
          <cell r="AC79" t="e">
            <v>#N/A</v>
          </cell>
          <cell r="AD79" t="str">
            <v>0166-07</v>
          </cell>
          <cell r="AE79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80">
          <cell r="A80" t="str">
            <v>167-07</v>
          </cell>
          <cell r="B80">
            <v>4038</v>
          </cell>
          <cell r="C80" t="str">
            <v>DE.1.0.7.0</v>
          </cell>
          <cell r="D80" t="str">
            <v>204:462</v>
          </cell>
          <cell r="E80">
            <v>42589.500219907408</v>
          </cell>
          <cell r="F80">
            <v>42589.501666666663</v>
          </cell>
          <cell r="G80">
            <v>2</v>
          </cell>
          <cell r="H80" t="str">
            <v>204:233329</v>
          </cell>
          <cell r="I80">
            <v>42589.529166666667</v>
          </cell>
          <cell r="J80">
            <v>0</v>
          </cell>
          <cell r="K80" t="str">
            <v>4037/4038</v>
          </cell>
          <cell r="L80" t="str">
            <v>YOUNG</v>
          </cell>
          <cell r="M80">
            <v>2.7500000003783498E-2</v>
          </cell>
          <cell r="N80">
            <v>39.600000005448237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https://search-rtdc-monitor-bjffxe2xuh6vdkpspy63sjmuny.us-east-1.es.amazonaws.com/_plugin/kibana/#/discover/Steve-Slow-Train-Analysis-(2080s-and-2083s)?_g=(refreshInterval:(display:Off,section:0,value:0),time:(from:'2016-08-07 11:00:19-0600',mode:absolute,to:'2016-08-07 13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80" t="str">
            <v>N</v>
          </cell>
          <cell r="X80">
            <v>1</v>
          </cell>
          <cell r="Y80">
            <v>4.6199999999999998E-2</v>
          </cell>
          <cell r="Z80">
            <v>23.332899999999999</v>
          </cell>
          <cell r="AA80">
            <v>23.2867</v>
          </cell>
          <cell r="AB80" t="e">
            <v>#N/A</v>
          </cell>
          <cell r="AC80" t="e">
            <v>#N/A</v>
          </cell>
          <cell r="AD80" t="str">
            <v>0167-07</v>
          </cell>
          <cell r="AE8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81">
          <cell r="A81" t="str">
            <v>168-07</v>
          </cell>
          <cell r="B81">
            <v>4037</v>
          </cell>
          <cell r="C81" t="str">
            <v>DE.1.0.7.0</v>
          </cell>
          <cell r="D81" t="str">
            <v>204:233000</v>
          </cell>
          <cell r="E81">
            <v>42589.532581018517</v>
          </cell>
          <cell r="F81">
            <v>42589.533819444441</v>
          </cell>
          <cell r="G81">
            <v>1</v>
          </cell>
          <cell r="H81" t="str">
            <v>204:160</v>
          </cell>
          <cell r="I81">
            <v>42589.569328703707</v>
          </cell>
          <cell r="J81">
            <v>1</v>
          </cell>
          <cell r="K81" t="str">
            <v>4037/4038</v>
          </cell>
          <cell r="L81" t="str">
            <v>YOUNG</v>
          </cell>
          <cell r="M81">
            <v>3.5509259265381843E-2</v>
          </cell>
          <cell r="N81">
            <v>51.133333342149854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1" t="str">
            <v>N</v>
          </cell>
          <cell r="X81">
            <v>1</v>
          </cell>
          <cell r="Y81">
            <v>23.3</v>
          </cell>
          <cell r="Z81">
            <v>1.6E-2</v>
          </cell>
          <cell r="AA81">
            <v>23.284000000000002</v>
          </cell>
          <cell r="AB81">
            <v>21848</v>
          </cell>
          <cell r="AC81" t="str">
            <v>PERMANENT SPEED RESTRICTION</v>
          </cell>
          <cell r="AD81" t="str">
            <v>0168-07</v>
          </cell>
          <cell r="AE8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82">
          <cell r="A82" t="str">
            <v>169-07</v>
          </cell>
          <cell r="B82">
            <v>4007</v>
          </cell>
          <cell r="C82" t="str">
            <v>DE.1.0.7.0</v>
          </cell>
          <cell r="D82" t="str">
            <v>204:457</v>
          </cell>
          <cell r="E82">
            <v>42589.509664351855</v>
          </cell>
          <cell r="F82">
            <v>42589.511157407411</v>
          </cell>
          <cell r="G82">
            <v>2</v>
          </cell>
          <cell r="H82" t="str">
            <v>204:233295</v>
          </cell>
          <cell r="I82">
            <v>42589.537800925929</v>
          </cell>
          <cell r="J82">
            <v>0</v>
          </cell>
          <cell r="K82" t="str">
            <v>4007/4008</v>
          </cell>
          <cell r="L82" t="str">
            <v>MAYBERRY</v>
          </cell>
          <cell r="M82">
            <v>2.6643518518540077E-2</v>
          </cell>
          <cell r="N82">
            <v>38.366666666697711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https://search-rtdc-monitor-bjffxe2xuh6vdkpspy63sjmuny.us-east-1.es.amazonaws.com/_plugin/kibana/#/discover/Steve-Slow-Train-Analysis-(2080s-and-2083s)?_g=(refreshInterval:(display:Off,section:0,value:0),time:(from:'2016-08-07 11:13:55-0600',mode:absolute,to:'2016-08-07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23.329499999999999</v>
          </cell>
          <cell r="AA82">
            <v>23.283799999999999</v>
          </cell>
          <cell r="AB82" t="e">
            <v>#N/A</v>
          </cell>
          <cell r="AC82" t="e">
            <v>#N/A</v>
          </cell>
          <cell r="AD82" t="str">
            <v>0169-07</v>
          </cell>
          <cell r="AE82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83">
          <cell r="A83" t="str">
            <v>170-07</v>
          </cell>
          <cell r="B83">
            <v>4008</v>
          </cell>
          <cell r="C83" t="str">
            <v>DE.1.0.7.0</v>
          </cell>
          <cell r="D83" t="str">
            <v>204:232969</v>
          </cell>
          <cell r="E83">
            <v>42589.543599537035</v>
          </cell>
          <cell r="F83">
            <v>42589.545567129629</v>
          </cell>
          <cell r="G83">
            <v>2</v>
          </cell>
          <cell r="H83" t="str">
            <v>204:152</v>
          </cell>
          <cell r="I83">
            <v>42589.580983796295</v>
          </cell>
          <cell r="J83">
            <v>1</v>
          </cell>
          <cell r="K83" t="str">
            <v>4007/4008</v>
          </cell>
          <cell r="L83" t="str">
            <v>MAYBERRY</v>
          </cell>
          <cell r="M83">
            <v>3.5416666665696539E-2</v>
          </cell>
          <cell r="N83">
            <v>50.999999998603016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3" t="str">
            <v>N</v>
          </cell>
          <cell r="X83">
            <v>1</v>
          </cell>
          <cell r="Y83">
            <v>23.296900000000001</v>
          </cell>
          <cell r="Z83">
            <v>1.52E-2</v>
          </cell>
          <cell r="AA83">
            <v>23.281700000000001</v>
          </cell>
          <cell r="AB83" t="e">
            <v>#N/A</v>
          </cell>
          <cell r="AC83" t="e">
            <v>#N/A</v>
          </cell>
          <cell r="AD83" t="str">
            <v>0170-07</v>
          </cell>
          <cell r="AE83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84">
          <cell r="A84" t="str">
            <v>171-07</v>
          </cell>
          <cell r="B84">
            <v>4025</v>
          </cell>
          <cell r="C84" t="str">
            <v>DE.1.0.7.0</v>
          </cell>
          <cell r="D84" t="str">
            <v>204:464</v>
          </cell>
          <cell r="E84">
            <v>42589.517928240741</v>
          </cell>
          <cell r="F84">
            <v>42589.519270833334</v>
          </cell>
          <cell r="G84">
            <v>1</v>
          </cell>
          <cell r="H84" t="str">
            <v>204:233315</v>
          </cell>
          <cell r="I84">
            <v>42589.546655092592</v>
          </cell>
          <cell r="J84">
            <v>0</v>
          </cell>
          <cell r="K84" t="str">
            <v>4025/4026</v>
          </cell>
          <cell r="L84" t="str">
            <v>SHOOK</v>
          </cell>
          <cell r="M84">
            <v>2.7384259257814847E-2</v>
          </cell>
          <cell r="N84">
            <v>39.43333333125338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https://search-rtdc-monitor-bjffxe2xuh6vdkpspy63sjmuny.us-east-1.es.amazonaws.com/_plugin/kibana/#/discover/Steve-Slow-Train-Analysis-(2080s-and-2083s)?_g=(refreshInterval:(display:Off,section:0,value:0),time:(from:'2016-08-07 11:25:49-0600',mode:absolute,to:'2016-08-07 14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4" t="str">
            <v>N</v>
          </cell>
          <cell r="X84">
            <v>1</v>
          </cell>
          <cell r="Y84">
            <v>4.6399999999999997E-2</v>
          </cell>
          <cell r="Z84">
            <v>23.331499999999998</v>
          </cell>
          <cell r="AA84">
            <v>23.2851</v>
          </cell>
          <cell r="AB84" t="e">
            <v>#N/A</v>
          </cell>
          <cell r="AC84" t="e">
            <v>#N/A</v>
          </cell>
          <cell r="AD84" t="str">
            <v>0171-07</v>
          </cell>
          <cell r="AE8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85">
          <cell r="A85" t="str">
            <v>172-07</v>
          </cell>
          <cell r="B85">
            <v>4026</v>
          </cell>
          <cell r="C85" t="str">
            <v>DE.1.0.7.0</v>
          </cell>
          <cell r="D85" t="str">
            <v>204:233015</v>
          </cell>
          <cell r="E85">
            <v>42589.554988425924</v>
          </cell>
          <cell r="F85">
            <v>42589.556111111109</v>
          </cell>
          <cell r="G85">
            <v>1</v>
          </cell>
          <cell r="H85" t="str">
            <v>204:147</v>
          </cell>
          <cell r="I85">
            <v>42589.586828703701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3.071759259182727E-2</v>
          </cell>
          <cell r="N85">
            <v>44.233333332231268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https://search-rtdc-monitor-bjffxe2xuh6vdkpspy63sjmuny.us-east-1.es.amazonaws.com/_plugin/kibana/#/discover/Steve-Slow-Train-Analysis-(2080s-and-2083s)?_g=(refreshInterval:(display:Off,section:0,value:0),time:(from:'2016-08-07 12:19:11-0600',mode:absolute,to:'2016-08-07 15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5" t="str">
            <v>N</v>
          </cell>
          <cell r="X85">
            <v>1</v>
          </cell>
          <cell r="Y85">
            <v>23.301500000000001</v>
          </cell>
          <cell r="Z85">
            <v>1.47E-2</v>
          </cell>
          <cell r="AA85">
            <v>23.286799999999999</v>
          </cell>
          <cell r="AB85" t="e">
            <v>#N/A</v>
          </cell>
          <cell r="AC85" t="e">
            <v>#N/A</v>
          </cell>
          <cell r="AD85" t="str">
            <v>0172-07</v>
          </cell>
          <cell r="AE8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86">
          <cell r="A86" t="str">
            <v>173-07</v>
          </cell>
          <cell r="B86">
            <v>4016</v>
          </cell>
          <cell r="C86" t="str">
            <v>DE.1.0.7.0</v>
          </cell>
          <cell r="D86" t="str">
            <v>204:477</v>
          </cell>
          <cell r="E86">
            <v>42589.526875000003</v>
          </cell>
          <cell r="F86">
            <v>42589.527881944443</v>
          </cell>
          <cell r="G86">
            <v>1</v>
          </cell>
          <cell r="H86" t="str">
            <v>204:233305</v>
          </cell>
          <cell r="I86">
            <v>42589.560370370367</v>
          </cell>
          <cell r="J86">
            <v>1</v>
          </cell>
          <cell r="K86" t="str">
            <v>4015/4016</v>
          </cell>
          <cell r="L86" t="str">
            <v>STEWART</v>
          </cell>
          <cell r="M86">
            <v>3.2488425924384501E-2</v>
          </cell>
          <cell r="N86">
            <v>46.783333331113681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4.7699999999999999E-2</v>
          </cell>
          <cell r="Z86">
            <v>23.330500000000001</v>
          </cell>
          <cell r="AA86">
            <v>23.282800000000002</v>
          </cell>
          <cell r="AB86" t="e">
            <v>#N/A</v>
          </cell>
          <cell r="AC86" t="e">
            <v>#N/A</v>
          </cell>
          <cell r="AD86" t="str">
            <v>0173-07</v>
          </cell>
          <cell r="AE86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87">
          <cell r="A87" t="str">
            <v>174-07</v>
          </cell>
          <cell r="B87">
            <v>4015</v>
          </cell>
          <cell r="C87" t="str">
            <v>DE.1.0.7.0</v>
          </cell>
          <cell r="D87" t="str">
            <v>204:232978</v>
          </cell>
          <cell r="E87">
            <v>42589.566851851851</v>
          </cell>
          <cell r="F87">
            <v>42589.567812499998</v>
          </cell>
          <cell r="G87">
            <v>1</v>
          </cell>
          <cell r="H87" t="str">
            <v>204:158</v>
          </cell>
          <cell r="I87">
            <v>42589.598356481481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3.054398148378823E-2</v>
          </cell>
          <cell r="N87">
            <v>43.983333336655051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https://search-rtdc-monitor-bjffxe2xuh6vdkpspy63sjmuny.us-east-1.es.amazonaws.com/_plugin/kibana/#/discover/Steve-Slow-Train-Analysis-(2080s-and-2083s)?_g=(refreshInterval:(display:Off,section:0,value:0),time:(from:'2016-08-07 12:36:16-0600',mode:absolute,to:'2016-08-07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23.297799999999999</v>
          </cell>
          <cell r="Z87">
            <v>1.5800000000000002E-2</v>
          </cell>
          <cell r="AA87">
            <v>23.282</v>
          </cell>
          <cell r="AB87" t="e">
            <v>#N/A</v>
          </cell>
          <cell r="AC87" t="e">
            <v>#N/A</v>
          </cell>
          <cell r="AD87" t="str">
            <v>0174-07</v>
          </cell>
          <cell r="AE87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88">
          <cell r="A88" t="str">
            <v>175-07</v>
          </cell>
          <cell r="B88">
            <v>4044</v>
          </cell>
          <cell r="C88" t="str">
            <v>DE.1.0.7.0</v>
          </cell>
          <cell r="D88" t="str">
            <v>204:444</v>
          </cell>
          <cell r="E88">
            <v>42589.537812499999</v>
          </cell>
          <cell r="F88">
            <v>42589.538888888892</v>
          </cell>
          <cell r="G88">
            <v>1</v>
          </cell>
          <cell r="H88" t="str">
            <v>204:233310</v>
          </cell>
          <cell r="I88">
            <v>42589.567569444444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2.8680555551545694E-2</v>
          </cell>
          <cell r="N88">
            <v>41.2999999942258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https://search-rtdc-monitor-bjffxe2xuh6vdkpspy63sjmuny.us-east-1.es.amazonaws.com/_plugin/kibana/#/discover/Steve-Slow-Train-Analysis-(2080s-and-2083s)?_g=(refreshInterval:(display:Off,section:0,value:0),time:(from:'2016-08-07 11:54:27-0600',mode:absolute,to:'2016-08-07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8" t="str">
            <v>N</v>
          </cell>
          <cell r="X88">
            <v>1</v>
          </cell>
          <cell r="Y88">
            <v>4.4400000000000002E-2</v>
          </cell>
          <cell r="Z88">
            <v>23.331</v>
          </cell>
          <cell r="AA88">
            <v>23.2866</v>
          </cell>
          <cell r="AB88" t="e">
            <v>#N/A</v>
          </cell>
          <cell r="AC88" t="e">
            <v>#N/A</v>
          </cell>
          <cell r="AD88" t="str">
            <v>0175-07</v>
          </cell>
          <cell r="AE8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89">
          <cell r="A89" t="str">
            <v>176-07</v>
          </cell>
          <cell r="B89">
            <v>4043</v>
          </cell>
          <cell r="C89" t="str">
            <v>DE.1.0.7.0</v>
          </cell>
          <cell r="D89" t="str">
            <v>204:233000</v>
          </cell>
          <cell r="E89">
            <v>42589.569791666669</v>
          </cell>
          <cell r="F89">
            <v>42589.570925925924</v>
          </cell>
          <cell r="G89">
            <v>1</v>
          </cell>
          <cell r="H89" t="str">
            <v>204:160</v>
          </cell>
          <cell r="I89">
            <v>42589.608946759261</v>
          </cell>
          <cell r="J89">
            <v>1</v>
          </cell>
          <cell r="K89" t="str">
            <v>4043/4044</v>
          </cell>
          <cell r="L89" t="str">
            <v>BARTLETT</v>
          </cell>
          <cell r="M89">
            <v>3.8020833337213844E-2</v>
          </cell>
          <cell r="N89">
            <v>54.750000005587935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9" t="str">
            <v>N</v>
          </cell>
          <cell r="X89">
            <v>1</v>
          </cell>
          <cell r="Y89">
            <v>23.3</v>
          </cell>
          <cell r="Z89">
            <v>1.6E-2</v>
          </cell>
          <cell r="AA89">
            <v>23.284000000000002</v>
          </cell>
          <cell r="AB89">
            <v>33257</v>
          </cell>
          <cell r="AC89" t="str">
            <v>GRADE CROSSING</v>
          </cell>
          <cell r="AD89" t="str">
            <v>0176-07</v>
          </cell>
          <cell r="AE8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90">
          <cell r="A90" t="str">
            <v>177-07</v>
          </cell>
          <cell r="B90">
            <v>4018</v>
          </cell>
          <cell r="C90" t="str">
            <v>DE.1.0.7.0</v>
          </cell>
          <cell r="D90" t="str">
            <v>204:455</v>
          </cell>
          <cell r="E90">
            <v>42589.549039351848</v>
          </cell>
          <cell r="F90">
            <v>42589.550162037034</v>
          </cell>
          <cell r="G90">
            <v>1</v>
          </cell>
          <cell r="H90" t="str">
            <v>204:233289</v>
          </cell>
          <cell r="I90">
            <v>42589.578668981485</v>
          </cell>
          <cell r="J90">
            <v>0</v>
          </cell>
          <cell r="K90" t="str">
            <v>4017/4018</v>
          </cell>
          <cell r="L90" t="str">
            <v>DE LA ROSA</v>
          </cell>
          <cell r="M90">
            <v>2.8506944450782612E-2</v>
          </cell>
          <cell r="N90">
            <v>41.050000009126961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https://search-rtdc-monitor-bjffxe2xuh6vdkpspy63sjmuny.us-east-1.es.amazonaws.com/_plugin/kibana/#/discover/Steve-Slow-Train-Analysis-(2080s-and-2083s)?_g=(refreshInterval:(display:Off,section:0,value:0),time:(from:'2016-08-07 12:10:37-0600',mode:absolute,to:'2016-08-07 14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0" t="str">
            <v>N</v>
          </cell>
          <cell r="X90">
            <v>1</v>
          </cell>
          <cell r="Y90">
            <v>4.5499999999999999E-2</v>
          </cell>
          <cell r="Z90">
            <v>23.328900000000001</v>
          </cell>
          <cell r="AA90">
            <v>23.2834</v>
          </cell>
          <cell r="AB90" t="e">
            <v>#N/A</v>
          </cell>
          <cell r="AC90" t="e">
            <v>#N/A</v>
          </cell>
          <cell r="AD90" t="str">
            <v>0177-07</v>
          </cell>
          <cell r="AE9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91">
          <cell r="A91" t="str">
            <v>178-07</v>
          </cell>
          <cell r="B91">
            <v>4017</v>
          </cell>
          <cell r="C91" t="str">
            <v>DE.1.0.7.0</v>
          </cell>
          <cell r="D91" t="str">
            <v>204:232984</v>
          </cell>
          <cell r="E91">
            <v>42589.586469907408</v>
          </cell>
          <cell r="F91">
            <v>42589.587962962964</v>
          </cell>
          <cell r="G91">
            <v>2</v>
          </cell>
          <cell r="H91" t="str">
            <v>204:158</v>
          </cell>
          <cell r="I91">
            <v>42589.620844907404</v>
          </cell>
          <cell r="J91">
            <v>0</v>
          </cell>
          <cell r="K91" t="str">
            <v>4017/4018</v>
          </cell>
          <cell r="L91" t="str">
            <v>DE LA ROSA</v>
          </cell>
          <cell r="M91">
            <v>3.2881944440305233E-2</v>
          </cell>
          <cell r="N91">
            <v>47.349999994039536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https://search-rtdc-monitor-bjffxe2xuh6vdkpspy63sjmuny.us-east-1.es.amazonaws.com/_plugin/kibana/#/discover/Steve-Slow-Train-Analysis-(2080s-and-2083s)?_g=(refreshInterval:(display:Off,section:0,value:0),time:(from:'2016-08-07 13:04:31-0600',mode:absolute,to:'2016-08-07 15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1" t="str">
            <v>N</v>
          </cell>
          <cell r="X91">
            <v>1</v>
          </cell>
          <cell r="Y91">
            <v>23.298400000000001</v>
          </cell>
          <cell r="Z91">
            <v>1.5800000000000002E-2</v>
          </cell>
          <cell r="AA91">
            <v>23.282600000000002</v>
          </cell>
          <cell r="AB91" t="e">
            <v>#N/A</v>
          </cell>
          <cell r="AC91" t="e">
            <v>#N/A</v>
          </cell>
          <cell r="AD91" t="str">
            <v>0178-07</v>
          </cell>
          <cell r="AE9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92">
          <cell r="A92" t="str">
            <v>179-07</v>
          </cell>
          <cell r="B92">
            <v>4029</v>
          </cell>
          <cell r="C92" t="str">
            <v>DE.1.0.7.0</v>
          </cell>
          <cell r="D92" t="str">
            <v>204:19123</v>
          </cell>
          <cell r="E92">
            <v>42589.55909722222</v>
          </cell>
          <cell r="F92">
            <v>42589.567777777775</v>
          </cell>
          <cell r="G92">
            <v>12</v>
          </cell>
          <cell r="H92" t="str">
            <v>204:233312</v>
          </cell>
          <cell r="I92">
            <v>42589.589548611111</v>
          </cell>
          <cell r="J92">
            <v>0</v>
          </cell>
          <cell r="K92" t="str">
            <v>4029/4030</v>
          </cell>
          <cell r="L92" t="str">
            <v>MOSES</v>
          </cell>
          <cell r="M92">
            <v>2.1770833336631767E-2</v>
          </cell>
          <cell r="P92">
            <v>31.350000004749745</v>
          </cell>
          <cell r="R92" t="str">
            <v>Onboard in-route failure, re-inited at 38th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https://search-rtdc-monitor-bjffxe2xuh6vdkpspy63sjmuny.us-east-1.es.amazonaws.com/_plugin/kibana/#/discover/Steve-Slow-Train-Analysis-(2080s-and-2083s)?_g=(refreshInterval:(display:Off,section:0,value:0),time:(from:'2016-08-07 12:25:06-0600',mode:absolute,to:'2016-08-07 15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Y</v>
          </cell>
          <cell r="X92">
            <v>1</v>
          </cell>
          <cell r="Y92">
            <v>1.9123000000000001</v>
          </cell>
          <cell r="Z92">
            <v>23.331199999999999</v>
          </cell>
          <cell r="AA92">
            <v>21.418900000000001</v>
          </cell>
          <cell r="AB92" t="e">
            <v>#N/A</v>
          </cell>
          <cell r="AC92" t="e">
            <v>#N/A</v>
          </cell>
          <cell r="AD92" t="str">
            <v>0179-07</v>
          </cell>
          <cell r="AE92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93">
          <cell r="A93" t="str">
            <v>180-07</v>
          </cell>
          <cell r="B93">
            <v>4030</v>
          </cell>
          <cell r="C93" t="str">
            <v>DE.1.0.7.0</v>
          </cell>
          <cell r="D93" t="str">
            <v>204:232993</v>
          </cell>
          <cell r="E93">
            <v>42589.597870370373</v>
          </cell>
          <cell r="F93">
            <v>42589.598969907405</v>
          </cell>
          <cell r="G93">
            <v>1</v>
          </cell>
          <cell r="H93" t="str">
            <v>204:149</v>
          </cell>
          <cell r="I93">
            <v>42589.628935185188</v>
          </cell>
          <cell r="J93">
            <v>0</v>
          </cell>
          <cell r="K93" t="str">
            <v>4029/4030</v>
          </cell>
          <cell r="L93" t="str">
            <v>MOSES</v>
          </cell>
          <cell r="M93">
            <v>2.9965277783048805E-2</v>
          </cell>
          <cell r="N93">
            <v>43.150000007590279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https://search-rtdc-monitor-bjffxe2xuh6vdkpspy63sjmuny.us-east-1.es.amazonaws.com/_plugin/kibana/#/discover/Steve-Slow-Train-Analysis-(2080s-and-2083s)?_g=(refreshInterval:(display:Off,section:0,value:0),time:(from:'2016-08-07 13:20:56-0600',mode:absolute,to:'2016-08-07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1.49E-2</v>
          </cell>
          <cell r="AA93">
            <v>23.284399999999998</v>
          </cell>
          <cell r="AB93" t="e">
            <v>#N/A</v>
          </cell>
          <cell r="AC93" t="e">
            <v>#N/A</v>
          </cell>
          <cell r="AD93" t="str">
            <v>0180-07</v>
          </cell>
          <cell r="AE9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94">
          <cell r="A94" t="str">
            <v>181-07</v>
          </cell>
          <cell r="B94">
            <v>4038</v>
          </cell>
          <cell r="C94" t="str">
            <v>DE.1.0.7.0</v>
          </cell>
          <cell r="D94" t="str">
            <v>204:455</v>
          </cell>
          <cell r="E94">
            <v>42589.571481481478</v>
          </cell>
          <cell r="F94">
            <v>42589.572569444441</v>
          </cell>
          <cell r="G94">
            <v>1</v>
          </cell>
          <cell r="H94" t="str">
            <v>204:233295</v>
          </cell>
          <cell r="I94">
            <v>42589.599502314813</v>
          </cell>
          <cell r="J94">
            <v>0</v>
          </cell>
          <cell r="K94" t="str">
            <v>4037/4038</v>
          </cell>
          <cell r="L94" t="str">
            <v>YOUNG</v>
          </cell>
          <cell r="M94">
            <v>2.6932870372547768E-2</v>
          </cell>
          <cell r="N94">
            <v>38.783333336468786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https://search-rtdc-monitor-bjffxe2xuh6vdkpspy63sjmuny.us-east-1.es.amazonaws.com/_plugin/kibana/#/discover/Steve-Slow-Train-Analysis-(2080s-and-2083s)?_g=(refreshInterval:(display:Off,section:0,value:0),time:(from:'2016-08-07 12:42:56-0600',mode:absolute,to:'2016-08-07 15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4" t="str">
            <v>N</v>
          </cell>
          <cell r="X94">
            <v>1</v>
          </cell>
          <cell r="Y94">
            <v>4.5499999999999999E-2</v>
          </cell>
          <cell r="Z94">
            <v>23.329499999999999</v>
          </cell>
          <cell r="AA94">
            <v>23.283999999999999</v>
          </cell>
          <cell r="AB94" t="e">
            <v>#N/A</v>
          </cell>
          <cell r="AC94" t="e">
            <v>#N/A</v>
          </cell>
          <cell r="AD94" t="str">
            <v>0181-07</v>
          </cell>
          <cell r="AE9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95">
          <cell r="A95" t="str">
            <v>182-07</v>
          </cell>
          <cell r="B95">
            <v>4037</v>
          </cell>
          <cell r="C95" t="str">
            <v>DE.1.0.7.0</v>
          </cell>
          <cell r="D95" t="str">
            <v>204:232980</v>
          </cell>
          <cell r="E95">
            <v>42589.605578703704</v>
          </cell>
          <cell r="F95">
            <v>42589.606759259259</v>
          </cell>
          <cell r="G95">
            <v>1</v>
          </cell>
          <cell r="H95" t="str">
            <v>204:185</v>
          </cell>
          <cell r="I95">
            <v>42589.641087962962</v>
          </cell>
          <cell r="J95">
            <v>0</v>
          </cell>
          <cell r="K95" t="str">
            <v>4037/4038</v>
          </cell>
          <cell r="L95" t="str">
            <v>YOUNG</v>
          </cell>
          <cell r="M95">
            <v>3.4328703703067731E-2</v>
          </cell>
          <cell r="N95">
            <v>49.433333332417533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https://search-rtdc-monitor-bjffxe2xuh6vdkpspy63sjmuny.us-east-1.es.amazonaws.com/_plugin/kibana/#/discover/Steve-Slow-Train-Analysis-(2080s-and-2083s)?_g=(refreshInterval:(display:Off,section:0,value:0),time:(from:'2016-08-07 13:32:02-0600',mode:absolute,to:'2016-08-07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5" t="str">
            <v>N</v>
          </cell>
          <cell r="X95">
            <v>1</v>
          </cell>
          <cell r="Y95">
            <v>23.297999999999998</v>
          </cell>
          <cell r="Z95">
            <v>1.8499999999999999E-2</v>
          </cell>
          <cell r="AA95">
            <v>23.279499999999999</v>
          </cell>
          <cell r="AB95" t="e">
            <v>#N/A</v>
          </cell>
          <cell r="AC95" t="e">
            <v>#N/A</v>
          </cell>
          <cell r="AD95" t="str">
            <v>0182-07</v>
          </cell>
          <cell r="AE9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96">
          <cell r="A96" t="str">
            <v>183-07</v>
          </cell>
          <cell r="B96">
            <v>4007</v>
          </cell>
          <cell r="C96" t="str">
            <v>DE.1.0.7.0</v>
          </cell>
          <cell r="D96" t="str">
            <v>204:477</v>
          </cell>
          <cell r="E96">
            <v>42589.582881944443</v>
          </cell>
          <cell r="F96">
            <v>42589.584131944444</v>
          </cell>
          <cell r="G96">
            <v>1</v>
          </cell>
          <cell r="H96" t="str">
            <v>204:233298</v>
          </cell>
          <cell r="I96">
            <v>42589.609768518516</v>
          </cell>
          <cell r="J96">
            <v>0</v>
          </cell>
          <cell r="K96" t="str">
            <v>4007/4008</v>
          </cell>
          <cell r="L96" t="str">
            <v>MAYBERRY</v>
          </cell>
          <cell r="M96">
            <v>2.5636574071540963E-2</v>
          </cell>
          <cell r="N96">
            <v>36.916666663018987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https://search-rtdc-monitor-bjffxe2xuh6vdkpspy63sjmuny.us-east-1.es.amazonaws.com/_plugin/kibana/#/discover/Steve-Slow-Train-Analysis-(2080s-and-2083s)?_g=(refreshInterval:(display:Off,section:0,value:0),time:(from:'2016-08-07 12:59:21-0600',mode:absolute,to:'2016-08-07 15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6" t="str">
            <v>N</v>
          </cell>
          <cell r="X96">
            <v>1</v>
          </cell>
          <cell r="Y96">
            <v>4.7699999999999999E-2</v>
          </cell>
          <cell r="Z96">
            <v>23.329799999999999</v>
          </cell>
          <cell r="AA96">
            <v>23.2821</v>
          </cell>
          <cell r="AB96" t="e">
            <v>#N/A</v>
          </cell>
          <cell r="AC96" t="e">
            <v>#N/A</v>
          </cell>
          <cell r="AD96" t="str">
            <v>0183-07</v>
          </cell>
          <cell r="AE9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97">
          <cell r="A97" t="str">
            <v>184-07</v>
          </cell>
          <cell r="B97">
            <v>4008</v>
          </cell>
          <cell r="C97" t="str">
            <v>DE.1.0.7.0</v>
          </cell>
          <cell r="D97" t="str">
            <v>204:232987</v>
          </cell>
          <cell r="E97">
            <v>42589.612500000003</v>
          </cell>
          <cell r="F97">
            <v>42589.614629629628</v>
          </cell>
          <cell r="G97">
            <v>3</v>
          </cell>
          <cell r="H97" t="str">
            <v>204:150</v>
          </cell>
          <cell r="I97">
            <v>42589.650439814817</v>
          </cell>
          <cell r="J97">
            <v>2</v>
          </cell>
          <cell r="K97" t="str">
            <v>4007/4008</v>
          </cell>
          <cell r="L97" t="str">
            <v>MAYBERRY</v>
          </cell>
          <cell r="M97">
            <v>3.5810185188893229E-2</v>
          </cell>
          <cell r="N97">
            <v>51.566666672006249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7" t="str">
            <v>N</v>
          </cell>
          <cell r="X97">
            <v>1</v>
          </cell>
          <cell r="Y97">
            <v>23.2987</v>
          </cell>
          <cell r="Z97">
            <v>1.4999999999999999E-2</v>
          </cell>
          <cell r="AA97">
            <v>23.2837</v>
          </cell>
          <cell r="AB97">
            <v>21848</v>
          </cell>
          <cell r="AC97" t="str">
            <v>PERMANENT SPEED RESTRICTION</v>
          </cell>
          <cell r="AD97" t="str">
            <v>0184-07</v>
          </cell>
          <cell r="AE9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98">
          <cell r="A98" t="str">
            <v>185-07</v>
          </cell>
          <cell r="B98">
            <v>4025</v>
          </cell>
          <cell r="C98" t="str">
            <v>DE.1.0.7.0</v>
          </cell>
          <cell r="D98" t="str">
            <v>204:447</v>
          </cell>
          <cell r="E98">
            <v>42589.589513888888</v>
          </cell>
          <cell r="F98">
            <v>42589.590613425928</v>
          </cell>
          <cell r="G98">
            <v>1</v>
          </cell>
          <cell r="H98" t="str">
            <v>204:233347</v>
          </cell>
          <cell r="I98">
            <v>42589.61886574074</v>
          </cell>
          <cell r="J98">
            <v>0</v>
          </cell>
          <cell r="K98" t="str">
            <v>4025/4026</v>
          </cell>
          <cell r="L98" t="str">
            <v>SHOOK</v>
          </cell>
          <cell r="M98">
            <v>2.8252314812561963E-2</v>
          </cell>
          <cell r="N98">
            <v>40.683333330089226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https://search-rtdc-monitor-bjffxe2xuh6vdkpspy63sjmuny.us-east-1.es.amazonaws.com/_plugin/kibana/#/discover/Steve-Slow-Train-Analysis-(2080s-and-2083s)?_g=(refreshInterval:(display:Off,section:0,value:0),time:(from:'2016-08-07 13:08:54-0600',mode:absolute,to:'2016-08-07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8" t="str">
            <v>N</v>
          </cell>
          <cell r="X98">
            <v>1</v>
          </cell>
          <cell r="Y98">
            <v>4.4699999999999997E-2</v>
          </cell>
          <cell r="Z98">
            <v>23.334700000000002</v>
          </cell>
          <cell r="AA98">
            <v>23.290000000000003</v>
          </cell>
          <cell r="AB98" t="e">
            <v>#N/A</v>
          </cell>
          <cell r="AC98" t="e">
            <v>#N/A</v>
          </cell>
          <cell r="AD98" t="str">
            <v>0185-07</v>
          </cell>
          <cell r="AE9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99">
          <cell r="A99" t="str">
            <v>186-07</v>
          </cell>
          <cell r="B99">
            <v>4026</v>
          </cell>
          <cell r="C99" t="str">
            <v>DE.1.0.7.0</v>
          </cell>
          <cell r="D99" t="str">
            <v>204:233051</v>
          </cell>
          <cell r="E99">
            <v>42589.629108796296</v>
          </cell>
          <cell r="F99">
            <v>42589.629988425928</v>
          </cell>
          <cell r="G99">
            <v>1</v>
          </cell>
          <cell r="H99" t="str">
            <v>204:134</v>
          </cell>
          <cell r="I99">
            <v>42589.659849537034</v>
          </cell>
          <cell r="J99">
            <v>0</v>
          </cell>
          <cell r="K99" t="str">
            <v>4025/4026</v>
          </cell>
          <cell r="L99" t="str">
            <v>SHOOK</v>
          </cell>
          <cell r="M99">
            <v>2.9861111106583849E-2</v>
          </cell>
          <cell r="N99">
            <v>42.999999993480742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https://search-rtdc-monitor-bjffxe2xuh6vdkpspy63sjmuny.us-east-1.es.amazonaws.com/_plugin/kibana/#/discover/Steve-Slow-Train-Analysis-(2080s-and-2083s)?_g=(refreshInterval:(display:Off,section:0,value:0),time:(from:'2016-08-07 14:05:55-0600',mode:absolute,to:'2016-08-07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9" t="str">
            <v>N</v>
          </cell>
          <cell r="X99">
            <v>1</v>
          </cell>
          <cell r="Y99">
            <v>23.305099999999999</v>
          </cell>
          <cell r="Z99">
            <v>1.34E-2</v>
          </cell>
          <cell r="AA99">
            <v>23.291699999999999</v>
          </cell>
          <cell r="AB99" t="e">
            <v>#N/A</v>
          </cell>
          <cell r="AC99" t="e">
            <v>#N/A</v>
          </cell>
          <cell r="AD99" t="str">
            <v>0186-07</v>
          </cell>
          <cell r="AE9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00">
          <cell r="A100" t="str">
            <v>187-07</v>
          </cell>
          <cell r="B100">
            <v>4016</v>
          </cell>
          <cell r="C100" t="str">
            <v>DE.1.0.7.0</v>
          </cell>
          <cell r="D100" t="str">
            <v>204:477</v>
          </cell>
          <cell r="E100">
            <v>42589.600902777776</v>
          </cell>
          <cell r="F100">
            <v>42589.601979166669</v>
          </cell>
          <cell r="G100">
            <v>1</v>
          </cell>
          <cell r="H100" t="str">
            <v>204:233315</v>
          </cell>
          <cell r="I100">
            <v>42589.630011574074</v>
          </cell>
          <cell r="J100">
            <v>0</v>
          </cell>
          <cell r="K100" t="str">
            <v>4015/4016</v>
          </cell>
          <cell r="L100" t="str">
            <v>STEWART</v>
          </cell>
          <cell r="M100">
            <v>2.8032407404680271E-2</v>
          </cell>
          <cell r="N100">
            <v>40.36666666273959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https://search-rtdc-monitor-bjffxe2xuh6vdkpspy63sjmuny.us-east-1.es.amazonaws.com/_plugin/kibana/#/discover/Steve-Slow-Train-Analysis-(2080s-and-2083s)?_g=(refreshInterval:(display:Off,section:0,value:0),time:(from:'2016-08-07 13:25:18-0600',mode:absolute,to:'2016-08-07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4.7699999999999999E-2</v>
          </cell>
          <cell r="Z100">
            <v>23.331499999999998</v>
          </cell>
          <cell r="AA100">
            <v>23.283799999999999</v>
          </cell>
          <cell r="AB100" t="e">
            <v>#N/A</v>
          </cell>
          <cell r="AC100" t="e">
            <v>#N/A</v>
          </cell>
          <cell r="AD100" t="str">
            <v>0187-07</v>
          </cell>
          <cell r="AE10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01">
          <cell r="A101" t="str">
            <v>188-07</v>
          </cell>
          <cell r="B101">
            <v>4015</v>
          </cell>
          <cell r="C101" t="str">
            <v>DE.1.0.7.0</v>
          </cell>
          <cell r="D101" t="str">
            <v>204:233008</v>
          </cell>
          <cell r="E101">
            <v>42589.63925925926</v>
          </cell>
          <cell r="F101">
            <v>42589.640023148146</v>
          </cell>
          <cell r="G101">
            <v>1</v>
          </cell>
          <cell r="H101" t="str">
            <v>204:37558</v>
          </cell>
          <cell r="I101">
            <v>42589.663541666669</v>
          </cell>
          <cell r="J101">
            <v>1</v>
          </cell>
          <cell r="K101" t="str">
            <v>4015/4016</v>
          </cell>
          <cell r="L101" t="str">
            <v>STEWART</v>
          </cell>
          <cell r="M101">
            <v>2.3518518522905651E-2</v>
          </cell>
          <cell r="P101">
            <v>33.866666672984138</v>
          </cell>
          <cell r="R101" t="str">
            <v>Wi-MAX outage</v>
          </cell>
          <cell r="S101">
            <v>0.75</v>
          </cell>
          <cell r="T101" t="str">
            <v>Southbound</v>
          </cell>
          <cell r="U101">
            <v>9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Y</v>
          </cell>
          <cell r="X101">
            <v>1</v>
          </cell>
          <cell r="Y101">
            <v>23.300799999999999</v>
          </cell>
          <cell r="Z101">
            <v>3.7557999999999998</v>
          </cell>
          <cell r="AA101">
            <v>19.544999999999998</v>
          </cell>
          <cell r="AB101" t="e">
            <v>#N/A</v>
          </cell>
          <cell r="AC101" t="e">
            <v>#N/A</v>
          </cell>
          <cell r="AD101" t="str">
            <v>0188-07</v>
          </cell>
          <cell r="AE10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02">
          <cell r="A102" t="str">
            <v>189-07</v>
          </cell>
          <cell r="B102">
            <v>4044</v>
          </cell>
          <cell r="C102" t="str">
            <v>DE.1.0.7.0</v>
          </cell>
          <cell r="D102" t="str">
            <v>204:451</v>
          </cell>
          <cell r="E102">
            <v>42589.611203703702</v>
          </cell>
          <cell r="F102">
            <v>42589.611967592595</v>
          </cell>
          <cell r="G102">
            <v>1</v>
          </cell>
          <cell r="H102" t="str">
            <v>204:233309</v>
          </cell>
          <cell r="I102">
            <v>42589.641481481478</v>
          </cell>
          <cell r="J102">
            <v>0</v>
          </cell>
          <cell r="K102" t="str">
            <v>4043/4044</v>
          </cell>
          <cell r="L102" t="str">
            <v>BARTLETT</v>
          </cell>
          <cell r="M102">
            <v>2.9513888883229811E-2</v>
          </cell>
          <cell r="N102">
            <v>42.499999991850927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https://search-rtdc-monitor-bjffxe2xuh6vdkpspy63sjmuny.us-east-1.es.amazonaws.com/_plugin/kibana/#/discover/Steve-Slow-Train-Analysis-(2080s-and-2083s)?_g=(refreshInterval:(display:Off,section:0,value:0),time:(from:'2016-08-07 13:40:08-0600',mode:absolute,to:'2016-08-07 16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2" t="str">
            <v>N</v>
          </cell>
          <cell r="X102">
            <v>1</v>
          </cell>
          <cell r="Y102">
            <v>4.5100000000000001E-2</v>
          </cell>
          <cell r="Z102">
            <v>23.3309</v>
          </cell>
          <cell r="AA102">
            <v>23.285799999999998</v>
          </cell>
          <cell r="AB102" t="e">
            <v>#N/A</v>
          </cell>
          <cell r="AC102" t="e">
            <v>#N/A</v>
          </cell>
          <cell r="AD102" t="str">
            <v>0189-07</v>
          </cell>
          <cell r="AE10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03">
          <cell r="A103" t="str">
            <v>190-07</v>
          </cell>
          <cell r="B103">
            <v>4043</v>
          </cell>
          <cell r="C103" t="str">
            <v>DE.1.0.7.0</v>
          </cell>
          <cell r="D103" t="str">
            <v>204:232980</v>
          </cell>
          <cell r="E103">
            <v>42589.649837962963</v>
          </cell>
          <cell r="F103">
            <v>42589.650752314818</v>
          </cell>
          <cell r="G103">
            <v>1</v>
          </cell>
          <cell r="H103" t="str">
            <v>204:143</v>
          </cell>
          <cell r="I103">
            <v>42589.680960648147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3.0208333329937886E-2</v>
          </cell>
          <cell r="N103">
            <v>43.499999995110556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https://search-rtdc-monitor-bjffxe2xuh6vdkpspy63sjmuny.us-east-1.es.amazonaws.com/_plugin/kibana/#/discover/Steve-Slow-Train-Analysis-(2080s-and-2083s)?_g=(refreshInterval:(display:Off,section:0,value:0),time:(from:'2016-08-07 14:35:46-0600',mode:absolute,to:'2016-08-07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3" t="str">
            <v>N</v>
          </cell>
          <cell r="X103">
            <v>1</v>
          </cell>
          <cell r="Y103">
            <v>23.297999999999998</v>
          </cell>
          <cell r="Z103">
            <v>1.43E-2</v>
          </cell>
          <cell r="AA103">
            <v>23.2837</v>
          </cell>
          <cell r="AB103" t="e">
            <v>#N/A</v>
          </cell>
          <cell r="AC103" t="e">
            <v>#N/A</v>
          </cell>
          <cell r="AD103" t="str">
            <v>0190-07</v>
          </cell>
          <cell r="AE10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04">
          <cell r="A104" t="str">
            <v>191-07</v>
          </cell>
          <cell r="B104">
            <v>4018</v>
          </cell>
          <cell r="C104" t="str">
            <v>DE.1.0.7.0</v>
          </cell>
          <cell r="D104" t="str">
            <v>204:440</v>
          </cell>
          <cell r="E104">
            <v>42589.622928240744</v>
          </cell>
          <cell r="F104">
            <v>42589.623738425929</v>
          </cell>
          <cell r="G104">
            <v>1</v>
          </cell>
          <cell r="H104" t="str">
            <v>204:233300</v>
          </cell>
          <cell r="I104">
            <v>42589.649675925924</v>
          </cell>
          <cell r="J104">
            <v>0</v>
          </cell>
          <cell r="K104" t="str">
            <v>4017/4018</v>
          </cell>
          <cell r="L104" t="str">
            <v>DE LA ROSA</v>
          </cell>
          <cell r="M104">
            <v>2.5937499995052349E-2</v>
          </cell>
          <cell r="N104">
            <v>37.349999992875382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https://search-rtdc-monitor-bjffxe2xuh6vdkpspy63sjmuny.us-east-1.es.amazonaws.com/_plugin/kibana/#/discover/Steve-Slow-Train-Analysis-(2080s-and-2083s)?_g=(refreshInterval:(display:Off,section:0,value:0),time:(from:'2016-08-07 13:57:01-0600',mode:absolute,to:'2016-08-07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4" t="str">
            <v>N</v>
          </cell>
          <cell r="X104">
            <v>1</v>
          </cell>
          <cell r="Y104">
            <v>4.3999999999999997E-2</v>
          </cell>
          <cell r="Z104">
            <v>23.33</v>
          </cell>
          <cell r="AA104">
            <v>23.285999999999998</v>
          </cell>
          <cell r="AB104" t="e">
            <v>#N/A</v>
          </cell>
          <cell r="AC104" t="e">
            <v>#N/A</v>
          </cell>
          <cell r="AD104" t="str">
            <v>0191-07</v>
          </cell>
          <cell r="AE10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05">
          <cell r="A105" t="str">
            <v>192-07</v>
          </cell>
          <cell r="B105">
            <v>4017</v>
          </cell>
          <cell r="C105" t="str">
            <v>DE.1.0.7.0</v>
          </cell>
          <cell r="D105" t="str">
            <v>204:230844</v>
          </cell>
          <cell r="E105">
            <v>42589.659583333334</v>
          </cell>
          <cell r="F105">
            <v>42589.666122685187</v>
          </cell>
          <cell r="G105">
            <v>9</v>
          </cell>
          <cell r="H105" t="str">
            <v>204:149</v>
          </cell>
          <cell r="I105">
            <v>42589.836967592593</v>
          </cell>
          <cell r="J105">
            <v>1</v>
          </cell>
          <cell r="K105" t="str">
            <v>4017/4018</v>
          </cell>
          <cell r="L105" t="str">
            <v>DE LA ROSA</v>
          </cell>
          <cell r="M105">
            <v>0.17084490740671754</v>
          </cell>
          <cell r="N105">
            <v>246.01666666567326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https://search-rtdc-monitor-bjffxe2xuh6vdkpspy63sjmuny.us-east-1.es.amazonaws.com/_plugin/kibana/#/discover/Steve-Slow-Train-Analysis-(2080s-and-2083s)?_g=(refreshInterval:(display:Off,section:0,value:0),time:(from:'2016-08-07 14:49:48-0600',mode:absolute,to:'2016-08-07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5" t="str">
            <v>N</v>
          </cell>
          <cell r="X105">
            <v>1</v>
          </cell>
          <cell r="Y105">
            <v>23.084399999999999</v>
          </cell>
          <cell r="Z105">
            <v>1.49E-2</v>
          </cell>
          <cell r="AA105">
            <v>23.069499999999998</v>
          </cell>
          <cell r="AB105" t="e">
            <v>#N/A</v>
          </cell>
          <cell r="AC105" t="e">
            <v>#N/A</v>
          </cell>
          <cell r="AD105" t="str">
            <v>0192-07</v>
          </cell>
          <cell r="AE10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06">
          <cell r="A106" t="str">
            <v>193-07</v>
          </cell>
          <cell r="B106">
            <v>4029</v>
          </cell>
          <cell r="C106" t="str">
            <v>DE.1.0.7.0</v>
          </cell>
          <cell r="D106" t="str">
            <v>204:460</v>
          </cell>
          <cell r="E106">
            <v>42589.634664351855</v>
          </cell>
          <cell r="F106">
            <v>42589.635659722226</v>
          </cell>
          <cell r="G106">
            <v>1</v>
          </cell>
          <cell r="H106" t="str">
            <v>204:233301</v>
          </cell>
          <cell r="I106">
            <v>42589.661099537036</v>
          </cell>
          <cell r="J106">
            <v>0</v>
          </cell>
          <cell r="K106" t="str">
            <v>4029/4030</v>
          </cell>
          <cell r="L106" t="str">
            <v>MOSES</v>
          </cell>
          <cell r="M106">
            <v>2.5439814809942618E-2</v>
          </cell>
          <cell r="N106">
            <v>36.63333332631737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https://search-rtdc-monitor-bjffxe2xuh6vdkpspy63sjmuny.us-east-1.es.amazonaws.com/_plugin/kibana/#/discover/Steve-Slow-Train-Analysis-(2080s-and-2083s)?_g=(refreshInterval:(display:Off,section:0,value:0),time:(from:'2016-08-07 14:13:55-0600',mode:absolute,to:'2016-08-07 16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4.5999999999999999E-2</v>
          </cell>
          <cell r="Z106">
            <v>23.330100000000002</v>
          </cell>
          <cell r="AA106">
            <v>23.284100000000002</v>
          </cell>
          <cell r="AB106" t="e">
            <v>#N/A</v>
          </cell>
          <cell r="AC106" t="e">
            <v>#N/A</v>
          </cell>
          <cell r="AD106" t="str">
            <v>0193-07</v>
          </cell>
          <cell r="AE106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07">
          <cell r="A107" t="str">
            <v>194-07</v>
          </cell>
          <cell r="B107">
            <v>4030</v>
          </cell>
          <cell r="C107" t="str">
            <v>DE.1.0.7.0</v>
          </cell>
          <cell r="D107" t="str">
            <v>204:232988</v>
          </cell>
          <cell r="E107">
            <v>42589.670324074075</v>
          </cell>
          <cell r="F107">
            <v>42589.671365740738</v>
          </cell>
          <cell r="G107">
            <v>1</v>
          </cell>
          <cell r="H107" t="str">
            <v>204:119</v>
          </cell>
          <cell r="I107">
            <v>42589.702430555553</v>
          </cell>
          <cell r="J107">
            <v>0</v>
          </cell>
          <cell r="K107" t="str">
            <v>4029/4030</v>
          </cell>
          <cell r="L107" t="str">
            <v>MOSES</v>
          </cell>
          <cell r="M107">
            <v>3.1064814815181307E-2</v>
          </cell>
          <cell r="N107">
            <v>44.733333333861083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https://search-rtdc-monitor-bjffxe2xuh6vdkpspy63sjmuny.us-east-1.es.amazonaws.com/_plugin/kibana/#/discover/Steve-Slow-Train-Analysis-(2080s-and-2083s)?_g=(refreshInterval:(display:Off,section:0,value:0),time:(from:'2016-08-07 15:05:16-0600',mode:absolute,to:'2016-08-07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23.2988</v>
          </cell>
          <cell r="Z107">
            <v>1.1900000000000001E-2</v>
          </cell>
          <cell r="AA107">
            <v>23.286899999999999</v>
          </cell>
          <cell r="AB107" t="e">
            <v>#N/A</v>
          </cell>
          <cell r="AC107" t="e">
            <v>#N/A</v>
          </cell>
          <cell r="AD107" t="str">
            <v>0194-07</v>
          </cell>
          <cell r="AE10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08">
          <cell r="A108" t="str">
            <v>195-07</v>
          </cell>
          <cell r="B108">
            <v>4038</v>
          </cell>
          <cell r="C108" t="str">
            <v>DE.1.0.7.0</v>
          </cell>
          <cell r="D108" t="str">
            <v>204:515</v>
          </cell>
          <cell r="E108">
            <v>42589.64261574074</v>
          </cell>
          <cell r="F108">
            <v>42589.643888888888</v>
          </cell>
          <cell r="G108">
            <v>1</v>
          </cell>
          <cell r="H108" t="str">
            <v>204:233321</v>
          </cell>
          <cell r="I108">
            <v>42589.672592592593</v>
          </cell>
          <cell r="J108">
            <v>0</v>
          </cell>
          <cell r="K108" t="str">
            <v>4037/4038</v>
          </cell>
          <cell r="L108" t="str">
            <v>YOUNG</v>
          </cell>
          <cell r="M108">
            <v>2.8703703705104999E-2</v>
          </cell>
          <cell r="N108">
            <v>41.333333335351199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https://search-rtdc-monitor-bjffxe2xuh6vdkpspy63sjmuny.us-east-1.es.amazonaws.com/_plugin/kibana/#/discover/Steve-Slow-Train-Analysis-(2080s-and-2083s)?_g=(refreshInterval:(display:Off,section:0,value:0),time:(from:'2016-08-07 14:25:22-0600',mode:absolute,to:'2016-08-07 17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8" t="str">
            <v>N</v>
          </cell>
          <cell r="X108">
            <v>1</v>
          </cell>
          <cell r="Y108">
            <v>5.1499999999999997E-2</v>
          </cell>
          <cell r="Z108">
            <v>23.332100000000001</v>
          </cell>
          <cell r="AA108">
            <v>23.2806</v>
          </cell>
          <cell r="AB108" t="e">
            <v>#N/A</v>
          </cell>
          <cell r="AC108" t="e">
            <v>#N/A</v>
          </cell>
          <cell r="AD108" t="str">
            <v>0195-07</v>
          </cell>
          <cell r="AE10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09">
          <cell r="A109" t="str">
            <v>196-07</v>
          </cell>
          <cell r="B109">
            <v>4037</v>
          </cell>
          <cell r="C109" t="str">
            <v>DE.1.0.7.0</v>
          </cell>
          <cell r="D109" t="str">
            <v>204:233015</v>
          </cell>
          <cell r="E109">
            <v>42589.681423611109</v>
          </cell>
          <cell r="F109">
            <v>42589.68241898148</v>
          </cell>
          <cell r="G109">
            <v>1</v>
          </cell>
          <cell r="H109" t="str">
            <v>204:156</v>
          </cell>
          <cell r="I109">
            <v>42589.713831018518</v>
          </cell>
          <cell r="J109">
            <v>0</v>
          </cell>
          <cell r="K109" t="str">
            <v>4037/4038</v>
          </cell>
          <cell r="L109" t="str">
            <v>YOUNG</v>
          </cell>
          <cell r="M109">
            <v>3.1412037038535345E-2</v>
          </cell>
          <cell r="N109">
            <v>45.233333335490897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https://search-rtdc-monitor-bjffxe2xuh6vdkpspy63sjmuny.us-east-1.es.amazonaws.com/_plugin/kibana/#/discover/Steve-Slow-Train-Analysis-(2080s-and-2083s)?_g=(refreshInterval:(display:Off,section:0,value:0),time:(from:'2016-08-07 15:21:15-0600',mode:absolute,to:'2016-08-07 18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1.5599999999999999E-2</v>
          </cell>
          <cell r="AA109">
            <v>23.285900000000002</v>
          </cell>
          <cell r="AB109" t="e">
            <v>#N/A</v>
          </cell>
          <cell r="AC109" t="e">
            <v>#N/A</v>
          </cell>
          <cell r="AD109" t="str">
            <v>0196-07</v>
          </cell>
          <cell r="AE10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10">
          <cell r="A110" t="str">
            <v>197-07</v>
          </cell>
          <cell r="B110">
            <v>4007</v>
          </cell>
          <cell r="C110" t="str">
            <v>DE.1.0.7.0</v>
          </cell>
          <cell r="D110" t="str">
            <v>204:457</v>
          </cell>
          <cell r="E110">
            <v>42589.651990740742</v>
          </cell>
          <cell r="F110">
            <v>42589.656157407408</v>
          </cell>
          <cell r="G110">
            <v>5</v>
          </cell>
          <cell r="H110" t="str">
            <v>204:233299</v>
          </cell>
          <cell r="I110">
            <v>42589.682314814818</v>
          </cell>
          <cell r="J110">
            <v>1</v>
          </cell>
          <cell r="K110" t="str">
            <v>4007/4008</v>
          </cell>
          <cell r="L110" t="str">
            <v>MAYBERRY</v>
          </cell>
          <cell r="M110">
            <v>2.6157407410209998E-2</v>
          </cell>
          <cell r="N110">
            <v>37.666666670702398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0" t="str">
            <v>N</v>
          </cell>
          <cell r="X110">
            <v>1</v>
          </cell>
          <cell r="Y110">
            <v>4.5699999999999998E-2</v>
          </cell>
          <cell r="Z110">
            <v>23.329899999999999</v>
          </cell>
          <cell r="AA110">
            <v>23.284199999999998</v>
          </cell>
          <cell r="AB110" t="e">
            <v>#N/A</v>
          </cell>
          <cell r="AC110" t="e">
            <v>#N/A</v>
          </cell>
          <cell r="AD110" t="str">
            <v>0197-07</v>
          </cell>
          <cell r="AE11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11">
          <cell r="A111" t="str">
            <v>198-07</v>
          </cell>
          <cell r="B111">
            <v>4008</v>
          </cell>
          <cell r="C111" t="str">
            <v>DE.1.0.7.0</v>
          </cell>
          <cell r="D111" t="str">
            <v>204:232977</v>
          </cell>
          <cell r="E111">
            <v>42589.68818287037</v>
          </cell>
          <cell r="F111">
            <v>42589.689016203702</v>
          </cell>
          <cell r="G111">
            <v>1</v>
          </cell>
          <cell r="H111" t="str">
            <v>204:141</v>
          </cell>
          <cell r="I111">
            <v>42589.722650462965</v>
          </cell>
          <cell r="J111">
            <v>0</v>
          </cell>
          <cell r="K111" t="str">
            <v>4007/4008</v>
          </cell>
          <cell r="L111" t="str">
            <v>MAYBERRY</v>
          </cell>
          <cell r="M111">
            <v>3.3634259263635613E-2</v>
          </cell>
          <cell r="N111">
            <v>48.433333339635283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https://search-rtdc-monitor-bjffxe2xuh6vdkpspy63sjmuny.us-east-1.es.amazonaws.com/_plugin/kibana/#/discover/Steve-Slow-Train-Analysis-(2080s-and-2083s)?_g=(refreshInterval:(display:Off,section:0,value:0),time:(from:'2016-08-07 15:30:59-0600',mode:absolute,to:'2016-08-07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1" t="str">
            <v>N</v>
          </cell>
          <cell r="X111">
            <v>1</v>
          </cell>
          <cell r="Y111">
            <v>23.297699999999999</v>
          </cell>
          <cell r="Z111">
            <v>1.41E-2</v>
          </cell>
          <cell r="AA111">
            <v>23.2836</v>
          </cell>
          <cell r="AB111" t="e">
            <v>#N/A</v>
          </cell>
          <cell r="AC111" t="e">
            <v>#N/A</v>
          </cell>
          <cell r="AD111" t="str">
            <v>0198-07</v>
          </cell>
          <cell r="AE11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12">
          <cell r="A112" t="str">
            <v>199-07</v>
          </cell>
          <cell r="B112">
            <v>4025</v>
          </cell>
          <cell r="C112" t="str">
            <v>DE.1.0.7.0</v>
          </cell>
          <cell r="D112" t="str">
            <v>204:442</v>
          </cell>
          <cell r="E112">
            <v>42589.661261574074</v>
          </cell>
          <cell r="F112">
            <v>42589.662268518521</v>
          </cell>
          <cell r="G112">
            <v>1</v>
          </cell>
          <cell r="H112" t="str">
            <v>204:233366</v>
          </cell>
          <cell r="I112">
            <v>42589.69431712963</v>
          </cell>
          <cell r="J112">
            <v>0</v>
          </cell>
          <cell r="K112" t="str">
            <v>4025/4026</v>
          </cell>
          <cell r="L112" t="str">
            <v>SHOOK</v>
          </cell>
          <cell r="M112">
            <v>3.2048611108621117E-2</v>
          </cell>
          <cell r="N112">
            <v>46.149999996414408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https://search-rtdc-monitor-bjffxe2xuh6vdkpspy63sjmuny.us-east-1.es.amazonaws.com/_plugin/kibana/#/discover/Steve-Slow-Train-Analysis-(2080s-and-2083s)?_g=(refreshInterval:(display:Off,section:0,value:0),time:(from:'2016-08-07 14:52:13-0600',mode:absolute,to:'2016-08-07 17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2" t="str">
            <v>N</v>
          </cell>
          <cell r="X112">
            <v>1</v>
          </cell>
          <cell r="Y112">
            <v>4.4200000000000003E-2</v>
          </cell>
          <cell r="Z112">
            <v>23.336600000000001</v>
          </cell>
          <cell r="AA112">
            <v>23.292400000000001</v>
          </cell>
          <cell r="AB112" t="e">
            <v>#N/A</v>
          </cell>
          <cell r="AC112" t="e">
            <v>#N/A</v>
          </cell>
          <cell r="AD112" t="str">
            <v>0199-07</v>
          </cell>
          <cell r="AE11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13">
          <cell r="A113" t="str">
            <v>200-07</v>
          </cell>
          <cell r="B113">
            <v>4026</v>
          </cell>
          <cell r="C113" t="str">
            <v>DE.1.0.7.0</v>
          </cell>
          <cell r="D113" t="str">
            <v>204:233062</v>
          </cell>
          <cell r="E113">
            <v>42589.701249999998</v>
          </cell>
          <cell r="F113">
            <v>42589.702210648145</v>
          </cell>
          <cell r="G113">
            <v>1</v>
          </cell>
          <cell r="H113" t="str">
            <v>204:118</v>
          </cell>
          <cell r="I113">
            <v>42589.73233796296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3.0127314814308193E-2</v>
          </cell>
          <cell r="N113">
            <v>43.383333332603797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https://search-rtdc-monitor-bjffxe2xuh6vdkpspy63sjmuny.us-east-1.es.amazonaws.com/_plugin/kibana/#/discover/Steve-Slow-Train-Analysis-(2080s-and-2083s)?_g=(refreshInterval:(display:Off,section:0,value:0),time:(from:'2016-08-07 15:49:48-0600',mode:absolute,to:'2016-08-07 18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3" t="str">
            <v>N</v>
          </cell>
          <cell r="X113">
            <v>1</v>
          </cell>
          <cell r="Y113">
            <v>23.3062</v>
          </cell>
          <cell r="Z113">
            <v>1.18E-2</v>
          </cell>
          <cell r="AA113">
            <v>23.2944</v>
          </cell>
          <cell r="AB113" t="e">
            <v>#N/A</v>
          </cell>
          <cell r="AC113" t="e">
            <v>#N/A</v>
          </cell>
          <cell r="AD113" t="str">
            <v>0200-07</v>
          </cell>
          <cell r="AE11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14">
          <cell r="A114" t="str">
            <v>201-07</v>
          </cell>
          <cell r="B114">
            <v>4016</v>
          </cell>
          <cell r="C114" t="str">
            <v>DE.1.0.7.0</v>
          </cell>
          <cell r="D114" t="str">
            <v>204:467</v>
          </cell>
          <cell r="E114">
            <v>42589.67560185185</v>
          </cell>
          <cell r="F114">
            <v>42589.676504629628</v>
          </cell>
          <cell r="G114">
            <v>1</v>
          </cell>
          <cell r="H114" t="str">
            <v>204:233347</v>
          </cell>
          <cell r="I114">
            <v>42589.702418981484</v>
          </cell>
          <cell r="J114">
            <v>0</v>
          </cell>
          <cell r="K114" t="str">
            <v>4015/4016</v>
          </cell>
          <cell r="L114" t="str">
            <v>STEWART</v>
          </cell>
          <cell r="M114">
            <v>2.5914351856044959E-2</v>
          </cell>
          <cell r="N114">
            <v>37.316666672704741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https://search-rtdc-monitor-bjffxe2xuh6vdkpspy63sjmuny.us-east-1.es.amazonaws.com/_plugin/kibana/#/discover/Steve-Slow-Train-Analysis-(2080s-and-2083s)?_g=(refreshInterval:(display:Off,section:0,value:0),time:(from:'2016-08-07 15:12:52-0600',mode:absolute,to:'2016-08-07 17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4.6699999999999998E-2</v>
          </cell>
          <cell r="Z114">
            <v>23.334700000000002</v>
          </cell>
          <cell r="AA114">
            <v>23.288</v>
          </cell>
          <cell r="AB114" t="e">
            <v>#N/A</v>
          </cell>
          <cell r="AC114" t="e">
            <v>#N/A</v>
          </cell>
          <cell r="AD114" t="str">
            <v>0201-07</v>
          </cell>
          <cell r="AE11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15">
          <cell r="A115" t="str">
            <v>202-07</v>
          </cell>
          <cell r="B115">
            <v>4015</v>
          </cell>
          <cell r="C115" t="str">
            <v>DE.1.0.7.0</v>
          </cell>
          <cell r="D115" t="str">
            <v>204:233028</v>
          </cell>
          <cell r="E115">
            <v>42589.712824074071</v>
          </cell>
          <cell r="F115">
            <v>42589.716203703705</v>
          </cell>
          <cell r="G115">
            <v>4</v>
          </cell>
          <cell r="H115" t="str">
            <v>204:149</v>
          </cell>
          <cell r="I115">
            <v>42589.745462962965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2.9259259259561077E-2</v>
          </cell>
          <cell r="N115">
            <v>42.133333333767951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https://search-rtdc-monitor-bjffxe2xuh6vdkpspy63sjmuny.us-east-1.es.amazonaws.com/_plugin/kibana/#/discover/Steve-Slow-Train-Analysis-(2080s-and-2083s)?_g=(refreshInterval:(display:Off,section:0,value:0),time:(from:'2016-08-07 16:06:28-0600',mode:absolute,to:'2016-08-07 18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23.302800000000001</v>
          </cell>
          <cell r="Z115">
            <v>1.49E-2</v>
          </cell>
          <cell r="AA115">
            <v>23.2879</v>
          </cell>
          <cell r="AB115" t="e">
            <v>#N/A</v>
          </cell>
          <cell r="AC115" t="e">
            <v>#N/A</v>
          </cell>
          <cell r="AD115" t="str">
            <v>0202-07</v>
          </cell>
          <cell r="AE11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16">
          <cell r="A116" t="str">
            <v>203-07</v>
          </cell>
          <cell r="B116">
            <v>4044</v>
          </cell>
          <cell r="C116" t="str">
            <v>DE.1.0.7.0</v>
          </cell>
          <cell r="D116" t="str">
            <v>204:447</v>
          </cell>
          <cell r="E116">
            <v>42589.682488425926</v>
          </cell>
          <cell r="F116">
            <v>42589.683657407404</v>
          </cell>
          <cell r="G116">
            <v>1</v>
          </cell>
          <cell r="H116" t="str">
            <v>204:233308</v>
          </cell>
          <cell r="I116">
            <v>42589.713379629633</v>
          </cell>
          <cell r="J116">
            <v>0</v>
          </cell>
          <cell r="K116" t="str">
            <v>4043/4044</v>
          </cell>
          <cell r="L116" t="str">
            <v>BARTLETT</v>
          </cell>
          <cell r="M116">
            <v>2.9722222228883766E-2</v>
          </cell>
          <cell r="N116">
            <v>42.800000009592623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https://search-rtdc-monitor-bjffxe2xuh6vdkpspy63sjmuny.us-east-1.es.amazonaws.com/_plugin/kibana/#/discover/Steve-Slow-Train-Analysis-(2080s-and-2083s)?_g=(refreshInterval:(display:Off,section:0,value:0),time:(from:'2016-08-07 15:22:47-0600',mode:absolute,to:'2016-08-07 18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6" t="str">
            <v>N</v>
          </cell>
          <cell r="X116">
            <v>1</v>
          </cell>
          <cell r="Y116">
            <v>4.4699999999999997E-2</v>
          </cell>
          <cell r="Z116">
            <v>23.3308</v>
          </cell>
          <cell r="AA116">
            <v>23.286100000000001</v>
          </cell>
          <cell r="AB116" t="e">
            <v>#N/A</v>
          </cell>
          <cell r="AC116" t="e">
            <v>#N/A</v>
          </cell>
          <cell r="AD116" t="str">
            <v>0203-07</v>
          </cell>
          <cell r="AE11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17">
          <cell r="A117" t="str">
            <v>204-07</v>
          </cell>
          <cell r="B117">
            <v>4043</v>
          </cell>
          <cell r="C117" t="str">
            <v>DE.1.0.7.0</v>
          </cell>
          <cell r="D117" t="str">
            <v>204:233011</v>
          </cell>
          <cell r="E117">
            <v>42589.716296296298</v>
          </cell>
          <cell r="F117">
            <v>42589.717094907406</v>
          </cell>
          <cell r="G117">
            <v>1</v>
          </cell>
          <cell r="H117" t="str">
            <v>204:238</v>
          </cell>
          <cell r="I117">
            <v>42589.75582175926</v>
          </cell>
          <cell r="J117">
            <v>1</v>
          </cell>
          <cell r="K117" t="str">
            <v>4043/4044</v>
          </cell>
          <cell r="L117" t="str">
            <v>BARTLETT</v>
          </cell>
          <cell r="M117">
            <v>3.8726851853425615E-2</v>
          </cell>
          <cell r="N117">
            <v>55.766666668932885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7" t="str">
            <v>N</v>
          </cell>
          <cell r="X117">
            <v>1</v>
          </cell>
          <cell r="Y117">
            <v>23.301100000000002</v>
          </cell>
          <cell r="Z117">
            <v>2.3800000000000002E-2</v>
          </cell>
          <cell r="AA117">
            <v>23.2773</v>
          </cell>
          <cell r="AB117" t="e">
            <v>#N/A</v>
          </cell>
          <cell r="AC117" t="e">
            <v>#N/A</v>
          </cell>
          <cell r="AD117" t="str">
            <v>0204-07</v>
          </cell>
          <cell r="AE11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18">
          <cell r="A118" t="str">
            <v>205-07</v>
          </cell>
          <cell r="B118">
            <v>4020</v>
          </cell>
          <cell r="C118" t="str">
            <v>DE.1.0.7.0</v>
          </cell>
          <cell r="D118" t="str">
            <v>204:473</v>
          </cell>
          <cell r="E118">
            <v>42589.700983796298</v>
          </cell>
          <cell r="F118">
            <v>42589.702025462961</v>
          </cell>
          <cell r="G118">
            <v>1</v>
          </cell>
          <cell r="H118" t="str">
            <v>204:233295</v>
          </cell>
          <cell r="I118">
            <v>42589.730543981481</v>
          </cell>
          <cell r="J118">
            <v>0</v>
          </cell>
          <cell r="K118" t="str">
            <v>4019/4020</v>
          </cell>
          <cell r="L118" t="str">
            <v>DE LA ROSA</v>
          </cell>
          <cell r="M118">
            <v>2.8518518520286307E-2</v>
          </cell>
          <cell r="N118">
            <v>41.066666669212282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https://search-rtdc-monitor-bjffxe2xuh6vdkpspy63sjmuny.us-east-1.es.amazonaws.com/_plugin/kibana/#/discover/Steve-Slow-Train-Analysis-(2080s-and-2083s)?_g=(refreshInterval:(display:Off,section:0,value:0),time:(from:'2016-08-07 15:49:25-0600',mode:absolute,to:'2016-08-07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8" t="str">
            <v>N</v>
          </cell>
          <cell r="X118">
            <v>1</v>
          </cell>
          <cell r="Y118">
            <v>4.7300000000000002E-2</v>
          </cell>
          <cell r="Z118">
            <v>23.329499999999999</v>
          </cell>
          <cell r="AA118">
            <v>23.2822</v>
          </cell>
          <cell r="AB118" t="e">
            <v>#N/A</v>
          </cell>
          <cell r="AC118" t="e">
            <v>#N/A</v>
          </cell>
          <cell r="AD118" t="str">
            <v>0205-07</v>
          </cell>
          <cell r="AE118" t="str">
            <v>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 &amp; 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</v>
          </cell>
        </row>
        <row r="119">
          <cell r="A119" t="str">
            <v>206-07</v>
          </cell>
          <cell r="B119">
            <v>4019</v>
          </cell>
          <cell r="C119" t="str">
            <v>DE.1.0.7.0</v>
          </cell>
          <cell r="D119" t="str">
            <v>204:232957</v>
          </cell>
          <cell r="E119">
            <v>42589.733368055553</v>
          </cell>
          <cell r="F119">
            <v>42589.734884259262</v>
          </cell>
          <cell r="G119">
            <v>2</v>
          </cell>
          <cell r="H119" t="str">
            <v>204:178</v>
          </cell>
          <cell r="I119">
            <v>42589.770543981482</v>
          </cell>
          <cell r="J119">
            <v>1</v>
          </cell>
          <cell r="K119" t="str">
            <v>4019/4020</v>
          </cell>
          <cell r="L119" t="str">
            <v>DE LA ROSA</v>
          </cell>
          <cell r="M119">
            <v>3.5659722219861578E-2</v>
          </cell>
          <cell r="N119">
            <v>51.349999996600673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9" t="str">
            <v>N</v>
          </cell>
          <cell r="X119">
            <v>1</v>
          </cell>
          <cell r="Y119">
            <v>23.2957</v>
          </cell>
          <cell r="Z119">
            <v>1.78E-2</v>
          </cell>
          <cell r="AA119">
            <v>23.277899999999999</v>
          </cell>
          <cell r="AB119">
            <v>109135</v>
          </cell>
          <cell r="AC119" t="str">
            <v>GRADE CROSSING</v>
          </cell>
          <cell r="AD119" t="str">
            <v>0206-07</v>
          </cell>
          <cell r="AE119" t="str">
    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    </cell>
        </row>
        <row r="120">
          <cell r="A120" t="str">
            <v>207-07</v>
          </cell>
          <cell r="B120">
            <v>4029</v>
          </cell>
          <cell r="C120" t="str">
            <v>DE.1.0.7.0</v>
          </cell>
          <cell r="D120" t="str">
            <v>204:464</v>
          </cell>
          <cell r="E120">
            <v>42589.705347222225</v>
          </cell>
          <cell r="F120">
            <v>42589.706770833334</v>
          </cell>
          <cell r="G120">
            <v>2</v>
          </cell>
          <cell r="H120" t="str">
            <v>204:233302</v>
          </cell>
          <cell r="I120">
            <v>42589.733819444446</v>
          </cell>
          <cell r="J120">
            <v>0</v>
          </cell>
          <cell r="K120" t="str">
            <v>4029/4030</v>
          </cell>
          <cell r="L120" t="str">
            <v>MOSES</v>
          </cell>
          <cell r="M120">
            <v>2.7048611111240461E-2</v>
          </cell>
          <cell r="N120">
            <v>38.950000000186265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https://search-rtdc-monitor-bjffxe2xuh6vdkpspy63sjmuny.us-east-1.es.amazonaws.com/_plugin/kibana/#/discover/Steve-Slow-Train-Analysis-(2080s-and-2083s)?_g=(refreshInterval:(display:Off,section:0,value:0),time:(from:'2016-08-07 15:55:42-0600',mode:absolute,to:'2016-08-07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4.6399999999999997E-2</v>
          </cell>
          <cell r="Z120">
            <v>23.330200000000001</v>
          </cell>
          <cell r="AA120">
            <v>23.283800000000003</v>
          </cell>
          <cell r="AB120" t="e">
            <v>#N/A</v>
          </cell>
          <cell r="AC120" t="e">
            <v>#N/A</v>
          </cell>
          <cell r="AD120" t="str">
            <v>0207-07</v>
          </cell>
          <cell r="AE12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21">
          <cell r="A121" t="str">
            <v>208-07</v>
          </cell>
          <cell r="B121">
            <v>4030</v>
          </cell>
          <cell r="C121" t="str">
            <v>DE.1.0.7.0</v>
          </cell>
          <cell r="D121" t="str">
            <v>204:233004</v>
          </cell>
          <cell r="E121">
            <v>42589.742939814816</v>
          </cell>
          <cell r="F121">
            <v>42589.744328703702</v>
          </cell>
          <cell r="G121">
            <v>2</v>
          </cell>
          <cell r="H121" t="str">
            <v>204:345</v>
          </cell>
          <cell r="I121">
            <v>42589.777233796296</v>
          </cell>
          <cell r="J121">
            <v>0</v>
          </cell>
          <cell r="K121" t="str">
            <v>4029/4030</v>
          </cell>
          <cell r="L121" t="str">
            <v>MOSES</v>
          </cell>
          <cell r="M121">
            <v>3.2905092593864538E-2</v>
          </cell>
          <cell r="N121">
            <v>47.383333335164934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https://search-rtdc-monitor-bjffxe2xuh6vdkpspy63sjmuny.us-east-1.es.amazonaws.com/_plugin/kibana/#/discover/Steve-Slow-Train-Analysis-(2080s-and-2083s)?_g=(refreshInterval:(display:Off,section:0,value:0),time:(from:'2016-08-07 16:49:50-0600',mode:absolute,to:'2016-08-07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23.3004</v>
          </cell>
          <cell r="Z121">
            <v>3.4500000000000003E-2</v>
          </cell>
          <cell r="AA121">
            <v>23.265899999999998</v>
          </cell>
          <cell r="AB121" t="e">
            <v>#N/A</v>
          </cell>
          <cell r="AC121" t="e">
            <v>#N/A</v>
          </cell>
          <cell r="AD121" t="str">
            <v>0208-07</v>
          </cell>
          <cell r="AE12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22">
          <cell r="A122" t="str">
            <v>209-07</v>
          </cell>
          <cell r="B122">
            <v>4038</v>
          </cell>
          <cell r="C122" t="str">
            <v>DE.1.0.7.0</v>
          </cell>
          <cell r="D122" t="str">
            <v>204:467</v>
          </cell>
          <cell r="E122">
            <v>42589.715833333335</v>
          </cell>
          <cell r="F122">
            <v>42589.717349537037</v>
          </cell>
          <cell r="G122">
            <v>2</v>
          </cell>
          <cell r="H122" t="str">
            <v>204:233303</v>
          </cell>
          <cell r="I122">
            <v>42589.745995370373</v>
          </cell>
          <cell r="J122">
            <v>0</v>
          </cell>
          <cell r="K122" t="str">
            <v>4037/4038</v>
          </cell>
          <cell r="L122" t="str">
            <v>LEVERE</v>
          </cell>
          <cell r="M122">
            <v>2.8645833335758653E-2</v>
          </cell>
          <cell r="N122">
            <v>41.25000000349246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https://search-rtdc-monitor-bjffxe2xuh6vdkpspy63sjmuny.us-east-1.es.amazonaws.com/_plugin/kibana/#/discover/Steve-Slow-Train-Analysis-(2080s-and-2083s)?_g=(refreshInterval:(display:Off,section:0,value:0),time:(from:'2016-08-07 16:10:48-0600',mode:absolute,to:'2016-08-07 18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2" t="str">
            <v>N</v>
          </cell>
          <cell r="X122">
            <v>1</v>
          </cell>
          <cell r="Y122">
            <v>4.6699999999999998E-2</v>
          </cell>
          <cell r="Z122">
            <v>23.330300000000001</v>
          </cell>
          <cell r="AA122">
            <v>23.2836</v>
          </cell>
          <cell r="AB122" t="e">
            <v>#N/A</v>
          </cell>
          <cell r="AC122" t="e">
            <v>#N/A</v>
          </cell>
          <cell r="AD122" t="str">
            <v>0209-07</v>
          </cell>
          <cell r="AE12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23">
          <cell r="A123" t="str">
            <v>210-07</v>
          </cell>
          <cell r="B123">
            <v>4037</v>
          </cell>
          <cell r="C123" t="str">
            <v>DE.1.0.7.0</v>
          </cell>
          <cell r="D123" t="str">
            <v>204:232973</v>
          </cell>
          <cell r="E123">
            <v>42589.752129629633</v>
          </cell>
          <cell r="F123">
            <v>42589.753287037034</v>
          </cell>
          <cell r="G123">
            <v>1</v>
          </cell>
          <cell r="H123" t="str">
            <v>204:152</v>
          </cell>
          <cell r="I123">
            <v>42589.785925925928</v>
          </cell>
          <cell r="J123">
            <v>0</v>
          </cell>
          <cell r="K123" t="str">
            <v>4037/4038</v>
          </cell>
          <cell r="L123" t="str">
            <v>LEVERE</v>
          </cell>
          <cell r="M123">
            <v>3.2638888893416151E-2</v>
          </cell>
          <cell r="N123">
            <v>47.000000006519258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https://search-rtdc-monitor-bjffxe2xuh6vdkpspy63sjmuny.us-east-1.es.amazonaws.com/_plugin/kibana/#/discover/Steve-Slow-Train-Analysis-(2080s-and-2083s)?_g=(refreshInterval:(display:Off,section:0,value:0),time:(from:'2016-08-07 17:03:04-0600',mode:absolute,to:'2016-08-07 19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3" t="str">
            <v>N</v>
          </cell>
          <cell r="X123">
            <v>1</v>
          </cell>
          <cell r="Y123">
            <v>23.2973</v>
          </cell>
          <cell r="Z123">
            <v>1.52E-2</v>
          </cell>
          <cell r="AA123">
            <v>23.2821</v>
          </cell>
          <cell r="AB123" t="e">
            <v>#N/A</v>
          </cell>
          <cell r="AC123" t="e">
            <v>#N/A</v>
          </cell>
          <cell r="AD123" t="str">
            <v>0210-07</v>
          </cell>
          <cell r="AE12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24">
          <cell r="A124" t="str">
            <v>211-07</v>
          </cell>
          <cell r="B124">
            <v>4007</v>
          </cell>
          <cell r="C124" t="str">
            <v>DE.1.0.7.0</v>
          </cell>
          <cell r="D124" t="str">
            <v>204:460</v>
          </cell>
          <cell r="E124">
            <v>42589.725069444445</v>
          </cell>
          <cell r="F124">
            <v>42589.726446759261</v>
          </cell>
          <cell r="G124">
            <v>1</v>
          </cell>
          <cell r="H124" t="str">
            <v>204:51811</v>
          </cell>
          <cell r="I124">
            <v>42589.74</v>
          </cell>
          <cell r="J124">
            <v>1</v>
          </cell>
          <cell r="K124" t="str">
            <v>4007/4008</v>
          </cell>
          <cell r="L124" t="str">
            <v>YOUNG</v>
          </cell>
          <cell r="M124">
            <v>1.3553240736655425E-2</v>
          </cell>
          <cell r="P124">
            <v>19.516666660783812</v>
          </cell>
          <cell r="R124" t="str">
            <v>Wi-MAX outage</v>
          </cell>
          <cell r="S124">
            <v>0.41666666666666669</v>
          </cell>
          <cell r="T124" t="str">
            <v>NorthBound</v>
          </cell>
          <cell r="U124">
            <v>5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4" t="str">
            <v>Y</v>
          </cell>
          <cell r="X124">
            <v>1</v>
          </cell>
          <cell r="Y124">
            <v>4.5999999999999999E-2</v>
          </cell>
          <cell r="Z124">
            <v>5.1810999999999998</v>
          </cell>
          <cell r="AA124">
            <v>5.1350999999999996</v>
          </cell>
          <cell r="AB124" t="e">
            <v>#N/A</v>
          </cell>
          <cell r="AC124" t="e">
            <v>#N/A</v>
          </cell>
          <cell r="AD124" t="str">
            <v>0211-07</v>
          </cell>
          <cell r="AE12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25">
          <cell r="A125" t="str">
            <v>212-07</v>
          </cell>
          <cell r="B125">
            <v>4008</v>
          </cell>
          <cell r="C125" t="str">
            <v>DE.1.0.7.0</v>
          </cell>
          <cell r="D125" t="str">
            <v>204:233004</v>
          </cell>
          <cell r="E125">
            <v>42589.765462962961</v>
          </cell>
          <cell r="F125">
            <v>42589.766400462962</v>
          </cell>
          <cell r="G125">
            <v>1</v>
          </cell>
          <cell r="H125" t="str">
            <v>204:143</v>
          </cell>
          <cell r="I125">
            <v>42589.800821759258</v>
          </cell>
          <cell r="J125">
            <v>0</v>
          </cell>
          <cell r="K125" t="str">
            <v>4007/4008</v>
          </cell>
          <cell r="L125" t="str">
            <v>YOUNG</v>
          </cell>
          <cell r="M125">
            <v>3.4421296295477077E-2</v>
          </cell>
          <cell r="N125">
            <v>49.566666665486991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https://search-rtdc-monitor-bjffxe2xuh6vdkpspy63sjmuny.us-east-1.es.amazonaws.com/_plugin/kibana/#/discover/Steve-Slow-Train-Analysis-(2080s-and-2083s)?_g=(refreshInterval:(display:Off,section:0,value:0),time:(from:'2016-08-07 17:22:16-0600',mode:absolute,to:'2016-08-07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5" t="str">
            <v>N</v>
          </cell>
          <cell r="X125">
            <v>1</v>
          </cell>
          <cell r="Y125">
            <v>23.3004</v>
          </cell>
          <cell r="Z125">
            <v>1.43E-2</v>
          </cell>
          <cell r="AA125">
            <v>23.286100000000001</v>
          </cell>
          <cell r="AB125" t="e">
            <v>#N/A</v>
          </cell>
          <cell r="AC125" t="e">
            <v>#N/A</v>
          </cell>
          <cell r="AD125" t="str">
            <v>0212-07</v>
          </cell>
          <cell r="AE12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26">
          <cell r="A126" t="str">
            <v>213-07</v>
          </cell>
          <cell r="B126">
            <v>4025</v>
          </cell>
          <cell r="C126" t="str">
            <v>DE.1.0.7.0</v>
          </cell>
          <cell r="D126" t="str">
            <v>204:447</v>
          </cell>
          <cell r="E126">
            <v>42589.733495370368</v>
          </cell>
          <cell r="F126">
            <v>42589.735011574077</v>
          </cell>
          <cell r="G126">
            <v>2</v>
          </cell>
          <cell r="H126" t="str">
            <v>204:233307</v>
          </cell>
          <cell r="I126">
            <v>42589.765231481484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3.0219907406717539E-2</v>
          </cell>
          <cell r="N126">
            <v>43.516666665673256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https://search-rtdc-monitor-bjffxe2xuh6vdkpspy63sjmuny.us-east-1.es.amazonaws.com/_plugin/kibana/#/discover/Steve-Slow-Train-Analysis-(2080s-and-2083s)?_g=(refreshInterval:(display:Off,section:0,value:0),time:(from:'2016-08-07 16:36:14-0600',mode:absolute,to:'2016-08-07 19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6" t="str">
            <v>N</v>
          </cell>
          <cell r="X126">
            <v>1</v>
          </cell>
          <cell r="Y126">
            <v>4.4699999999999997E-2</v>
          </cell>
          <cell r="Z126">
            <v>23.3307</v>
          </cell>
          <cell r="AA126">
            <v>23.286000000000001</v>
          </cell>
          <cell r="AB126" t="e">
            <v>#N/A</v>
          </cell>
          <cell r="AC126" t="e">
            <v>#N/A</v>
          </cell>
          <cell r="AD126" t="str">
            <v>0213-07</v>
          </cell>
          <cell r="AE12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27">
          <cell r="A127" t="str">
            <v>214-07</v>
          </cell>
          <cell r="B127">
            <v>4026</v>
          </cell>
          <cell r="C127" t="str">
            <v>DE.1.0.7.0</v>
          </cell>
          <cell r="D127" t="str">
            <v>204:232988</v>
          </cell>
          <cell r="E127">
            <v>42589.775196759256</v>
          </cell>
          <cell r="F127">
            <v>42589.776180555556</v>
          </cell>
          <cell r="G127">
            <v>1</v>
          </cell>
          <cell r="H127" t="str">
            <v>204:141</v>
          </cell>
          <cell r="I127">
            <v>42589.805983796294</v>
          </cell>
          <cell r="J127">
            <v>0</v>
          </cell>
          <cell r="K127" t="str">
            <v>4025/4026</v>
          </cell>
          <cell r="L127" t="str">
            <v>COOLAHAN</v>
          </cell>
          <cell r="M127">
            <v>2.9803240737237502E-2</v>
          </cell>
          <cell r="N127">
            <v>42.916666661622003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https://search-rtdc-monitor-bjffxe2xuh6vdkpspy63sjmuny.us-east-1.es.amazonaws.com/_plugin/kibana/#/discover/Steve-Slow-Train-Analysis-(2080s-and-2083s)?_g=(refreshInterval:(display:Off,section:0,value:0),time:(from:'2016-08-07 17:36:17-0600',mode:absolute,to:'2016-08-07 20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7" t="str">
            <v>N</v>
          </cell>
          <cell r="X127">
            <v>1</v>
          </cell>
          <cell r="Y127">
            <v>23.2988</v>
          </cell>
          <cell r="Z127">
            <v>1.41E-2</v>
          </cell>
          <cell r="AA127">
            <v>23.284700000000001</v>
          </cell>
          <cell r="AB127" t="e">
            <v>#N/A</v>
          </cell>
          <cell r="AC127" t="e">
            <v>#N/A</v>
          </cell>
          <cell r="AD127" t="str">
            <v>0214-07</v>
          </cell>
          <cell r="AE12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28">
          <cell r="A128" t="str">
            <v>215-07</v>
          </cell>
          <cell r="B128">
            <v>4016</v>
          </cell>
          <cell r="C128" t="str">
            <v>DE.1.0.7.0</v>
          </cell>
          <cell r="D128" t="str">
            <v>204:466</v>
          </cell>
          <cell r="E128">
            <v>42589.747766203705</v>
          </cell>
          <cell r="F128">
            <v>42589.74900462963</v>
          </cell>
          <cell r="G128">
            <v>1</v>
          </cell>
          <cell r="H128" t="str">
            <v>204:233370</v>
          </cell>
          <cell r="I128">
            <v>42589.777812499997</v>
          </cell>
          <cell r="J128">
            <v>1</v>
          </cell>
          <cell r="K128" t="str">
            <v>4015/4016</v>
          </cell>
          <cell r="L128" t="str">
            <v>SHOOK</v>
          </cell>
          <cell r="M128">
            <v>2.880787036701804E-2</v>
          </cell>
          <cell r="N128">
            <v>41.483333328505978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4.6600000000000003E-2</v>
          </cell>
          <cell r="Z128">
            <v>23.337</v>
          </cell>
          <cell r="AA128">
            <v>23.290399999999998</v>
          </cell>
          <cell r="AB128">
            <v>42779</v>
          </cell>
          <cell r="AC128" t="str">
            <v>GRADE CROSSING</v>
          </cell>
          <cell r="AD128" t="str">
            <v>0215-07</v>
          </cell>
          <cell r="AE12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29">
          <cell r="A129" t="str">
            <v>216-07</v>
          </cell>
          <cell r="B129">
            <v>4015</v>
          </cell>
          <cell r="C129" t="str">
            <v>DE.1.0.7.0</v>
          </cell>
          <cell r="D129" t="str">
            <v>204:233042</v>
          </cell>
          <cell r="E129">
            <v>42589.783217592594</v>
          </cell>
          <cell r="F129">
            <v>42589.784421296295</v>
          </cell>
          <cell r="G129">
            <v>1</v>
          </cell>
          <cell r="H129" t="str">
            <v>204:149</v>
          </cell>
          <cell r="I129">
            <v>42589.816377314812</v>
          </cell>
          <cell r="J129">
            <v>0</v>
          </cell>
          <cell r="K129" t="str">
            <v>4015/4016</v>
          </cell>
          <cell r="L129" t="str">
            <v>SHOOK</v>
          </cell>
          <cell r="M129">
            <v>3.195601851621177E-2</v>
          </cell>
          <cell r="N129">
            <v>46.016666663344949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https://search-rtdc-monitor-bjffxe2xuh6vdkpspy63sjmuny.us-east-1.es.amazonaws.com/_plugin/kibana/#/discover/Steve-Slow-Train-Analysis-(2080s-and-2083s)?_g=(refreshInterval:(display:Off,section:0,value:0),time:(from:'2016-08-07 17:47:50-0600',mode:absolute,to:'2016-08-07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23.304200000000002</v>
          </cell>
          <cell r="Z129">
            <v>1.49E-2</v>
          </cell>
          <cell r="AA129">
            <v>23.289300000000001</v>
          </cell>
          <cell r="AB129" t="e">
            <v>#N/A</v>
          </cell>
          <cell r="AC129" t="e">
            <v>#N/A</v>
          </cell>
          <cell r="AD129" t="str">
            <v>0216-07</v>
          </cell>
          <cell r="AE12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30">
          <cell r="A130" t="str">
            <v>217-07</v>
          </cell>
          <cell r="B130">
            <v>4044</v>
          </cell>
          <cell r="C130" t="str">
            <v>DE.1.0.7.0</v>
          </cell>
          <cell r="D130" t="str">
            <v>204:535</v>
          </cell>
          <cell r="E130">
            <v>42589.758449074077</v>
          </cell>
          <cell r="F130">
            <v>42589.759548611109</v>
          </cell>
          <cell r="G130">
            <v>1</v>
          </cell>
          <cell r="H130" t="str">
            <v>204:233320</v>
          </cell>
          <cell r="I130">
            <v>42589.786840277775</v>
          </cell>
          <cell r="J130">
            <v>0</v>
          </cell>
          <cell r="K130" t="str">
            <v>4043/4044</v>
          </cell>
          <cell r="L130" t="str">
            <v>NEWELL</v>
          </cell>
          <cell r="M130">
            <v>2.7291666665405501E-2</v>
          </cell>
          <cell r="N130">
            <v>39.299999998183921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https://search-rtdc-monitor-bjffxe2xuh6vdkpspy63sjmuny.us-east-1.es.amazonaws.com/_plugin/kibana/#/discover/Steve-Slow-Train-Analysis-(2080s-and-2083s)?_g=(refreshInterval:(display:Off,section:0,value:0),time:(from:'2016-08-07 17:12:10-0600',mode:absolute,to:'2016-08-07 19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0" t="str">
            <v>N</v>
          </cell>
          <cell r="X130">
            <v>1</v>
          </cell>
          <cell r="Y130">
            <v>5.3499999999999999E-2</v>
          </cell>
          <cell r="Z130">
            <v>23.332000000000001</v>
          </cell>
          <cell r="AA130">
            <v>23.278500000000001</v>
          </cell>
          <cell r="AB130" t="e">
            <v>#N/A</v>
          </cell>
          <cell r="AC130" t="e">
            <v>#N/A</v>
          </cell>
          <cell r="AD130" t="str">
            <v>0217-07</v>
          </cell>
          <cell r="AE13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1">
          <cell r="A131" t="str">
            <v>218-07</v>
          </cell>
          <cell r="B131">
            <v>4043</v>
          </cell>
          <cell r="C131" t="str">
            <v>DE.1.0.7.0</v>
          </cell>
          <cell r="D131" t="str">
            <v>204:232992</v>
          </cell>
          <cell r="E131">
            <v>42589.795393518521</v>
          </cell>
          <cell r="F131">
            <v>42589.796527777777</v>
          </cell>
          <cell r="G131">
            <v>1</v>
          </cell>
          <cell r="H131" t="str">
            <v>204:139</v>
          </cell>
          <cell r="I131">
            <v>42589.825659722221</v>
          </cell>
          <cell r="J131">
            <v>0</v>
          </cell>
          <cell r="K131" t="str">
            <v>4043/4044</v>
          </cell>
          <cell r="L131" t="str">
            <v>NEWELL</v>
          </cell>
          <cell r="M131">
            <v>2.9131944444088731E-2</v>
          </cell>
          <cell r="N131">
            <v>41.949999999487773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https://search-rtdc-monitor-bjffxe2xuh6vdkpspy63sjmuny.us-east-1.es.amazonaws.com/_plugin/kibana/#/discover/Steve-Slow-Train-Analysis-(2080s-and-2083s)?_g=(refreshInterval:(display:Off,section:0,value:0),time:(from:'2016-08-07 18:05:22-0600',mode:absolute,to:'2016-08-07 20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1" t="str">
            <v>N</v>
          </cell>
          <cell r="X131">
            <v>1</v>
          </cell>
          <cell r="Y131">
            <v>23.299199999999999</v>
          </cell>
          <cell r="Z131">
            <v>1.3899999999999999E-2</v>
          </cell>
          <cell r="AA131">
            <v>23.285299999999999</v>
          </cell>
          <cell r="AB131" t="e">
            <v>#N/A</v>
          </cell>
          <cell r="AC131" t="e">
            <v>#N/A</v>
          </cell>
          <cell r="AD131" t="str">
            <v>0218-07</v>
          </cell>
          <cell r="AE13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32">
          <cell r="A132" t="str">
            <v>219-07</v>
          </cell>
          <cell r="B132">
            <v>4018</v>
          </cell>
          <cell r="C132" t="str">
            <v>DE.1.0.7.0</v>
          </cell>
          <cell r="D132" t="str">
            <v>204:1505</v>
          </cell>
          <cell r="E132">
            <v>42589.76871527778</v>
          </cell>
          <cell r="F132">
            <v>42589.770752314813</v>
          </cell>
          <cell r="G132">
            <v>2</v>
          </cell>
          <cell r="H132" t="str">
            <v>204:233247</v>
          </cell>
          <cell r="I132">
            <v>42589.796064814815</v>
          </cell>
          <cell r="J132">
            <v>2</v>
          </cell>
          <cell r="K132" t="str">
            <v>4017/4018</v>
          </cell>
          <cell r="L132" t="str">
            <v>CHANDLER</v>
          </cell>
          <cell r="M132">
            <v>2.531250000174623E-2</v>
          </cell>
          <cell r="N132">
            <v>36.450000002514571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2" t="str">
            <v>N</v>
          </cell>
          <cell r="X132">
            <v>1</v>
          </cell>
          <cell r="Y132">
            <v>0.15049999999999999</v>
          </cell>
          <cell r="Z132">
            <v>23.3247</v>
          </cell>
          <cell r="AA132">
            <v>23.174199999999999</v>
          </cell>
          <cell r="AB132" t="e">
            <v>#N/A</v>
          </cell>
          <cell r="AC132" t="e">
            <v>#N/A</v>
          </cell>
          <cell r="AD132" t="str">
            <v>0219-07</v>
          </cell>
          <cell r="AE13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33">
          <cell r="A133" t="str">
            <v>220-07</v>
          </cell>
          <cell r="B133">
            <v>4017</v>
          </cell>
          <cell r="C133" t="str">
            <v>DE.1.0.7.0</v>
          </cell>
          <cell r="D133" t="str">
            <v>204:232930</v>
          </cell>
          <cell r="E133">
            <v>42589.805914351855</v>
          </cell>
          <cell r="F133">
            <v>42589.807800925926</v>
          </cell>
          <cell r="G133">
            <v>2</v>
          </cell>
          <cell r="H133" t="str">
            <v>204:149</v>
          </cell>
          <cell r="I133">
            <v>42589.836967592593</v>
          </cell>
          <cell r="J133">
            <v>1</v>
          </cell>
          <cell r="K133" t="str">
            <v>4017/4018</v>
          </cell>
          <cell r="L133" t="str">
            <v>CHANDLER</v>
          </cell>
          <cell r="M133">
            <v>2.9166666667151731E-2</v>
          </cell>
          <cell r="N133">
            <v>42.000000000698492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3" t="str">
            <v>N</v>
          </cell>
          <cell r="X133">
            <v>1</v>
          </cell>
          <cell r="Y133">
            <v>23.292999999999999</v>
          </cell>
          <cell r="Z133">
            <v>1.49E-2</v>
          </cell>
          <cell r="AA133">
            <v>23.278099999999998</v>
          </cell>
          <cell r="AB133" t="e">
            <v>#N/A</v>
          </cell>
          <cell r="AC133" t="e">
            <v>#N/A</v>
          </cell>
          <cell r="AD133" t="str">
            <v>0220-07</v>
          </cell>
          <cell r="AE13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34">
          <cell r="A134" t="str">
            <v>221-07</v>
          </cell>
          <cell r="B134">
            <v>4038</v>
          </cell>
          <cell r="C134" t="str">
            <v>DE.1.0.7.0</v>
          </cell>
          <cell r="D134" t="str">
            <v>204:460</v>
          </cell>
          <cell r="E134">
            <v>42589.78765046296</v>
          </cell>
          <cell r="F134">
            <v>42589.788680555554</v>
          </cell>
          <cell r="G134">
            <v>1</v>
          </cell>
          <cell r="H134" t="str">
            <v>204:233297</v>
          </cell>
          <cell r="I134">
            <v>42589.817847222221</v>
          </cell>
          <cell r="J134">
            <v>0</v>
          </cell>
          <cell r="K134" t="str">
            <v>4037/4038</v>
          </cell>
          <cell r="L134" t="str">
            <v>LEVERE</v>
          </cell>
          <cell r="M134">
            <v>2.9166666667151731E-2</v>
          </cell>
          <cell r="N134">
            <v>42.000000000698492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https://search-rtdc-monitor-bjffxe2xuh6vdkpspy63sjmuny.us-east-1.es.amazonaws.com/_plugin/kibana/#/discover/Steve-Slow-Train-Analysis-(2080s-and-2083s)?_g=(refreshInterval:(display:Off,section:0,value:0),time:(from:'2016-08-07 17:54:13-0600',mode:absolute,to:'2016-08-07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4" t="str">
            <v>N</v>
          </cell>
          <cell r="X134">
            <v>1</v>
          </cell>
          <cell r="Y134">
            <v>4.5999999999999999E-2</v>
          </cell>
          <cell r="Z134">
            <v>23.329699999999999</v>
          </cell>
          <cell r="AA134">
            <v>23.2837</v>
          </cell>
          <cell r="AB134" t="e">
            <v>#N/A</v>
          </cell>
          <cell r="AC134" t="e">
            <v>#N/A</v>
          </cell>
          <cell r="AD134" t="str">
            <v>0221-07</v>
          </cell>
          <cell r="AE13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35">
          <cell r="A135" t="str">
            <v>222-07</v>
          </cell>
          <cell r="B135">
            <v>4037</v>
          </cell>
          <cell r="C135" t="str">
            <v>DE.1.0.7.0</v>
          </cell>
          <cell r="D135" t="str">
            <v>204:232979</v>
          </cell>
          <cell r="E135">
            <v>42589.824837962966</v>
          </cell>
          <cell r="F135">
            <v>42589.825590277775</v>
          </cell>
          <cell r="G135">
            <v>1</v>
          </cell>
          <cell r="H135" t="str">
            <v>204:147</v>
          </cell>
          <cell r="I135">
            <v>42589.858865740738</v>
          </cell>
          <cell r="J135">
            <v>0</v>
          </cell>
          <cell r="K135" t="str">
            <v>4037/4038</v>
          </cell>
          <cell r="L135" t="str">
            <v>LEVERE</v>
          </cell>
          <cell r="M135">
            <v>3.3275462963501923E-2</v>
          </cell>
          <cell r="N135">
            <v>47.916666667442769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https://search-rtdc-monitor-bjffxe2xuh6vdkpspy63sjmuny.us-east-1.es.amazonaws.com/_plugin/kibana/#/discover/Steve-Slow-Train-Analysis-(2080s-and-2083s)?_g=(refreshInterval:(display:Off,section:0,value:0),time:(from:'2016-08-07 18:47:46-0600',mode:absolute,to:'2016-08-07 21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5" t="str">
            <v>N</v>
          </cell>
          <cell r="X135">
            <v>1</v>
          </cell>
          <cell r="Y135">
            <v>23.297899999999998</v>
          </cell>
          <cell r="Z135">
            <v>1.47E-2</v>
          </cell>
          <cell r="AA135">
            <v>23.283199999999997</v>
          </cell>
          <cell r="AB135" t="e">
            <v>#N/A</v>
          </cell>
          <cell r="AC135" t="e">
            <v>#N/A</v>
          </cell>
          <cell r="AD135" t="str">
            <v>0222-07</v>
          </cell>
          <cell r="AE13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36">
          <cell r="A136" t="str">
            <v>223-07</v>
          </cell>
          <cell r="B136">
            <v>4025</v>
          </cell>
          <cell r="C136" t="str">
            <v>DE.1.0.7.0</v>
          </cell>
          <cell r="D136" t="str">
            <v>204:449</v>
          </cell>
          <cell r="E136">
            <v>42589.807928240742</v>
          </cell>
          <cell r="F136">
            <v>42589.809108796297</v>
          </cell>
          <cell r="G136">
            <v>1</v>
          </cell>
          <cell r="H136" t="str">
            <v>204:233298</v>
          </cell>
          <cell r="I136">
            <v>42589.837546296294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2.8437499997380655E-2</v>
          </cell>
          <cell r="N136">
            <v>40.949999996228144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https://search-rtdc-monitor-bjffxe2xuh6vdkpspy63sjmuny.us-east-1.es.amazonaws.com/_plugin/kibana/#/discover/Steve-Slow-Train-Analysis-(2080s-and-2083s)?_g=(refreshInterval:(display:Off,section:0,value:0),time:(from:'2016-08-07 18:23:25-0600',mode:absolute,to:'2016-08-07 21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6" t="str">
            <v>N</v>
          </cell>
          <cell r="X136">
            <v>1</v>
          </cell>
          <cell r="Y136">
            <v>4.4900000000000002E-2</v>
          </cell>
          <cell r="Z136">
            <v>23.329799999999999</v>
          </cell>
          <cell r="AA136">
            <v>23.2849</v>
          </cell>
          <cell r="AB136" t="e">
            <v>#N/A</v>
          </cell>
          <cell r="AC136" t="e">
            <v>#N/A</v>
          </cell>
          <cell r="AD136" t="str">
            <v>0223-07</v>
          </cell>
          <cell r="AE13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37">
          <cell r="A137" t="str">
            <v>224-07</v>
          </cell>
          <cell r="B137">
            <v>4026</v>
          </cell>
          <cell r="C137" t="str">
            <v>DE.1.0.7.0</v>
          </cell>
          <cell r="D137" t="str">
            <v>204:232998</v>
          </cell>
          <cell r="E137">
            <v>42589.847094907411</v>
          </cell>
          <cell r="F137">
            <v>42589.848101851851</v>
          </cell>
          <cell r="G137">
            <v>1</v>
          </cell>
          <cell r="H137" t="str">
            <v>204:149</v>
          </cell>
          <cell r="I137">
            <v>42589.878761574073</v>
          </cell>
          <cell r="J137">
            <v>0</v>
          </cell>
          <cell r="K137" t="str">
            <v>4025/4026</v>
          </cell>
          <cell r="L137" t="str">
            <v>COOLAHAN</v>
          </cell>
          <cell r="M137">
            <v>3.0659722222480923E-2</v>
          </cell>
          <cell r="N137">
            <v>44.150000000372529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https://search-rtdc-monitor-bjffxe2xuh6vdkpspy63sjmuny.us-east-1.es.amazonaws.com/_plugin/kibana/#/discover/Steve-Slow-Train-Analysis-(2080s-and-2083s)?_g=(refreshInterval:(display:Off,section:0,value:0),time:(from:'2016-08-07 19:19:49-0600',mode:absolute,to:'2016-08-07 22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7" t="str">
            <v>N</v>
          </cell>
          <cell r="X137">
            <v>1</v>
          </cell>
          <cell r="Y137">
            <v>23.299800000000001</v>
          </cell>
          <cell r="Z137">
            <v>1.49E-2</v>
          </cell>
          <cell r="AA137">
            <v>23.2849</v>
          </cell>
          <cell r="AB137" t="e">
            <v>#N/A</v>
          </cell>
          <cell r="AC137" t="e">
            <v>#N/A</v>
          </cell>
          <cell r="AD137" t="str">
            <v>0224-07</v>
          </cell>
          <cell r="AE13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38">
          <cell r="A138" t="str">
            <v>225-07</v>
          </cell>
          <cell r="B138">
            <v>4044</v>
          </cell>
          <cell r="C138" t="str">
            <v>DE.1.0.7.0</v>
          </cell>
          <cell r="D138" t="str">
            <v>204:451</v>
          </cell>
          <cell r="E138">
            <v>42589.828368055554</v>
          </cell>
          <cell r="F138">
            <v>42589.829548611109</v>
          </cell>
          <cell r="G138">
            <v>1</v>
          </cell>
          <cell r="H138" t="str">
            <v>204:233317</v>
          </cell>
          <cell r="I138">
            <v>42589.858055555553</v>
          </cell>
          <cell r="J138">
            <v>0</v>
          </cell>
          <cell r="K138" t="str">
            <v>4043/4044</v>
          </cell>
          <cell r="L138" t="str">
            <v>NEWELL</v>
          </cell>
          <cell r="M138">
            <v>2.8506944443506654E-2</v>
          </cell>
          <cell r="N138">
            <v>41.049999998649582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https://search-rtdc-monitor-bjffxe2xuh6vdkpspy63sjmuny.us-east-1.es.amazonaws.com/_plugin/kibana/#/discover/Steve-Slow-Train-Analysis-(2080s-and-2083s)?_g=(refreshInterval:(display:Off,section:0,value:0),time:(from:'2016-08-07 18:52:51-0600',mode:absolute,to:'2016-08-07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8" t="str">
            <v>N</v>
          </cell>
          <cell r="X138">
            <v>1</v>
          </cell>
          <cell r="Y138">
            <v>4.5100000000000001E-2</v>
          </cell>
          <cell r="Z138">
            <v>23.331700000000001</v>
          </cell>
          <cell r="AA138">
            <v>23.2866</v>
          </cell>
          <cell r="AB138" t="e">
            <v>#N/A</v>
          </cell>
          <cell r="AC138" t="e">
            <v>#N/A</v>
          </cell>
          <cell r="AD138" t="str">
            <v>0225-07</v>
          </cell>
          <cell r="AE13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9">
          <cell r="A139" t="str">
            <v>226-07</v>
          </cell>
          <cell r="B139">
            <v>4043</v>
          </cell>
          <cell r="C139" t="str">
            <v>DE.1.0.7.0</v>
          </cell>
          <cell r="D139" t="str">
            <v>204:233004</v>
          </cell>
          <cell r="E139">
            <v>42589.860312500001</v>
          </cell>
          <cell r="F139">
            <v>42589.861064814817</v>
          </cell>
          <cell r="G139">
            <v>1</v>
          </cell>
          <cell r="H139" t="str">
            <v>204:154</v>
          </cell>
          <cell r="I139">
            <v>42589.899016203701</v>
          </cell>
          <cell r="J139">
            <v>0</v>
          </cell>
          <cell r="K139" t="str">
            <v>4043/4044</v>
          </cell>
          <cell r="L139" t="str">
            <v>NEWELL</v>
          </cell>
          <cell r="M139">
            <v>3.7951388883811887E-2</v>
          </cell>
          <cell r="N139">
            <v>54.649999992689118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https://search-rtdc-monitor-bjffxe2xuh6vdkpspy63sjmuny.us-east-1.es.amazonaws.com/_plugin/kibana/#/discover/Steve-Slow-Train-Analysis-(2080s-and-2083s)?_g=(refreshInterval:(display:Off,section:0,value:0),time:(from:'2016-08-07 19:38:51-0600',mode:absolute,to:'2016-08-07 22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9" t="str">
            <v>N</v>
          </cell>
          <cell r="X139">
            <v>1</v>
          </cell>
          <cell r="Y139">
            <v>23.3004</v>
          </cell>
          <cell r="Z139">
            <v>1.54E-2</v>
          </cell>
          <cell r="AA139">
            <v>23.285</v>
          </cell>
          <cell r="AB139" t="e">
            <v>#N/A</v>
          </cell>
          <cell r="AC139" t="e">
            <v>#N/A</v>
          </cell>
          <cell r="AD139" t="str">
            <v>0226-07</v>
          </cell>
          <cell r="AE13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0">
          <cell r="A140" t="str">
            <v>227-07</v>
          </cell>
          <cell r="B140">
            <v>4018</v>
          </cell>
          <cell r="C140" t="str">
            <v>DE.1.0.7.0</v>
          </cell>
          <cell r="D140" t="str">
            <v>204:442</v>
          </cell>
          <cell r="E140">
            <v>42589.853333333333</v>
          </cell>
          <cell r="F140">
            <v>42589.854097222225</v>
          </cell>
          <cell r="G140">
            <v>1</v>
          </cell>
          <cell r="H140" t="str">
            <v>204:233289</v>
          </cell>
          <cell r="I140">
            <v>42589.880115740743</v>
          </cell>
          <cell r="J140">
            <v>0</v>
          </cell>
          <cell r="K140" t="str">
            <v>4017/4018</v>
          </cell>
          <cell r="L140" t="str">
            <v>CHANDLER</v>
          </cell>
          <cell r="M140">
            <v>2.6018518517958E-2</v>
          </cell>
          <cell r="N140">
            <v>37.46666666585952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https://search-rtdc-monitor-bjffxe2xuh6vdkpspy63sjmuny.us-east-1.es.amazonaws.com/_plugin/kibana/#/discover/Steve-Slow-Train-Analysis-(2080s-and-2083s)?_g=(refreshInterval:(display:Off,section:0,value:0),time:(from:'2016-08-07 19:28:48-0600',mode:absolute,to:'2016-08-07 22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0" t="str">
            <v>N</v>
          </cell>
          <cell r="X140">
            <v>1</v>
          </cell>
          <cell r="Y140">
            <v>4.4200000000000003E-2</v>
          </cell>
          <cell r="Z140">
            <v>23.328900000000001</v>
          </cell>
          <cell r="AA140">
            <v>23.284700000000001</v>
          </cell>
          <cell r="AB140" t="e">
            <v>#N/A</v>
          </cell>
          <cell r="AC140" t="e">
            <v>#N/A</v>
          </cell>
          <cell r="AD140" t="str">
            <v>0227-07</v>
          </cell>
          <cell r="AE14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1">
          <cell r="A141" t="str">
            <v>228-07</v>
          </cell>
          <cell r="B141">
            <v>4017</v>
          </cell>
          <cell r="C141" t="str">
            <v>DE.1.0.7.0</v>
          </cell>
          <cell r="D141" t="str">
            <v>204:232977</v>
          </cell>
          <cell r="E141">
            <v>42589.891979166663</v>
          </cell>
          <cell r="F141">
            <v>42589.892951388887</v>
          </cell>
          <cell r="G141">
            <v>1</v>
          </cell>
          <cell r="H141" t="str">
            <v>204:154</v>
          </cell>
          <cell r="I141">
            <v>42589.920856481483</v>
          </cell>
          <cell r="J141">
            <v>0</v>
          </cell>
          <cell r="K141" t="str">
            <v>4017/4018</v>
          </cell>
          <cell r="L141" t="str">
            <v>CHANDLER</v>
          </cell>
          <cell r="M141">
            <v>2.7905092596483883E-2</v>
          </cell>
          <cell r="N141">
            <v>40.183333338936791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https://search-rtdc-monitor-bjffxe2xuh6vdkpspy63sjmuny.us-east-1.es.amazonaws.com/_plugin/kibana/#/discover/Steve-Slow-Train-Analysis-(2080s-and-2083s)?_g=(refreshInterval:(display:Off,section:0,value:0),time:(from:'2016-08-07 20:24:27-0600',mode:absolute,to:'2016-08-07 23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1" t="str">
            <v>N</v>
          </cell>
          <cell r="X141">
            <v>1</v>
          </cell>
          <cell r="Y141">
            <v>23.297699999999999</v>
          </cell>
          <cell r="Z141">
            <v>1.54E-2</v>
          </cell>
          <cell r="AA141">
            <v>23.282299999999999</v>
          </cell>
          <cell r="AB141" t="e">
            <v>#N/A</v>
          </cell>
          <cell r="AC141" t="e">
            <v>#N/A</v>
          </cell>
          <cell r="AD141" t="str">
            <v>0228-07</v>
          </cell>
          <cell r="AE14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42">
          <cell r="A142" t="str">
            <v>229-07</v>
          </cell>
          <cell r="B142">
            <v>4038</v>
          </cell>
          <cell r="C142" t="str">
            <v>DE.1.0.7.0</v>
          </cell>
          <cell r="D142" t="str">
            <v>204:442</v>
          </cell>
          <cell r="E142">
            <v>42589.868923611109</v>
          </cell>
          <cell r="F142">
            <v>42589.869687500002</v>
          </cell>
          <cell r="G142">
            <v>1</v>
          </cell>
          <cell r="H142" t="str">
            <v>204:233306</v>
          </cell>
          <cell r="I142">
            <v>42589.901006944441</v>
          </cell>
          <cell r="J142">
            <v>0</v>
          </cell>
          <cell r="K142" t="str">
            <v>4037/4038</v>
          </cell>
          <cell r="L142" t="str">
            <v>LEVERE</v>
          </cell>
          <cell r="M142">
            <v>3.1319444438850041E-2</v>
          </cell>
          <cell r="N142">
            <v>45.09999999194406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https://search-rtdc-monitor-bjffxe2xuh6vdkpspy63sjmuny.us-east-1.es.amazonaws.com/_plugin/kibana/#/discover/Steve-Slow-Train-Analysis-(2080s-and-2083s)?_g=(refreshInterval:(display:Off,section:0,value:0),time:(from:'2016-08-07 19:51:15-0600',mode:absolute,to:'2016-08-07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2" t="str">
            <v>N</v>
          </cell>
          <cell r="X142">
            <v>1</v>
          </cell>
          <cell r="Y142">
            <v>4.4200000000000003E-2</v>
          </cell>
          <cell r="Z142">
            <v>23.3306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0229-07</v>
          </cell>
          <cell r="AE14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3">
          <cell r="A143" t="str">
            <v>230-07</v>
          </cell>
          <cell r="B143">
            <v>4037</v>
          </cell>
          <cell r="C143" t="str">
            <v>DE.1.0.7.0</v>
          </cell>
          <cell r="D143" t="str">
            <v>204:232989</v>
          </cell>
          <cell r="E143">
            <v>42589.907997685186</v>
          </cell>
          <cell r="F143">
            <v>42589.909016203703</v>
          </cell>
          <cell r="G143">
            <v>1</v>
          </cell>
          <cell r="H143" t="str">
            <v>204:147</v>
          </cell>
          <cell r="I143">
            <v>42589.942175925928</v>
          </cell>
          <cell r="J143">
            <v>0</v>
          </cell>
          <cell r="K143" t="str">
            <v>4037/4038</v>
          </cell>
          <cell r="L143" t="str">
            <v>LEVERE</v>
          </cell>
          <cell r="M143">
            <v>3.3159722224809229E-2</v>
          </cell>
          <cell r="N143">
            <v>47.75000000372529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https://search-rtdc-monitor-bjffxe2xuh6vdkpspy63sjmuny.us-east-1.es.amazonaws.com/_plugin/kibana/#/discover/Steve-Slow-Train-Analysis-(2080s-and-2083s)?_g=(refreshInterval:(display:Off,section:0,value:0),time:(from:'2016-08-07 20:47:31-0600',mode:absolute,to:'2016-08-07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3" t="str">
            <v>N</v>
          </cell>
          <cell r="X143">
            <v>1</v>
          </cell>
          <cell r="Y143">
            <v>23.2989</v>
          </cell>
          <cell r="Z143">
            <v>1.47E-2</v>
          </cell>
          <cell r="AA143">
            <v>23.284199999999998</v>
          </cell>
          <cell r="AB143" t="e">
            <v>#N/A</v>
          </cell>
          <cell r="AC143" t="e">
            <v>#N/A</v>
          </cell>
          <cell r="AD143" t="str">
            <v>0230-07</v>
          </cell>
          <cell r="AE14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44">
          <cell r="A144" t="str">
            <v>231-07</v>
          </cell>
          <cell r="B144">
            <v>4025</v>
          </cell>
          <cell r="C144" t="str">
            <v>DE.1.0.7.0</v>
          </cell>
          <cell r="D144" t="str">
            <v>204:446</v>
          </cell>
          <cell r="E144">
            <v>42589.892893518518</v>
          </cell>
          <cell r="F144">
            <v>42589.893888888888</v>
          </cell>
          <cell r="G144">
            <v>1</v>
          </cell>
          <cell r="H144" t="str">
            <v>204:233310</v>
          </cell>
          <cell r="I144">
            <v>42589.921898148146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2.8009259258396924E-2</v>
          </cell>
          <cell r="N144">
            <v>40.33333333209157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https://search-rtdc-monitor-bjffxe2xuh6vdkpspy63sjmuny.us-east-1.es.amazonaws.com/_plugin/kibana/#/discover/Steve-Slow-Train-Analysis-(2080s-and-2083s)?_g=(refreshInterval:(display:Off,section:0,value:0),time:(from:'2016-08-07 20:25:46-0600',mode:absolute,to:'2016-08-07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4" t="str">
            <v>N</v>
          </cell>
          <cell r="X144">
            <v>1</v>
          </cell>
          <cell r="Y144">
            <v>4.4600000000000001E-2</v>
          </cell>
          <cell r="Z144">
            <v>23.331</v>
          </cell>
          <cell r="AA144">
            <v>23.2864</v>
          </cell>
          <cell r="AB144" t="e">
            <v>#N/A</v>
          </cell>
          <cell r="AC144" t="e">
            <v>#N/A</v>
          </cell>
          <cell r="AD144" t="str">
            <v>0231-07</v>
          </cell>
          <cell r="AE14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45">
          <cell r="A145" t="str">
            <v>232-07</v>
          </cell>
          <cell r="B145">
            <v>4026</v>
          </cell>
          <cell r="C145" t="str">
            <v>DE.1.0.7.0</v>
          </cell>
          <cell r="D145" t="str">
            <v>204:233000</v>
          </cell>
          <cell r="E145">
            <v>42589.931747685187</v>
          </cell>
          <cell r="F145">
            <v>42589.933831018519</v>
          </cell>
          <cell r="G145">
            <v>2</v>
          </cell>
          <cell r="H145" t="str">
            <v>204:150</v>
          </cell>
          <cell r="I145">
            <v>42589.961215277777</v>
          </cell>
          <cell r="J145">
            <v>0</v>
          </cell>
          <cell r="K145" t="str">
            <v>4025/4026</v>
          </cell>
          <cell r="L145" t="str">
            <v>COOLAHAN</v>
          </cell>
          <cell r="M145">
            <v>2.7384259257814847E-2</v>
          </cell>
          <cell r="N145">
            <v>39.43333333125338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https://search-rtdc-monitor-bjffxe2xuh6vdkpspy63sjmuny.us-east-1.es.amazonaws.com/_plugin/kibana/#/discover/Steve-Slow-Train-Analysis-(2080s-and-2083s)?_g=(refreshInterval:(display:Off,section:0,value:0),time:(from:'2016-08-07 21:21:43-0600',mode:absolute,to:'2016-08-08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5" t="str">
            <v>N</v>
          </cell>
          <cell r="X145">
            <v>1</v>
          </cell>
          <cell r="Y145">
            <v>23.3</v>
          </cell>
          <cell r="Z145">
            <v>1.4999999999999999E-2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0232-07</v>
          </cell>
          <cell r="AE14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46">
          <cell r="A146" t="str">
            <v>233-07</v>
          </cell>
          <cell r="B146">
            <v>4044</v>
          </cell>
          <cell r="C146" t="str">
            <v>DE.1.0.7.0</v>
          </cell>
          <cell r="D146" t="str">
            <v>204:451</v>
          </cell>
          <cell r="E146">
            <v>42589.90079861111</v>
          </cell>
          <cell r="F146">
            <v>42589.901585648149</v>
          </cell>
          <cell r="G146">
            <v>1</v>
          </cell>
          <cell r="H146" t="str">
            <v>204:233286</v>
          </cell>
          <cell r="I146">
            <v>42589.943194444444</v>
          </cell>
          <cell r="J146">
            <v>0</v>
          </cell>
          <cell r="K146" t="str">
            <v>4043/4044</v>
          </cell>
          <cell r="L146" t="str">
            <v>NEWELL</v>
          </cell>
          <cell r="M146">
            <v>4.1608796294895001E-2</v>
          </cell>
          <cell r="N146">
            <v>59.916666664648801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https://search-rtdc-monitor-bjffxe2xuh6vdkpspy63sjmuny.us-east-1.es.amazonaws.com/_plugin/kibana/#/discover/Steve-Slow-Train-Analysis-(2080s-and-2083s)?_g=(refreshInterval:(display:Off,section:0,value:0),time:(from:'2016-08-07 20:37:09-0600',mode:absolute,to:'2016-08-07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6" t="str">
            <v>N</v>
          </cell>
          <cell r="X146">
            <v>1</v>
          </cell>
          <cell r="Y146">
            <v>4.5100000000000001E-2</v>
          </cell>
          <cell r="Z146">
            <v>23.328600000000002</v>
          </cell>
          <cell r="AA146">
            <v>23.2835</v>
          </cell>
          <cell r="AB146" t="e">
            <v>#N/A</v>
          </cell>
          <cell r="AC146" t="e">
            <v>#N/A</v>
          </cell>
          <cell r="AD146" t="str">
            <v>0233-07</v>
          </cell>
          <cell r="AE1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47">
          <cell r="A147" t="str">
            <v>234-07</v>
          </cell>
          <cell r="B147">
            <v>4043</v>
          </cell>
          <cell r="C147" t="str">
            <v>DE.1.0.7.0</v>
          </cell>
          <cell r="D147" t="str">
            <v>204:232988</v>
          </cell>
          <cell r="E147">
            <v>42589.94902777778</v>
          </cell>
          <cell r="F147">
            <v>42589.949780092589</v>
          </cell>
          <cell r="G147">
            <v>1</v>
          </cell>
          <cell r="H147" t="str">
            <v>204:145</v>
          </cell>
          <cell r="I147">
            <v>42589.982002314813</v>
          </cell>
          <cell r="J147">
            <v>0</v>
          </cell>
          <cell r="K147" t="str">
            <v>4043/4044</v>
          </cell>
          <cell r="L147" t="str">
            <v>NEWELL</v>
          </cell>
          <cell r="M147">
            <v>3.2222222223936114E-2</v>
          </cell>
          <cell r="N147">
            <v>46.400000002468005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https://search-rtdc-monitor-bjffxe2xuh6vdkpspy63sjmuny.us-east-1.es.amazonaws.com/_plugin/kibana/#/discover/Steve-Slow-Train-Analysis-(2080s-and-2083s)?_g=(refreshInterval:(display:Off,section:0,value:0),time:(from:'2016-08-07 21:46:36-0600',mode:absolute,to:'2016-08-08 00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7" t="str">
            <v>N</v>
          </cell>
          <cell r="X147">
            <v>1</v>
          </cell>
          <cell r="Y147">
            <v>23.2988</v>
          </cell>
          <cell r="Z147">
            <v>1.4500000000000001E-2</v>
          </cell>
          <cell r="AA147">
            <v>23.284299999999998</v>
          </cell>
          <cell r="AB147" t="e">
            <v>#N/A</v>
          </cell>
          <cell r="AC147" t="e">
            <v>#N/A</v>
          </cell>
          <cell r="AD147" t="str">
            <v>0234-07</v>
          </cell>
          <cell r="AE1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8">
          <cell r="A148" t="str">
            <v>235-07</v>
          </cell>
          <cell r="B148">
            <v>4018</v>
          </cell>
          <cell r="C148" t="str">
            <v>DE.1.0.7.0</v>
          </cell>
          <cell r="D148" t="str">
            <v>204:488</v>
          </cell>
          <cell r="E148">
            <v>42589.935833333337</v>
          </cell>
          <cell r="F148">
            <v>42589.936932870369</v>
          </cell>
          <cell r="G148">
            <v>1</v>
          </cell>
          <cell r="H148" t="str">
            <v>204:233286</v>
          </cell>
          <cell r="I148">
            <v>42589.963125000002</v>
          </cell>
          <cell r="J148">
            <v>0</v>
          </cell>
          <cell r="K148" t="str">
            <v>4017/4018</v>
          </cell>
          <cell r="L148" t="str">
            <v>CHANDLER</v>
          </cell>
          <cell r="M148">
            <v>2.6192129633272998E-2</v>
          </cell>
          <cell r="N148">
            <v>37.716666671913117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https://search-rtdc-monitor-bjffxe2xuh6vdkpspy63sjmuny.us-east-1.es.amazonaws.com/_plugin/kibana/#/discover/Steve-Slow-Train-Analysis-(2080s-and-2083s)?_g=(refreshInterval:(display:Off,section:0,value:0),time:(from:'2016-08-07 21:27:36-0600',mode:absolute,to:'2016-08-08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8" t="str">
            <v>N</v>
          </cell>
          <cell r="X148">
            <v>1</v>
          </cell>
          <cell r="Y148">
            <v>4.8800000000000003E-2</v>
          </cell>
          <cell r="Z148">
            <v>23.328600000000002</v>
          </cell>
          <cell r="AA148">
            <v>23.279800000000002</v>
          </cell>
          <cell r="AB148" t="e">
            <v>#N/A</v>
          </cell>
          <cell r="AC148" t="e">
            <v>#N/A</v>
          </cell>
          <cell r="AD148" t="str">
            <v>0235-07</v>
          </cell>
          <cell r="AE1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9">
          <cell r="A149" t="str">
            <v>236-07</v>
          </cell>
          <cell r="B149">
            <v>4017</v>
          </cell>
          <cell r="C149" t="str">
            <v>DE.1.0.7.0</v>
          </cell>
          <cell r="D149" t="str">
            <v>204:232973</v>
          </cell>
          <cell r="E149">
            <v>42589.974432870367</v>
          </cell>
          <cell r="F149">
            <v>42589.975266203706</v>
          </cell>
          <cell r="G149">
            <v>1</v>
          </cell>
          <cell r="H149" t="str">
            <v>204:172</v>
          </cell>
          <cell r="I149">
            <v>42590.004583333335</v>
          </cell>
          <cell r="J149">
            <v>1</v>
          </cell>
          <cell r="K149" t="str">
            <v>4017/4018</v>
          </cell>
          <cell r="L149" t="str">
            <v>CHANDLER</v>
          </cell>
          <cell r="M149">
            <v>2.9317129628907423E-2</v>
          </cell>
          <cell r="N149">
            <v>42.21666666562669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9" t="str">
            <v>N</v>
          </cell>
          <cell r="X149">
            <v>1</v>
          </cell>
          <cell r="Y149">
            <v>23.2973</v>
          </cell>
          <cell r="Z149">
            <v>1.72E-2</v>
          </cell>
          <cell r="AA149">
            <v>23.280100000000001</v>
          </cell>
          <cell r="AB149" t="e">
            <v>#N/A</v>
          </cell>
          <cell r="AC149" t="e">
            <v>#N/A</v>
          </cell>
          <cell r="AD149" t="str">
            <v>0236-07</v>
          </cell>
          <cell r="AE1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50">
          <cell r="A150" t="str">
            <v>237-07</v>
          </cell>
          <cell r="B150">
            <v>4038</v>
          </cell>
          <cell r="C150" t="str">
            <v>DE.1.0.7.0</v>
          </cell>
          <cell r="D150" t="str">
            <v>204:455</v>
          </cell>
          <cell r="E150">
            <v>42589.950624999998</v>
          </cell>
          <cell r="F150">
            <v>42589.951678240737</v>
          </cell>
          <cell r="G150">
            <v>1</v>
          </cell>
          <cell r="H150" t="str">
            <v>204:233322</v>
          </cell>
          <cell r="I150">
            <v>42589.984224537038</v>
          </cell>
          <cell r="J150">
            <v>0</v>
          </cell>
          <cell r="K150" t="str">
            <v>4037/4038</v>
          </cell>
          <cell r="L150" t="str">
            <v>LEVERE</v>
          </cell>
          <cell r="M150">
            <v>3.2546296301006805E-2</v>
          </cell>
          <cell r="N150">
            <v>46.866666673449799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https://search-rtdc-monitor-bjffxe2xuh6vdkpspy63sjmuny.us-east-1.es.amazonaws.com/_plugin/kibana/#/discover/Steve-Slow-Train-Analysis-(2080s-and-2083s)?_g=(refreshInterval:(display:Off,section:0,value:0),time:(from:'2016-08-07 21:48:54-0600',mode:absolute,to:'2016-08-08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0" t="str">
            <v>N</v>
          </cell>
          <cell r="X150">
            <v>1</v>
          </cell>
          <cell r="Y150">
            <v>4.5499999999999999E-2</v>
          </cell>
          <cell r="Z150">
            <v>23.3322</v>
          </cell>
          <cell r="AA150">
            <v>23.2867</v>
          </cell>
          <cell r="AB150" t="e">
            <v>#N/A</v>
          </cell>
          <cell r="AC150" t="e">
            <v>#N/A</v>
          </cell>
          <cell r="AD150" t="str">
            <v>0237-07</v>
          </cell>
          <cell r="AE15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51">
          <cell r="A151" t="str">
            <v>238-07</v>
          </cell>
          <cell r="B151">
            <v>4037</v>
          </cell>
          <cell r="C151" t="str">
            <v>DE.1.0.7.0</v>
          </cell>
          <cell r="D151" t="str">
            <v>204:232963</v>
          </cell>
          <cell r="E151">
            <v>42589.99287037037</v>
          </cell>
          <cell r="F151">
            <v>42589.99391203704</v>
          </cell>
          <cell r="G151">
            <v>1</v>
          </cell>
          <cell r="H151" t="str">
            <v>204:156</v>
          </cell>
          <cell r="I151">
            <v>42590.025671296295</v>
          </cell>
          <cell r="J151">
            <v>0</v>
          </cell>
          <cell r="K151" t="str">
            <v>4037/4038</v>
          </cell>
          <cell r="L151" t="str">
            <v>LEVERE</v>
          </cell>
          <cell r="M151">
            <v>3.1759259254613426E-2</v>
          </cell>
          <cell r="N151">
            <v>45.733333326643333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https://search-rtdc-monitor-bjffxe2xuh6vdkpspy63sjmuny.us-east-1.es.amazonaws.com/_plugin/kibana/#/discover/Steve-Slow-Train-Analysis-(2080s-and-2083s)?_g=(refreshInterval:(display:Off,section:0,value:0),time:(from:'2016-08-07 22:49:44-0600',mode:absolute,to:'2016-08-08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1" t="str">
            <v>N</v>
          </cell>
          <cell r="X151">
            <v>1</v>
          </cell>
          <cell r="Y151">
            <v>23.296299999999999</v>
          </cell>
          <cell r="Z151">
            <v>1.5599999999999999E-2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0238-07</v>
          </cell>
          <cell r="AE15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52">
          <cell r="A152" t="str">
            <v>239-07</v>
          </cell>
          <cell r="B152">
            <v>4025</v>
          </cell>
          <cell r="C152" t="str">
            <v>DE.1.0.7.0</v>
          </cell>
          <cell r="D152" t="str">
            <v>204:449</v>
          </cell>
          <cell r="E152">
            <v>42589.975659722222</v>
          </cell>
          <cell r="F152">
            <v>42589.976817129631</v>
          </cell>
          <cell r="G152">
            <v>1</v>
          </cell>
          <cell r="H152" t="str">
            <v>204:233316</v>
          </cell>
          <cell r="I152">
            <v>42590.004166666666</v>
          </cell>
          <cell r="J152">
            <v>0</v>
          </cell>
          <cell r="K152" t="str">
            <v>4025/4026</v>
          </cell>
          <cell r="L152" t="str">
            <v>COOLAHAN</v>
          </cell>
          <cell r="M152">
            <v>2.7349537034751847E-2</v>
          </cell>
          <cell r="N152">
            <v>39.38333333004266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https://search-rtdc-monitor-bjffxe2xuh6vdkpspy63sjmuny.us-east-1.es.amazonaws.com/_plugin/kibana/#/discover/Steve-Slow-Train-Analysis-(2080s-and-2083s)?_g=(refreshInterval:(display:Off,section:0,value:0),time:(from:'2016-08-07 22:24:57-0600',mode:absolute,to:'2016-08-08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4.4900000000000002E-2</v>
          </cell>
          <cell r="Z152">
            <v>23.331600000000002</v>
          </cell>
          <cell r="AA152">
            <v>23.286700000000003</v>
          </cell>
          <cell r="AB152" t="e">
            <v>#N/A</v>
          </cell>
          <cell r="AC152" t="e">
            <v>#N/A</v>
          </cell>
          <cell r="AD152" t="str">
            <v>0239-07</v>
          </cell>
          <cell r="AE15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53">
          <cell r="A153" t="str">
            <v>240-07</v>
          </cell>
          <cell r="B153">
            <v>4026</v>
          </cell>
          <cell r="C153" t="str">
            <v>DE.1.0.7.0</v>
          </cell>
          <cell r="D153" t="str">
            <v>204:232988</v>
          </cell>
          <cell r="E153">
            <v>42590.013715277775</v>
          </cell>
          <cell r="F153">
            <v>42590.015474537038</v>
          </cell>
          <cell r="G153">
            <v>2</v>
          </cell>
          <cell r="H153" t="str">
            <v>204:174</v>
          </cell>
          <cell r="I153">
            <v>42590.044641203705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2.9166666667151731E-2</v>
          </cell>
          <cell r="N153">
            <v>42.000000000698492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https://search-rtdc-monitor-bjffxe2xuh6vdkpspy63sjmuny.us-east-1.es.amazonaws.com/_plugin/kibana/#/discover/Steve-Slow-Train-Analysis-(2080s-and-2083s)?_g=(refreshInterval:(display:Off,section:0,value:0),time:(from:'2016-08-07 23:19:45-0600',mode:absolute,to:'2016-08-08 02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23.2988</v>
          </cell>
          <cell r="Z153">
            <v>1.7399999999999999E-2</v>
          </cell>
          <cell r="AA153">
            <v>23.281400000000001</v>
          </cell>
          <cell r="AB153" t="e">
            <v>#N/A</v>
          </cell>
          <cell r="AC153" t="e">
            <v>#N/A</v>
          </cell>
          <cell r="AD153" t="str">
            <v>0240-07</v>
          </cell>
          <cell r="AE153" t="str">
            <v>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 &amp; 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</v>
          </cell>
        </row>
        <row r="154">
          <cell r="A154" t="str">
            <v>241-07</v>
          </cell>
          <cell r="B154">
            <v>4044</v>
          </cell>
          <cell r="C154" t="str">
            <v>DE.1.0.7.0</v>
          </cell>
          <cell r="D154" t="str">
            <v>204:451</v>
          </cell>
          <cell r="E154">
            <v>42589.987210648149</v>
          </cell>
          <cell r="F154">
            <v>42589.988217592596</v>
          </cell>
          <cell r="G154">
            <v>1</v>
          </cell>
          <cell r="H154" t="str">
            <v>204:233316</v>
          </cell>
          <cell r="I154">
            <v>42590.024664351855</v>
          </cell>
          <cell r="J154">
            <v>0</v>
          </cell>
          <cell r="K154" t="str">
            <v>4043/4044</v>
          </cell>
          <cell r="L154" t="str">
            <v>NEWELL</v>
          </cell>
          <cell r="M154">
            <v>3.6446759258979E-2</v>
          </cell>
          <cell r="N154">
            <v>52.48333333292976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https://search-rtdc-monitor-bjffxe2xuh6vdkpspy63sjmuny.us-east-1.es.amazonaws.com/_plugin/kibana/#/discover/Steve-Slow-Train-Analysis-(2080s-and-2083s)?_g=(refreshInterval:(display:Off,section:0,value:0),time:(from:'2016-08-07 22:41:35-0600',mode:absolute,to:'2016-08-08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4" t="str">
            <v>N</v>
          </cell>
          <cell r="X154">
            <v>1</v>
          </cell>
          <cell r="Y154">
            <v>4.5100000000000001E-2</v>
          </cell>
          <cell r="Z154">
            <v>23.331600000000002</v>
          </cell>
          <cell r="AA154">
            <v>23.2865</v>
          </cell>
          <cell r="AB154" t="e">
            <v>#N/A</v>
          </cell>
          <cell r="AC154" t="e">
            <v>#N/A</v>
          </cell>
          <cell r="AD154" t="str">
            <v>0241-07</v>
          </cell>
          <cell r="AE15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55">
          <cell r="A155" t="str">
            <v>242-07</v>
          </cell>
          <cell r="B155">
            <v>4043</v>
          </cell>
          <cell r="C155" t="str">
            <v>DE.1.0.7.0</v>
          </cell>
          <cell r="D155" t="str">
            <v>204:232996</v>
          </cell>
          <cell r="E155">
            <v>42590.037488425929</v>
          </cell>
          <cell r="F155">
            <v>42590.038391203707</v>
          </cell>
          <cell r="G155">
            <v>1</v>
          </cell>
          <cell r="H155" t="str">
            <v>204:118</v>
          </cell>
          <cell r="I155">
            <v>42590.065486111111</v>
          </cell>
          <cell r="J155">
            <v>0</v>
          </cell>
          <cell r="K155" t="str">
            <v>4043/4044</v>
          </cell>
          <cell r="L155" t="str">
            <v>NEWELL</v>
          </cell>
          <cell r="M155">
            <v>2.7094907403807156E-2</v>
          </cell>
          <cell r="N155">
            <v>39.016666661482304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https://search-rtdc-monitor-bjffxe2xuh6vdkpspy63sjmuny.us-east-1.es.amazonaws.com/_plugin/kibana/#/discover/Steve-Slow-Train-Analysis-(2080s-and-2083s)?_g=(refreshInterval:(display:Off,section:0,value:0),time:(from:'2016-08-07 23:53:59-0600',mode:absolute,to:'2016-08-08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5" t="str">
            <v>N</v>
          </cell>
          <cell r="X155">
            <v>1</v>
          </cell>
          <cell r="Y155">
            <v>23.299600000000002</v>
          </cell>
          <cell r="Z155">
            <v>1.18E-2</v>
          </cell>
          <cell r="AA155">
            <v>23.287800000000001</v>
          </cell>
          <cell r="AB155" t="e">
            <v>#N/A</v>
          </cell>
          <cell r="AC155" t="e">
            <v>#N/A</v>
          </cell>
          <cell r="AD155" t="str">
            <v>0242-07</v>
          </cell>
          <cell r="AE155" t="str">
            <v>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 &amp; aws s3 cp s3://rtdc.mdm.uploadarchive/RTDC4043/2016-08-09/ "%USERPROFILE%\AppData\Local\Temp\OnboardLogs"\RTDC4043\2016-08-09 --recursive &amp; "%USERPROFILE%\Documents\GitHub\mrs-test-scripts\Headless Mode &amp; Sideloading\WalkAndUnGZ.bat" "%USERPROFILE%\AppData\Local\Temp\OnboardLogs"\RTDC4043\2016-08-09</v>
          </cell>
        </row>
        <row r="156">
          <cell r="A156" t="str">
            <v>243-07</v>
          </cell>
          <cell r="B156">
            <v>4018</v>
          </cell>
          <cell r="C156" t="str">
            <v>DE.1.0.7.0</v>
          </cell>
          <cell r="D156" t="str">
            <v>204:493</v>
          </cell>
          <cell r="E156">
            <v>42590.019131944442</v>
          </cell>
          <cell r="F156">
            <v>42590.020127314812</v>
          </cell>
          <cell r="G156">
            <v>1</v>
          </cell>
          <cell r="H156" t="str">
            <v>204:233282</v>
          </cell>
          <cell r="I156">
            <v>42590.046284722222</v>
          </cell>
          <cell r="J156">
            <v>0</v>
          </cell>
          <cell r="K156" t="str">
            <v>4017/4018</v>
          </cell>
          <cell r="L156" t="str">
            <v>CHANDLER</v>
          </cell>
          <cell r="M156">
            <v>2.6157407410209998E-2</v>
          </cell>
          <cell r="N156">
            <v>37.666666670702398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https://search-rtdc-monitor-bjffxe2xuh6vdkpspy63sjmuny.us-east-1.es.amazonaws.com/_plugin/kibana/#/discover/Steve-Slow-Train-Analysis-(2080s-and-2083s)?_g=(refreshInterval:(display:Off,section:0,value:0),time:(from:'2016-08-07 23:27:33-0600',mode:absolute,to:'2016-08-08 02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6" t="str">
            <v>N</v>
          </cell>
          <cell r="X156">
            <v>1</v>
          </cell>
          <cell r="Y156">
            <v>4.9299999999999997E-2</v>
          </cell>
          <cell r="Z156">
            <v>23.328199999999999</v>
          </cell>
          <cell r="AA156">
            <v>23.2789</v>
          </cell>
          <cell r="AB156" t="e">
            <v>#N/A</v>
          </cell>
          <cell r="AC156" t="e">
            <v>#N/A</v>
          </cell>
          <cell r="AD156" t="str">
            <v>0243-07</v>
          </cell>
          <cell r="AE156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157">
          <cell r="A157" t="str">
            <v>244-07</v>
          </cell>
          <cell r="B157">
            <v>4017</v>
          </cell>
          <cell r="C157" t="str">
            <v>DE.1.0.7.0</v>
          </cell>
          <cell r="D157" t="str">
            <v>204:232963</v>
          </cell>
          <cell r="E157">
            <v>42590.058553240742</v>
          </cell>
          <cell r="F157">
            <v>42590.059282407405</v>
          </cell>
          <cell r="G157">
            <v>1</v>
          </cell>
          <cell r="H157" t="str">
            <v>204:172</v>
          </cell>
          <cell r="I157">
            <v>42590.087893518517</v>
          </cell>
          <cell r="J157">
            <v>0</v>
          </cell>
          <cell r="K157" t="str">
            <v>4017/4018</v>
          </cell>
          <cell r="L157" t="str">
            <v>CHANDLER</v>
          </cell>
          <cell r="M157">
            <v>2.8611111112695653E-2</v>
          </cell>
          <cell r="N157">
            <v>41.20000000228174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03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7" t="str">
            <v>N</v>
          </cell>
          <cell r="X157">
            <v>1</v>
          </cell>
          <cell r="Y157">
            <v>23.296299999999999</v>
          </cell>
          <cell r="Z157">
            <v>1.72E-2</v>
          </cell>
          <cell r="AA157">
            <v>23.2791</v>
          </cell>
          <cell r="AB157" t="e">
            <v>#N/A</v>
          </cell>
          <cell r="AC157" t="e">
            <v>#N/A</v>
          </cell>
          <cell r="AD157" t="str">
            <v>0244-07</v>
          </cell>
          <cell r="AE157" t="str">
            <v>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 &amp; 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</v>
          </cell>
        </row>
        <row r="158">
          <cell r="A158" t="str">
            <v>245-07</v>
          </cell>
          <cell r="B158" t="str">
            <v>-</v>
          </cell>
          <cell r="C158" t="str">
            <v>DE.1.0.7.0</v>
          </cell>
          <cell r="D158" t="str">
            <v>204:232963</v>
          </cell>
          <cell r="E158">
            <v>42590.058553240742</v>
          </cell>
          <cell r="F158">
            <v>42590.059282407405</v>
          </cell>
          <cell r="G158">
            <v>1</v>
          </cell>
          <cell r="H158" t="str">
            <v>204:172</v>
          </cell>
          <cell r="I158">
            <v>42590.059293981481</v>
          </cell>
          <cell r="J158">
            <v>0</v>
          </cell>
          <cell r="K158" t="str">
            <v>-</v>
          </cell>
          <cell r="L158" t="str">
            <v>-</v>
          </cell>
          <cell r="M158">
            <v>1.1574076779652387E-5</v>
          </cell>
          <cell r="P158">
            <v>1</v>
          </cell>
          <cell r="R158" t="str">
            <v>Did not initialize</v>
          </cell>
          <cell r="S158">
            <v>0</v>
          </cell>
          <cell r="T158" t="str">
            <v>NorthBound</v>
          </cell>
          <cell r="U158">
            <v>0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02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8" t="str">
            <v>Y</v>
          </cell>
          <cell r="X158">
            <v>1</v>
          </cell>
          <cell r="Y158">
            <v>0.01</v>
          </cell>
          <cell r="Z158">
            <v>0.01</v>
          </cell>
          <cell r="AA158">
            <v>0</v>
          </cell>
          <cell r="AB158" t="e">
            <v>#N/A</v>
          </cell>
          <cell r="AC158" t="e">
            <v>#N/A</v>
          </cell>
          <cell r="AD158" t="str">
            <v>0245-07</v>
          </cell>
          <cell r="AE158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159">
          <cell r="A159" t="str">
            <v>246-07</v>
          </cell>
          <cell r="B159" t="str">
            <v>-</v>
          </cell>
          <cell r="C159" t="str">
            <v>DE.1.0.7.0</v>
          </cell>
          <cell r="D159" t="str">
            <v>204:232975</v>
          </cell>
          <cell r="E159">
            <v>42589.073969907404</v>
          </cell>
          <cell r="F159">
            <v>42589.074930555558</v>
          </cell>
          <cell r="G159">
            <v>1</v>
          </cell>
          <cell r="H159" t="str">
            <v>204:152</v>
          </cell>
          <cell r="I159">
            <v>42589.108113425929</v>
          </cell>
          <cell r="J159">
            <v>1</v>
          </cell>
          <cell r="K159" t="e">
            <v>#VALUE!</v>
          </cell>
          <cell r="L159" t="e">
            <v>#N/A</v>
          </cell>
          <cell r="M159">
            <v>3.3182870371092577E-2</v>
          </cell>
          <cell r="P159">
            <v>1</v>
          </cell>
          <cell r="R159" t="str">
            <v>Did not initialize</v>
          </cell>
          <cell r="S159">
            <v>0</v>
          </cell>
          <cell r="T159" t="str">
            <v>Southbound</v>
          </cell>
          <cell r="U159">
            <v>0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9" t="str">
            <v>Y</v>
          </cell>
          <cell r="X159">
            <v>1</v>
          </cell>
          <cell r="Y159">
            <v>0.01</v>
          </cell>
          <cell r="Z159">
            <v>0.01</v>
          </cell>
          <cell r="AA159">
            <v>0</v>
          </cell>
          <cell r="AB159" t="e">
            <v>#N/A</v>
          </cell>
          <cell r="AC159" t="e">
            <v>#N/A</v>
          </cell>
          <cell r="AD159" t="str">
            <v>0246-07</v>
          </cell>
          <cell r="AE159" t="str">
            <v>aws s3 cp s3://rtdc.mdm.uploadarchive/RTDC-/2016-08-07/ "%USERPROFILE%\AppData\Local\Temp\OnboardLogs"\RTDC-\2016-08-07 --recursive &amp; "%USERPROFILE%\Documents\GitHub\mrs-test-scripts\Headless Mode &amp; Sideloading\WalkAndUnGZ.bat" "%USERPROFILE%\AppData\Local\Temp\OnboardLogs"\RTDC-\2016-08-07 &amp; 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</v>
          </cell>
        </row>
        <row r="160">
          <cell r="A160" t="str">
            <v>1800-07</v>
          </cell>
          <cell r="B160">
            <v>4041</v>
          </cell>
          <cell r="C160" t="str">
            <v>DE.1.0.7.0</v>
          </cell>
          <cell r="D160" t="str">
            <v>300:58604</v>
          </cell>
          <cell r="E160">
            <v>42589.235671296294</v>
          </cell>
          <cell r="F160">
            <v>42589.236851851849</v>
          </cell>
          <cell r="G160">
            <v>1</v>
          </cell>
          <cell r="H160" t="str">
            <v>204:661</v>
          </cell>
          <cell r="I160">
            <v>42589.247164351851</v>
          </cell>
          <cell r="J160">
            <v>1</v>
          </cell>
          <cell r="K160" t="str">
            <v>4041/4042</v>
          </cell>
          <cell r="L160" t="str">
            <v>STARKS</v>
          </cell>
          <cell r="M160">
            <v>1.0312500002328306E-2</v>
          </cell>
          <cell r="N160">
            <v>14.850000003352761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1554</v>
          </cell>
          <cell r="Y160">
            <v>5.8604000000000003</v>
          </cell>
          <cell r="Z160">
            <v>6.6100000000000006E-2</v>
          </cell>
          <cell r="AA160">
            <v>5.7943000000000007</v>
          </cell>
          <cell r="AB160" t="e">
            <v>#N/A</v>
          </cell>
          <cell r="AC160" t="e">
            <v>#N/A</v>
          </cell>
          <cell r="AD160" t="str">
            <v>1800-07</v>
          </cell>
          <cell r="AE16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1">
          <cell r="A161" t="str">
            <v>1801-07</v>
          </cell>
          <cell r="B161">
            <v>4042</v>
          </cell>
          <cell r="C161" t="str">
            <v>DE.1.0.7.0</v>
          </cell>
          <cell r="D161" t="str">
            <v>204:964</v>
          </cell>
          <cell r="E161">
            <v>42589.262592592589</v>
          </cell>
          <cell r="F161">
            <v>42589.263287037036</v>
          </cell>
          <cell r="G161">
            <v>0</v>
          </cell>
          <cell r="H161" t="str">
            <v>300:58931</v>
          </cell>
          <cell r="I161">
            <v>42589.275613425925</v>
          </cell>
          <cell r="J161">
            <v>0</v>
          </cell>
          <cell r="K161" t="str">
            <v>4041/4042</v>
          </cell>
          <cell r="L161" t="str">
            <v>STARKS</v>
          </cell>
          <cell r="M161">
            <v>1.2326388889050577E-2</v>
          </cell>
          <cell r="N161">
            <v>17.750000000232831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https://search-rtdc-monitor-bjffxe2xuh6vdkpspy63sjmuny.us-east-1.es.amazonaws.com/_plugin/kibana/#/discover/Steve-Slow-Train-Analysis-(2080s-and-2083s)?_g=(refreshInterval:(display:Off,section:0,value:0),time:(from:'2016-08-07 05:18:08-0600',mode:absolute,to:'2016-08-07 07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1" t="str">
            <v>N</v>
          </cell>
          <cell r="X161">
            <v>1</v>
          </cell>
          <cell r="Y161">
            <v>9.64E-2</v>
          </cell>
          <cell r="Z161">
            <v>5.8930999999999996</v>
          </cell>
          <cell r="AA161">
            <v>5.7966999999999995</v>
          </cell>
          <cell r="AB161" t="e">
            <v>#N/A</v>
          </cell>
          <cell r="AC161" t="e">
            <v>#N/A</v>
          </cell>
          <cell r="AD161" t="str">
            <v>1801-07</v>
          </cell>
          <cell r="AE16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2">
          <cell r="A162" t="str">
            <v>1802-07</v>
          </cell>
          <cell r="B162">
            <v>4041</v>
          </cell>
          <cell r="C162" t="str">
            <v>DE.1.0.7.0</v>
          </cell>
          <cell r="D162" t="str">
            <v>300:57352</v>
          </cell>
          <cell r="E162">
            <v>42589.278645833336</v>
          </cell>
          <cell r="F162">
            <v>42589.279502314814</v>
          </cell>
          <cell r="G162">
            <v>1</v>
          </cell>
          <cell r="H162" t="str">
            <v>300:11055</v>
          </cell>
          <cell r="I162">
            <v>42589.286805555559</v>
          </cell>
          <cell r="J162">
            <v>0</v>
          </cell>
          <cell r="K162" t="str">
            <v>4041/4042</v>
          </cell>
          <cell r="L162" t="str">
            <v>STARKS</v>
          </cell>
          <cell r="M162">
            <v>7.3032407453865744E-3</v>
          </cell>
          <cell r="P162">
            <v>10.516666673356667</v>
          </cell>
          <cell r="R162" t="str">
            <v>Onboard in-route failure</v>
          </cell>
          <cell r="S162">
            <v>0</v>
          </cell>
          <cell r="T162" t="str">
            <v>Southbound</v>
          </cell>
          <cell r="U162">
            <v>0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2" t="str">
            <v>Y</v>
          </cell>
          <cell r="X162">
            <v>1</v>
          </cell>
          <cell r="Y162">
            <v>5.7351999999999999</v>
          </cell>
          <cell r="Z162">
            <v>1.1054999999999999</v>
          </cell>
          <cell r="AA162">
            <v>4.6296999999999997</v>
          </cell>
          <cell r="AB162" t="e">
            <v>#N/A</v>
          </cell>
          <cell r="AC162" t="e">
            <v>#N/A</v>
          </cell>
          <cell r="AD162" t="str">
            <v>1802-07</v>
          </cell>
          <cell r="AE16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3">
          <cell r="A163" t="str">
            <v>1803-07</v>
          </cell>
          <cell r="B163">
            <v>4042</v>
          </cell>
          <cell r="C163" t="str">
            <v>DE.1.0.7.0</v>
          </cell>
          <cell r="D163" t="str">
            <v>204:950</v>
          </cell>
          <cell r="E163">
            <v>42589.304490740738</v>
          </cell>
          <cell r="F163">
            <v>42589.30537037037</v>
          </cell>
          <cell r="G163">
            <v>1</v>
          </cell>
          <cell r="H163" t="str">
            <v>300:58929</v>
          </cell>
          <cell r="I163">
            <v>42589.316319444442</v>
          </cell>
          <cell r="J163">
            <v>0</v>
          </cell>
          <cell r="K163" t="str">
            <v>4041/4042</v>
          </cell>
          <cell r="L163" t="str">
            <v>STARKS</v>
          </cell>
          <cell r="M163">
            <v>1.0949074072414078E-2</v>
          </cell>
          <cell r="N163">
            <v>15.766666664276272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3" t="str">
            <v>N</v>
          </cell>
          <cell r="X163">
            <v>1</v>
          </cell>
          <cell r="Y163">
            <v>9.5000000000000001E-2</v>
          </cell>
          <cell r="Z163">
            <v>5.8929</v>
          </cell>
          <cell r="AA163">
            <v>5.7979000000000003</v>
          </cell>
          <cell r="AB163" t="e">
            <v>#N/A</v>
          </cell>
          <cell r="AC163" t="e">
            <v>#N/A</v>
          </cell>
          <cell r="AD163" t="str">
            <v>1803-07</v>
          </cell>
          <cell r="AE16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4">
          <cell r="A164" t="str">
            <v>1804-07</v>
          </cell>
          <cell r="B164">
            <v>4041</v>
          </cell>
          <cell r="C164" t="str">
            <v>DE.1.0.7.0</v>
          </cell>
          <cell r="D164" t="str">
            <v>204:950</v>
          </cell>
          <cell r="E164">
            <v>42589.304490740738</v>
          </cell>
          <cell r="F164">
            <v>42589.30537037037</v>
          </cell>
          <cell r="G164">
            <v>1</v>
          </cell>
          <cell r="H164" t="str">
            <v>300:58929</v>
          </cell>
          <cell r="I164">
            <v>42589.305486111109</v>
          </cell>
          <cell r="J164">
            <v>0</v>
          </cell>
          <cell r="K164" t="str">
            <v>4041/4042</v>
          </cell>
          <cell r="L164" t="str">
            <v>-</v>
          </cell>
          <cell r="M164">
            <v>1.1574073869269341E-4</v>
          </cell>
          <cell r="P164">
            <v>0.16666666371747851</v>
          </cell>
          <cell r="R164" t="str">
            <v>Did not initialize</v>
          </cell>
          <cell r="S164">
            <v>0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4" t="str">
            <v>Y</v>
          </cell>
          <cell r="X164">
            <v>1</v>
          </cell>
          <cell r="Y164">
            <v>9.5000000000000001E-2</v>
          </cell>
          <cell r="Z164">
            <v>9.5000000000000001E-2</v>
          </cell>
          <cell r="AA164">
            <v>0</v>
          </cell>
          <cell r="AB164" t="e">
            <v>#N/A</v>
          </cell>
          <cell r="AC164" t="e">
            <v>#N/A</v>
          </cell>
          <cell r="AD164" t="str">
            <v>1804-07</v>
          </cell>
          <cell r="AE16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5">
          <cell r="A165" t="str">
            <v>1805-07</v>
          </cell>
          <cell r="B165">
            <v>4042</v>
          </cell>
          <cell r="C165" t="str">
            <v>DE.1.0.7.0</v>
          </cell>
          <cell r="D165" t="str">
            <v>204:944</v>
          </cell>
          <cell r="E165">
            <v>42589.344965277778</v>
          </cell>
          <cell r="F165">
            <v>42589.346076388887</v>
          </cell>
          <cell r="G165">
            <v>1</v>
          </cell>
          <cell r="H165" t="str">
            <v>300:58926</v>
          </cell>
          <cell r="I165">
            <v>42589.357812499999</v>
          </cell>
          <cell r="J165">
            <v>0</v>
          </cell>
          <cell r="K165" t="str">
            <v>4041/4042</v>
          </cell>
          <cell r="L165" t="str">
            <v>STARKS</v>
          </cell>
          <cell r="M165">
            <v>1.17361111115315E-2</v>
          </cell>
          <cell r="N165">
            <v>16.90000000060536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https://search-rtdc-monitor-bjffxe2xuh6vdkpspy63sjmuny.us-east-1.es.amazonaws.com/_plugin/kibana/#/discover/Steve-Slow-Train-Analysis-(2080s-and-2083s)?_g=(refreshInterval:(display:Off,section:0,value:0),time:(from:'2016-08-07 07:16:45-0600',mode:absolute,to:'2016-08-07 09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5" t="str">
            <v>N</v>
          </cell>
          <cell r="X165">
            <v>1</v>
          </cell>
          <cell r="Y165">
            <v>9.4399999999999998E-2</v>
          </cell>
          <cell r="Z165">
            <v>5.8925999999999998</v>
          </cell>
          <cell r="AA165">
            <v>5.7981999999999996</v>
          </cell>
          <cell r="AB165" t="e">
            <v>#N/A</v>
          </cell>
          <cell r="AC165" t="e">
            <v>#N/A</v>
          </cell>
          <cell r="AD165" t="str">
            <v>1805-07</v>
          </cell>
          <cell r="AE16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6">
          <cell r="A166" t="str">
            <v>1806-07</v>
          </cell>
          <cell r="B166">
            <v>4041</v>
          </cell>
          <cell r="C166" t="str">
            <v>DE.1.0.7.0</v>
          </cell>
          <cell r="D166" t="str">
            <v>300:58615</v>
          </cell>
          <cell r="E166">
            <v>42589.359791666669</v>
          </cell>
          <cell r="F166">
            <v>42589.360995370371</v>
          </cell>
          <cell r="G166">
            <v>1</v>
          </cell>
          <cell r="H166" t="str">
            <v>204:722</v>
          </cell>
          <cell r="I166">
            <v>42589.372291666667</v>
          </cell>
          <cell r="J166">
            <v>1</v>
          </cell>
          <cell r="K166" t="str">
            <v>4041/4042</v>
          </cell>
          <cell r="L166" t="str">
            <v>STARKS</v>
          </cell>
          <cell r="M166">
            <v>1.1296296295768116E-2</v>
          </cell>
          <cell r="N166">
            <v>16.266666665906087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6" t="str">
            <v>N</v>
          </cell>
          <cell r="X166">
            <v>1</v>
          </cell>
          <cell r="Y166">
            <v>5.8615000000000004</v>
          </cell>
          <cell r="Z166">
            <v>7.22E-2</v>
          </cell>
          <cell r="AA166">
            <v>5.7893000000000008</v>
          </cell>
          <cell r="AB166" t="e">
            <v>#N/A</v>
          </cell>
          <cell r="AC166" t="e">
            <v>#N/A</v>
          </cell>
          <cell r="AD166" t="str">
            <v>1806-07</v>
          </cell>
          <cell r="AE16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7">
          <cell r="A167" t="str">
            <v>1807-07</v>
          </cell>
          <cell r="B167">
            <v>4042</v>
          </cell>
          <cell r="C167" t="str">
            <v>DE.1.0.7.0</v>
          </cell>
          <cell r="D167" t="str">
            <v>204:1014</v>
          </cell>
          <cell r="E167">
            <v>42589.385706018518</v>
          </cell>
          <cell r="F167">
            <v>42589.38652777778</v>
          </cell>
          <cell r="G167">
            <v>1</v>
          </cell>
          <cell r="H167" t="str">
            <v>300:58922</v>
          </cell>
          <cell r="I167">
            <v>42589.399618055555</v>
          </cell>
          <cell r="J167">
            <v>0</v>
          </cell>
          <cell r="K167" t="str">
            <v>4041/4042</v>
          </cell>
          <cell r="L167" t="str">
            <v>STARKS</v>
          </cell>
          <cell r="M167">
            <v>1.3090277774608694E-2</v>
          </cell>
          <cell r="N167">
            <v>18.849999995436519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https://search-rtdc-monitor-bjffxe2xuh6vdkpspy63sjmuny.us-east-1.es.amazonaws.com/_plugin/kibana/#/discover/Steve-Slow-Train-Analysis-(2080s-and-2083s)?_g=(refreshInterval:(display:Off,section:0,value:0),time:(from:'2016-08-07 08:15:25-0600',mode:absolute,to:'2016-08-07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7" t="str">
            <v>N</v>
          </cell>
          <cell r="X167">
            <v>1</v>
          </cell>
          <cell r="Y167">
            <v>0.1014</v>
          </cell>
          <cell r="Z167">
            <v>5.8921999999999999</v>
          </cell>
          <cell r="AA167">
            <v>5.7907999999999999</v>
          </cell>
          <cell r="AB167" t="e">
            <v>#N/A</v>
          </cell>
          <cell r="AC167" t="e">
            <v>#N/A</v>
          </cell>
          <cell r="AD167" t="str">
            <v>1807-07</v>
          </cell>
          <cell r="AE16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8">
          <cell r="A168" t="str">
            <v>1808-07</v>
          </cell>
          <cell r="B168">
            <v>4041</v>
          </cell>
          <cell r="C168" t="str">
            <v>DE.1.0.7.0</v>
          </cell>
          <cell r="D168" t="str">
            <v>300:58611</v>
          </cell>
          <cell r="E168">
            <v>42589.400509259256</v>
          </cell>
          <cell r="F168">
            <v>42589.401643518519</v>
          </cell>
          <cell r="G168">
            <v>1</v>
          </cell>
          <cell r="H168" t="str">
            <v>204:664</v>
          </cell>
          <cell r="I168">
            <v>42589.414652777778</v>
          </cell>
          <cell r="J168">
            <v>2</v>
          </cell>
          <cell r="K168" t="str">
            <v>4041/4042</v>
          </cell>
          <cell r="L168" t="str">
            <v>STARKS</v>
          </cell>
          <cell r="M168">
            <v>1.3009259258979E-2</v>
          </cell>
          <cell r="N168">
            <v>18.73333333292976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6.6400000000000001E-2</v>
          </cell>
          <cell r="AA168">
            <v>5.7947000000000006</v>
          </cell>
          <cell r="AB168" t="e">
            <v>#N/A</v>
          </cell>
          <cell r="AC168" t="e">
            <v>#N/A</v>
          </cell>
          <cell r="AD168" t="str">
            <v>1808-07</v>
          </cell>
          <cell r="AE16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9">
          <cell r="A169" t="str">
            <v>1809-07</v>
          </cell>
          <cell r="B169">
            <v>4042</v>
          </cell>
          <cell r="C169" t="str">
            <v>DE.1.0.7.0</v>
          </cell>
          <cell r="D169" t="str">
            <v>204:971</v>
          </cell>
          <cell r="E169">
            <v>42589.43041666667</v>
          </cell>
          <cell r="F169">
            <v>42589.431168981479</v>
          </cell>
          <cell r="G169">
            <v>1</v>
          </cell>
          <cell r="H169" t="str">
            <v>300:58916</v>
          </cell>
          <cell r="I169">
            <v>42589.442511574074</v>
          </cell>
          <cell r="J169">
            <v>2</v>
          </cell>
          <cell r="K169" t="str">
            <v>4041/4042</v>
          </cell>
          <cell r="L169" t="str">
            <v>STARKS</v>
          </cell>
          <cell r="M169">
            <v>1.1342592595610768E-2</v>
          </cell>
          <cell r="N169">
            <v>16.333333337679505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5.8916000000000004</v>
          </cell>
          <cell r="AA169">
            <v>5.7945000000000002</v>
          </cell>
          <cell r="AB169" t="e">
            <v>#N/A</v>
          </cell>
          <cell r="AC169" t="e">
            <v>#N/A</v>
          </cell>
          <cell r="AD169" t="str">
            <v>1809-07</v>
          </cell>
          <cell r="AE16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0">
          <cell r="A170" t="str">
            <v>1810-07</v>
          </cell>
          <cell r="B170">
            <v>4041</v>
          </cell>
          <cell r="C170" t="str">
            <v>DE.1.0.7.0</v>
          </cell>
          <cell r="D170" t="str">
            <v>300:58604</v>
          </cell>
          <cell r="E170">
            <v>42589.443449074075</v>
          </cell>
          <cell r="F170">
            <v>42589.444247685184</v>
          </cell>
          <cell r="G170">
            <v>1</v>
          </cell>
          <cell r="H170" t="str">
            <v>204:755</v>
          </cell>
          <cell r="I170">
            <v>42589.455891203703</v>
          </cell>
          <cell r="J170">
            <v>1</v>
          </cell>
          <cell r="K170" t="str">
            <v>4041/4042</v>
          </cell>
          <cell r="L170" t="str">
            <v>STARKS</v>
          </cell>
          <cell r="M170">
            <v>1.1643518519122154E-2</v>
          </cell>
          <cell r="N170">
            <v>16.766666667535901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7.5499999999999998E-2</v>
          </cell>
          <cell r="AA170">
            <v>5.7849000000000004</v>
          </cell>
          <cell r="AB170" t="e">
            <v>#N/A</v>
          </cell>
          <cell r="AC170" t="e">
            <v>#N/A</v>
          </cell>
          <cell r="AD170" t="str">
            <v>1810-07</v>
          </cell>
          <cell r="AE17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1">
          <cell r="A171" t="str">
            <v>1811-07</v>
          </cell>
          <cell r="B171">
            <v>4042</v>
          </cell>
          <cell r="C171" t="str">
            <v>DE.1.0.7.0</v>
          </cell>
          <cell r="D171" t="str">
            <v>204:1034</v>
          </cell>
          <cell r="E171">
            <v>42589.469699074078</v>
          </cell>
          <cell r="F171">
            <v>42589.470914351848</v>
          </cell>
          <cell r="G171">
            <v>1</v>
          </cell>
          <cell r="H171" t="str">
            <v>300:58926</v>
          </cell>
          <cell r="I171">
            <v>42589.483668981484</v>
          </cell>
          <cell r="J171">
            <v>1</v>
          </cell>
          <cell r="K171" t="str">
            <v>4041/4042</v>
          </cell>
          <cell r="L171" t="str">
            <v>STARKS</v>
          </cell>
          <cell r="M171">
            <v>1.2754629635310266E-2</v>
          </cell>
          <cell r="N171">
            <v>18.366666674846783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1" t="str">
            <v>N</v>
          </cell>
          <cell r="X171">
            <v>1</v>
          </cell>
          <cell r="Y171">
            <v>0.10340000000000001</v>
          </cell>
          <cell r="Z171">
            <v>5.8925999999999998</v>
          </cell>
          <cell r="AA171">
            <v>5.7892000000000001</v>
          </cell>
          <cell r="AB171" t="e">
            <v>#N/A</v>
          </cell>
          <cell r="AC171" t="e">
            <v>#N/A</v>
          </cell>
          <cell r="AD171" t="str">
            <v>1811-07</v>
          </cell>
          <cell r="AE17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2">
          <cell r="A172" t="str">
            <v>1812-07</v>
          </cell>
          <cell r="B172">
            <v>4041</v>
          </cell>
          <cell r="C172" t="str">
            <v>DE.1.0.7.0</v>
          </cell>
          <cell r="D172" t="str">
            <v>300:58598</v>
          </cell>
          <cell r="E172">
            <v>42589.4844212963</v>
          </cell>
          <cell r="F172">
            <v>42589.48537037037</v>
          </cell>
          <cell r="G172">
            <v>1</v>
          </cell>
          <cell r="H172" t="str">
            <v>204:869</v>
          </cell>
          <cell r="I172">
            <v>42589.497881944444</v>
          </cell>
          <cell r="J172">
            <v>0</v>
          </cell>
          <cell r="K172" t="str">
            <v>4041/4042</v>
          </cell>
          <cell r="L172" t="str">
            <v>STARKS</v>
          </cell>
          <cell r="M172">
            <v>1.2511574073869269E-2</v>
          </cell>
          <cell r="N172">
            <v>18.016666666371748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https://search-rtdc-monitor-bjffxe2xuh6vdkpspy63sjmuny.us-east-1.es.amazonaws.com/_plugin/kibana/#/discover/Steve-Slow-Train-Analysis-(2080s-and-2083s)?_g=(refreshInterval:(display:Off,section:0,value:0),time:(from:'2016-08-07 10:37:34-0600',mode:absolute,to:'2016-08-07 12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2" t="str">
            <v>N</v>
          </cell>
          <cell r="X172">
            <v>1</v>
          </cell>
          <cell r="Y172">
            <v>5.8597999999999999</v>
          </cell>
          <cell r="Z172">
            <v>8.6900000000000005E-2</v>
          </cell>
          <cell r="AA172">
            <v>5.7728999999999999</v>
          </cell>
          <cell r="AB172" t="e">
            <v>#N/A</v>
          </cell>
          <cell r="AC172" t="e">
            <v>#N/A</v>
          </cell>
          <cell r="AD172" t="str">
            <v>1812-07</v>
          </cell>
          <cell r="AE17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3">
          <cell r="A173" t="str">
            <v>1813-07</v>
          </cell>
          <cell r="B173">
            <v>4042</v>
          </cell>
          <cell r="C173" t="str">
            <v>DE.1.0.7.0</v>
          </cell>
          <cell r="D173" t="str">
            <v>204:1168</v>
          </cell>
          <cell r="E173">
            <v>42589.511481481481</v>
          </cell>
          <cell r="F173">
            <v>42589.512372685182</v>
          </cell>
          <cell r="G173">
            <v>1</v>
          </cell>
          <cell r="H173" t="str">
            <v>300:58935</v>
          </cell>
          <cell r="I173">
            <v>42589.525810185187</v>
          </cell>
          <cell r="J173">
            <v>1</v>
          </cell>
          <cell r="K173" t="str">
            <v>4041/4042</v>
          </cell>
          <cell r="L173" t="str">
            <v>STARKS</v>
          </cell>
          <cell r="M173">
            <v>1.3437500005238689E-2</v>
          </cell>
          <cell r="N173">
            <v>19.350000007543713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3" t="str">
            <v>N</v>
          </cell>
          <cell r="X173">
            <v>1</v>
          </cell>
          <cell r="Y173">
            <v>0.1168</v>
          </cell>
          <cell r="Z173">
            <v>5.8935000000000004</v>
          </cell>
          <cell r="AA173">
            <v>5.7767000000000008</v>
          </cell>
          <cell r="AB173" t="e">
            <v>#N/A</v>
          </cell>
          <cell r="AC173" t="e">
            <v>#N/A</v>
          </cell>
          <cell r="AD173" t="str">
            <v>1813-07</v>
          </cell>
          <cell r="AE17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4">
          <cell r="A174" t="str">
            <v>1814-07</v>
          </cell>
          <cell r="B174">
            <v>4041</v>
          </cell>
          <cell r="C174" t="str">
            <v>DE.1.0.7.0</v>
          </cell>
          <cell r="D174" t="str">
            <v>300:58606</v>
          </cell>
          <cell r="E174">
            <v>42589.526898148149</v>
          </cell>
          <cell r="F174">
            <v>42589.527638888889</v>
          </cell>
          <cell r="G174">
            <v>1</v>
          </cell>
          <cell r="H174" t="str">
            <v>204:675</v>
          </cell>
          <cell r="I174">
            <v>42589.539293981485</v>
          </cell>
          <cell r="J174">
            <v>1</v>
          </cell>
          <cell r="K174" t="str">
            <v>4041/4042</v>
          </cell>
          <cell r="L174" t="str">
            <v>STARKS</v>
          </cell>
          <cell r="M174">
            <v>1.1655092595901806E-2</v>
          </cell>
          <cell r="N174">
            <v>16.783333338098601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4" t="str">
            <v>N</v>
          </cell>
          <cell r="X174">
            <v>1</v>
          </cell>
          <cell r="Y174">
            <v>5.8605999999999998</v>
          </cell>
          <cell r="Z174">
            <v>6.7500000000000004E-2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1814-07</v>
          </cell>
          <cell r="AE17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5">
          <cell r="A175" t="str">
            <v>1815-07</v>
          </cell>
          <cell r="B175">
            <v>4042</v>
          </cell>
          <cell r="C175" t="str">
            <v>DE.1.0.7.0</v>
          </cell>
          <cell r="D175" t="str">
            <v>204:960</v>
          </cell>
          <cell r="E175">
            <v>42589.552291666667</v>
          </cell>
          <cell r="F175">
            <v>42589.553576388891</v>
          </cell>
          <cell r="G175">
            <v>1</v>
          </cell>
          <cell r="H175" t="str">
            <v>300:58922</v>
          </cell>
          <cell r="I175">
            <v>42589.566874999997</v>
          </cell>
          <cell r="J175">
            <v>0</v>
          </cell>
          <cell r="K175" t="str">
            <v>4041/4042</v>
          </cell>
          <cell r="L175" t="str">
            <v>STARKS</v>
          </cell>
          <cell r="M175">
            <v>1.3298611105710734E-2</v>
          </cell>
          <cell r="N175">
            <v>19.149999992223457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https://search-rtdc-monitor-bjffxe2xuh6vdkpspy63sjmuny.us-east-1.es.amazonaws.com/_plugin/kibana/#/discover/Steve-Slow-Train-Analysis-(2080s-and-2083s)?_g=(refreshInterval:(display:Off,section:0,value:0),time:(from:'2016-08-07 12:15:18-0600',mode:absolute,to:'2016-08-07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5" t="str">
            <v>N</v>
          </cell>
          <cell r="X175">
            <v>1</v>
          </cell>
          <cell r="Y175">
            <v>9.6000000000000002E-2</v>
          </cell>
          <cell r="Z175">
            <v>5.8921999999999999</v>
          </cell>
          <cell r="AA175">
            <v>5.7961999999999998</v>
          </cell>
          <cell r="AB175" t="e">
            <v>#N/A</v>
          </cell>
          <cell r="AC175" t="e">
            <v>#N/A</v>
          </cell>
          <cell r="AD175" t="str">
            <v>1815-07</v>
          </cell>
          <cell r="AE17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6">
          <cell r="A176" t="str">
            <v>1816-07</v>
          </cell>
          <cell r="B176">
            <v>4041</v>
          </cell>
          <cell r="C176" t="str">
            <v>DE.1.0.7.0</v>
          </cell>
          <cell r="D176" t="str">
            <v>300:58609</v>
          </cell>
          <cell r="E176">
            <v>42589.567789351851</v>
          </cell>
          <cell r="F176">
            <v>42589.568518518521</v>
          </cell>
          <cell r="G176">
            <v>1</v>
          </cell>
          <cell r="H176" t="str">
            <v>204:650</v>
          </cell>
          <cell r="I176">
            <v>42589.580752314818</v>
          </cell>
          <cell r="J176">
            <v>0</v>
          </cell>
          <cell r="K176" t="str">
            <v>4041/4042</v>
          </cell>
          <cell r="L176" t="str">
            <v>STARKS</v>
          </cell>
          <cell r="M176">
            <v>1.2233796296641231E-2</v>
          </cell>
          <cell r="N176">
            <v>17.616666667163372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https://search-rtdc-monitor-bjffxe2xuh6vdkpspy63sjmuny.us-east-1.es.amazonaws.com/_plugin/kibana/#/discover/Steve-Slow-Train-Analysis-(2080s-and-2083s)?_g=(refreshInterval:(display:Off,section:0,value:0),time:(from:'2016-08-07 12:37:37-0600',mode:absolute,to:'2016-08-07 14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6" t="str">
            <v>N</v>
          </cell>
          <cell r="X176">
            <v>1</v>
          </cell>
          <cell r="Y176">
            <v>5.8609</v>
          </cell>
          <cell r="Z176">
            <v>6.5000000000000002E-2</v>
          </cell>
          <cell r="AA176">
            <v>5.7958999999999996</v>
          </cell>
          <cell r="AB176" t="e">
            <v>#N/A</v>
          </cell>
          <cell r="AC176" t="e">
            <v>#N/A</v>
          </cell>
          <cell r="AD176" t="str">
            <v>1816-07</v>
          </cell>
          <cell r="AE17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7">
          <cell r="A177" t="str">
            <v>1817-07</v>
          </cell>
          <cell r="B177">
            <v>4042</v>
          </cell>
          <cell r="C177" t="str">
            <v>DE.1.0.7.0</v>
          </cell>
          <cell r="D177" t="str">
            <v>204:934</v>
          </cell>
          <cell r="E177">
            <v>42589.586956018517</v>
          </cell>
          <cell r="F177">
            <v>42589.587881944448</v>
          </cell>
          <cell r="G177">
            <v>1</v>
          </cell>
          <cell r="H177" t="str">
            <v>300:58861</v>
          </cell>
          <cell r="I177">
            <v>42589.607858796298</v>
          </cell>
          <cell r="J177">
            <v>1</v>
          </cell>
          <cell r="K177" t="str">
            <v>4041/4042</v>
          </cell>
          <cell r="L177" t="str">
            <v>STAMBAUGH</v>
          </cell>
          <cell r="M177">
            <v>1.9976851850515231E-2</v>
          </cell>
          <cell r="N177">
            <v>28.766666664741933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7" t="str">
            <v>N</v>
          </cell>
          <cell r="X177">
            <v>1</v>
          </cell>
          <cell r="Y177">
            <v>9.3399999999999997E-2</v>
          </cell>
          <cell r="Z177">
            <v>5.8860999999999999</v>
          </cell>
          <cell r="AA177">
            <v>5.7927</v>
          </cell>
          <cell r="AB177" t="e">
            <v>#N/A</v>
          </cell>
          <cell r="AC177" t="e">
            <v>#N/A</v>
          </cell>
          <cell r="AD177" t="str">
            <v>1817-07</v>
          </cell>
          <cell r="AE17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8">
          <cell r="A178" t="str">
            <v>1818-07</v>
          </cell>
          <cell r="B178">
            <v>4041</v>
          </cell>
          <cell r="C178" t="str">
            <v>DE.1.0.7.0</v>
          </cell>
          <cell r="D178" t="str">
            <v>300:58545</v>
          </cell>
          <cell r="E178">
            <v>42589.6093287037</v>
          </cell>
          <cell r="F178">
            <v>42589.610243055555</v>
          </cell>
          <cell r="G178">
            <v>1</v>
          </cell>
          <cell r="H178" t="str">
            <v>204:715</v>
          </cell>
          <cell r="I178">
            <v>42589.62537037037</v>
          </cell>
          <cell r="J178">
            <v>1</v>
          </cell>
          <cell r="K178" t="str">
            <v>4041/4042</v>
          </cell>
          <cell r="L178" t="str">
            <v>STAMBAUGH</v>
          </cell>
          <cell r="M178">
            <v>1.5127314814890269E-2</v>
          </cell>
          <cell r="N178">
            <v>21.783333333441988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8" t="str">
            <v>N</v>
          </cell>
          <cell r="X178">
            <v>1</v>
          </cell>
          <cell r="Y178">
            <v>5.8544999999999998</v>
          </cell>
          <cell r="Z178">
            <v>7.1499999999999994E-2</v>
          </cell>
          <cell r="AA178">
            <v>5.7829999999999995</v>
          </cell>
          <cell r="AB178" t="e">
            <v>#N/A</v>
          </cell>
          <cell r="AC178" t="e">
            <v>#N/A</v>
          </cell>
          <cell r="AD178" t="str">
            <v>1818-07</v>
          </cell>
          <cell r="AE17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9">
          <cell r="A179" t="str">
            <v>1819-07</v>
          </cell>
          <cell r="B179">
            <v>4042</v>
          </cell>
          <cell r="C179" t="str">
            <v>DE.1.0.7.0</v>
          </cell>
          <cell r="D179" t="str">
            <v>204:1016</v>
          </cell>
          <cell r="E179">
            <v>42589.635555555556</v>
          </cell>
          <cell r="F179">
            <v>42589.636643518519</v>
          </cell>
          <cell r="G179">
            <v>1</v>
          </cell>
          <cell r="H179" t="str">
            <v>300:58890</v>
          </cell>
          <cell r="I179">
            <v>42589.649351851855</v>
          </cell>
          <cell r="J179">
            <v>0</v>
          </cell>
          <cell r="K179" t="str">
            <v>4041/4042</v>
          </cell>
          <cell r="L179" t="str">
            <v>STAMBAUGH</v>
          </cell>
          <cell r="M179">
            <v>1.2708333335467614E-2</v>
          </cell>
          <cell r="N179">
            <v>18.300000003073364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https://search-rtdc-monitor-bjffxe2xuh6vdkpspy63sjmuny.us-east-1.es.amazonaws.com/_plugin/kibana/#/discover/Steve-Slow-Train-Analysis-(2080s-and-2083s)?_g=(refreshInterval:(display:Off,section:0,value:0),time:(from:'2016-08-07 14:15:12-0600',mode:absolute,to:'2016-08-07 16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9" t="str">
            <v>N</v>
          </cell>
          <cell r="X179">
            <v>1</v>
          </cell>
          <cell r="Y179">
            <v>0.1016</v>
          </cell>
          <cell r="Z179">
            <v>5.8890000000000002</v>
          </cell>
          <cell r="AA179">
            <v>5.7873999999999999</v>
          </cell>
          <cell r="AB179" t="e">
            <v>#N/A</v>
          </cell>
          <cell r="AC179" t="e">
            <v>#N/A</v>
          </cell>
          <cell r="AD179" t="str">
            <v>1819-07</v>
          </cell>
          <cell r="AE17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80">
          <cell r="A180" t="str">
            <v>1820-07</v>
          </cell>
          <cell r="B180">
            <v>4041</v>
          </cell>
          <cell r="C180" t="str">
            <v>DE.1.0.7.0</v>
          </cell>
          <cell r="D180" t="str">
            <v>300:58566</v>
          </cell>
          <cell r="E180">
            <v>42589.650891203702</v>
          </cell>
          <cell r="F180">
            <v>42589.651678240742</v>
          </cell>
          <cell r="G180">
            <v>1</v>
          </cell>
          <cell r="H180" t="str">
            <v>204:129</v>
          </cell>
          <cell r="I180">
            <v>42589.66511574074</v>
          </cell>
          <cell r="J180">
            <v>1</v>
          </cell>
          <cell r="K180" t="str">
            <v>4041/4042</v>
          </cell>
          <cell r="L180" t="str">
            <v>STAMBAUGH</v>
          </cell>
          <cell r="M180">
            <v>1.3437499997962732E-2</v>
          </cell>
          <cell r="N180">
            <v>19.349999997066334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0" t="str">
            <v>N</v>
          </cell>
          <cell r="X180">
            <v>1</v>
          </cell>
          <cell r="Y180">
            <v>5.8566000000000003</v>
          </cell>
          <cell r="Z180">
            <v>1.29E-2</v>
          </cell>
          <cell r="AA180">
            <v>5.8437000000000001</v>
          </cell>
          <cell r="AB180" t="e">
            <v>#N/A</v>
          </cell>
          <cell r="AC180" t="e">
            <v>#N/A</v>
          </cell>
          <cell r="AD180" t="str">
            <v>1820-07</v>
          </cell>
          <cell r="AE18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81">
          <cell r="A181" t="str">
            <v>1821-07</v>
          </cell>
          <cell r="B181">
            <v>4027</v>
          </cell>
          <cell r="C181" t="str">
            <v>DE.1.0.7.0</v>
          </cell>
          <cell r="D181" t="str">
            <v>204:934</v>
          </cell>
          <cell r="E181">
            <v>42589.680127314816</v>
          </cell>
          <cell r="F181">
            <v>42589.681516203702</v>
          </cell>
          <cell r="G181">
            <v>2</v>
          </cell>
          <cell r="H181" t="str">
            <v>300:58886</v>
          </cell>
          <cell r="I181">
            <v>42589.691840277781</v>
          </cell>
          <cell r="J181">
            <v>0</v>
          </cell>
          <cell r="K181" t="str">
            <v>4027/4028</v>
          </cell>
          <cell r="L181" t="str">
            <v>STAMBAUGH</v>
          </cell>
          <cell r="M181">
            <v>1.0324074079107959E-2</v>
          </cell>
          <cell r="N181">
            <v>14.866666673915461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https://search-rtdc-monitor-bjffxe2xuh6vdkpspy63sjmuny.us-east-1.es.amazonaws.com/_plugin/kibana/#/discover/Steve-Slow-Train-Analysis-(2080s-and-2083s)?_g=(refreshInterval:(display:Off,section:0,value:0),time:(from:'2016-08-07 15:19:23-0600',mode:absolute,to:'2016-08-07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1" t="str">
            <v>N</v>
          </cell>
          <cell r="X181">
            <v>1</v>
          </cell>
          <cell r="Y181">
            <v>9.3399999999999997E-2</v>
          </cell>
          <cell r="Z181">
            <v>5.8886000000000003</v>
          </cell>
          <cell r="AA181">
            <v>5.7952000000000004</v>
          </cell>
          <cell r="AB181" t="e">
            <v>#N/A</v>
          </cell>
          <cell r="AC181" t="e">
            <v>#N/A</v>
          </cell>
          <cell r="AD181" t="str">
            <v>1821-07</v>
          </cell>
          <cell r="AE18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2">
          <cell r="A182" t="str">
            <v>1822-07</v>
          </cell>
          <cell r="B182">
            <v>4028</v>
          </cell>
          <cell r="C182" t="str">
            <v>DE.1.0.7.0</v>
          </cell>
          <cell r="D182" t="str">
            <v>300:58575</v>
          </cell>
          <cell r="E182">
            <v>42589.692974537036</v>
          </cell>
          <cell r="F182">
            <v>42589.693831018521</v>
          </cell>
          <cell r="G182">
            <v>1</v>
          </cell>
          <cell r="H182" t="str">
            <v>204:675</v>
          </cell>
          <cell r="I182">
            <v>42589.707627314812</v>
          </cell>
          <cell r="J182">
            <v>1</v>
          </cell>
          <cell r="K182" t="str">
            <v>4027/4028</v>
          </cell>
          <cell r="L182" t="str">
            <v>STAMBAUGH</v>
          </cell>
          <cell r="M182">
            <v>1.3796296290820464E-2</v>
          </cell>
          <cell r="N182">
            <v>19.866666658781469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2" t="str">
            <v>N</v>
          </cell>
          <cell r="X182">
            <v>1</v>
          </cell>
          <cell r="Y182">
            <v>5.8574999999999999</v>
          </cell>
          <cell r="Z182">
            <v>6.7500000000000004E-2</v>
          </cell>
          <cell r="AA182">
            <v>5.79</v>
          </cell>
          <cell r="AB182" t="e">
            <v>#N/A</v>
          </cell>
          <cell r="AC182" t="e">
            <v>#N/A</v>
          </cell>
          <cell r="AD182" t="str">
            <v>1822-07</v>
          </cell>
          <cell r="AE18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3">
          <cell r="A183" t="str">
            <v>1823-07</v>
          </cell>
          <cell r="B183">
            <v>4027</v>
          </cell>
          <cell r="C183" t="str">
            <v>DE.1.0.7.0</v>
          </cell>
          <cell r="D183" t="str">
            <v>204:971</v>
          </cell>
          <cell r="E183">
            <v>42589.717858796299</v>
          </cell>
          <cell r="F183">
            <v>42589.718888888892</v>
          </cell>
          <cell r="G183">
            <v>1</v>
          </cell>
          <cell r="H183" t="str">
            <v>300:59011</v>
          </cell>
          <cell r="I183">
            <v>42589.733749999999</v>
          </cell>
          <cell r="J183">
            <v>1</v>
          </cell>
          <cell r="K183" t="str">
            <v>4027/4028</v>
          </cell>
          <cell r="L183" t="str">
            <v>STAMBAUGH</v>
          </cell>
          <cell r="M183">
            <v>1.4861111107165925E-2</v>
          </cell>
          <cell r="N183">
            <v>21.399999994318932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3" t="str">
            <v>N</v>
          </cell>
          <cell r="X183">
            <v>1</v>
          </cell>
          <cell r="Y183">
            <v>9.7100000000000006E-2</v>
          </cell>
          <cell r="Z183">
            <v>5.9010999999999996</v>
          </cell>
          <cell r="AA183">
            <v>5.8039999999999994</v>
          </cell>
          <cell r="AB183" t="e">
            <v>#N/A</v>
          </cell>
          <cell r="AC183" t="e">
            <v>#N/A</v>
          </cell>
          <cell r="AD183" t="str">
            <v>1823-07</v>
          </cell>
          <cell r="AE18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4">
          <cell r="A184" t="str">
            <v>1824-07</v>
          </cell>
          <cell r="B184">
            <v>4028</v>
          </cell>
          <cell r="C184" t="str">
            <v>DE.1.0.7.0</v>
          </cell>
          <cell r="D184" t="str">
            <v>300:58687</v>
          </cell>
          <cell r="E184">
            <v>42589.735011574077</v>
          </cell>
          <cell r="F184">
            <v>42589.735902777778</v>
          </cell>
          <cell r="G184">
            <v>1</v>
          </cell>
          <cell r="H184" t="str">
            <v>204:715</v>
          </cell>
          <cell r="I184">
            <v>42589.746701388889</v>
          </cell>
          <cell r="J184">
            <v>1</v>
          </cell>
          <cell r="K184" t="str">
            <v>4027/4028</v>
          </cell>
          <cell r="L184" t="str">
            <v>STAMBAUGH</v>
          </cell>
          <cell r="M184">
            <v>1.0798611110658385E-2</v>
          </cell>
          <cell r="N184">
            <v>15.549999999348074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4" t="str">
            <v>N</v>
          </cell>
          <cell r="X184">
            <v>1</v>
          </cell>
          <cell r="Y184">
            <v>5.8686999999999996</v>
          </cell>
          <cell r="Z184">
            <v>7.1499999999999994E-2</v>
          </cell>
          <cell r="AA184">
            <v>5.7971999999999992</v>
          </cell>
          <cell r="AB184" t="e">
            <v>#N/A</v>
          </cell>
          <cell r="AC184" t="e">
            <v>#N/A</v>
          </cell>
          <cell r="AD184" t="str">
            <v>1824-07</v>
          </cell>
          <cell r="AE184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5">
          <cell r="A185" t="str">
            <v>1825-07</v>
          </cell>
          <cell r="B185">
            <v>4027</v>
          </cell>
          <cell r="C185" t="str">
            <v>DE.1.0.7.0</v>
          </cell>
          <cell r="D185" t="str">
            <v>204:981</v>
          </cell>
          <cell r="E185">
            <v>42589.759247685186</v>
          </cell>
          <cell r="F185">
            <v>42589.759988425925</v>
          </cell>
          <cell r="G185">
            <v>1</v>
          </cell>
          <cell r="H185" t="str">
            <v>300:59016</v>
          </cell>
          <cell r="I185">
            <v>42589.774548611109</v>
          </cell>
          <cell r="J185">
            <v>1</v>
          </cell>
          <cell r="K185" t="str">
            <v>4027/4028</v>
          </cell>
          <cell r="L185" t="str">
            <v>STAMBAUGH</v>
          </cell>
          <cell r="M185">
            <v>1.4560185183654539E-2</v>
          </cell>
          <cell r="N185">
            <v>20.966666664462537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5" t="str">
            <v>N</v>
          </cell>
          <cell r="X185">
            <v>1</v>
          </cell>
          <cell r="Y185">
            <v>9.8100000000000007E-2</v>
          </cell>
          <cell r="Z185">
            <v>5.9016000000000002</v>
          </cell>
          <cell r="AA185">
            <v>5.8035000000000005</v>
          </cell>
          <cell r="AB185" t="e">
            <v>#N/A</v>
          </cell>
          <cell r="AC185" t="e">
            <v>#N/A</v>
          </cell>
          <cell r="AD185" t="str">
            <v>1825-07</v>
          </cell>
          <cell r="AE185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6">
          <cell r="A186" t="str">
            <v>1826-07</v>
          </cell>
          <cell r="B186">
            <v>4028</v>
          </cell>
          <cell r="C186" t="str">
            <v>DE.1.0.7.0</v>
          </cell>
          <cell r="D186" t="str">
            <v>300:58698</v>
          </cell>
          <cell r="E186">
            <v>42589.775682870371</v>
          </cell>
          <cell r="F186">
            <v>42589.777060185188</v>
          </cell>
          <cell r="G186">
            <v>1</v>
          </cell>
          <cell r="H186" t="str">
            <v>204:776</v>
          </cell>
          <cell r="I186">
            <v>42589.78833333333</v>
          </cell>
          <cell r="J186">
            <v>0</v>
          </cell>
          <cell r="K186" t="str">
            <v>4027/4028</v>
          </cell>
          <cell r="L186" t="str">
            <v>STAMBAUGH</v>
          </cell>
          <cell r="M186">
            <v>1.1273148142208811E-2</v>
          </cell>
          <cell r="N186">
            <v>16.233333324780688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https://search-rtdc-monitor-bjffxe2xuh6vdkpspy63sjmuny.us-east-1.es.amazonaws.com/_plugin/kibana/#/discover/Steve-Slow-Train-Analysis-(2080s-and-2083s)?_g=(refreshInterval:(display:Off,section:0,value:0),time:(from:'2016-08-07 17:36:59-0600',mode:absolute,to:'2016-08-07 19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6" t="str">
            <v>N</v>
          </cell>
          <cell r="X186">
            <v>1</v>
          </cell>
          <cell r="Y186">
            <v>5.8697999999999997</v>
          </cell>
          <cell r="Z186">
            <v>7.7600000000000002E-2</v>
          </cell>
          <cell r="AA186">
            <v>5.7921999999999993</v>
          </cell>
          <cell r="AB186" t="e">
            <v>#N/A</v>
          </cell>
          <cell r="AC186" t="e">
            <v>#N/A</v>
          </cell>
          <cell r="AD186" t="str">
            <v>1826-07</v>
          </cell>
          <cell r="AE186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7">
          <cell r="A187" t="str">
            <v>1827-07</v>
          </cell>
          <cell r="B187">
            <v>4027</v>
          </cell>
          <cell r="C187" t="str">
            <v>DE.1.0.7.0</v>
          </cell>
          <cell r="D187" t="str">
            <v>204:1072</v>
          </cell>
          <cell r="E187">
            <v>42589.802175925928</v>
          </cell>
          <cell r="F187">
            <v>42589.803078703706</v>
          </cell>
          <cell r="G187">
            <v>1</v>
          </cell>
          <cell r="H187" t="str">
            <v>300:58965</v>
          </cell>
          <cell r="I187">
            <v>42589.817916666667</v>
          </cell>
          <cell r="J187">
            <v>0</v>
          </cell>
          <cell r="K187" t="str">
            <v>4027/4028</v>
          </cell>
          <cell r="L187" t="str">
            <v>STAMBAUGH</v>
          </cell>
          <cell r="M187">
            <v>1.4837962960882578E-2</v>
          </cell>
          <cell r="N187">
            <v>21.366666663670912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https://search-rtdc-monitor-bjffxe2xuh6vdkpspy63sjmuny.us-east-1.es.amazonaws.com/_plugin/kibana/#/discover/Steve-Slow-Train-Analysis-(2080s-and-2083s)?_g=(refreshInterval:(display:Off,section:0,value:0),time:(from:'2016-08-07 18:15:08-0600',mode:absolute,to:'2016-08-07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7" t="str">
            <v>N</v>
          </cell>
          <cell r="X187">
            <v>1</v>
          </cell>
          <cell r="Y187">
            <v>0.1072</v>
          </cell>
          <cell r="Z187">
            <v>5.8964999999999996</v>
          </cell>
          <cell r="AA187">
            <v>5.7892999999999999</v>
          </cell>
          <cell r="AB187" t="e">
            <v>#N/A</v>
          </cell>
          <cell r="AC187" t="e">
            <v>#N/A</v>
          </cell>
          <cell r="AD187" t="str">
            <v>1827-07</v>
          </cell>
          <cell r="AE187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8">
          <cell r="A188" t="str">
            <v>1828-07</v>
          </cell>
          <cell r="B188">
            <v>4028</v>
          </cell>
          <cell r="C188" t="str">
            <v>DE.1.0.7.0</v>
          </cell>
          <cell r="D188" t="str">
            <v>300:58651</v>
          </cell>
          <cell r="E188">
            <v>42589.819155092591</v>
          </cell>
          <cell r="F188">
            <v>42589.819895833331</v>
          </cell>
          <cell r="G188">
            <v>1</v>
          </cell>
          <cell r="H188" t="str">
            <v>204:680</v>
          </cell>
          <cell r="I188">
            <v>42589.83017361111</v>
          </cell>
          <cell r="J188">
            <v>1</v>
          </cell>
          <cell r="K188" t="str">
            <v>4027/4028</v>
          </cell>
          <cell r="L188" t="str">
            <v>STAMBAUGH</v>
          </cell>
          <cell r="M188">
            <v>1.0277777779265307E-2</v>
          </cell>
          <cell r="N188">
            <v>14.800000002142042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8" t="str">
            <v>N</v>
          </cell>
          <cell r="X188">
            <v>1</v>
          </cell>
          <cell r="Y188">
            <v>5.8651</v>
          </cell>
          <cell r="Z188">
            <v>6.8000000000000005E-2</v>
          </cell>
          <cell r="AA188">
            <v>5.7971000000000004</v>
          </cell>
          <cell r="AB188" t="e">
            <v>#N/A</v>
          </cell>
          <cell r="AC188" t="e">
            <v>#N/A</v>
          </cell>
          <cell r="AD188" t="str">
            <v>1828-07</v>
          </cell>
          <cell r="AE18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9">
          <cell r="A189" t="str">
            <v>1829-07</v>
          </cell>
          <cell r="B189">
            <v>4027</v>
          </cell>
          <cell r="C189" t="str">
            <v>DE.1.0.7.0</v>
          </cell>
          <cell r="D189" t="str">
            <v>204:969</v>
          </cell>
          <cell r="E189">
            <v>42589.842118055552</v>
          </cell>
          <cell r="F189">
            <v>42589.842986111114</v>
          </cell>
          <cell r="G189">
            <v>1</v>
          </cell>
          <cell r="H189" t="str">
            <v>300:59005</v>
          </cell>
          <cell r="I189">
            <v>42589.85864583333</v>
          </cell>
          <cell r="J189">
            <v>0</v>
          </cell>
          <cell r="K189" t="str">
            <v>4027/4028</v>
          </cell>
          <cell r="L189" t="str">
            <v>STAMBAUGH</v>
          </cell>
          <cell r="M189">
            <v>1.5659722215787042E-2</v>
          </cell>
          <cell r="N189">
            <v>22.54999999073334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https://search-rtdc-monitor-bjffxe2xuh6vdkpspy63sjmuny.us-east-1.es.amazonaws.com/_plugin/kibana/#/discover/Steve-Slow-Train-Analysis-(2080s-and-2083s)?_g=(refreshInterval:(display:Off,section:0,value:0),time:(from:'2016-08-07 19:12:39-0600',mode:absolute,to:'2016-08-07 21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5.9005000000000001</v>
          </cell>
          <cell r="AA189">
            <v>5.8036000000000003</v>
          </cell>
          <cell r="AB189" t="e">
            <v>#N/A</v>
          </cell>
          <cell r="AC189" t="e">
            <v>#N/A</v>
          </cell>
          <cell r="AD189" t="str">
            <v>1829-07</v>
          </cell>
          <cell r="AE189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0">
          <cell r="A190" t="str">
            <v>1830-07</v>
          </cell>
          <cell r="B190">
            <v>4028</v>
          </cell>
          <cell r="C190" t="str">
            <v>DE.1.0.7.0</v>
          </cell>
          <cell r="D190" t="str">
            <v>300:58678</v>
          </cell>
          <cell r="E190">
            <v>42589.861655092594</v>
          </cell>
          <cell r="F190">
            <v>42589.862569444442</v>
          </cell>
          <cell r="G190">
            <v>1</v>
          </cell>
          <cell r="H190" t="str">
            <v>204:685</v>
          </cell>
          <cell r="I190">
            <v>42589.872349537036</v>
          </cell>
          <cell r="J190">
            <v>0</v>
          </cell>
          <cell r="K190" t="str">
            <v>4027/4028</v>
          </cell>
          <cell r="L190" t="str">
            <v>STAMBAUGH</v>
          </cell>
          <cell r="M190">
            <v>9.7800925941555761E-3</v>
          </cell>
          <cell r="N190">
            <v>14.08333333558403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https://search-rtdc-monitor-bjffxe2xuh6vdkpspy63sjmuny.us-east-1.es.amazonaws.com/_plugin/kibana/#/discover/Steve-Slow-Train-Analysis-(2080s-and-2083s)?_g=(refreshInterval:(display:Off,section:0,value:0),time:(from:'2016-08-07 19:40:47-0600',mode:absolute,to:'2016-08-07 21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0" t="str">
            <v>N</v>
          </cell>
          <cell r="X190">
            <v>1</v>
          </cell>
          <cell r="Y190">
            <v>5.8677999999999999</v>
          </cell>
          <cell r="Z190">
            <v>6.8500000000000005E-2</v>
          </cell>
          <cell r="AA190">
            <v>5.7992999999999997</v>
          </cell>
          <cell r="AB190" t="e">
            <v>#N/A</v>
          </cell>
          <cell r="AC190" t="e">
            <v>#N/A</v>
          </cell>
          <cell r="AD190" t="str">
            <v>1830-07</v>
          </cell>
          <cell r="AE190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1">
          <cell r="A191" t="str">
            <v>1831-07</v>
          </cell>
          <cell r="B191">
            <v>4027</v>
          </cell>
          <cell r="C191" t="str">
            <v>DE.1.0.7.0</v>
          </cell>
          <cell r="D191" t="str">
            <v>204:965</v>
          </cell>
          <cell r="E191">
            <v>42589.886747685188</v>
          </cell>
          <cell r="F191">
            <v>42589.888206018521</v>
          </cell>
          <cell r="G191">
            <v>2</v>
          </cell>
          <cell r="H191" t="str">
            <v>300:58844</v>
          </cell>
          <cell r="I191">
            <v>42589.899606481478</v>
          </cell>
          <cell r="J191">
            <v>2</v>
          </cell>
          <cell r="K191" t="str">
            <v>4027/4028</v>
          </cell>
          <cell r="L191" t="str">
            <v>STAMBAUGH</v>
          </cell>
          <cell r="M191">
            <v>1.1400462957681157E-2</v>
          </cell>
          <cell r="N191">
            <v>16.416666659060866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1" t="str">
            <v>N</v>
          </cell>
          <cell r="X191">
            <v>1</v>
          </cell>
          <cell r="Y191">
            <v>9.6500000000000002E-2</v>
          </cell>
          <cell r="Z191">
            <v>5.8844000000000003</v>
          </cell>
          <cell r="AA191">
            <v>5.7879000000000005</v>
          </cell>
          <cell r="AB191" t="e">
            <v>#N/A</v>
          </cell>
          <cell r="AC191" t="e">
            <v>#N/A</v>
          </cell>
          <cell r="AD191" t="str">
            <v>1831-07</v>
          </cell>
          <cell r="AE19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2">
          <cell r="A192" t="str">
            <v>1832-07</v>
          </cell>
          <cell r="B192">
            <v>4028</v>
          </cell>
          <cell r="C192" t="str">
            <v>DE.1.0.7.0</v>
          </cell>
          <cell r="D192" t="str">
            <v>300:58035</v>
          </cell>
          <cell r="E192">
            <v>42589.900555555556</v>
          </cell>
          <cell r="F192">
            <v>42589.902511574073</v>
          </cell>
          <cell r="G192">
            <v>2</v>
          </cell>
          <cell r="H192" t="str">
            <v>204:694</v>
          </cell>
          <cell r="I192">
            <v>42589.914201388892</v>
          </cell>
          <cell r="J192">
            <v>0</v>
          </cell>
          <cell r="K192" t="str">
            <v>4027/4028</v>
          </cell>
          <cell r="L192" t="str">
            <v>STAMBAUGH</v>
          </cell>
          <cell r="M192">
            <v>1.1689814818964805E-2</v>
          </cell>
          <cell r="N192">
            <v>16.83333333930932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https://search-rtdc-monitor-bjffxe2xuh6vdkpspy63sjmuny.us-east-1.es.amazonaws.com/_plugin/kibana/#/discover/Steve-Slow-Train-Analysis-(2080s-and-2083s)?_g=(refreshInterval:(display:Off,section:0,value:0),time:(from:'2016-08-07 20:36:48-0600',mode:absolute,to:'2016-08-07 22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2" t="str">
            <v>N</v>
          </cell>
          <cell r="X192">
            <v>1</v>
          </cell>
          <cell r="Y192">
            <v>5.8034999999999997</v>
          </cell>
          <cell r="Z192">
            <v>6.9400000000000003E-2</v>
          </cell>
          <cell r="AA192">
            <v>5.7340999999999998</v>
          </cell>
          <cell r="AB192" t="e">
            <v>#N/A</v>
          </cell>
          <cell r="AC192" t="e">
            <v>#N/A</v>
          </cell>
          <cell r="AD192" t="str">
            <v>1832-07</v>
          </cell>
          <cell r="AE19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3">
          <cell r="A193" t="str">
            <v>1833-07</v>
          </cell>
          <cell r="B193">
            <v>4027</v>
          </cell>
          <cell r="C193" t="str">
            <v>DE.1.0.7.0</v>
          </cell>
          <cell r="D193" t="str">
            <v>204:981</v>
          </cell>
          <cell r="E193">
            <v>42589.928541666668</v>
          </cell>
          <cell r="F193">
            <v>42589.929398148146</v>
          </cell>
          <cell r="G193">
            <v>1</v>
          </cell>
          <cell r="H193" t="str">
            <v>300:58982</v>
          </cell>
          <cell r="I193">
            <v>42589.941296296296</v>
          </cell>
          <cell r="J193">
            <v>1</v>
          </cell>
          <cell r="K193" t="str">
            <v>4027/4028</v>
          </cell>
          <cell r="L193" t="str">
            <v>STAMBAUGH</v>
          </cell>
          <cell r="M193">
            <v>1.1898148150066845E-2</v>
          </cell>
          <cell r="N193">
            <v>17.133333336096257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3" t="str">
            <v>N</v>
          </cell>
          <cell r="X193">
            <v>1</v>
          </cell>
          <cell r="Y193">
            <v>9.8100000000000007E-2</v>
          </cell>
          <cell r="Z193">
            <v>5.8982000000000001</v>
          </cell>
          <cell r="AA193">
            <v>5.8001000000000005</v>
          </cell>
          <cell r="AB193" t="e">
            <v>#N/A</v>
          </cell>
          <cell r="AC193" t="e">
            <v>#N/A</v>
          </cell>
          <cell r="AD193" t="str">
            <v>1833-07</v>
          </cell>
          <cell r="AE19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4">
          <cell r="A194" t="str">
            <v>303-07</v>
          </cell>
          <cell r="B194">
            <v>4029</v>
          </cell>
          <cell r="C194" t="str">
            <v>DE.1.0.7.0</v>
          </cell>
          <cell r="D194" t="str">
            <v>204:611</v>
          </cell>
          <cell r="E194">
            <v>42589.783761574072</v>
          </cell>
          <cell r="F194">
            <v>42589.78496527778</v>
          </cell>
          <cell r="G194">
            <v>1</v>
          </cell>
          <cell r="H194" t="str">
            <v>300:23301</v>
          </cell>
          <cell r="I194">
            <v>42589.795324074075</v>
          </cell>
          <cell r="J194">
            <v>0</v>
          </cell>
          <cell r="K194" t="str">
            <v>4029/4030</v>
          </cell>
          <cell r="L194" t="str">
            <v>MOSES</v>
          </cell>
          <cell r="M194">
            <v>1.0358796294895001E-2</v>
          </cell>
          <cell r="N194">
            <v>14.916666664648801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https://search-rtdc-monitor-bjffxe2xuh6vdkpspy63sjmuny.us-east-1.es.amazonaws.com/_plugin/kibana/#/discover/Steve-Slow-Train-Analysis-(2080s-and-2083s)?_g=(refreshInterval:(display:Off,section:0,value:0),time:(from:'2016-08-07 17:48:37-0600',mode:absolute,to:'2016-08-07 20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4" t="str">
            <v>Y</v>
          </cell>
          <cell r="X194">
            <v>-1530</v>
          </cell>
          <cell r="Y194">
            <v>6.1100000000000002E-2</v>
          </cell>
          <cell r="Z194">
            <v>2.3300999999999998</v>
          </cell>
          <cell r="AA194">
            <v>2.2689999999999997</v>
          </cell>
          <cell r="AB194" t="e">
            <v>#N/A</v>
          </cell>
          <cell r="AC194" t="e">
            <v>#N/A</v>
          </cell>
          <cell r="AD194" t="str">
            <v>0303-07</v>
          </cell>
          <cell r="AE19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95">
          <cell r="A195" t="str">
            <v>309-07</v>
          </cell>
          <cell r="B195">
            <v>4038</v>
          </cell>
          <cell r="C195" t="str">
            <v>DE.1.0.7.0</v>
          </cell>
          <cell r="D195" t="str">
            <v>204:471</v>
          </cell>
          <cell r="E195">
            <v>42590.029756944445</v>
          </cell>
          <cell r="F195">
            <v>42590.030949074076</v>
          </cell>
          <cell r="G195">
            <v>1</v>
          </cell>
          <cell r="H195" t="str">
            <v>300:21981</v>
          </cell>
          <cell r="I195">
            <v>42590.037430555552</v>
          </cell>
          <cell r="J195">
            <v>0</v>
          </cell>
          <cell r="K195" t="str">
            <v>4037/4038</v>
          </cell>
          <cell r="L195" t="str">
            <v>LEVERE</v>
          </cell>
          <cell r="M195">
            <v>6.4814814759301953E-3</v>
          </cell>
          <cell r="N195">
            <v>9.3333333253394812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https://search-rtdc-monitor-bjffxe2xuh6vdkpspy63sjmuny.us-east-1.es.amazonaws.com/_plugin/kibana/#/discover/Steve-Slow-Train-Analysis-(2080s-and-2083s)?_g=(refreshInterval:(display:Off,section:0,value:0),time:(from:'2016-08-07 23:42:51-0600',mode:absolute,to:'2016-08-08 01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5" t="str">
            <v>Y</v>
          </cell>
          <cell r="X195">
            <v>6</v>
          </cell>
          <cell r="Y195">
            <v>4.7100000000000003E-2</v>
          </cell>
          <cell r="Z195">
            <v>2.1981000000000002</v>
          </cell>
          <cell r="AA195">
            <v>2.1510000000000002</v>
          </cell>
          <cell r="AB195" t="e">
            <v>#N/A</v>
          </cell>
          <cell r="AC195" t="e">
            <v>#N/A</v>
          </cell>
          <cell r="AD195" t="str">
            <v>0309-07</v>
          </cell>
          <cell r="AE19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96">
          <cell r="A196" t="str">
            <v>311-07</v>
          </cell>
          <cell r="B196">
            <v>4025</v>
          </cell>
          <cell r="C196" t="str">
            <v>DE.1.0.7.0</v>
          </cell>
          <cell r="D196" t="str">
            <v>204:491</v>
          </cell>
          <cell r="E196">
            <v>42590.046435185184</v>
          </cell>
          <cell r="F196">
            <v>42590.048506944448</v>
          </cell>
          <cell r="G196">
            <v>2</v>
          </cell>
          <cell r="H196" t="str">
            <v>300:22187</v>
          </cell>
          <cell r="I196">
            <v>42590.053194444445</v>
          </cell>
          <cell r="J196">
            <v>0</v>
          </cell>
          <cell r="K196" t="str">
            <v>4025/4026</v>
          </cell>
          <cell r="L196" t="str">
            <v>COOLAHAN</v>
          </cell>
          <cell r="M196">
            <v>4.687499997089617E-3</v>
          </cell>
          <cell r="N196">
            <v>6.7499999958090484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00:06:52-0600',mode:absolute,to:'2016-08-08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6" t="str">
            <v>Y</v>
          </cell>
          <cell r="X196">
            <v>2</v>
          </cell>
          <cell r="Y196">
            <v>4.9099999999999998E-2</v>
          </cell>
          <cell r="Z196">
            <v>2.2187000000000001</v>
          </cell>
          <cell r="AA196">
            <v>2.1696</v>
          </cell>
          <cell r="AB196" t="e">
            <v>#N/A</v>
          </cell>
          <cell r="AC196" t="e">
            <v>#N/A</v>
          </cell>
          <cell r="AD196" t="str">
            <v>0311-07</v>
          </cell>
          <cell r="AE196" t="str">
            <v>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 &amp; 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</v>
          </cell>
        </row>
        <row r="197">
          <cell r="A197" t="str">
            <v>313-07</v>
          </cell>
          <cell r="B197">
            <v>4044</v>
          </cell>
          <cell r="C197" t="str">
            <v>DE.1.0.7.0</v>
          </cell>
          <cell r="D197" t="str">
            <v>204:442</v>
          </cell>
          <cell r="E197">
            <v>42590.067824074074</v>
          </cell>
          <cell r="F197">
            <v>42590.068773148145</v>
          </cell>
          <cell r="G197">
            <v>1</v>
          </cell>
          <cell r="H197" t="str">
            <v>300:23293</v>
          </cell>
          <cell r="I197">
            <v>42590.076307870368</v>
          </cell>
          <cell r="J197">
            <v>0</v>
          </cell>
          <cell r="K197" t="str">
            <v>4043/4044</v>
          </cell>
          <cell r="L197" t="str">
            <v>NEWELL</v>
          </cell>
          <cell r="M197">
            <v>7.5347222227719612E-3</v>
          </cell>
          <cell r="N197">
            <v>10.850000000791624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00:37:40-0600',mode:absolute,to:'2016-08-08 02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7" t="str">
            <v>Y</v>
          </cell>
          <cell r="X197">
            <v>2</v>
          </cell>
          <cell r="Y197">
            <v>4.4200000000000003E-2</v>
          </cell>
          <cell r="Z197">
            <v>2.3292999999999999</v>
          </cell>
          <cell r="AA197">
            <v>2.2850999999999999</v>
          </cell>
          <cell r="AB197" t="e">
            <v>#N/A</v>
          </cell>
          <cell r="AC197" t="e">
            <v>#N/A</v>
          </cell>
          <cell r="AD197" t="str">
            <v>0313-07</v>
          </cell>
          <cell r="AE197" t="str">
            <v>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 &amp; aws s3 cp s3://rtdc.mdm.uploadarchive/RTDC4044/2016-08-09/ "%USERPROFILE%\AppData\Local\Temp\OnboardLogs"\RTDC4044\2016-08-09 --recursive &amp; "%USERPROFILE%\Documents\GitHub\mrs-test-scripts\Headless Mode &amp; Sideloading\WalkAndUnGZ.bat" "%USERPROFILE%\AppData\Local\Temp\OnboardLogs"\RTDC4044\2016-08-09</v>
          </cell>
        </row>
        <row r="198">
          <cell r="A198" t="str">
            <v>315-06</v>
          </cell>
          <cell r="B198">
            <v>4011</v>
          </cell>
          <cell r="C198" t="str">
            <v>DE.1.0.7.0</v>
          </cell>
          <cell r="D198" t="str">
            <v>204:457</v>
          </cell>
          <cell r="E198">
            <v>42589.110254629632</v>
          </cell>
          <cell r="F198">
            <v>42589.110925925925</v>
          </cell>
          <cell r="G198">
            <v>0</v>
          </cell>
          <cell r="H198" t="str">
            <v>300:23121</v>
          </cell>
          <cell r="I198">
            <v>42589.117465277777</v>
          </cell>
          <cell r="J198">
            <v>0</v>
          </cell>
          <cell r="K198" t="str">
            <v>4011/4012</v>
          </cell>
          <cell r="L198" t="str">
            <v>GOLIGHTLY</v>
          </cell>
          <cell r="M198">
            <v>6.5393518525524996E-3</v>
          </cell>
          <cell r="N198">
            <v>9.4166666676755995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98" t="str">
            <v>Y</v>
          </cell>
          <cell r="X198">
            <v>2</v>
          </cell>
          <cell r="Y198">
            <v>4.5699999999999998E-2</v>
          </cell>
          <cell r="Z198">
            <v>2.3121</v>
          </cell>
          <cell r="AA198">
            <v>2.2664</v>
          </cell>
          <cell r="AB198" t="e">
            <v>#N/A</v>
          </cell>
          <cell r="AC198" t="e">
            <v>#N/A</v>
          </cell>
          <cell r="AD198" t="str">
            <v>0315-06</v>
          </cell>
          <cell r="AE198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99">
          <cell r="A199" t="str">
            <v>315-07</v>
          </cell>
          <cell r="B199">
            <v>4018</v>
          </cell>
          <cell r="C199" t="str">
            <v>DE.1.0.7.0</v>
          </cell>
          <cell r="D199" t="str">
            <v>204:480</v>
          </cell>
          <cell r="E199">
            <v>42590.090416666666</v>
          </cell>
          <cell r="F199">
            <v>42590.091458333336</v>
          </cell>
          <cell r="G199">
            <v>1</v>
          </cell>
          <cell r="H199" t="str">
            <v>300:23306</v>
          </cell>
          <cell r="I199">
            <v>42590.098645833335</v>
          </cell>
          <cell r="J199">
            <v>0</v>
          </cell>
          <cell r="K199" t="str">
            <v>4017/4018</v>
          </cell>
          <cell r="L199" t="str">
            <v>CHANDLE</v>
          </cell>
          <cell r="M199">
            <v>7.1874999994179234E-3</v>
          </cell>
          <cell r="N199">
            <v>10.34999999916181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Y</v>
          </cell>
          <cell r="X199">
            <v>0</v>
          </cell>
          <cell r="Y199">
            <v>4.8000000000000001E-2</v>
          </cell>
          <cell r="Z199">
            <v>2.3306</v>
          </cell>
          <cell r="AA199">
            <v>2.2826</v>
          </cell>
          <cell r="AB199" t="e">
            <v>#N/A</v>
          </cell>
          <cell r="AC199" t="e">
            <v>#N/A</v>
          </cell>
          <cell r="AD199" t="str">
            <v>0315-07</v>
          </cell>
          <cell r="AE199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00">
          <cell r="A200" t="str">
            <v>1901-07</v>
          </cell>
          <cell r="B200">
            <v>4042</v>
          </cell>
          <cell r="C200" t="str">
            <v>DE.1.0.7.0</v>
          </cell>
          <cell r="D200" t="str">
            <v>300:27083</v>
          </cell>
          <cell r="E200">
            <v>42589.219768518517</v>
          </cell>
          <cell r="F200">
            <v>42589.227708333332</v>
          </cell>
          <cell r="G200">
            <v>11</v>
          </cell>
          <cell r="H200" t="str">
            <v>300:28374</v>
          </cell>
          <cell r="I200">
            <v>42589.229409722226</v>
          </cell>
          <cell r="J200">
            <v>0</v>
          </cell>
          <cell r="K200" t="str">
            <v>4041/4042</v>
          </cell>
          <cell r="L200" t="str">
            <v>STARKS</v>
          </cell>
          <cell r="M200">
            <v>1.7013888937071897E-3</v>
          </cell>
          <cell r="N200">
            <v>2.4500000069383532</v>
          </cell>
          <cell r="S200">
            <v>0</v>
          </cell>
          <cell r="T200" t="str">
            <v>NorthBound</v>
          </cell>
          <cell r="U200">
            <v>0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https://search-rtdc-monitor-bjffxe2xuh6vdkpspy63sjmuny.us-east-1.es.amazonaws.com/_plugin/kibana/#/discover/Steve-Slow-Train-Analysis-(2080s-and-2083s)?_g=(refreshInterval:(display:Off,section:0,value:0),time:(from:'2016-08-07 04:16:28-0600',mode:absolute,to:'2016-08-07 06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Y</v>
          </cell>
          <cell r="X200">
            <v>1586</v>
          </cell>
          <cell r="Y200">
            <v>2.7082999999999999</v>
          </cell>
          <cell r="Z200">
            <v>2.8374000000000001</v>
          </cell>
          <cell r="AA200">
            <v>0.12910000000000021</v>
          </cell>
          <cell r="AB200" t="e">
            <v>#N/A</v>
          </cell>
          <cell r="AC200" t="e">
            <v>#N/A</v>
          </cell>
          <cell r="AD200" t="str">
            <v>1901-07</v>
          </cell>
          <cell r="AE200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201">
          <cell r="A201" t="str">
            <v>1902-07</v>
          </cell>
          <cell r="B201">
            <v>4028</v>
          </cell>
          <cell r="C201" t="str">
            <v>DE.1.0.7.0</v>
          </cell>
          <cell r="D201" t="str">
            <v>300:58666</v>
          </cell>
          <cell r="E201">
            <v>42589.942731481482</v>
          </cell>
          <cell r="F201">
            <v>42589.943668981483</v>
          </cell>
          <cell r="G201">
            <v>1</v>
          </cell>
          <cell r="H201" t="str">
            <v>300:21280</v>
          </cell>
          <cell r="I201">
            <v>42589.948750000003</v>
          </cell>
          <cell r="J201">
            <v>0</v>
          </cell>
          <cell r="K201" t="str">
            <v>4027/4028</v>
          </cell>
          <cell r="L201" t="str">
            <v>STAMBAUGH</v>
          </cell>
          <cell r="M201">
            <v>5.0810185202863067E-3</v>
          </cell>
          <cell r="N201">
            <v>7.3166666692122817</v>
          </cell>
          <cell r="S201">
            <v>0</v>
          </cell>
          <cell r="T201" t="str">
            <v>Southbound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21:37:32-0600',mode:absolute,to:'2016-08-07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1" t="str">
            <v>Y</v>
          </cell>
          <cell r="X201">
            <v>1</v>
          </cell>
          <cell r="Y201">
            <v>5.8666</v>
          </cell>
          <cell r="Z201">
            <v>2.1280000000000001</v>
          </cell>
          <cell r="AA201">
            <v>3.7385999999999999</v>
          </cell>
          <cell r="AB201" t="e">
            <v>#N/A</v>
          </cell>
          <cell r="AC201" t="e">
            <v>#N/A</v>
          </cell>
          <cell r="AD201" t="str">
            <v>1902-07</v>
          </cell>
          <cell r="AE201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</sheetData>
      <sheetData sheetId="1" refreshError="1"/>
      <sheetData sheetId="2" refreshError="1"/>
      <sheetData sheetId="3">
        <row r="1">
          <cell r="C1" t="str">
            <v>242-06</v>
          </cell>
          <cell r="D1">
            <v>1800000</v>
          </cell>
          <cell r="E1" t="str">
            <v>CHANDLER</v>
          </cell>
        </row>
        <row r="2">
          <cell r="C2" t="str">
            <v>245-06</v>
          </cell>
          <cell r="D2">
            <v>1410000</v>
          </cell>
          <cell r="E2" t="str">
            <v>GOLIGHTLY</v>
          </cell>
        </row>
        <row r="3">
          <cell r="C3" t="str">
            <v>309-06</v>
          </cell>
          <cell r="D3">
            <v>1810000</v>
          </cell>
          <cell r="E3" t="str">
            <v>NEWELL</v>
          </cell>
        </row>
        <row r="4">
          <cell r="C4" t="str">
            <v>244-06</v>
          </cell>
          <cell r="D4">
            <v>2000000</v>
          </cell>
          <cell r="E4" t="str">
            <v>STAMBAUGH</v>
          </cell>
        </row>
        <row r="5">
          <cell r="C5" t="str">
            <v>311-06</v>
          </cell>
          <cell r="D5">
            <v>1800000</v>
          </cell>
          <cell r="E5" t="str">
            <v>CHANDLER</v>
          </cell>
        </row>
        <row r="6">
          <cell r="C6" t="str">
            <v>246-06</v>
          </cell>
          <cell r="D6">
            <v>1410000</v>
          </cell>
          <cell r="E6" t="str">
            <v>GOLIGHTLY</v>
          </cell>
        </row>
        <row r="7">
          <cell r="C7" t="str">
            <v>313-06</v>
          </cell>
          <cell r="D7">
            <v>2000000</v>
          </cell>
          <cell r="E7" t="str">
            <v>STAMBAUGH</v>
          </cell>
        </row>
        <row r="8">
          <cell r="C8" t="str">
            <v>315-06</v>
          </cell>
          <cell r="D8">
            <v>1410000</v>
          </cell>
          <cell r="E8" t="str">
            <v>GOLIGHTLY</v>
          </cell>
        </row>
        <row r="9">
          <cell r="C9" t="str">
            <v>101-07</v>
          </cell>
          <cell r="D9">
            <v>1740000</v>
          </cell>
          <cell r="E9" t="str">
            <v>STORY</v>
          </cell>
        </row>
        <row r="10">
          <cell r="C10" t="str">
            <v>103-07</v>
          </cell>
          <cell r="D10">
            <v>1260000</v>
          </cell>
          <cell r="E10" t="str">
            <v>ACKERMAN</v>
          </cell>
        </row>
        <row r="11">
          <cell r="C11" t="str">
            <v>102-07</v>
          </cell>
          <cell r="D11">
            <v>1740000</v>
          </cell>
          <cell r="E11" t="str">
            <v>STORY</v>
          </cell>
        </row>
        <row r="12">
          <cell r="C12" t="str">
            <v>105-07</v>
          </cell>
          <cell r="D12">
            <v>2010000</v>
          </cell>
          <cell r="E12" t="str">
            <v>MAELZER</v>
          </cell>
        </row>
        <row r="13">
          <cell r="C13" t="str">
            <v>107-07</v>
          </cell>
          <cell r="D13">
            <v>1990000</v>
          </cell>
          <cell r="E13" t="str">
            <v>DAVIS</v>
          </cell>
        </row>
        <row r="14">
          <cell r="C14" t="str">
            <v>104-07</v>
          </cell>
          <cell r="D14">
            <v>1260000</v>
          </cell>
          <cell r="E14" t="str">
            <v>ACKERMAN</v>
          </cell>
        </row>
        <row r="15">
          <cell r="C15" t="str">
            <v>109-07</v>
          </cell>
          <cell r="D15">
            <v>1310000</v>
          </cell>
          <cell r="E15" t="str">
            <v>MALAVE</v>
          </cell>
        </row>
        <row r="16">
          <cell r="C16" t="str">
            <v>109-07</v>
          </cell>
          <cell r="D16">
            <v>1310000</v>
          </cell>
          <cell r="E16" t="str">
            <v>MALAVE</v>
          </cell>
        </row>
        <row r="17">
          <cell r="C17" t="str">
            <v>111-07</v>
          </cell>
          <cell r="D17">
            <v>1760000</v>
          </cell>
          <cell r="E17" t="str">
            <v>STRICKLAND</v>
          </cell>
        </row>
        <row r="18">
          <cell r="C18" t="str">
            <v>113-07</v>
          </cell>
          <cell r="D18">
            <v>1740000</v>
          </cell>
          <cell r="E18" t="str">
            <v>STORY</v>
          </cell>
        </row>
        <row r="19">
          <cell r="C19" t="str">
            <v>106-07</v>
          </cell>
          <cell r="D19">
            <v>2010000</v>
          </cell>
          <cell r="E19" t="str">
            <v>MAELZER</v>
          </cell>
        </row>
        <row r="20">
          <cell r="C20" t="str">
            <v>1901-07</v>
          </cell>
          <cell r="D20">
            <v>1110000</v>
          </cell>
          <cell r="E20" t="str">
            <v>STARKS</v>
          </cell>
        </row>
        <row r="21">
          <cell r="C21" t="str">
            <v>1901-07</v>
          </cell>
          <cell r="D21">
            <v>1110000</v>
          </cell>
          <cell r="E21" t="str">
            <v>STARKS</v>
          </cell>
        </row>
        <row r="22">
          <cell r="C22" t="str">
            <v>108-07</v>
          </cell>
          <cell r="D22">
            <v>1990000</v>
          </cell>
          <cell r="E22" t="str">
            <v>DAVIS</v>
          </cell>
        </row>
        <row r="23">
          <cell r="C23" t="str">
            <v>115-07</v>
          </cell>
          <cell r="D23">
            <v>1830000</v>
          </cell>
          <cell r="E23" t="str">
            <v>YORK</v>
          </cell>
        </row>
        <row r="24">
          <cell r="C24" t="str">
            <v>1901-07</v>
          </cell>
          <cell r="D24">
            <v>1110000</v>
          </cell>
          <cell r="E24" t="str">
            <v>STARKS</v>
          </cell>
        </row>
        <row r="25">
          <cell r="C25" t="str">
            <v>117-07</v>
          </cell>
          <cell r="D25">
            <v>1260000</v>
          </cell>
          <cell r="E25" t="str">
            <v>ACKERMAN</v>
          </cell>
        </row>
        <row r="26">
          <cell r="C26" t="str">
            <v>110-07</v>
          </cell>
          <cell r="D26">
            <v>1310000</v>
          </cell>
          <cell r="E26" t="str">
            <v>MALAVE</v>
          </cell>
        </row>
        <row r="27">
          <cell r="C27" t="str">
            <v>110-07</v>
          </cell>
          <cell r="D27">
            <v>1310000</v>
          </cell>
          <cell r="E27" t="str">
            <v>MALAVE</v>
          </cell>
        </row>
        <row r="28">
          <cell r="C28" t="str">
            <v>1800-07</v>
          </cell>
          <cell r="D28">
            <v>1110000</v>
          </cell>
          <cell r="E28" t="str">
            <v>STARKS</v>
          </cell>
        </row>
        <row r="29">
          <cell r="C29" t="str">
            <v>112-07</v>
          </cell>
          <cell r="D29">
            <v>1760000</v>
          </cell>
          <cell r="E29" t="str">
            <v>STRICKLAND</v>
          </cell>
        </row>
        <row r="30">
          <cell r="C30" t="str">
            <v>119-07</v>
          </cell>
          <cell r="D30">
            <v>2010000</v>
          </cell>
          <cell r="E30" t="str">
            <v>MAELZER</v>
          </cell>
        </row>
        <row r="31">
          <cell r="C31" t="str">
            <v>110-07</v>
          </cell>
          <cell r="D31">
            <v>1310000</v>
          </cell>
          <cell r="E31" t="str">
            <v>MALAVE</v>
          </cell>
        </row>
        <row r="32">
          <cell r="C32" t="str">
            <v>114-07</v>
          </cell>
          <cell r="D32">
            <v>1740000</v>
          </cell>
          <cell r="E32" t="str">
            <v>STORY</v>
          </cell>
        </row>
        <row r="33">
          <cell r="C33" t="str">
            <v>121-07</v>
          </cell>
          <cell r="D33">
            <v>1990000</v>
          </cell>
          <cell r="E33" t="str">
            <v>DAVIS</v>
          </cell>
        </row>
        <row r="34">
          <cell r="C34" t="str">
            <v>116-07</v>
          </cell>
          <cell r="D34">
            <v>1830000</v>
          </cell>
          <cell r="E34" t="str">
            <v>YORK</v>
          </cell>
        </row>
        <row r="35">
          <cell r="C35" t="str">
            <v>1801-07</v>
          </cell>
          <cell r="D35">
            <v>1110000</v>
          </cell>
          <cell r="E35" t="str">
            <v>STARKS</v>
          </cell>
        </row>
        <row r="36">
          <cell r="C36" t="str">
            <v>118-07</v>
          </cell>
          <cell r="D36">
            <v>1260000</v>
          </cell>
          <cell r="E36" t="str">
            <v>ACKERMAN</v>
          </cell>
        </row>
        <row r="37">
          <cell r="C37" t="str">
            <v>1802-07</v>
          </cell>
          <cell r="D37">
            <v>1110000</v>
          </cell>
          <cell r="E37" t="str">
            <v>STARKS</v>
          </cell>
        </row>
        <row r="38">
          <cell r="C38" t="str">
            <v>125-07</v>
          </cell>
          <cell r="D38">
            <v>1760000</v>
          </cell>
          <cell r="E38" t="str">
            <v>STRICKLAND</v>
          </cell>
        </row>
        <row r="39">
          <cell r="C39" t="str">
            <v>1802-07</v>
          </cell>
          <cell r="D39">
            <v>1110000</v>
          </cell>
          <cell r="E39" t="str">
            <v>STARKS</v>
          </cell>
        </row>
        <row r="40">
          <cell r="C40" t="str">
            <v>120-07</v>
          </cell>
          <cell r="D40">
            <v>2010000</v>
          </cell>
          <cell r="E40" t="str">
            <v>MAELZER</v>
          </cell>
        </row>
        <row r="41">
          <cell r="C41" t="str">
            <v>127-07</v>
          </cell>
          <cell r="D41">
            <v>1740000</v>
          </cell>
          <cell r="E41" t="str">
            <v>STORY</v>
          </cell>
        </row>
        <row r="42">
          <cell r="C42" t="str">
            <v>122-07</v>
          </cell>
          <cell r="D42">
            <v>1990000</v>
          </cell>
          <cell r="E42" t="str">
            <v>DAVIS</v>
          </cell>
        </row>
        <row r="43">
          <cell r="C43" t="str">
            <v>129-07</v>
          </cell>
          <cell r="D43">
            <v>730000</v>
          </cell>
          <cell r="E43" t="str">
            <v>HOMIK</v>
          </cell>
        </row>
        <row r="44">
          <cell r="C44" t="str">
            <v>1803-07</v>
          </cell>
          <cell r="D44">
            <v>1110000</v>
          </cell>
          <cell r="E44" t="str">
            <v>STARKS</v>
          </cell>
        </row>
        <row r="45">
          <cell r="C45" t="str">
            <v>124-07</v>
          </cell>
          <cell r="D45">
            <v>900000</v>
          </cell>
          <cell r="E45" t="str">
            <v>ROCHA</v>
          </cell>
        </row>
        <row r="46">
          <cell r="C46" t="str">
            <v>131-07</v>
          </cell>
          <cell r="D46">
            <v>1260000</v>
          </cell>
          <cell r="E46" t="str">
            <v>ACKERMAN</v>
          </cell>
        </row>
        <row r="47">
          <cell r="C47" t="str">
            <v>124-07</v>
          </cell>
          <cell r="D47">
            <v>900000</v>
          </cell>
          <cell r="E47" t="str">
            <v>ROCHA</v>
          </cell>
        </row>
        <row r="48">
          <cell r="C48" t="str">
            <v>126-07</v>
          </cell>
          <cell r="D48">
            <v>1760000</v>
          </cell>
          <cell r="E48" t="str">
            <v>STRICKLAND</v>
          </cell>
        </row>
        <row r="49">
          <cell r="C49" t="str">
            <v>133-07</v>
          </cell>
          <cell r="D49">
            <v>2010000</v>
          </cell>
          <cell r="E49" t="str">
            <v>MAELZER</v>
          </cell>
        </row>
        <row r="50">
          <cell r="C50" t="str">
            <v>128-07</v>
          </cell>
          <cell r="D50">
            <v>1740000</v>
          </cell>
          <cell r="E50" t="str">
            <v>STORY</v>
          </cell>
        </row>
        <row r="51">
          <cell r="C51" t="str">
            <v>135-07</v>
          </cell>
          <cell r="D51">
            <v>1990000</v>
          </cell>
          <cell r="E51" t="str">
            <v>DAVIS</v>
          </cell>
        </row>
        <row r="52">
          <cell r="C52" t="str">
            <v>130-07</v>
          </cell>
          <cell r="D52">
            <v>730000</v>
          </cell>
          <cell r="E52" t="str">
            <v>HOMIK</v>
          </cell>
        </row>
        <row r="53">
          <cell r="C53" t="str">
            <v>137-07</v>
          </cell>
          <cell r="D53">
            <v>1310000</v>
          </cell>
          <cell r="E53" t="str">
            <v>MALAVE</v>
          </cell>
        </row>
        <row r="54">
          <cell r="C54" t="str">
            <v>1805-07</v>
          </cell>
          <cell r="D54">
            <v>1110000</v>
          </cell>
          <cell r="E54" t="str">
            <v>STARKS</v>
          </cell>
        </row>
        <row r="55">
          <cell r="C55" t="str">
            <v>132-07</v>
          </cell>
          <cell r="D55">
            <v>1260000</v>
          </cell>
          <cell r="E55" t="str">
            <v>ACKERMAN</v>
          </cell>
        </row>
        <row r="56">
          <cell r="C56" t="str">
            <v>139-07</v>
          </cell>
          <cell r="D56">
            <v>1760000</v>
          </cell>
          <cell r="E56" t="str">
            <v>STRICKLAND</v>
          </cell>
        </row>
        <row r="57">
          <cell r="C57" t="str">
            <v>134-07</v>
          </cell>
          <cell r="D57">
            <v>2010000</v>
          </cell>
          <cell r="E57" t="str">
            <v>MAELZER</v>
          </cell>
        </row>
        <row r="58">
          <cell r="C58" t="str">
            <v>1806-07</v>
          </cell>
          <cell r="D58">
            <v>1110000</v>
          </cell>
          <cell r="E58" t="str">
            <v>STARKS</v>
          </cell>
        </row>
        <row r="59">
          <cell r="C59" t="str">
            <v>141-07</v>
          </cell>
          <cell r="D59">
            <v>1740000</v>
          </cell>
          <cell r="E59" t="str">
            <v>STORY</v>
          </cell>
        </row>
        <row r="60">
          <cell r="C60" t="str">
            <v>1806-07</v>
          </cell>
          <cell r="D60">
            <v>1110000</v>
          </cell>
          <cell r="E60" t="str">
            <v>STARKS</v>
          </cell>
        </row>
        <row r="61">
          <cell r="C61" t="str">
            <v>136-07</v>
          </cell>
          <cell r="D61">
            <v>1990000</v>
          </cell>
          <cell r="E61" t="str">
            <v>DAVIS</v>
          </cell>
        </row>
        <row r="62">
          <cell r="C62" t="str">
            <v>143-07</v>
          </cell>
          <cell r="D62">
            <v>1830000</v>
          </cell>
          <cell r="E62" t="str">
            <v>YORK</v>
          </cell>
        </row>
        <row r="63">
          <cell r="C63" t="str">
            <v>145-07</v>
          </cell>
          <cell r="D63">
            <v>1260000</v>
          </cell>
          <cell r="E63" t="str">
            <v>ACKERMAN</v>
          </cell>
        </row>
        <row r="64">
          <cell r="C64" t="str">
            <v>138-07</v>
          </cell>
          <cell r="D64">
            <v>1310000</v>
          </cell>
          <cell r="E64" t="str">
            <v>MALAVE</v>
          </cell>
        </row>
        <row r="65">
          <cell r="C65" t="str">
            <v>1807-07</v>
          </cell>
          <cell r="D65">
            <v>1110000</v>
          </cell>
          <cell r="E65" t="str">
            <v>STARKS</v>
          </cell>
        </row>
        <row r="66">
          <cell r="C66" t="str">
            <v>140-07</v>
          </cell>
          <cell r="D66">
            <v>1760000</v>
          </cell>
          <cell r="E66" t="str">
            <v>STRICKLAND</v>
          </cell>
        </row>
        <row r="67">
          <cell r="C67" t="str">
            <v>147-07</v>
          </cell>
          <cell r="D67">
            <v>2010000</v>
          </cell>
          <cell r="E67" t="str">
            <v>MAELZER</v>
          </cell>
        </row>
        <row r="68">
          <cell r="C68" t="str">
            <v>142-07</v>
          </cell>
          <cell r="D68">
            <v>1740000</v>
          </cell>
          <cell r="E68" t="str">
            <v>STORY</v>
          </cell>
        </row>
        <row r="69">
          <cell r="C69" t="str">
            <v>144-07</v>
          </cell>
          <cell r="D69">
            <v>1830000</v>
          </cell>
          <cell r="E69" t="str">
            <v>YORK</v>
          </cell>
        </row>
        <row r="70">
          <cell r="C70" t="str">
            <v>1808-07</v>
          </cell>
          <cell r="D70">
            <v>1110000</v>
          </cell>
          <cell r="E70" t="str">
            <v>STARKS</v>
          </cell>
        </row>
        <row r="71">
          <cell r="C71" t="str">
            <v>149-07</v>
          </cell>
          <cell r="D71">
            <v>1990000</v>
          </cell>
          <cell r="E71" t="str">
            <v>DAVIS</v>
          </cell>
        </row>
        <row r="72">
          <cell r="C72" t="str">
            <v>151-07</v>
          </cell>
          <cell r="D72">
            <v>1310000</v>
          </cell>
          <cell r="E72" t="str">
            <v>MALAVE</v>
          </cell>
        </row>
        <row r="73">
          <cell r="C73" t="str">
            <v>146-07</v>
          </cell>
          <cell r="D73">
            <v>1260000</v>
          </cell>
          <cell r="E73" t="str">
            <v>ACKERMAN</v>
          </cell>
        </row>
        <row r="74">
          <cell r="C74" t="str">
            <v>153-07</v>
          </cell>
          <cell r="D74">
            <v>1760000</v>
          </cell>
          <cell r="E74" t="str">
            <v>STRICKLAND</v>
          </cell>
        </row>
        <row r="75">
          <cell r="C75" t="str">
            <v>148-07</v>
          </cell>
          <cell r="D75">
            <v>2010000</v>
          </cell>
          <cell r="E75" t="str">
            <v>MAELZER</v>
          </cell>
        </row>
        <row r="76">
          <cell r="C76" t="str">
            <v>1808-07</v>
          </cell>
          <cell r="D76">
            <v>1110000</v>
          </cell>
          <cell r="E76" t="str">
            <v>STARKS</v>
          </cell>
        </row>
        <row r="77">
          <cell r="C77" t="str">
            <v>1809-07</v>
          </cell>
          <cell r="D77">
            <v>1110000</v>
          </cell>
          <cell r="E77" t="str">
            <v>STARKS</v>
          </cell>
        </row>
        <row r="78">
          <cell r="C78" t="str">
            <v>155-07</v>
          </cell>
          <cell r="D78">
            <v>1520000</v>
          </cell>
          <cell r="E78" t="str">
            <v>MAYBERRY</v>
          </cell>
        </row>
        <row r="79">
          <cell r="C79" t="str">
            <v>150-07</v>
          </cell>
          <cell r="D79">
            <v>1990000</v>
          </cell>
          <cell r="E79" t="str">
            <v>DAVIS</v>
          </cell>
        </row>
        <row r="80">
          <cell r="C80" t="str">
            <v>157-07</v>
          </cell>
          <cell r="D80">
            <v>730000</v>
          </cell>
          <cell r="E80" t="str">
            <v>HOMIK</v>
          </cell>
        </row>
        <row r="81">
          <cell r="C81" t="str">
            <v>1810-07</v>
          </cell>
          <cell r="D81">
            <v>1110000</v>
          </cell>
          <cell r="E81" t="str">
            <v>STARKS</v>
          </cell>
        </row>
        <row r="82">
          <cell r="C82" t="str">
            <v>159-07</v>
          </cell>
          <cell r="D82">
            <v>880000</v>
          </cell>
          <cell r="E82" t="str">
            <v>STEWART</v>
          </cell>
        </row>
        <row r="83">
          <cell r="C83" t="str">
            <v>152-07</v>
          </cell>
          <cell r="D83">
            <v>1310000</v>
          </cell>
          <cell r="E83" t="str">
            <v>MALAVE</v>
          </cell>
        </row>
        <row r="84">
          <cell r="C84" t="str">
            <v>154-07</v>
          </cell>
          <cell r="D84">
            <v>1760000</v>
          </cell>
          <cell r="E84" t="str">
            <v>STRICKLAND</v>
          </cell>
        </row>
        <row r="85">
          <cell r="C85" t="str">
            <v>161-07</v>
          </cell>
          <cell r="D85">
            <v>1280000</v>
          </cell>
          <cell r="E85" t="str">
            <v>BARTLETT</v>
          </cell>
        </row>
        <row r="86">
          <cell r="C86" t="str">
            <v>156-07</v>
          </cell>
          <cell r="D86">
            <v>1520000</v>
          </cell>
          <cell r="E86" t="str">
            <v>MAYBERRY</v>
          </cell>
        </row>
        <row r="87">
          <cell r="C87" t="str">
            <v>1811-07</v>
          </cell>
          <cell r="D87">
            <v>1110000</v>
          </cell>
          <cell r="E87" t="str">
            <v>STARKS</v>
          </cell>
        </row>
        <row r="88">
          <cell r="C88" t="str">
            <v>158-07</v>
          </cell>
          <cell r="D88">
            <v>730000</v>
          </cell>
          <cell r="E88" t="str">
            <v>HOMIK</v>
          </cell>
        </row>
        <row r="89">
          <cell r="C89" t="str">
            <v>158-07</v>
          </cell>
          <cell r="D89">
            <v>730000</v>
          </cell>
          <cell r="E89" t="str">
            <v>HOMIK</v>
          </cell>
        </row>
        <row r="90">
          <cell r="C90" t="str">
            <v>163-07</v>
          </cell>
          <cell r="D90">
            <v>1780000</v>
          </cell>
          <cell r="E90" t="str">
            <v>DE LA ROSA</v>
          </cell>
        </row>
        <row r="91">
          <cell r="C91" t="str">
            <v>1812-07</v>
          </cell>
          <cell r="D91">
            <v>1110000</v>
          </cell>
          <cell r="E91" t="str">
            <v>STARKS</v>
          </cell>
        </row>
        <row r="92">
          <cell r="C92" t="str">
            <v>165-07</v>
          </cell>
          <cell r="D92">
            <v>2040000</v>
          </cell>
          <cell r="E92" t="str">
            <v>MOSES</v>
          </cell>
        </row>
        <row r="93">
          <cell r="C93" t="str">
            <v>160-07</v>
          </cell>
          <cell r="D93">
            <v>880000</v>
          </cell>
          <cell r="E93" t="str">
            <v>STEWART</v>
          </cell>
        </row>
        <row r="94">
          <cell r="C94" t="str">
            <v>161-07</v>
          </cell>
          <cell r="D94">
            <v>1280000</v>
          </cell>
          <cell r="E94" t="str">
            <v>BARTLETT</v>
          </cell>
        </row>
        <row r="95">
          <cell r="C95" t="str">
            <v>162-07</v>
          </cell>
          <cell r="D95">
            <v>1280000</v>
          </cell>
          <cell r="E95" t="str">
            <v>BARTLETT</v>
          </cell>
        </row>
        <row r="96">
          <cell r="C96" t="str">
            <v>167-07</v>
          </cell>
          <cell r="D96">
            <v>1140000</v>
          </cell>
          <cell r="E96" t="str">
            <v>YOUNG</v>
          </cell>
        </row>
        <row r="97">
          <cell r="C97" t="str">
            <v>169-07</v>
          </cell>
          <cell r="D97">
            <v>1520000</v>
          </cell>
          <cell r="E97" t="str">
            <v>MAYBERRY</v>
          </cell>
        </row>
        <row r="98">
          <cell r="C98" t="str">
            <v>1813-07</v>
          </cell>
          <cell r="D98">
            <v>1110000</v>
          </cell>
          <cell r="E98" t="str">
            <v>STARKS</v>
          </cell>
        </row>
        <row r="99">
          <cell r="C99" t="str">
            <v>164-07</v>
          </cell>
          <cell r="D99">
            <v>1780000</v>
          </cell>
          <cell r="E99" t="str">
            <v>DE LA ROSA</v>
          </cell>
        </row>
        <row r="100">
          <cell r="C100" t="str">
            <v>171-07</v>
          </cell>
          <cell r="D100">
            <v>2020000</v>
          </cell>
          <cell r="E100" t="str">
            <v>SHOOK</v>
          </cell>
        </row>
        <row r="101">
          <cell r="C101" t="str">
            <v>166-07</v>
          </cell>
          <cell r="D101">
            <v>2040000</v>
          </cell>
          <cell r="E101" t="str">
            <v>MOSES</v>
          </cell>
        </row>
        <row r="102">
          <cell r="C102" t="str">
            <v>1814-07</v>
          </cell>
          <cell r="D102">
            <v>1110000</v>
          </cell>
          <cell r="E102" t="str">
            <v>STARKS</v>
          </cell>
        </row>
        <row r="103">
          <cell r="C103" t="str">
            <v>173-07</v>
          </cell>
          <cell r="D103">
            <v>880000</v>
          </cell>
          <cell r="E103" t="str">
            <v>STEWART</v>
          </cell>
        </row>
        <row r="104">
          <cell r="C104" t="str">
            <v>168-07</v>
          </cell>
          <cell r="D104">
            <v>1140000</v>
          </cell>
          <cell r="E104" t="str">
            <v>YOUNG</v>
          </cell>
        </row>
        <row r="105">
          <cell r="C105" t="str">
            <v>175-07</v>
          </cell>
          <cell r="D105">
            <v>1280000</v>
          </cell>
          <cell r="E105" t="str">
            <v>BARTLETT</v>
          </cell>
        </row>
        <row r="106">
          <cell r="C106" t="str">
            <v>170-07</v>
          </cell>
          <cell r="D106">
            <v>1520000</v>
          </cell>
          <cell r="E106" t="str">
            <v>MAYBERRY</v>
          </cell>
        </row>
        <row r="107">
          <cell r="C107" t="str">
            <v>177-07</v>
          </cell>
          <cell r="D107">
            <v>1780000</v>
          </cell>
          <cell r="E107" t="str">
            <v>DE LA ROSA</v>
          </cell>
        </row>
        <row r="108">
          <cell r="C108" t="str">
            <v>1815-07</v>
          </cell>
          <cell r="D108">
            <v>1110000</v>
          </cell>
          <cell r="E108" t="str">
            <v>STARKS</v>
          </cell>
        </row>
        <row r="109">
          <cell r="C109" t="str">
            <v>172-07</v>
          </cell>
          <cell r="D109">
            <v>2020000</v>
          </cell>
          <cell r="E109" t="str">
            <v>SHOOK</v>
          </cell>
        </row>
        <row r="110">
          <cell r="C110" t="str">
            <v>179-07</v>
          </cell>
          <cell r="D110">
            <v>2040000</v>
          </cell>
          <cell r="E110" t="str">
            <v>MOSES</v>
          </cell>
        </row>
        <row r="111">
          <cell r="C111" t="str">
            <v>179-07</v>
          </cell>
          <cell r="D111">
            <v>2040000</v>
          </cell>
          <cell r="E111" t="str">
            <v>MOSES</v>
          </cell>
        </row>
        <row r="112">
          <cell r="C112" t="str">
            <v>174-07</v>
          </cell>
          <cell r="D112">
            <v>880000</v>
          </cell>
          <cell r="E112" t="str">
            <v>STEWART</v>
          </cell>
        </row>
        <row r="113">
          <cell r="C113" t="str">
            <v>1816-07</v>
          </cell>
          <cell r="D113">
            <v>1110000</v>
          </cell>
          <cell r="E113" t="str">
            <v>STARKS</v>
          </cell>
        </row>
        <row r="114">
          <cell r="C114" t="str">
            <v>176-07</v>
          </cell>
          <cell r="D114">
            <v>1280000</v>
          </cell>
          <cell r="E114" t="str">
            <v>BARTLETT</v>
          </cell>
        </row>
        <row r="115">
          <cell r="C115" t="str">
            <v>181-07</v>
          </cell>
          <cell r="D115">
            <v>1140000</v>
          </cell>
          <cell r="E115" t="str">
            <v>YOUNG</v>
          </cell>
        </row>
        <row r="116">
          <cell r="C116" t="str">
            <v>183-07</v>
          </cell>
          <cell r="D116">
            <v>1520000</v>
          </cell>
          <cell r="E116" t="str">
            <v>MAYBERRY</v>
          </cell>
        </row>
        <row r="117">
          <cell r="C117" t="str">
            <v>178-07</v>
          </cell>
          <cell r="D117">
            <v>1780000</v>
          </cell>
          <cell r="E117" t="str">
            <v>DE LA ROSA</v>
          </cell>
        </row>
        <row r="118">
          <cell r="C118" t="str">
            <v>1817-07</v>
          </cell>
          <cell r="D118">
            <v>2000000</v>
          </cell>
          <cell r="E118" t="str">
            <v>STAMBAUGH</v>
          </cell>
        </row>
        <row r="119">
          <cell r="C119" t="str">
            <v>185-07</v>
          </cell>
          <cell r="D119">
            <v>2020000</v>
          </cell>
          <cell r="E119" t="str">
            <v>SHOOK</v>
          </cell>
        </row>
        <row r="120">
          <cell r="C120" t="str">
            <v>180-07</v>
          </cell>
          <cell r="D120">
            <v>2040000</v>
          </cell>
          <cell r="E120" t="str">
            <v>MOSES</v>
          </cell>
        </row>
        <row r="121">
          <cell r="C121" t="str">
            <v>187-07</v>
          </cell>
          <cell r="D121">
            <v>880000</v>
          </cell>
          <cell r="E121" t="str">
            <v>STEWART</v>
          </cell>
        </row>
        <row r="122">
          <cell r="C122" t="str">
            <v>182-07</v>
          </cell>
          <cell r="D122">
            <v>1140000</v>
          </cell>
          <cell r="E122" t="str">
            <v>YOUNG</v>
          </cell>
        </row>
        <row r="123">
          <cell r="C123" t="str">
            <v>1818-07</v>
          </cell>
          <cell r="D123">
            <v>2000000</v>
          </cell>
          <cell r="E123" t="str">
            <v>STAMBAUGH</v>
          </cell>
        </row>
        <row r="124">
          <cell r="C124" t="str">
            <v>189-07</v>
          </cell>
          <cell r="D124">
            <v>1280000</v>
          </cell>
          <cell r="E124" t="str">
            <v>BARTLETT</v>
          </cell>
        </row>
        <row r="125">
          <cell r="C125" t="str">
            <v>184-07</v>
          </cell>
          <cell r="D125">
            <v>1520000</v>
          </cell>
          <cell r="E125" t="str">
            <v>MAYBERRY</v>
          </cell>
        </row>
        <row r="126">
          <cell r="C126" t="str">
            <v>191-07</v>
          </cell>
          <cell r="D126">
            <v>1780000</v>
          </cell>
          <cell r="E126" t="str">
            <v>DE LA ROSA</v>
          </cell>
        </row>
        <row r="127">
          <cell r="C127" t="str">
            <v>186-07</v>
          </cell>
          <cell r="D127">
            <v>2020000</v>
          </cell>
          <cell r="E127" t="str">
            <v>SHOOK</v>
          </cell>
        </row>
        <row r="128">
          <cell r="C128" t="str">
            <v>193-07</v>
          </cell>
          <cell r="D128">
            <v>2040000</v>
          </cell>
          <cell r="E128" t="str">
            <v>MOSES</v>
          </cell>
        </row>
        <row r="129">
          <cell r="C129" t="str">
            <v>193-07</v>
          </cell>
          <cell r="D129">
            <v>2040000</v>
          </cell>
          <cell r="E129" t="str">
            <v>MOSES</v>
          </cell>
        </row>
        <row r="130">
          <cell r="C130" t="str">
            <v>1819-07</v>
          </cell>
          <cell r="D130">
            <v>2000000</v>
          </cell>
          <cell r="E130" t="str">
            <v>STAMBAUGH</v>
          </cell>
        </row>
        <row r="131">
          <cell r="C131" t="str">
            <v>188-07</v>
          </cell>
          <cell r="D131">
            <v>880000</v>
          </cell>
          <cell r="E131" t="str">
            <v>STEWART</v>
          </cell>
        </row>
        <row r="132">
          <cell r="C132" t="str">
            <v>195-07</v>
          </cell>
          <cell r="D132">
            <v>1140000</v>
          </cell>
          <cell r="E132" t="str">
            <v>YOUNG</v>
          </cell>
        </row>
        <row r="133">
          <cell r="C133" t="str">
            <v>190-07</v>
          </cell>
          <cell r="D133">
            <v>1280000</v>
          </cell>
          <cell r="E133" t="str">
            <v>BARTLETT</v>
          </cell>
        </row>
        <row r="134">
          <cell r="C134" t="str">
            <v>1820-07</v>
          </cell>
          <cell r="D134">
            <v>2000000</v>
          </cell>
          <cell r="E134" t="str">
            <v>STAMBAUGH</v>
          </cell>
        </row>
        <row r="135">
          <cell r="C135" t="str">
            <v>197-07</v>
          </cell>
          <cell r="D135">
            <v>1520000</v>
          </cell>
          <cell r="E135" t="str">
            <v>MAYBERRY</v>
          </cell>
        </row>
        <row r="136">
          <cell r="C136" t="str">
            <v>192-07</v>
          </cell>
          <cell r="D136">
            <v>1780000</v>
          </cell>
          <cell r="E136" t="str">
            <v>DE LA ROSA</v>
          </cell>
        </row>
        <row r="137">
          <cell r="C137" t="str">
            <v>199-07</v>
          </cell>
          <cell r="D137">
            <v>2020000</v>
          </cell>
          <cell r="E137" t="str">
            <v>SHOOK</v>
          </cell>
        </row>
        <row r="138">
          <cell r="C138" t="str">
            <v>192-07</v>
          </cell>
          <cell r="D138">
            <v>1780000</v>
          </cell>
          <cell r="E138" t="str">
            <v>DE LA ROSA</v>
          </cell>
        </row>
        <row r="139">
          <cell r="C139" t="str">
            <v>194-07</v>
          </cell>
          <cell r="D139">
            <v>2040000</v>
          </cell>
          <cell r="E139" t="str">
            <v>MOSES</v>
          </cell>
        </row>
        <row r="140">
          <cell r="C140" t="str">
            <v>201-07</v>
          </cell>
          <cell r="D140">
            <v>880000</v>
          </cell>
          <cell r="E140" t="str">
            <v>STEWART</v>
          </cell>
        </row>
        <row r="141">
          <cell r="C141" t="str">
            <v>1821-07</v>
          </cell>
          <cell r="D141">
            <v>2000000</v>
          </cell>
          <cell r="E141" t="str">
            <v>STAMBAUGH</v>
          </cell>
        </row>
        <row r="142">
          <cell r="C142" t="str">
            <v>196-07</v>
          </cell>
          <cell r="D142">
            <v>1140000</v>
          </cell>
          <cell r="E142" t="str">
            <v>YOUNG</v>
          </cell>
        </row>
        <row r="143">
          <cell r="C143" t="str">
            <v>203-07</v>
          </cell>
          <cell r="D143">
            <v>1280000</v>
          </cell>
          <cell r="E143" t="str">
            <v>BARTLETT</v>
          </cell>
        </row>
        <row r="144">
          <cell r="C144" t="str">
            <v>198-07</v>
          </cell>
          <cell r="D144">
            <v>1520000</v>
          </cell>
          <cell r="E144" t="str">
            <v>MAYBERRY</v>
          </cell>
        </row>
        <row r="145">
          <cell r="C145" t="str">
            <v>1822-07</v>
          </cell>
          <cell r="D145">
            <v>2000000</v>
          </cell>
          <cell r="E145" t="str">
            <v>STAMBAUGH</v>
          </cell>
        </row>
        <row r="146">
          <cell r="C146" t="str">
            <v>205-07</v>
          </cell>
          <cell r="D146">
            <v>1780000</v>
          </cell>
          <cell r="E146" t="str">
            <v>DE LA ROSA</v>
          </cell>
        </row>
        <row r="147">
          <cell r="C147" t="str">
            <v>200-07</v>
          </cell>
          <cell r="D147">
            <v>2020000</v>
          </cell>
          <cell r="E147" t="str">
            <v>SHOOK</v>
          </cell>
        </row>
        <row r="148">
          <cell r="C148" t="str">
            <v>207-07</v>
          </cell>
          <cell r="D148">
            <v>2040000</v>
          </cell>
          <cell r="E148" t="str">
            <v>MOSES</v>
          </cell>
        </row>
        <row r="149">
          <cell r="C149" t="str">
            <v>202-07</v>
          </cell>
          <cell r="D149">
            <v>880000</v>
          </cell>
          <cell r="E149" t="str">
            <v>STEWART</v>
          </cell>
        </row>
        <row r="150">
          <cell r="C150" t="str">
            <v>209-07</v>
          </cell>
          <cell r="D150">
            <v>1180000</v>
          </cell>
          <cell r="E150" t="str">
            <v>LEVERE</v>
          </cell>
        </row>
        <row r="151">
          <cell r="C151" t="str">
            <v>204-07</v>
          </cell>
          <cell r="D151">
            <v>1280000</v>
          </cell>
          <cell r="E151" t="str">
            <v>BARTLETT</v>
          </cell>
        </row>
        <row r="152">
          <cell r="C152" t="str">
            <v>1823-07</v>
          </cell>
          <cell r="D152">
            <v>2000000</v>
          </cell>
          <cell r="E152" t="str">
            <v>STAMBAUGH</v>
          </cell>
        </row>
        <row r="153">
          <cell r="C153" t="str">
            <v>211-07</v>
          </cell>
          <cell r="D153">
            <v>1140000</v>
          </cell>
          <cell r="E153" t="str">
            <v>YOUNG</v>
          </cell>
        </row>
        <row r="154">
          <cell r="C154" t="str">
            <v>213-07</v>
          </cell>
          <cell r="D154">
            <v>1290000</v>
          </cell>
          <cell r="E154" t="str">
            <v>COOLAHAN</v>
          </cell>
        </row>
        <row r="155">
          <cell r="C155" t="str">
            <v>206-07</v>
          </cell>
          <cell r="D155">
            <v>1780000</v>
          </cell>
          <cell r="E155" t="str">
            <v>DE LA ROSA</v>
          </cell>
        </row>
        <row r="156">
          <cell r="C156" t="str">
            <v>1824-07</v>
          </cell>
          <cell r="D156">
            <v>2000000</v>
          </cell>
          <cell r="E156" t="str">
            <v>STAMBAUGH</v>
          </cell>
        </row>
        <row r="157">
          <cell r="C157" t="str">
            <v>208-07</v>
          </cell>
          <cell r="D157">
            <v>2040000</v>
          </cell>
          <cell r="E157" t="str">
            <v>MOSES</v>
          </cell>
        </row>
        <row r="158">
          <cell r="C158" t="str">
            <v>215-07</v>
          </cell>
          <cell r="D158">
            <v>2020000</v>
          </cell>
          <cell r="E158" t="str">
            <v>SHOOK</v>
          </cell>
        </row>
        <row r="159">
          <cell r="C159" t="str">
            <v>210-07</v>
          </cell>
          <cell r="D159">
            <v>1180000</v>
          </cell>
          <cell r="E159" t="str">
            <v>LEVERE</v>
          </cell>
        </row>
        <row r="160">
          <cell r="C160" t="str">
            <v>217-07</v>
          </cell>
          <cell r="D160">
            <v>1810000</v>
          </cell>
          <cell r="E160" t="str">
            <v>NEWELL</v>
          </cell>
        </row>
        <row r="161">
          <cell r="C161" t="str">
            <v>1825-07</v>
          </cell>
          <cell r="D161">
            <v>2000000</v>
          </cell>
          <cell r="E161" t="str">
            <v>STAMBAUGH</v>
          </cell>
        </row>
        <row r="162">
          <cell r="C162" t="str">
            <v>212-07</v>
          </cell>
          <cell r="D162">
            <v>1140000</v>
          </cell>
          <cell r="E162" t="str">
            <v>YOUNG</v>
          </cell>
        </row>
        <row r="163">
          <cell r="C163" t="str">
            <v>219-07</v>
          </cell>
          <cell r="D163">
            <v>1800000</v>
          </cell>
          <cell r="E163" t="str">
            <v>CHANDLER</v>
          </cell>
        </row>
        <row r="164">
          <cell r="C164" t="str">
            <v>214-07</v>
          </cell>
          <cell r="D164">
            <v>1290000</v>
          </cell>
          <cell r="E164" t="str">
            <v>COOLAHAN</v>
          </cell>
        </row>
        <row r="165">
          <cell r="C165" t="str">
            <v>1826-07</v>
          </cell>
          <cell r="D165">
            <v>2000000</v>
          </cell>
          <cell r="E165" t="str">
            <v>STAMBAUGH</v>
          </cell>
        </row>
        <row r="166">
          <cell r="C166" t="str">
            <v>216-07</v>
          </cell>
          <cell r="D166">
            <v>2020000</v>
          </cell>
          <cell r="E166" t="str">
            <v>SHOOK</v>
          </cell>
        </row>
        <row r="167">
          <cell r="C167" t="str">
            <v>303-07</v>
          </cell>
          <cell r="D167">
            <v>2040000</v>
          </cell>
          <cell r="E167" t="str">
            <v>MOSES</v>
          </cell>
        </row>
        <row r="168">
          <cell r="C168" t="str">
            <v>221-07</v>
          </cell>
          <cell r="D168">
            <v>1180000</v>
          </cell>
          <cell r="E168" t="str">
            <v>LEVERE</v>
          </cell>
        </row>
        <row r="169">
          <cell r="C169" t="str">
            <v>218-07</v>
          </cell>
          <cell r="D169">
            <v>1810000</v>
          </cell>
          <cell r="E169" t="str">
            <v>NEWELL</v>
          </cell>
        </row>
        <row r="170">
          <cell r="C170" t="str">
            <v>1827-07</v>
          </cell>
          <cell r="D170">
            <v>2000000</v>
          </cell>
          <cell r="E170" t="str">
            <v>STAMBAUGH</v>
          </cell>
        </row>
        <row r="171">
          <cell r="C171" t="str">
            <v>220-07</v>
          </cell>
          <cell r="D171">
            <v>1800000</v>
          </cell>
          <cell r="E171" t="str">
            <v>CHANDLER</v>
          </cell>
        </row>
        <row r="172">
          <cell r="C172" t="str">
            <v>223-07</v>
          </cell>
          <cell r="D172">
            <v>1290000</v>
          </cell>
          <cell r="E172" t="str">
            <v>COOLAHAN</v>
          </cell>
        </row>
        <row r="173">
          <cell r="C173" t="str">
            <v>1828-07</v>
          </cell>
          <cell r="D173">
            <v>2000000</v>
          </cell>
          <cell r="E173" t="str">
            <v>STAMBAUGH</v>
          </cell>
        </row>
        <row r="174">
          <cell r="C174" t="str">
            <v>222-07</v>
          </cell>
          <cell r="D174">
            <v>1180000</v>
          </cell>
          <cell r="E174" t="str">
            <v>LEVERE</v>
          </cell>
        </row>
        <row r="175">
          <cell r="C175" t="str">
            <v>225-07</v>
          </cell>
          <cell r="D175">
            <v>1810000</v>
          </cell>
          <cell r="E175" t="str">
            <v>NEWELL</v>
          </cell>
        </row>
        <row r="176">
          <cell r="C176" t="str">
            <v>1829-07</v>
          </cell>
          <cell r="D176">
            <v>2000000</v>
          </cell>
          <cell r="E176" t="str">
            <v>STAMBAUGH</v>
          </cell>
        </row>
        <row r="177">
          <cell r="C177" t="str">
            <v>224-07</v>
          </cell>
          <cell r="D177">
            <v>1290000</v>
          </cell>
          <cell r="E177" t="str">
            <v>COOLAHAN</v>
          </cell>
        </row>
        <row r="178">
          <cell r="C178" t="str">
            <v>227-07</v>
          </cell>
          <cell r="D178">
            <v>1800000</v>
          </cell>
          <cell r="E178" t="str">
            <v>CHANDLER</v>
          </cell>
        </row>
        <row r="179">
          <cell r="C179" t="str">
            <v>226-07</v>
          </cell>
          <cell r="D179">
            <v>1810000</v>
          </cell>
          <cell r="E179" t="str">
            <v>NEWELL</v>
          </cell>
        </row>
        <row r="180">
          <cell r="C180" t="str">
            <v>1830-07</v>
          </cell>
          <cell r="D180">
            <v>2000000</v>
          </cell>
          <cell r="E180" t="str">
            <v>STAMBAUGH</v>
          </cell>
        </row>
        <row r="181">
          <cell r="C181" t="str">
            <v>229-07</v>
          </cell>
          <cell r="D181">
            <v>1180000</v>
          </cell>
          <cell r="E181" t="str">
            <v>LEVERE</v>
          </cell>
        </row>
        <row r="182">
          <cell r="C182" t="str">
            <v>1831-07</v>
          </cell>
          <cell r="D182">
            <v>2000000</v>
          </cell>
          <cell r="E182" t="str">
            <v>STAMBAUGH</v>
          </cell>
        </row>
        <row r="183">
          <cell r="C183" t="str">
            <v>228-07</v>
          </cell>
          <cell r="D183">
            <v>1800000</v>
          </cell>
          <cell r="E183" t="str">
            <v>CHANDLER</v>
          </cell>
        </row>
        <row r="184">
          <cell r="C184" t="str">
            <v>231-07</v>
          </cell>
          <cell r="D184">
            <v>1290000</v>
          </cell>
          <cell r="E184" t="str">
            <v>COOLAHAN</v>
          </cell>
        </row>
        <row r="185">
          <cell r="C185" t="str">
            <v>1832-07</v>
          </cell>
          <cell r="D185">
            <v>2000000</v>
          </cell>
          <cell r="E185" t="str">
            <v>STAMBAUGH</v>
          </cell>
        </row>
        <row r="186">
          <cell r="C186" t="str">
            <v>233-07</v>
          </cell>
          <cell r="D186">
            <v>1810000</v>
          </cell>
          <cell r="E186" t="str">
            <v>NEWELL</v>
          </cell>
        </row>
        <row r="187">
          <cell r="C187" t="str">
            <v>230-07</v>
          </cell>
          <cell r="D187">
            <v>1180000</v>
          </cell>
          <cell r="E187" t="str">
            <v>LEVERE</v>
          </cell>
        </row>
        <row r="188">
          <cell r="C188" t="str">
            <v>1833-07</v>
          </cell>
          <cell r="D188">
            <v>2000000</v>
          </cell>
          <cell r="E188" t="str">
            <v>STAMBAUGH</v>
          </cell>
        </row>
        <row r="189">
          <cell r="C189" t="str">
            <v>232-07</v>
          </cell>
          <cell r="D189">
            <v>1290000</v>
          </cell>
          <cell r="E189" t="str">
            <v>COOLAHAN</v>
          </cell>
        </row>
        <row r="190">
          <cell r="C190" t="str">
            <v>235-07</v>
          </cell>
          <cell r="D190">
            <v>1800000</v>
          </cell>
          <cell r="E190" t="str">
            <v>CHANDLER</v>
          </cell>
        </row>
        <row r="191">
          <cell r="C191" t="str">
            <v>1902-07</v>
          </cell>
          <cell r="D191">
            <v>2000000</v>
          </cell>
          <cell r="E191" t="str">
            <v>STAMBAUGH</v>
          </cell>
        </row>
        <row r="192">
          <cell r="C192" t="str">
            <v>234-07</v>
          </cell>
          <cell r="D192">
            <v>1810000</v>
          </cell>
          <cell r="E192" t="str">
            <v>NEWELL</v>
          </cell>
        </row>
        <row r="193">
          <cell r="C193" t="str">
            <v>1902-07</v>
          </cell>
          <cell r="D193">
            <v>2000000</v>
          </cell>
          <cell r="E193" t="str">
            <v>STAMBAUGH</v>
          </cell>
        </row>
        <row r="194">
          <cell r="C194" t="str">
            <v>237-07</v>
          </cell>
          <cell r="D194">
            <v>1180000</v>
          </cell>
          <cell r="E194" t="str">
            <v>LEVERE</v>
          </cell>
        </row>
        <row r="195">
          <cell r="C195" t="str">
            <v>236-07</v>
          </cell>
          <cell r="D195">
            <v>1800000</v>
          </cell>
          <cell r="E195" t="str">
            <v>CHANDLER</v>
          </cell>
        </row>
        <row r="196">
          <cell r="C196" t="str">
            <v>239-07</v>
          </cell>
          <cell r="D196">
            <v>1290000</v>
          </cell>
          <cell r="E196" t="str">
            <v>COOLAHAN</v>
          </cell>
        </row>
        <row r="197">
          <cell r="C197" t="str">
            <v>241-07</v>
          </cell>
          <cell r="D197">
            <v>1810000</v>
          </cell>
          <cell r="E197" t="str">
            <v>NEWELL</v>
          </cell>
        </row>
        <row r="198">
          <cell r="C198" t="str">
            <v>238-07</v>
          </cell>
          <cell r="D198">
            <v>1180000</v>
          </cell>
          <cell r="E198" t="str">
            <v>LEVERE</v>
          </cell>
        </row>
        <row r="199">
          <cell r="C199" t="str">
            <v>240-07</v>
          </cell>
          <cell r="D199">
            <v>1290000</v>
          </cell>
          <cell r="E199" t="str">
            <v>COOLAHAN</v>
          </cell>
        </row>
        <row r="200">
          <cell r="C200" t="str">
            <v>243-07</v>
          </cell>
          <cell r="D200">
            <v>1800000</v>
          </cell>
          <cell r="E200" t="str">
            <v>CHANDLER</v>
          </cell>
        </row>
        <row r="201">
          <cell r="C201" t="str">
            <v>309-07</v>
          </cell>
          <cell r="D201">
            <v>1180000</v>
          </cell>
          <cell r="E201" t="str">
            <v>LEVERE</v>
          </cell>
        </row>
        <row r="202">
          <cell r="C202" t="str">
            <v>309-07</v>
          </cell>
          <cell r="D202">
            <v>1180000</v>
          </cell>
          <cell r="E202" t="str">
            <v>LEVERE</v>
          </cell>
        </row>
        <row r="203">
          <cell r="C203" t="str">
            <v>309-07</v>
          </cell>
          <cell r="D203">
            <v>1180000</v>
          </cell>
          <cell r="E203" t="str">
            <v>LEVERE</v>
          </cell>
        </row>
        <row r="204">
          <cell r="C204" t="str">
            <v>242-07</v>
          </cell>
          <cell r="D204">
            <v>1810000</v>
          </cell>
          <cell r="E204" t="str">
            <v>NEWELL</v>
          </cell>
        </row>
        <row r="205">
          <cell r="C205" t="str">
            <v>311-07</v>
          </cell>
          <cell r="D205">
            <v>1290000</v>
          </cell>
          <cell r="E205" t="str">
            <v>COOLAHAN</v>
          </cell>
        </row>
        <row r="206">
          <cell r="C206" t="str">
            <v>244-07</v>
          </cell>
          <cell r="D206">
            <v>1800000</v>
          </cell>
          <cell r="E206" t="str">
            <v>CHANDLER</v>
          </cell>
        </row>
        <row r="207">
          <cell r="C207" t="str">
            <v>313-07</v>
          </cell>
          <cell r="D207">
            <v>1810000</v>
          </cell>
          <cell r="E207" t="str">
            <v>NEWELL</v>
          </cell>
        </row>
        <row r="208">
          <cell r="C208" t="str">
            <v>315-07</v>
          </cell>
          <cell r="D208">
            <v>1800000</v>
          </cell>
          <cell r="E208" t="str">
            <v>CHANDLE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101-08</v>
          </cell>
          <cell r="B13">
            <v>4029</v>
          </cell>
          <cell r="C13" t="str">
            <v>DE.1.0.7.0</v>
          </cell>
          <cell r="D13" t="str">
            <v>204:754</v>
          </cell>
          <cell r="E13">
            <v>42590.127210648148</v>
          </cell>
          <cell r="F13">
            <v>42590.12908564815</v>
          </cell>
          <cell r="G13">
            <v>2</v>
          </cell>
          <cell r="H13" t="str">
            <v>204:233207</v>
          </cell>
          <cell r="I13">
            <v>42590.163090277776</v>
          </cell>
          <cell r="J13">
            <v>2</v>
          </cell>
          <cell r="K13" t="str">
            <v>4029/4030</v>
          </cell>
          <cell r="L13" t="str">
            <v>OUN</v>
          </cell>
          <cell r="M13">
            <v>3.400462962599704E-2</v>
          </cell>
          <cell r="N13">
            <v>48.966666661435738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" t="str">
            <v>N</v>
          </cell>
          <cell r="X13" t="e">
            <v>#VALUE!</v>
          </cell>
          <cell r="Y13">
            <v>7.5399999999999995E-2</v>
          </cell>
          <cell r="Z13">
            <v>23.320699999999999</v>
          </cell>
          <cell r="AA13">
            <v>23.2453</v>
          </cell>
          <cell r="AB13" t="e">
            <v>#N/A</v>
          </cell>
          <cell r="AC13" t="e">
            <v>#N/A</v>
          </cell>
          <cell r="AD13" t="str">
            <v>0101-08</v>
          </cell>
          <cell r="AE1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">
          <cell r="A14" t="str">
            <v>102-08</v>
          </cell>
          <cell r="B14">
            <v>4012</v>
          </cell>
          <cell r="C14" t="str">
            <v>DE.1.0.7.0</v>
          </cell>
          <cell r="D14" t="str">
            <v>204:232575</v>
          </cell>
          <cell r="E14">
            <v>42590.16914351852</v>
          </cell>
          <cell r="F14">
            <v>42590.17050925926</v>
          </cell>
          <cell r="G14">
            <v>1</v>
          </cell>
          <cell r="H14" t="str">
            <v>204:110</v>
          </cell>
          <cell r="I14">
            <v>42590.202893518515</v>
          </cell>
          <cell r="J14">
            <v>0</v>
          </cell>
          <cell r="K14" t="str">
            <v>4011/4012</v>
          </cell>
          <cell r="L14" t="str">
            <v>OUN</v>
          </cell>
          <cell r="M14">
            <v>3.2384259255195502E-2</v>
          </cell>
          <cell r="N14">
            <v>46.633333327481523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https://search-rtdc-monitor-bjffxe2xuh6vdkpspy63sjmuny.us-east-1.es.amazonaws.com/_plugin/kibana/#/discover/Steve-Slow-Train-Analysis-(2080s-and-2083s)?_g=(refreshInterval:(display:Off,section:0,value:0),time:(from:'2016-08-08 03:03:34-0600',mode:absolute,to:'2016-08-08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" t="str">
            <v>N</v>
          </cell>
          <cell r="X14">
            <v>1</v>
          </cell>
          <cell r="Y14">
            <v>23.2575</v>
          </cell>
          <cell r="Z14">
            <v>1.0999999999999999E-2</v>
          </cell>
          <cell r="AA14">
            <v>23.246500000000001</v>
          </cell>
          <cell r="AB14" t="e">
            <v>#N/A</v>
          </cell>
          <cell r="AC14" t="e">
            <v>#N/A</v>
          </cell>
          <cell r="AD14" t="str">
            <v>0102-08</v>
          </cell>
          <cell r="AE1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5">
          <cell r="A15" t="str">
            <v>103-08</v>
          </cell>
          <cell r="B15">
            <v>4007</v>
          </cell>
          <cell r="C15" t="str">
            <v>DE.1.0.7.0</v>
          </cell>
          <cell r="D15" t="str">
            <v>204:748</v>
          </cell>
          <cell r="E15">
            <v>42590.150995370372</v>
          </cell>
          <cell r="F15">
            <v>42590.152916666666</v>
          </cell>
          <cell r="G15">
            <v>2</v>
          </cell>
          <cell r="H15" t="str">
            <v>204:233264</v>
          </cell>
          <cell r="I15">
            <v>42590.181932870371</v>
          </cell>
          <cell r="J15">
            <v>0</v>
          </cell>
          <cell r="K15" t="str">
            <v>4007/4008</v>
          </cell>
          <cell r="L15" t="str">
            <v>STURGEON</v>
          </cell>
          <cell r="M15">
            <v>2.9016203705396038E-2</v>
          </cell>
          <cell r="N15">
            <v>41.783333335770294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https://search-rtdc-monitor-bjffxe2xuh6vdkpspy63sjmuny.us-east-1.es.amazonaws.com/_plugin/kibana/#/discover/Steve-Slow-Train-Analysis-(2080s-and-2083s)?_g=(refreshInterval:(display:Off,section:0,value:0),time:(from:'2016-08-08 02:37:26-0600',mode:absolute,to:'2016-08-08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" t="str">
            <v>N</v>
          </cell>
          <cell r="X15">
            <v>1</v>
          </cell>
          <cell r="Y15">
            <v>7.4800000000000005E-2</v>
          </cell>
          <cell r="Z15">
            <v>23.3264</v>
          </cell>
          <cell r="AA15">
            <v>23.2516</v>
          </cell>
          <cell r="AB15" t="e">
            <v>#N/A</v>
          </cell>
          <cell r="AC15" t="e">
            <v>#N/A</v>
          </cell>
          <cell r="AD15" t="str">
            <v>0103-08</v>
          </cell>
          <cell r="AE1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6">
          <cell r="A16" t="str">
            <v>104-08</v>
          </cell>
          <cell r="B16">
            <v>4013</v>
          </cell>
          <cell r="C16" t="str">
            <v>DE.1.0.7.0</v>
          </cell>
          <cell r="D16" t="str">
            <v>204:232639</v>
          </cell>
          <cell r="E16">
            <v>42590.185763888891</v>
          </cell>
          <cell r="F16">
            <v>42590.18787037037</v>
          </cell>
          <cell r="G16">
            <v>3</v>
          </cell>
          <cell r="H16" t="str">
            <v>204:174</v>
          </cell>
          <cell r="I16">
            <v>42590.222627314812</v>
          </cell>
          <cell r="J16">
            <v>0</v>
          </cell>
          <cell r="K16" t="str">
            <v>4013/4014</v>
          </cell>
          <cell r="L16" t="str">
            <v>STURGEON</v>
          </cell>
          <cell r="M16">
            <v>3.4756944442051463E-2</v>
          </cell>
          <cell r="N16">
            <v>50.049999996554106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https://search-rtdc-monitor-bjffxe2xuh6vdkpspy63sjmuny.us-east-1.es.amazonaws.com/_plugin/kibana/#/discover/Steve-Slow-Train-Analysis-(2080s-and-2083s)?_g=(refreshInterval:(display:Off,section:0,value:0),time:(from:'2016-08-08 03:27:30-0600',mode:absolute,to:'2016-08-08 06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" t="str">
            <v>N</v>
          </cell>
          <cell r="X16">
            <v>1</v>
          </cell>
          <cell r="Y16">
            <v>23.2639</v>
          </cell>
          <cell r="Z16">
            <v>1.7399999999999999E-2</v>
          </cell>
          <cell r="AA16">
            <v>23.246500000000001</v>
          </cell>
          <cell r="AB16" t="e">
            <v>#N/A</v>
          </cell>
          <cell r="AC16" t="e">
            <v>#N/A</v>
          </cell>
          <cell r="AD16" t="str">
            <v>0104-08</v>
          </cell>
          <cell r="AE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7">
          <cell r="A17" t="str">
            <v>105-08</v>
          </cell>
          <cell r="B17">
            <v>4020</v>
          </cell>
          <cell r="C17" t="str">
            <v>DE.1.0.7.0</v>
          </cell>
          <cell r="D17" t="str">
            <v>204:724</v>
          </cell>
          <cell r="E17">
            <v>42590.169479166667</v>
          </cell>
          <cell r="F17">
            <v>42590.171261574076</v>
          </cell>
          <cell r="G17">
            <v>2</v>
          </cell>
          <cell r="H17" t="str">
            <v>204:233336</v>
          </cell>
          <cell r="I17">
            <v>42590.204305555555</v>
          </cell>
          <cell r="J17">
            <v>0</v>
          </cell>
          <cell r="K17" t="str">
            <v>4019/4020</v>
          </cell>
          <cell r="L17" t="str">
            <v>GEBRETEKLE</v>
          </cell>
          <cell r="M17">
            <v>3.3043981478840578E-2</v>
          </cell>
          <cell r="N17">
            <v>47.583333329530433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https://search-rtdc-monitor-bjffxe2xuh6vdkpspy63sjmuny.us-east-1.es.amazonaws.com/_plugin/kibana/#/discover/Steve-Slow-Train-Analysis-(2080s-and-2083s)?_g=(refreshInterval:(display:Off,section:0,value:0),time:(from:'2016-08-08 03:04:03-0600',mode:absolute,to:'2016-08-08 05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7.2400000000000006E-2</v>
          </cell>
          <cell r="Z17">
            <v>23.333600000000001</v>
          </cell>
          <cell r="AA17">
            <v>23.261200000000002</v>
          </cell>
          <cell r="AB17" t="e">
            <v>#N/A</v>
          </cell>
          <cell r="AC17" t="e">
            <v>#N/A</v>
          </cell>
          <cell r="AD17" t="str">
            <v>0105-08</v>
          </cell>
          <cell r="AE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8">
          <cell r="A18" t="str">
            <v>106-08</v>
          </cell>
          <cell r="B18">
            <v>4032</v>
          </cell>
          <cell r="C18" t="str">
            <v>DE.1.0.7.0</v>
          </cell>
          <cell r="D18" t="str">
            <v>204:232642</v>
          </cell>
          <cell r="E18">
            <v>42590.213541666664</v>
          </cell>
          <cell r="F18">
            <v>42590.215624999997</v>
          </cell>
          <cell r="G18">
            <v>3</v>
          </cell>
          <cell r="H18" t="str">
            <v>204:178</v>
          </cell>
          <cell r="I18">
            <v>42590.246145833335</v>
          </cell>
          <cell r="J18">
            <v>2</v>
          </cell>
          <cell r="K18" t="str">
            <v>4031/4032</v>
          </cell>
          <cell r="L18" t="str">
            <v>GEBRETEKLE</v>
          </cell>
          <cell r="M18">
            <v>3.0520833337504882E-2</v>
          </cell>
          <cell r="N18">
            <v>43.950000006007031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23.264199999999999</v>
          </cell>
          <cell r="Z18">
            <v>1.78E-2</v>
          </cell>
          <cell r="AA18">
            <v>23.246399999999998</v>
          </cell>
          <cell r="AB18" t="e">
            <v>#N/A</v>
          </cell>
          <cell r="AC18" t="e">
            <v>#N/A</v>
          </cell>
          <cell r="AD18" t="str">
            <v>0106-08</v>
          </cell>
          <cell r="AE18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">
          <cell r="A19" t="str">
            <v>107-08</v>
          </cell>
          <cell r="B19">
            <v>4027</v>
          </cell>
          <cell r="C19" t="str">
            <v>DE.1.0.7.0</v>
          </cell>
          <cell r="D19" t="str">
            <v>204:447</v>
          </cell>
          <cell r="E19">
            <v>42590.188506944447</v>
          </cell>
          <cell r="F19">
            <v>42590.189756944441</v>
          </cell>
          <cell r="G19">
            <v>1</v>
          </cell>
          <cell r="H19" t="str">
            <v>204:233321</v>
          </cell>
          <cell r="I19">
            <v>42590.220682870371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3.0925925930205267E-2</v>
          </cell>
          <cell r="N19">
            <v>44.533333339495584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https://search-rtdc-monitor-bjffxe2xuh6vdkpspy63sjmuny.us-east-1.es.amazonaws.com/_plugin/kibana/#/discover/Steve-Slow-Train-Analysis-(2080s-and-2083s)?_g=(refreshInterval:(display:Off,section:0,value:0),time:(from:'2016-08-08 03:31:27-0600',mode:absolute,to:'2016-08-08 06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4.4699999999999997E-2</v>
          </cell>
          <cell r="Z19">
            <v>23.332100000000001</v>
          </cell>
          <cell r="AA19">
            <v>23.287400000000002</v>
          </cell>
          <cell r="AB19" t="e">
            <v>#N/A</v>
          </cell>
          <cell r="AC19" t="e">
            <v>#N/A</v>
          </cell>
          <cell r="AD19" t="str">
            <v>0107-08</v>
          </cell>
          <cell r="AE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20">
          <cell r="A20" t="str">
            <v>108-08</v>
          </cell>
          <cell r="B20">
            <v>4028</v>
          </cell>
          <cell r="C20" t="str">
            <v>DE.1.0.7.0</v>
          </cell>
          <cell r="D20" t="str">
            <v>204:233025</v>
          </cell>
          <cell r="E20">
            <v>42590.222511574073</v>
          </cell>
          <cell r="F20">
            <v>42590.223680555559</v>
          </cell>
          <cell r="G20">
            <v>1</v>
          </cell>
          <cell r="H20" t="str">
            <v>204:156</v>
          </cell>
          <cell r="I20">
            <v>42590.257326388892</v>
          </cell>
          <cell r="J20">
            <v>1</v>
          </cell>
          <cell r="K20" t="str">
            <v>4027/4028</v>
          </cell>
          <cell r="L20" t="str">
            <v>SPECTOR</v>
          </cell>
          <cell r="M20">
            <v>3.3645833333139308E-2</v>
          </cell>
          <cell r="N20">
            <v>48.449999999720603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23.302499999999998</v>
          </cell>
          <cell r="Z20">
            <v>1.5599999999999999E-2</v>
          </cell>
          <cell r="AA20">
            <v>23.286899999999999</v>
          </cell>
          <cell r="AB20">
            <v>103800</v>
          </cell>
          <cell r="AC20" t="str">
            <v>GRADE CROSSING</v>
          </cell>
          <cell r="AD20" t="str">
            <v>0108-08</v>
          </cell>
          <cell r="AE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21">
          <cell r="A21" t="str">
            <v>109-08</v>
          </cell>
          <cell r="B21">
            <v>4038</v>
          </cell>
          <cell r="C21" t="str">
            <v>DE.1.0.7.0</v>
          </cell>
          <cell r="D21" t="str">
            <v>204:484</v>
          </cell>
          <cell r="E21">
            <v>42590.19667824074</v>
          </cell>
          <cell r="F21">
            <v>42590.197627314818</v>
          </cell>
          <cell r="G21">
            <v>1</v>
          </cell>
          <cell r="H21" t="str">
            <v>204:223591</v>
          </cell>
          <cell r="I21">
            <v>42590.222303240742</v>
          </cell>
          <cell r="J21">
            <v>0</v>
          </cell>
          <cell r="K21" t="str">
            <v>4037/4038</v>
          </cell>
          <cell r="L21" t="str">
            <v>YORK</v>
          </cell>
          <cell r="M21">
            <v>2.4675925924384501E-2</v>
          </cell>
          <cell r="P21">
            <v>35.533333331113681</v>
          </cell>
          <cell r="R21" t="str">
            <v>ML-2241 comm failure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https://search-rtdc-monitor-bjffxe2xuh6vdkpspy63sjmuny.us-east-1.es.amazonaws.com/_plugin/kibana/#/discover/Steve-Slow-Train-Analysis-(2080s-and-2083s)?_g=(refreshInterval:(display:Off,section:0,value:0),time:(from:'2016-08-08 03:43:13-0600',mode:absolute,to:'2016-08-08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Y</v>
          </cell>
          <cell r="X21">
            <v>1</v>
          </cell>
          <cell r="Y21">
            <v>4.8399999999999999E-2</v>
          </cell>
          <cell r="Z21">
            <v>22.359100000000002</v>
          </cell>
          <cell r="AA21">
            <v>22.310700000000001</v>
          </cell>
          <cell r="AB21" t="e">
            <v>#N/A</v>
          </cell>
          <cell r="AC21" t="e">
            <v>#N/A</v>
          </cell>
          <cell r="AD21" t="str">
            <v>0109-08</v>
          </cell>
          <cell r="AE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2">
          <cell r="A22" t="str">
            <v>110-08</v>
          </cell>
          <cell r="B22">
            <v>4037</v>
          </cell>
          <cell r="C22" t="str">
            <v>DE.1.0.7.0</v>
          </cell>
          <cell r="D22" t="str">
            <v>204:154005</v>
          </cell>
          <cell r="E22">
            <v>42590.245706018519</v>
          </cell>
          <cell r="F22">
            <v>42590.246319444443</v>
          </cell>
          <cell r="G22">
            <v>0</v>
          </cell>
          <cell r="H22" t="str">
            <v>204:150</v>
          </cell>
          <cell r="I22">
            <v>42590.265439814815</v>
          </cell>
          <cell r="J22">
            <v>0</v>
          </cell>
          <cell r="K22" t="str">
            <v>4037/4038</v>
          </cell>
          <cell r="L22" t="str">
            <v>YORK</v>
          </cell>
          <cell r="M22">
            <v>1.9120370372547768E-2</v>
          </cell>
          <cell r="P22">
            <v>44.733333333861083</v>
          </cell>
          <cell r="R22" t="str">
            <v>ML-2241 comm failure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https://search-rtdc-monitor-bjffxe2xuh6vdkpspy63sjmuny.us-east-1.es.amazonaws.com/_plugin/kibana/#/discover/Steve-Slow-Train-Analysis-(2080s-and-2083s)?_g=(refreshInterval:(display:Off,section:0,value:0),time:(from:'2016-08-08 04:53:49-0600',mode:absolute,to:'2016-08-08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Y</v>
          </cell>
          <cell r="X22">
            <v>1</v>
          </cell>
          <cell r="Y22">
            <v>15.400499999999999</v>
          </cell>
          <cell r="Z22">
            <v>1.4999999999999999E-2</v>
          </cell>
          <cell r="AA22">
            <v>15.385499999999999</v>
          </cell>
          <cell r="AB22" t="e">
            <v>#N/A</v>
          </cell>
          <cell r="AC22" t="e">
            <v>#N/A</v>
          </cell>
          <cell r="AD22" t="str">
            <v>0110-08</v>
          </cell>
          <cell r="AE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3">
          <cell r="A23" t="str">
            <v>110-08</v>
          </cell>
          <cell r="B23">
            <v>4037</v>
          </cell>
          <cell r="C23" t="str">
            <v>DE.1.0.7.0</v>
          </cell>
          <cell r="D23" t="str">
            <v>204:232957</v>
          </cell>
          <cell r="E23">
            <v>42590.226111111115</v>
          </cell>
          <cell r="F23">
            <v>42590.227025462962</v>
          </cell>
          <cell r="G23">
            <v>1</v>
          </cell>
          <cell r="H23" t="str">
            <v>204:230872</v>
          </cell>
          <cell r="I23">
            <v>42590.238969907405</v>
          </cell>
          <cell r="J23">
            <v>0</v>
          </cell>
          <cell r="K23" t="str">
            <v>4037/4038</v>
          </cell>
          <cell r="L23" t="str">
            <v>YORK</v>
          </cell>
          <cell r="M23">
            <v>1.1944444442633539E-2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3" t="str">
            <v>Y</v>
          </cell>
          <cell r="X23">
            <v>0</v>
          </cell>
          <cell r="Y23">
            <v>23.2957</v>
          </cell>
          <cell r="Z23">
            <v>23.087199999999999</v>
          </cell>
          <cell r="AA23">
            <v>0.2085000000000008</v>
          </cell>
          <cell r="AB23" t="e">
            <v>#N/A</v>
          </cell>
          <cell r="AC23" t="e">
            <v>#N/A</v>
          </cell>
          <cell r="AD23" t="str">
            <v>0110-08</v>
          </cell>
          <cell r="AE23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4">
          <cell r="A24" t="str">
            <v>111-08</v>
          </cell>
          <cell r="B24" t="str">
            <v>-</v>
          </cell>
          <cell r="C24" t="str">
            <v>DE.1.0.7.0</v>
          </cell>
          <cell r="D24" t="str">
            <v>204:232957</v>
          </cell>
          <cell r="E24">
            <v>42590.226111111115</v>
          </cell>
          <cell r="F24">
            <v>42590.227025462962</v>
          </cell>
          <cell r="G24">
            <v>1</v>
          </cell>
          <cell r="H24" t="str">
            <v>204:230872</v>
          </cell>
          <cell r="I24">
            <v>42590.238969907405</v>
          </cell>
          <cell r="J24">
            <v>0</v>
          </cell>
          <cell r="K24" t="e">
            <v>#VALUE!</v>
          </cell>
          <cell r="L24" t="str">
            <v>STARKS</v>
          </cell>
          <cell r="M24">
            <v>1.1944444442633539E-2</v>
          </cell>
          <cell r="P24">
            <v>1</v>
          </cell>
          <cell r="R24" t="str">
            <v>ML-2241 comm failure</v>
          </cell>
          <cell r="S24">
            <v>0</v>
          </cell>
          <cell r="T24" t="str">
            <v>NorthBound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24" t="str">
            <v>Y</v>
          </cell>
          <cell r="X24">
            <v>1</v>
          </cell>
          <cell r="Y24">
            <v>23.2957</v>
          </cell>
          <cell r="Z24">
            <v>23.087199999999999</v>
          </cell>
          <cell r="AA24">
            <v>0.2085000000000008</v>
          </cell>
          <cell r="AB24" t="e">
            <v>#N/A</v>
          </cell>
          <cell r="AC24" t="e">
            <v>#N/A</v>
          </cell>
          <cell r="AD24" t="str">
            <v>0111-08</v>
          </cell>
          <cell r="AE24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25">
          <cell r="A25" t="str">
            <v>112-08</v>
          </cell>
          <cell r="B25">
            <v>4030</v>
          </cell>
          <cell r="C25" t="str">
            <v>DE.1.0.7.0</v>
          </cell>
          <cell r="D25" t="str">
            <v>204:154010</v>
          </cell>
          <cell r="E25">
            <v>42590.255555555559</v>
          </cell>
          <cell r="F25">
            <v>42590.256423611114</v>
          </cell>
          <cell r="G25">
            <v>1</v>
          </cell>
          <cell r="H25" t="str">
            <v>204:147</v>
          </cell>
          <cell r="I25">
            <v>42590.277662037035</v>
          </cell>
          <cell r="J25">
            <v>0</v>
          </cell>
          <cell r="K25" t="str">
            <v>4029/4030</v>
          </cell>
          <cell r="L25" t="str">
            <v>STARKS</v>
          </cell>
          <cell r="M25">
            <v>2.1238425921183079E-2</v>
          </cell>
          <cell r="P25">
            <v>30.583333326503634</v>
          </cell>
          <cell r="R25" t="str">
            <v>ML-2241 comm failure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https://search-rtdc-monitor-bjffxe2xuh6vdkpspy63sjmuny.us-east-1.es.amazonaws.com/_plugin/kibana/#/discover/Steve-Slow-Train-Analysis-(2080s-and-2083s)?_g=(refreshInterval:(display:Off,section:0,value:0),time:(from:'2016-08-08 05:08:00-0600',mode:absolute,to:'2016-08-08 07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5" t="str">
            <v>Y</v>
          </cell>
          <cell r="X25">
            <v>1</v>
          </cell>
          <cell r="Y25">
            <v>15.401</v>
          </cell>
          <cell r="Z25">
            <v>1.47E-2</v>
          </cell>
          <cell r="AA25">
            <v>15.3863</v>
          </cell>
          <cell r="AB25" t="e">
            <v>#N/A</v>
          </cell>
          <cell r="AC25" t="e">
            <v>#N/A</v>
          </cell>
          <cell r="AD25" t="str">
            <v>0112-08</v>
          </cell>
          <cell r="AE25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26">
          <cell r="A26" t="str">
            <v>113-08</v>
          </cell>
          <cell r="B26">
            <v>4011</v>
          </cell>
          <cell r="C26" t="str">
            <v>DE.1.0.7.0</v>
          </cell>
          <cell r="D26" t="str">
            <v>204:422</v>
          </cell>
          <cell r="E26">
            <v>42590.207083333335</v>
          </cell>
          <cell r="F26">
            <v>42590.209085648145</v>
          </cell>
          <cell r="G26">
            <v>2</v>
          </cell>
          <cell r="H26" t="str">
            <v>204:233286</v>
          </cell>
          <cell r="I26">
            <v>42590.246527777781</v>
          </cell>
          <cell r="J26">
            <v>1</v>
          </cell>
          <cell r="K26" t="str">
            <v>4011/4012</v>
          </cell>
          <cell r="L26" t="str">
            <v>OUN</v>
          </cell>
          <cell r="M26">
            <v>3.7442129636474419E-2</v>
          </cell>
          <cell r="N26">
            <v>53.916666676523164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6" t="str">
            <v>N</v>
          </cell>
          <cell r="X26">
            <v>1</v>
          </cell>
          <cell r="Y26">
            <v>4.2200000000000001E-2</v>
          </cell>
          <cell r="Z26">
            <v>23.328600000000002</v>
          </cell>
          <cell r="AA26">
            <v>23.2864</v>
          </cell>
          <cell r="AB26" t="e">
            <v>#N/A</v>
          </cell>
          <cell r="AC26" t="e">
            <v>#N/A</v>
          </cell>
          <cell r="AD26" t="str">
            <v>0113-08</v>
          </cell>
          <cell r="AE26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27">
          <cell r="A27" t="str">
            <v>114-08</v>
          </cell>
          <cell r="B27">
            <v>4012</v>
          </cell>
          <cell r="C27" t="str">
            <v>DE.1.0.7.0</v>
          </cell>
          <cell r="D27" t="str">
            <v>204:232969</v>
          </cell>
          <cell r="E27">
            <v>42590.253969907404</v>
          </cell>
          <cell r="F27">
            <v>42590.254965277774</v>
          </cell>
          <cell r="G27">
            <v>1</v>
          </cell>
          <cell r="H27" t="str">
            <v>204:147</v>
          </cell>
          <cell r="I27">
            <v>42590.285763888889</v>
          </cell>
          <cell r="J27">
            <v>0</v>
          </cell>
          <cell r="K27" t="str">
            <v>4011/4012</v>
          </cell>
          <cell r="L27" t="str">
            <v>OUN</v>
          </cell>
          <cell r="M27">
            <v>3.0798611114732921E-2</v>
          </cell>
          <cell r="N27">
            <v>44.350000005215406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https://search-rtdc-monitor-bjffxe2xuh6vdkpspy63sjmuny.us-east-1.es.amazonaws.com/_plugin/kibana/#/discover/Steve-Slow-Train-Analysis-(2080s-and-2083s)?_g=(refreshInterval:(display:Off,section:0,value:0),time:(from:'2016-08-08 05:05:43-0600',mode:absolute,to:'2016-08-08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7" t="str">
            <v>N</v>
          </cell>
          <cell r="X27">
            <v>1</v>
          </cell>
          <cell r="Y27">
            <v>23.296900000000001</v>
          </cell>
          <cell r="Z27">
            <v>1.47E-2</v>
          </cell>
          <cell r="AA27">
            <v>23.2822</v>
          </cell>
          <cell r="AB27" t="e">
            <v>#N/A</v>
          </cell>
          <cell r="AC27" t="e">
            <v>#N/A</v>
          </cell>
          <cell r="AD27" t="str">
            <v>0114-08</v>
          </cell>
          <cell r="AE27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28">
          <cell r="A28" t="str">
            <v>115-08</v>
          </cell>
          <cell r="B28">
            <v>4007</v>
          </cell>
          <cell r="C28" t="str">
            <v>DE.1.0.7.0</v>
          </cell>
          <cell r="D28" t="str">
            <v>204:774</v>
          </cell>
          <cell r="E28">
            <v>42590.226481481484</v>
          </cell>
          <cell r="F28">
            <v>42590.227708333332</v>
          </cell>
          <cell r="G28">
            <v>1</v>
          </cell>
          <cell r="H28" t="str">
            <v>204:233297</v>
          </cell>
          <cell r="I28">
            <v>42590.25608796296</v>
          </cell>
          <cell r="J28">
            <v>1</v>
          </cell>
          <cell r="K28" t="str">
            <v>4007/4008</v>
          </cell>
          <cell r="L28" t="str">
            <v>MALAVE</v>
          </cell>
          <cell r="M28">
            <v>2.8379629628034309E-2</v>
          </cell>
          <cell r="N28">
            <v>40.866666664369404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8" t="str">
            <v>N</v>
          </cell>
          <cell r="X28">
            <v>1</v>
          </cell>
          <cell r="Y28">
            <v>7.7399999999999997E-2</v>
          </cell>
          <cell r="Z28">
            <v>23.329699999999999</v>
          </cell>
          <cell r="AA28">
            <v>23.252299999999998</v>
          </cell>
          <cell r="AB28" t="e">
            <v>#N/A</v>
          </cell>
          <cell r="AC28" t="e">
            <v>#N/A</v>
          </cell>
          <cell r="AD28" t="str">
            <v>0115-08</v>
          </cell>
          <cell r="AE28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29">
          <cell r="A29" t="str">
            <v>116-08</v>
          </cell>
          <cell r="B29">
            <v>4008</v>
          </cell>
          <cell r="C29" t="str">
            <v>DE.1.0.7.0</v>
          </cell>
          <cell r="D29" t="str">
            <v>204:232968</v>
          </cell>
          <cell r="E29">
            <v>42590.266296296293</v>
          </cell>
          <cell r="F29">
            <v>42590.267268518517</v>
          </cell>
          <cell r="G29">
            <v>1</v>
          </cell>
          <cell r="H29" t="str">
            <v>204:150</v>
          </cell>
          <cell r="I29">
            <v>42590.296805555554</v>
          </cell>
          <cell r="J29">
            <v>3</v>
          </cell>
          <cell r="K29" t="str">
            <v>4007/4008</v>
          </cell>
          <cell r="L29" t="str">
            <v>MALAVE</v>
          </cell>
          <cell r="M29">
            <v>2.9537037036789116E-2</v>
          </cell>
          <cell r="N29">
            <v>42.533333332976326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9" t="str">
            <v>N</v>
          </cell>
          <cell r="X29">
            <v>1</v>
          </cell>
          <cell r="Y29">
            <v>23.296800000000001</v>
          </cell>
          <cell r="Z29">
            <v>1.4999999999999999E-2</v>
          </cell>
          <cell r="AA29">
            <v>23.2818</v>
          </cell>
          <cell r="AB29" t="e">
            <v>#N/A</v>
          </cell>
          <cell r="AC29" t="e">
            <v>#N/A</v>
          </cell>
          <cell r="AD29" t="str">
            <v>0116-08</v>
          </cell>
          <cell r="AE29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30">
          <cell r="A30" t="str">
            <v>117-08</v>
          </cell>
          <cell r="B30">
            <v>4014</v>
          </cell>
          <cell r="C30" t="str">
            <v>DE.1.0.7.0</v>
          </cell>
          <cell r="D30" t="str">
            <v>204:466</v>
          </cell>
          <cell r="E30">
            <v>42590.236458333333</v>
          </cell>
          <cell r="F30">
            <v>42590.237835648149</v>
          </cell>
          <cell r="G30">
            <v>1</v>
          </cell>
          <cell r="H30" t="str">
            <v>204:221003</v>
          </cell>
          <cell r="I30">
            <v>42590.263969907406</v>
          </cell>
          <cell r="J30">
            <v>0</v>
          </cell>
          <cell r="K30" t="str">
            <v>4013/4014</v>
          </cell>
          <cell r="L30" t="str">
            <v>STURGEON</v>
          </cell>
          <cell r="M30">
            <v>2.6134259256650694E-2</v>
          </cell>
          <cell r="P30">
            <v>37.633333329576999</v>
          </cell>
          <cell r="R30" t="str">
            <v>ML-2241 comm failure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https://search-rtdc-monitor-bjffxe2xuh6vdkpspy63sjmuny.us-east-1.es.amazonaws.com/_plugin/kibana/#/discover/Steve-Slow-Train-Analysis-(2080s-and-2083s)?_g=(refreshInterval:(display:Off,section:0,value:0),time:(from:'2016-08-08 04:40:30-0600',mode:absolute,to:'2016-08-08 07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0" t="str">
            <v>Y</v>
          </cell>
          <cell r="X30">
            <v>1</v>
          </cell>
          <cell r="Y30">
            <v>4.6600000000000003E-2</v>
          </cell>
          <cell r="Z30">
            <v>22.100300000000001</v>
          </cell>
          <cell r="AA30">
            <v>22.053699999999999</v>
          </cell>
          <cell r="AB30" t="e">
            <v>#N/A</v>
          </cell>
          <cell r="AC30" t="e">
            <v>#N/A</v>
          </cell>
          <cell r="AD30" t="str">
            <v>0117-08</v>
          </cell>
          <cell r="AE30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31">
          <cell r="A31" t="str">
            <v>118-08</v>
          </cell>
          <cell r="B31">
            <v>4013</v>
          </cell>
          <cell r="C31" t="str">
            <v>DE.1.0.7.0</v>
          </cell>
          <cell r="D31" t="str">
            <v>204:153996</v>
          </cell>
          <cell r="E31">
            <v>42590.28765046296</v>
          </cell>
          <cell r="F31">
            <v>42590.288356481484</v>
          </cell>
          <cell r="G31">
            <v>1</v>
          </cell>
          <cell r="H31" t="str">
            <v>204:178</v>
          </cell>
          <cell r="I31">
            <v>42590.310671296298</v>
          </cell>
          <cell r="J31">
            <v>0</v>
          </cell>
          <cell r="K31" t="str">
            <v>4013/4014</v>
          </cell>
          <cell r="L31" t="str">
            <v>STURGEON</v>
          </cell>
          <cell r="M31">
            <v>2.2314814814308193E-2</v>
          </cell>
          <cell r="P31">
            <v>37.233333330368623</v>
          </cell>
          <cell r="R31" t="str">
            <v>ML-2241 comm failure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https://search-rtdc-monitor-bjffxe2xuh6vdkpspy63sjmuny.us-east-1.es.amazonaws.com/_plugin/kibana/#/discover/Steve-Slow-Train-Analysis-(2080s-and-2083s)?_g=(refreshInterval:(display:Off,section:0,value:0),time:(from:'2016-08-08 05:54:13-0600',mode:absolute,to:'2016-08-08 08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1" t="str">
            <v>Y</v>
          </cell>
          <cell r="X31">
            <v>1</v>
          </cell>
          <cell r="Y31">
            <v>15.3996</v>
          </cell>
          <cell r="Z31">
            <v>1.78E-2</v>
          </cell>
          <cell r="AA31">
            <v>15.3818</v>
          </cell>
          <cell r="AB31" t="e">
            <v>#N/A</v>
          </cell>
          <cell r="AC31" t="e">
            <v>#N/A</v>
          </cell>
          <cell r="AD31" t="str">
            <v>0118-08</v>
          </cell>
          <cell r="AE31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2">
          <cell r="A32" t="str">
            <v>118-08</v>
          </cell>
          <cell r="B32">
            <v>4013</v>
          </cell>
          <cell r="C32" t="str">
            <v>DE.1.0.7.0</v>
          </cell>
          <cell r="D32" t="str">
            <v>204:232961</v>
          </cell>
          <cell r="E32">
            <v>42590.27070601852</v>
          </cell>
          <cell r="F32">
            <v>42590.27175925926</v>
          </cell>
          <cell r="G32">
            <v>1</v>
          </cell>
          <cell r="H32" t="str">
            <v>204:232957</v>
          </cell>
          <cell r="I32">
            <v>42590.275300925925</v>
          </cell>
          <cell r="J32">
            <v>0</v>
          </cell>
          <cell r="K32" t="str">
            <v>4013/4014</v>
          </cell>
          <cell r="L32" t="str">
            <v>STURGEON</v>
          </cell>
          <cell r="M32">
            <v>3.5416666651144624E-3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https://search-rtdc-monitor-bjffxe2xuh6vdkpspy63sjmuny.us-east-1.es.amazonaws.com/_plugin/kibana/#/discover/Steve-Slow-Train-Analysis-(2080s-and-2083s)?_g=(refreshInterval:(display:Off,section:0,value:0),time:(from:'2016-08-08 05:29:49-0600',mode:absolute,to:'2016-08-08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2" t="str">
            <v>Y</v>
          </cell>
          <cell r="X32">
            <v>0</v>
          </cell>
          <cell r="Y32">
            <v>23.296099999999999</v>
          </cell>
          <cell r="Z32">
            <v>23.2957</v>
          </cell>
          <cell r="AA32">
            <v>3.9999999999906777E-4</v>
          </cell>
          <cell r="AB32" t="e">
            <v>#N/A</v>
          </cell>
          <cell r="AC32" t="e">
            <v>#N/A</v>
          </cell>
          <cell r="AD32" t="str">
            <v>0118-08</v>
          </cell>
          <cell r="AE3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3">
          <cell r="A33" t="str">
            <v>119-08</v>
          </cell>
          <cell r="B33">
            <v>4020</v>
          </cell>
          <cell r="C33" t="str">
            <v>DE.1.0.7.0</v>
          </cell>
          <cell r="D33" t="str">
            <v>204:852</v>
          </cell>
          <cell r="E33">
            <v>42590.250578703701</v>
          </cell>
          <cell r="F33">
            <v>42590.251562500001</v>
          </cell>
          <cell r="G33">
            <v>1</v>
          </cell>
          <cell r="H33" t="str">
            <v>204:233293</v>
          </cell>
          <cell r="I33">
            <v>42590.276585648149</v>
          </cell>
          <cell r="J33">
            <v>0</v>
          </cell>
          <cell r="K33" t="str">
            <v>4019/4020</v>
          </cell>
          <cell r="L33" t="str">
            <v>GEBRETEKLE</v>
          </cell>
          <cell r="M33">
            <v>2.5023148147738539E-2</v>
          </cell>
          <cell r="N33">
            <v>36.033333332743496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https://search-rtdc-monitor-bjffxe2xuh6vdkpspy63sjmuny.us-east-1.es.amazonaws.com/_plugin/kibana/#/discover/Steve-Slow-Train-Analysis-(2080s-and-2083s)?_g=(refreshInterval:(display:Off,section:0,value:0),time:(from:'2016-08-08 05:00:50-0600',mode:absolute,to:'2016-08-08 07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3" t="str">
            <v>N</v>
          </cell>
          <cell r="X33">
            <v>1</v>
          </cell>
          <cell r="Y33">
            <v>8.5199999999999998E-2</v>
          </cell>
          <cell r="Z33">
            <v>23.3293</v>
          </cell>
          <cell r="AA33">
            <v>23.2441</v>
          </cell>
          <cell r="AB33" t="e">
            <v>#N/A</v>
          </cell>
          <cell r="AC33" t="e">
            <v>#N/A</v>
          </cell>
          <cell r="AD33" t="str">
            <v>0119-08</v>
          </cell>
          <cell r="AE3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34">
          <cell r="A34" t="str">
            <v>120-08</v>
          </cell>
          <cell r="B34">
            <v>4019</v>
          </cell>
          <cell r="C34" t="str">
            <v>DE.1.0.7.0</v>
          </cell>
          <cell r="D34" t="str">
            <v>204:232972</v>
          </cell>
          <cell r="E34">
            <v>42590.285787037035</v>
          </cell>
          <cell r="F34">
            <v>42590.286770833336</v>
          </cell>
          <cell r="G34">
            <v>1</v>
          </cell>
          <cell r="H34" t="str">
            <v>204:191</v>
          </cell>
          <cell r="I34">
            <v>42590.31758101852</v>
          </cell>
          <cell r="J34">
            <v>1</v>
          </cell>
          <cell r="K34" t="str">
            <v>4019/4020</v>
          </cell>
          <cell r="L34" t="str">
            <v>GEBRETEKLE</v>
          </cell>
          <cell r="M34">
            <v>3.0810185184236616E-2</v>
          </cell>
          <cell r="N34">
            <v>44.366666665300727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4" t="str">
            <v>N</v>
          </cell>
          <cell r="X34">
            <v>1</v>
          </cell>
          <cell r="Y34">
            <v>23.2972</v>
          </cell>
          <cell r="Z34">
            <v>1.9099999999999999E-2</v>
          </cell>
          <cell r="AA34">
            <v>23.278099999999998</v>
          </cell>
          <cell r="AB34">
            <v>42961</v>
          </cell>
          <cell r="AC34" t="str">
            <v>GRADE CROSSING</v>
          </cell>
          <cell r="AD34" t="str">
            <v>0120-08</v>
          </cell>
          <cell r="AE3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35">
          <cell r="A35" t="str">
            <v>121-08</v>
          </cell>
          <cell r="B35">
            <v>4027</v>
          </cell>
          <cell r="C35" t="str">
            <v>DE.1.0.7.0</v>
          </cell>
          <cell r="D35" t="str">
            <v>204:447</v>
          </cell>
          <cell r="E35">
            <v>42590.259837962964</v>
          </cell>
          <cell r="F35">
            <v>42590.260879629626</v>
          </cell>
          <cell r="G35">
            <v>1</v>
          </cell>
          <cell r="H35" t="str">
            <v>204:233312</v>
          </cell>
          <cell r="I35">
            <v>42590.287129629629</v>
          </cell>
          <cell r="J35">
            <v>1</v>
          </cell>
          <cell r="K35" t="str">
            <v>4027/4028</v>
          </cell>
          <cell r="L35" t="str">
            <v>SPECTOR</v>
          </cell>
          <cell r="M35">
            <v>2.6250000002619345E-2</v>
          </cell>
          <cell r="N35">
            <v>37.800000003771856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5" t="str">
            <v>N</v>
          </cell>
          <cell r="X35">
            <v>1</v>
          </cell>
          <cell r="Y35">
            <v>4.4699999999999997E-2</v>
          </cell>
          <cell r="Z35">
            <v>23.331199999999999</v>
          </cell>
          <cell r="AA35">
            <v>23.2865</v>
          </cell>
          <cell r="AB35">
            <v>42779</v>
          </cell>
          <cell r="AC35" t="str">
            <v>GRADE CROSSING</v>
          </cell>
          <cell r="AD35" t="str">
            <v>0121-08</v>
          </cell>
          <cell r="AE3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36">
          <cell r="A36" t="str">
            <v>122-08</v>
          </cell>
          <cell r="B36">
            <v>4028</v>
          </cell>
          <cell r="C36" t="str">
            <v>DE.1.0.7.0</v>
          </cell>
          <cell r="D36" t="str">
            <v>204:232992</v>
          </cell>
          <cell r="E36">
            <v>42590.294120370374</v>
          </cell>
          <cell r="F36">
            <v>42590.295995370368</v>
          </cell>
          <cell r="G36">
            <v>2</v>
          </cell>
          <cell r="H36" t="str">
            <v>204:150</v>
          </cell>
          <cell r="I36">
            <v>42590.327060185184</v>
          </cell>
          <cell r="J36">
            <v>1</v>
          </cell>
          <cell r="K36" t="str">
            <v>4027/4028</v>
          </cell>
          <cell r="L36" t="str">
            <v>SPECTOR</v>
          </cell>
          <cell r="M36">
            <v>3.1064814815181307E-2</v>
          </cell>
          <cell r="N36">
            <v>44.733333333861083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6" t="str">
            <v>N</v>
          </cell>
          <cell r="X36">
            <v>1</v>
          </cell>
          <cell r="Y36">
            <v>23.299199999999999</v>
          </cell>
          <cell r="Z36">
            <v>1.4999999999999999E-2</v>
          </cell>
          <cell r="AA36">
            <v>23.284199999999998</v>
          </cell>
          <cell r="AB36" t="e">
            <v>#N/A</v>
          </cell>
          <cell r="AC36" t="e">
            <v>#N/A</v>
          </cell>
          <cell r="AD36" t="str">
            <v>0122-08</v>
          </cell>
          <cell r="AE3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37">
          <cell r="A37" t="str">
            <v>123-08</v>
          </cell>
          <cell r="B37">
            <v>4038</v>
          </cell>
          <cell r="C37" t="str">
            <v>DE.1.0.7.0</v>
          </cell>
          <cell r="D37" t="str">
            <v>204:462</v>
          </cell>
          <cell r="E37">
            <v>42590.268831018519</v>
          </cell>
          <cell r="F37">
            <v>42590.270277777781</v>
          </cell>
          <cell r="G37">
            <v>2</v>
          </cell>
          <cell r="H37" t="str">
            <v>204:233338</v>
          </cell>
          <cell r="I37">
            <v>42590.296875</v>
          </cell>
          <cell r="J37">
            <v>1</v>
          </cell>
          <cell r="K37" t="str">
            <v>4037/4038</v>
          </cell>
          <cell r="L37" t="str">
            <v>HOMIK</v>
          </cell>
          <cell r="M37">
            <v>2.6597222218697425E-2</v>
          </cell>
          <cell r="N37">
            <v>38.299999994924292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4.6199999999999998E-2</v>
          </cell>
          <cell r="Z37">
            <v>23.3338</v>
          </cell>
          <cell r="AA37">
            <v>23.287600000000001</v>
          </cell>
          <cell r="AB37">
            <v>17867</v>
          </cell>
          <cell r="AC37" t="str">
            <v>PERMANENT SPEED RESTRICTION</v>
          </cell>
          <cell r="AD37" t="str">
            <v>0123-08</v>
          </cell>
          <cell r="AE3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38">
          <cell r="A38" t="str">
            <v>124-08</v>
          </cell>
          <cell r="B38">
            <v>4037</v>
          </cell>
          <cell r="C38" t="str">
            <v>DE.1.0.7.0</v>
          </cell>
          <cell r="D38" t="str">
            <v>204:232987</v>
          </cell>
          <cell r="E38">
            <v>42590.298460648148</v>
          </cell>
          <cell r="F38">
            <v>42590.300138888888</v>
          </cell>
          <cell r="G38">
            <v>2</v>
          </cell>
          <cell r="H38" t="str">
            <v>204:154</v>
          </cell>
          <cell r="I38">
            <v>42590.337881944448</v>
          </cell>
          <cell r="J38">
            <v>0</v>
          </cell>
          <cell r="K38" t="str">
            <v>4037/4038</v>
          </cell>
          <cell r="L38" t="str">
            <v>HOMIK</v>
          </cell>
          <cell r="M38">
            <v>3.7743055559985805E-2</v>
          </cell>
          <cell r="N38">
            <v>54.35000000637956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https://search-rtdc-monitor-bjffxe2xuh6vdkpspy63sjmuny.us-east-1.es.amazonaws.com/_plugin/kibana/#/discover/Steve-Slow-Train-Analysis-(2080s-and-2083s)?_g=(refreshInterval:(display:Off,section:0,value:0),time:(from:'2016-08-08 06:09:47-0600',mode:absolute,to:'2016-08-08 09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23.2987</v>
          </cell>
          <cell r="Z38">
            <v>1.54E-2</v>
          </cell>
          <cell r="AA38">
            <v>23.283300000000001</v>
          </cell>
          <cell r="AB38" t="e">
            <v>#N/A</v>
          </cell>
          <cell r="AC38" t="e">
            <v>#N/A</v>
          </cell>
          <cell r="AD38" t="str">
            <v>0124-08</v>
          </cell>
          <cell r="AE3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39">
          <cell r="A39" t="str">
            <v>125-08</v>
          </cell>
          <cell r="B39">
            <v>4029</v>
          </cell>
          <cell r="C39" t="str">
            <v>DE.1.0.7.0</v>
          </cell>
          <cell r="D39" t="str">
            <v>204:438</v>
          </cell>
          <cell r="E39">
            <v>42590.280034722222</v>
          </cell>
          <cell r="F39">
            <v>42590.280775462961</v>
          </cell>
          <cell r="G39">
            <v>1</v>
          </cell>
          <cell r="H39" t="str">
            <v>204:233299</v>
          </cell>
          <cell r="I39">
            <v>42590.307604166665</v>
          </cell>
          <cell r="J39">
            <v>2</v>
          </cell>
          <cell r="K39" t="str">
            <v>4029/4030</v>
          </cell>
          <cell r="L39" t="str">
            <v>STARKS</v>
          </cell>
          <cell r="M39">
            <v>2.6828703703358769E-2</v>
          </cell>
          <cell r="N39">
            <v>38.633333332836628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23.329899999999999</v>
          </cell>
          <cell r="AA39">
            <v>23.286099999999998</v>
          </cell>
          <cell r="AB39" t="e">
            <v>#N/A</v>
          </cell>
          <cell r="AC39" t="e">
            <v>#N/A</v>
          </cell>
          <cell r="AD39" t="str">
            <v>0125-08</v>
          </cell>
          <cell r="AE3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40">
          <cell r="A40" t="str">
            <v>126-08</v>
          </cell>
          <cell r="B40">
            <v>4030</v>
          </cell>
          <cell r="C40" t="str">
            <v>DE.1.0.7.0</v>
          </cell>
          <cell r="D40" t="str">
            <v>204:232994</v>
          </cell>
          <cell r="E40">
            <v>42590.316354166665</v>
          </cell>
          <cell r="F40">
            <v>42590.317974537036</v>
          </cell>
          <cell r="G40">
            <v>2</v>
          </cell>
          <cell r="H40" t="str">
            <v>204:145</v>
          </cell>
          <cell r="I40">
            <v>42590.349606481483</v>
          </cell>
          <cell r="J40">
            <v>0</v>
          </cell>
          <cell r="K40" t="str">
            <v>4029/4030</v>
          </cell>
          <cell r="L40" t="str">
            <v>STARKS</v>
          </cell>
          <cell r="M40">
            <v>3.1631944446417037E-2</v>
          </cell>
          <cell r="N40">
            <v>45.550000002840534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https://search-rtdc-monitor-bjffxe2xuh6vdkpspy63sjmuny.us-east-1.es.amazonaws.com/_plugin/kibana/#/discover/Steve-Slow-Train-Analysis-(2080s-and-2083s)?_g=(refreshInterval:(display:Off,section:0,value:0),time:(from:'2016-08-08 06:35:33-0600',mode:absolute,to:'2016-08-08 09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0" t="str">
            <v>N</v>
          </cell>
          <cell r="X40">
            <v>1</v>
          </cell>
          <cell r="Y40">
            <v>23.299399999999999</v>
          </cell>
          <cell r="Z40">
            <v>1.4500000000000001E-2</v>
          </cell>
          <cell r="AA40">
            <v>23.284899999999997</v>
          </cell>
          <cell r="AB40" t="e">
            <v>#N/A</v>
          </cell>
          <cell r="AC40" t="e">
            <v>#N/A</v>
          </cell>
          <cell r="AD40" t="str">
            <v>0126-08</v>
          </cell>
          <cell r="AE4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41">
          <cell r="A41" t="str">
            <v>127-08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42590.287905092591</v>
          </cell>
          <cell r="F41">
            <v>42590.289039351854</v>
          </cell>
          <cell r="G41">
            <v>1</v>
          </cell>
          <cell r="H41" t="str">
            <v>204:233315</v>
          </cell>
          <cell r="I41">
            <v>42590.324930555558</v>
          </cell>
          <cell r="J41">
            <v>0</v>
          </cell>
          <cell r="K41" t="str">
            <v>4011/4012</v>
          </cell>
          <cell r="L41" t="str">
            <v>OUN</v>
          </cell>
          <cell r="M41">
            <v>3.5891203704522923E-2</v>
          </cell>
          <cell r="N41">
            <v>51.683333334513009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https://search-rtdc-monitor-bjffxe2xuh6vdkpspy63sjmuny.us-east-1.es.amazonaws.com/_plugin/kibana/#/discover/Steve-Slow-Train-Analysis-(2080s-and-2083s)?_g=(refreshInterval:(display:Off,section:0,value:0),time:(from:'2016-08-08 05:54:35-0600',mode:absolute,to:'2016-08-08 08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23.331499999999998</v>
          </cell>
          <cell r="AA41">
            <v>23.285499999999999</v>
          </cell>
          <cell r="AB41" t="e">
            <v>#N/A</v>
          </cell>
          <cell r="AC41" t="e">
            <v>#N/A</v>
          </cell>
          <cell r="AD41" t="str">
            <v>0127-08</v>
          </cell>
          <cell r="AE4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42">
          <cell r="A42" t="str">
            <v>128-08</v>
          </cell>
          <cell r="B42">
            <v>4012</v>
          </cell>
          <cell r="C42" t="str">
            <v>DE.1.0.7.0</v>
          </cell>
          <cell r="D42" t="str">
            <v>204:232985</v>
          </cell>
          <cell r="E42">
            <v>42590.326273148145</v>
          </cell>
          <cell r="F42">
            <v>42590.327708333331</v>
          </cell>
          <cell r="G42">
            <v>2</v>
          </cell>
          <cell r="H42" t="str">
            <v>204:158</v>
          </cell>
          <cell r="I42">
            <v>42590.361307870371</v>
          </cell>
          <cell r="J42">
            <v>0</v>
          </cell>
          <cell r="K42" t="str">
            <v>4011/4012</v>
          </cell>
          <cell r="L42" t="str">
            <v>OUN</v>
          </cell>
          <cell r="M42">
            <v>3.3599537040572613E-2</v>
          </cell>
          <cell r="N42">
            <v>48.383333338424563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https://search-rtdc-monitor-bjffxe2xuh6vdkpspy63sjmuny.us-east-1.es.amazonaws.com/_plugin/kibana/#/discover/Steve-Slow-Train-Analysis-(2080s-and-2083s)?_g=(refreshInterval:(display:Off,section:0,value:0),time:(from:'2016-08-08 06:49:50-0600',mode:absolute,to:'2016-08-08 09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23.298500000000001</v>
          </cell>
          <cell r="Z42">
            <v>1.5800000000000002E-2</v>
          </cell>
          <cell r="AA42">
            <v>23.282700000000002</v>
          </cell>
          <cell r="AB42" t="e">
            <v>#N/A</v>
          </cell>
          <cell r="AC42" t="e">
            <v>#N/A</v>
          </cell>
          <cell r="AD42" t="str">
            <v>0128-08</v>
          </cell>
          <cell r="AE4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43">
          <cell r="A43" t="str">
            <v>129-08</v>
          </cell>
          <cell r="B43">
            <v>4007</v>
          </cell>
          <cell r="C43" t="str">
            <v>DE.1.0.7.0</v>
          </cell>
          <cell r="D43" t="str">
            <v>204:462</v>
          </cell>
          <cell r="E43">
            <v>42590.300254629627</v>
          </cell>
          <cell r="F43">
            <v>42590.301180555558</v>
          </cell>
          <cell r="G43">
            <v>1</v>
          </cell>
          <cell r="H43" t="str">
            <v>204:221607</v>
          </cell>
          <cell r="I43">
            <v>42590.325729166667</v>
          </cell>
          <cell r="J43">
            <v>0</v>
          </cell>
          <cell r="K43" t="str">
            <v>4007/4008</v>
          </cell>
          <cell r="L43" t="str">
            <v>MALAVE</v>
          </cell>
          <cell r="M43">
            <v>2.4548611108912155E-2</v>
          </cell>
          <cell r="P43">
            <v>35.349999996833503</v>
          </cell>
          <cell r="R43" t="str">
            <v>ML-2241 comm failure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https://search-rtdc-monitor-bjffxe2xuh6vdkpspy63sjmuny.us-east-1.es.amazonaws.com/_plugin/kibana/#/discover/Steve-Slow-Train-Analysis-(2080s-and-2083s)?_g=(refreshInterval:(display:Off,section:0,value:0),time:(from:'2016-08-08 06:12:22-0600',mode:absolute,to:'2016-08-08 08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3" t="str">
            <v>Y</v>
          </cell>
          <cell r="X43">
            <v>1</v>
          </cell>
          <cell r="Y43">
            <v>4.6199999999999998E-2</v>
          </cell>
          <cell r="Z43">
            <v>22.160699999999999</v>
          </cell>
          <cell r="AA43">
            <v>22.1145</v>
          </cell>
          <cell r="AB43" t="e">
            <v>#N/A</v>
          </cell>
          <cell r="AC43" t="e">
            <v>#N/A</v>
          </cell>
          <cell r="AD43" t="str">
            <v>0129-08</v>
          </cell>
          <cell r="AE4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44">
          <cell r="A44" t="str">
            <v>130-08</v>
          </cell>
          <cell r="B44">
            <v>4008</v>
          </cell>
          <cell r="C44" t="str">
            <v>DE.1.0.7.0</v>
          </cell>
          <cell r="D44" t="str">
            <v>204:232953</v>
          </cell>
          <cell r="E44">
            <v>42590.340011574073</v>
          </cell>
          <cell r="F44">
            <v>42590.341134259259</v>
          </cell>
          <cell r="G44">
            <v>1</v>
          </cell>
          <cell r="H44" t="str">
            <v>204:154</v>
          </cell>
          <cell r="I44">
            <v>42590.368622685186</v>
          </cell>
          <cell r="J44">
            <v>0</v>
          </cell>
          <cell r="K44" t="str">
            <v>4007/4008</v>
          </cell>
          <cell r="L44" t="str">
            <v>MALAVE</v>
          </cell>
          <cell r="M44">
            <v>2.7488425927003846E-2</v>
          </cell>
          <cell r="N44">
            <v>39.583333334885538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https://search-rtdc-monitor-bjffxe2xuh6vdkpspy63sjmuny.us-east-1.es.amazonaws.com/_plugin/kibana/#/discover/Steve-Slow-Train-Analysis-(2080s-and-2083s)?_g=(refreshInterval:(display:Off,section:0,value:0),time:(from:'2016-08-08 07:09:37-0600',mode:absolute,to:'2016-08-08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4" t="str">
            <v>N</v>
          </cell>
          <cell r="X44">
            <v>1</v>
          </cell>
          <cell r="Y44">
            <v>23.295300000000001</v>
          </cell>
          <cell r="Z44">
            <v>1.54E-2</v>
          </cell>
          <cell r="AA44">
            <v>23.279900000000001</v>
          </cell>
          <cell r="AB44" t="e">
            <v>#N/A</v>
          </cell>
          <cell r="AC44" t="e">
            <v>#N/A</v>
          </cell>
          <cell r="AD44" t="str">
            <v>0130-08</v>
          </cell>
          <cell r="AE4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45">
          <cell r="A45" t="str">
            <v>131-08</v>
          </cell>
          <cell r="B45">
            <v>4014</v>
          </cell>
          <cell r="C45" t="str">
            <v>DE.1.0.7.0</v>
          </cell>
          <cell r="D45" t="str">
            <v>204:473</v>
          </cell>
          <cell r="E45">
            <v>42590.312222222223</v>
          </cell>
          <cell r="F45">
            <v>42590.313946759263</v>
          </cell>
          <cell r="G45">
            <v>2</v>
          </cell>
          <cell r="H45" t="str">
            <v>204:233291</v>
          </cell>
          <cell r="I45">
            <v>42590.341122685182</v>
          </cell>
          <cell r="J45">
            <v>0</v>
          </cell>
          <cell r="K45" t="str">
            <v>4013/4014</v>
          </cell>
          <cell r="L45" t="str">
            <v>STURGEON</v>
          </cell>
          <cell r="M45">
            <v>2.717592591943685E-2</v>
          </cell>
          <cell r="N45">
            <v>39.133333323989064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https://search-rtdc-monitor-bjffxe2xuh6vdkpspy63sjmuny.us-east-1.es.amazonaws.com/_plugin/kibana/#/discover/Steve-Slow-Train-Analysis-(2080s-and-2083s)?_g=(refreshInterval:(display:Off,section:0,value:0),time:(from:'2016-08-08 06:29:36-0600',mode:absolute,to:'2016-08-08 09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5" t="str">
            <v>N</v>
          </cell>
          <cell r="X45">
            <v>1</v>
          </cell>
          <cell r="Y45">
            <v>4.7300000000000002E-2</v>
          </cell>
          <cell r="Z45">
            <v>23.3291</v>
          </cell>
          <cell r="AA45">
            <v>23.2818</v>
          </cell>
          <cell r="AB45" t="e">
            <v>#N/A</v>
          </cell>
          <cell r="AC45" t="e">
            <v>#N/A</v>
          </cell>
          <cell r="AD45" t="str">
            <v>0131-08</v>
          </cell>
          <cell r="AE4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46">
          <cell r="A46" t="str">
            <v>132-08</v>
          </cell>
          <cell r="B46">
            <v>4013</v>
          </cell>
          <cell r="C46" t="str">
            <v>DE.1.0.7.0</v>
          </cell>
          <cell r="D46" t="str">
            <v>204:232966</v>
          </cell>
          <cell r="E46">
            <v>42590.344178240739</v>
          </cell>
          <cell r="F46">
            <v>42590.348356481481</v>
          </cell>
          <cell r="G46">
            <v>6</v>
          </cell>
          <cell r="H46" t="str">
            <v>204:187</v>
          </cell>
          <cell r="I46">
            <v>42590.382002314815</v>
          </cell>
          <cell r="J46">
            <v>0</v>
          </cell>
          <cell r="K46" t="str">
            <v>4013/4014</v>
          </cell>
          <cell r="L46" t="str">
            <v>STURGEON</v>
          </cell>
          <cell r="M46">
            <v>3.3645833333139308E-2</v>
          </cell>
          <cell r="N46">
            <v>48.449999999720603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https://search-rtdc-monitor-bjffxe2xuh6vdkpspy63sjmuny.us-east-1.es.amazonaws.com/_plugin/kibana/#/discover/Steve-Slow-Train-Analysis-(2080s-and-2083s)?_g=(refreshInterval:(display:Off,section:0,value:0),time:(from:'2016-08-08 07:15:37-0600',mode:absolute,to:'2016-08-08 10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6" t="str">
            <v>N</v>
          </cell>
          <cell r="X46">
            <v>1</v>
          </cell>
          <cell r="Y46">
            <v>23.296600000000002</v>
          </cell>
          <cell r="Z46">
            <v>1.8700000000000001E-2</v>
          </cell>
          <cell r="AA46">
            <v>23.277900000000002</v>
          </cell>
          <cell r="AB46" t="e">
            <v>#N/A</v>
          </cell>
          <cell r="AC46" t="e">
            <v>#N/A</v>
          </cell>
          <cell r="AD46" t="str">
            <v>0132-08</v>
          </cell>
          <cell r="AE4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47">
          <cell r="A47" t="str">
            <v>133-08</v>
          </cell>
          <cell r="B47">
            <v>4020</v>
          </cell>
          <cell r="C47" t="str">
            <v>DE.1.0.7.0</v>
          </cell>
          <cell r="D47" t="str">
            <v>204:491</v>
          </cell>
          <cell r="E47">
            <v>42590.31994212963</v>
          </cell>
          <cell r="F47">
            <v>42590.323125000003</v>
          </cell>
          <cell r="G47">
            <v>4</v>
          </cell>
          <cell r="H47" t="str">
            <v>204:224387</v>
          </cell>
          <cell r="I47">
            <v>42590.346724537034</v>
          </cell>
          <cell r="J47">
            <v>2</v>
          </cell>
          <cell r="K47" t="str">
            <v>4019/4020</v>
          </cell>
          <cell r="L47" t="str">
            <v>GEBRETEKLE</v>
          </cell>
          <cell r="M47">
            <v>2.3599537031259388E-2</v>
          </cell>
          <cell r="P47">
            <v>33.983333325013518</v>
          </cell>
          <cell r="R47" t="str">
            <v>ML-2241 comm failure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7" t="str">
            <v>Y</v>
          </cell>
          <cell r="X47">
            <v>1</v>
          </cell>
          <cell r="Y47">
            <v>4.9099999999999998E-2</v>
          </cell>
          <cell r="Z47">
            <v>22.438700000000001</v>
          </cell>
          <cell r="AA47">
            <v>22.389600000000002</v>
          </cell>
          <cell r="AB47" t="e">
            <v>#N/A</v>
          </cell>
          <cell r="AC47" t="e">
            <v>#N/A</v>
          </cell>
          <cell r="AD47" t="str">
            <v>0133-08</v>
          </cell>
          <cell r="AE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48">
          <cell r="A48" t="str">
            <v>134-08</v>
          </cell>
          <cell r="B48">
            <v>4019</v>
          </cell>
          <cell r="C48" t="str">
            <v>DE.1.0.7.0</v>
          </cell>
          <cell r="D48" t="str">
            <v>204:232977</v>
          </cell>
          <cell r="E48">
            <v>42590.357743055552</v>
          </cell>
          <cell r="F48">
            <v>42590.358865740738</v>
          </cell>
          <cell r="G48">
            <v>1</v>
          </cell>
          <cell r="H48" t="str">
            <v>204:147</v>
          </cell>
          <cell r="I48">
            <v>42590.390219907407</v>
          </cell>
          <cell r="J48">
            <v>0</v>
          </cell>
          <cell r="K48" t="str">
            <v>4019/4020</v>
          </cell>
          <cell r="L48" t="str">
            <v>GEBRETEKLE</v>
          </cell>
          <cell r="M48">
            <v>3.1354166669188999E-2</v>
          </cell>
          <cell r="N48">
            <v>45.150000003632158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https://search-rtdc-monitor-bjffxe2xuh6vdkpspy63sjmuny.us-east-1.es.amazonaws.com/_plugin/kibana/#/discover/Steve-Slow-Train-Analysis-(2080s-and-2083s)?_g=(refreshInterval:(display:Off,section:0,value:0),time:(from:'2016-08-08 07:35:09-0600',mode:absolute,to:'2016-08-08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1.47E-2</v>
          </cell>
          <cell r="AA48">
            <v>23.282999999999998</v>
          </cell>
          <cell r="AB48" t="e">
            <v>#N/A</v>
          </cell>
          <cell r="AC48" t="e">
            <v>#N/A</v>
          </cell>
          <cell r="AD48" t="str">
            <v>0134-08</v>
          </cell>
          <cell r="AE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49">
          <cell r="A49" t="str">
            <v>135-08</v>
          </cell>
          <cell r="B49">
            <v>4027</v>
          </cell>
          <cell r="C49" t="str">
            <v>DE.1.0.7.0</v>
          </cell>
          <cell r="D49" t="str">
            <v>204:438</v>
          </cell>
          <cell r="E49">
            <v>42590.329733796294</v>
          </cell>
          <cell r="F49">
            <v>42590.330729166664</v>
          </cell>
          <cell r="G49">
            <v>1</v>
          </cell>
          <cell r="H49" t="str">
            <v>204:233295</v>
          </cell>
          <cell r="I49">
            <v>42590.361273148148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3.054398148378823E-2</v>
          </cell>
          <cell r="N49">
            <v>43.983333336655051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4.3799999999999999E-2</v>
          </cell>
          <cell r="Z49">
            <v>23.329499999999999</v>
          </cell>
          <cell r="AA49">
            <v>23.285699999999999</v>
          </cell>
          <cell r="AB49">
            <v>63069</v>
          </cell>
          <cell r="AC49" t="str">
            <v>GRADE CROSSING</v>
          </cell>
          <cell r="AD49" t="str">
            <v>0135-08</v>
          </cell>
          <cell r="AE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50">
          <cell r="A50" t="str">
            <v>136-08</v>
          </cell>
          <cell r="B50">
            <v>4028</v>
          </cell>
          <cell r="C50" t="str">
            <v>DE.1.0.7.0</v>
          </cell>
          <cell r="D50" t="str">
            <v>204:233019</v>
          </cell>
          <cell r="E50">
            <v>42590.368263888886</v>
          </cell>
          <cell r="F50">
            <v>42590.370358796295</v>
          </cell>
          <cell r="G50">
            <v>3</v>
          </cell>
          <cell r="H50" t="str">
            <v>204:123</v>
          </cell>
          <cell r="I50">
            <v>42590.401562500003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3.1203703707433306E-2</v>
          </cell>
          <cell r="N50">
            <v>44.93333333870396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https://search-rtdc-monitor-bjffxe2xuh6vdkpspy63sjmuny.us-east-1.es.amazonaws.com/_plugin/kibana/#/discover/Steve-Slow-Train-Analysis-(2080s-and-2083s)?_g=(refreshInterval:(display:Off,section:0,value:0),time:(from:'2016-08-08 07:50:18-0600',mode:absolute,to:'2016-08-08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23.3019</v>
          </cell>
          <cell r="Z50">
            <v>1.23E-2</v>
          </cell>
          <cell r="AA50">
            <v>23.2896</v>
          </cell>
          <cell r="AB50" t="e">
            <v>#N/A</v>
          </cell>
          <cell r="AC50" t="e">
            <v>#N/A</v>
          </cell>
          <cell r="AD50" t="str">
            <v>0136-08</v>
          </cell>
          <cell r="AE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51">
          <cell r="A51" t="str">
            <v>137-08</v>
          </cell>
          <cell r="B51">
            <v>4038</v>
          </cell>
          <cell r="C51" t="str">
            <v>DE.1.0.7.0</v>
          </cell>
          <cell r="D51" t="str">
            <v>204:449</v>
          </cell>
          <cell r="E51">
            <v>42590.339513888888</v>
          </cell>
          <cell r="F51">
            <v>42590.341168981482</v>
          </cell>
          <cell r="G51">
            <v>2</v>
          </cell>
          <cell r="H51" t="str">
            <v>204:233307</v>
          </cell>
          <cell r="I51">
            <v>42590.368344907409</v>
          </cell>
          <cell r="J51">
            <v>1</v>
          </cell>
          <cell r="K51" t="str">
            <v>4037/4038</v>
          </cell>
          <cell r="L51" t="str">
            <v>YORK</v>
          </cell>
          <cell r="M51">
            <v>2.7175925926712807E-2</v>
          </cell>
          <cell r="N51">
            <v>39.133333334466442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23.3307</v>
          </cell>
          <cell r="AA51">
            <v>23.285800000000002</v>
          </cell>
          <cell r="AB51">
            <v>0</v>
          </cell>
          <cell r="AC51" t="str">
            <v>PERMANENT SPEED RESTRICTION</v>
          </cell>
          <cell r="AD51" t="str">
            <v>0137-08</v>
          </cell>
          <cell r="AE5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52">
          <cell r="A52" t="str">
            <v>138-08</v>
          </cell>
          <cell r="B52">
            <v>4037</v>
          </cell>
          <cell r="C52" t="str">
            <v>DE.1.0.7.0</v>
          </cell>
          <cell r="D52" t="str">
            <v>204:232990</v>
          </cell>
          <cell r="E52">
            <v>42590.370949074073</v>
          </cell>
          <cell r="F52">
            <v>42590.371655092589</v>
          </cell>
          <cell r="G52">
            <v>1</v>
          </cell>
          <cell r="H52" t="str">
            <v>204:145</v>
          </cell>
          <cell r="I52">
            <v>42590.410300925927</v>
          </cell>
          <cell r="J52">
            <v>0</v>
          </cell>
          <cell r="K52" t="str">
            <v>4037/4038</v>
          </cell>
          <cell r="L52" t="str">
            <v>YORK</v>
          </cell>
          <cell r="M52">
            <v>3.8645833337795921E-2</v>
          </cell>
          <cell r="N52">
            <v>55.650000006426126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https://search-rtdc-monitor-bjffxe2xuh6vdkpspy63sjmuny.us-east-1.es.amazonaws.com/_plugin/kibana/#/discover/Steve-Slow-Train-Analysis-(2080s-and-2083s)?_g=(refreshInterval:(display:Off,section:0,value:0),time:(from:'2016-08-08 07:54:10-0600',mode:absolute,to:'2016-08-08 10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23.298999999999999</v>
          </cell>
          <cell r="Z52">
            <v>1.4500000000000001E-2</v>
          </cell>
          <cell r="AA52">
            <v>23.284499999999998</v>
          </cell>
          <cell r="AB52" t="e">
            <v>#N/A</v>
          </cell>
          <cell r="AC52" t="e">
            <v>#N/A</v>
          </cell>
          <cell r="AD52" t="str">
            <v>0138-08</v>
          </cell>
          <cell r="AE5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53">
          <cell r="A53" t="str">
            <v>139-08</v>
          </cell>
          <cell r="B53">
            <v>4029</v>
          </cell>
          <cell r="C53" t="str">
            <v>DE.1.0.7.0</v>
          </cell>
          <cell r="D53" t="str">
            <v>204:455</v>
          </cell>
          <cell r="E53">
            <v>42590.350937499999</v>
          </cell>
          <cell r="F53">
            <v>42590.351898148147</v>
          </cell>
          <cell r="G53">
            <v>1</v>
          </cell>
          <cell r="H53" t="str">
            <v>204:233310</v>
          </cell>
          <cell r="I53">
            <v>42590.383020833331</v>
          </cell>
          <cell r="J53">
            <v>1</v>
          </cell>
          <cell r="K53" t="str">
            <v>4029/4030</v>
          </cell>
          <cell r="L53" t="str">
            <v>STARKS</v>
          </cell>
          <cell r="M53">
            <v>3.1122685184527654E-2</v>
          </cell>
          <cell r="N53">
            <v>44.816666665719822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23.331</v>
          </cell>
          <cell r="AA53">
            <v>23.285499999999999</v>
          </cell>
          <cell r="AB53" t="e">
            <v>#N/A</v>
          </cell>
          <cell r="AC53" t="e">
            <v>#N/A</v>
          </cell>
          <cell r="AD53" t="str">
            <v>0139-08</v>
          </cell>
          <cell r="AE5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54">
          <cell r="A54" t="str">
            <v>140-08</v>
          </cell>
          <cell r="B54">
            <v>4030</v>
          </cell>
          <cell r="C54" t="str">
            <v>DE.1.0.7.0</v>
          </cell>
          <cell r="D54" t="str">
            <v>204:232994</v>
          </cell>
          <cell r="E54">
            <v>42590.390868055554</v>
          </cell>
          <cell r="F54">
            <v>42590.391898148147</v>
          </cell>
          <cell r="G54">
            <v>1</v>
          </cell>
          <cell r="H54" t="str">
            <v>204:150</v>
          </cell>
          <cell r="I54">
            <v>42590.422731481478</v>
          </cell>
          <cell r="J54">
            <v>0</v>
          </cell>
          <cell r="K54" t="str">
            <v>4029/4030</v>
          </cell>
          <cell r="L54" t="str">
            <v>STARKS</v>
          </cell>
          <cell r="M54">
            <v>3.0833333330519963E-2</v>
          </cell>
          <cell r="N54">
            <v>44.399999995948747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https://search-rtdc-monitor-bjffxe2xuh6vdkpspy63sjmuny.us-east-1.es.amazonaws.com/_plugin/kibana/#/discover/Steve-Slow-Train-Analysis-(2080s-and-2083s)?_g=(refreshInterval:(display:Off,section:0,value:0),time:(from:'2016-08-08 08:22:51-0600',mode:absolute,to:'2016-08-08 11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4" t="str">
            <v>N</v>
          </cell>
          <cell r="X54">
            <v>1</v>
          </cell>
          <cell r="Y54">
            <v>23.299399999999999</v>
          </cell>
          <cell r="Z54">
            <v>1.4999999999999999E-2</v>
          </cell>
          <cell r="AA54">
            <v>23.284399999999998</v>
          </cell>
          <cell r="AB54" t="e">
            <v>#N/A</v>
          </cell>
          <cell r="AC54" t="e">
            <v>#N/A</v>
          </cell>
          <cell r="AD54" t="str">
            <v>0140-08</v>
          </cell>
          <cell r="AE5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55">
          <cell r="A55" t="str">
            <v>141-08</v>
          </cell>
          <cell r="B55">
            <v>4011</v>
          </cell>
          <cell r="C55" t="str">
            <v>DE.1.0.7.0</v>
          </cell>
          <cell r="D55" t="str">
            <v>204:471</v>
          </cell>
          <cell r="E55">
            <v>42590.362812500003</v>
          </cell>
          <cell r="F55">
            <v>42590.363726851851</v>
          </cell>
          <cell r="G55">
            <v>1</v>
          </cell>
          <cell r="H55" t="str">
            <v>204:233334</v>
          </cell>
          <cell r="I55">
            <v>42590.391238425924</v>
          </cell>
          <cell r="J55">
            <v>0</v>
          </cell>
          <cell r="K55" t="str">
            <v>4011/4012</v>
          </cell>
          <cell r="L55" t="str">
            <v>OUN</v>
          </cell>
          <cell r="M55">
            <v>2.7511574073287193E-2</v>
          </cell>
          <cell r="N55">
            <v>39.616666665533558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https://search-rtdc-monitor-bjffxe2xuh6vdkpspy63sjmuny.us-east-1.es.amazonaws.com/_plugin/kibana/#/discover/Steve-Slow-Train-Analysis-(2080s-and-2083s)?_g=(refreshInterval:(display:Off,section:0,value:0),time:(from:'2016-08-08 07:42:27-0600',mode:absolute,to:'2016-08-08 10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23.333400000000001</v>
          </cell>
          <cell r="AA55">
            <v>23.286300000000001</v>
          </cell>
          <cell r="AB55" t="e">
            <v>#N/A</v>
          </cell>
          <cell r="AC55" t="e">
            <v>#N/A</v>
          </cell>
          <cell r="AD55" t="str">
            <v>0141-08</v>
          </cell>
          <cell r="AE5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56">
          <cell r="A56" t="str">
            <v>142-08</v>
          </cell>
          <cell r="B56">
            <v>4012</v>
          </cell>
          <cell r="C56" t="str">
            <v>DE.1.0.7.0</v>
          </cell>
          <cell r="D56" t="str">
            <v>204:232957</v>
          </cell>
          <cell r="E56">
            <v>42590.400219907409</v>
          </cell>
          <cell r="F56">
            <v>42590.401076388887</v>
          </cell>
          <cell r="G56">
            <v>1</v>
          </cell>
          <cell r="H56" t="str">
            <v>204:160</v>
          </cell>
          <cell r="I56">
            <v>42590.432256944441</v>
          </cell>
          <cell r="J56">
            <v>1</v>
          </cell>
          <cell r="K56" t="str">
            <v>4011/4012</v>
          </cell>
          <cell r="L56" t="str">
            <v>OUN</v>
          </cell>
          <cell r="M56">
            <v>3.1180555553874001E-2</v>
          </cell>
          <cell r="N56">
            <v>44.899999997578561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23.2957</v>
          </cell>
          <cell r="Z56">
            <v>1.6E-2</v>
          </cell>
          <cell r="AA56">
            <v>23.279700000000002</v>
          </cell>
          <cell r="AB56" t="e">
            <v>#N/A</v>
          </cell>
          <cell r="AC56" t="e">
            <v>#N/A</v>
          </cell>
          <cell r="AD56" t="str">
            <v>0142-08</v>
          </cell>
          <cell r="AE5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57">
          <cell r="A57" t="str">
            <v>143-08</v>
          </cell>
          <cell r="B57">
            <v>4007</v>
          </cell>
          <cell r="C57" t="str">
            <v>DE.1.0.7.0</v>
          </cell>
          <cell r="D57" t="str">
            <v>204:460</v>
          </cell>
          <cell r="E57">
            <v>42590.373576388891</v>
          </cell>
          <cell r="F57">
            <v>42590.374467592592</v>
          </cell>
          <cell r="G57">
            <v>1</v>
          </cell>
          <cell r="H57" t="str">
            <v>204:233281</v>
          </cell>
          <cell r="I57">
            <v>42590.40284722222</v>
          </cell>
          <cell r="J57">
            <v>0</v>
          </cell>
          <cell r="K57" t="str">
            <v>4007/4008</v>
          </cell>
          <cell r="L57" t="str">
            <v>MALAVE</v>
          </cell>
          <cell r="M57">
            <v>2.8379629628034309E-2</v>
          </cell>
          <cell r="N57">
            <v>40.866666664369404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https://search-rtdc-monitor-bjffxe2xuh6vdkpspy63sjmuny.us-east-1.es.amazonaws.com/_plugin/kibana/#/discover/Steve-Slow-Train-Analysis-(2080s-and-2083s)?_g=(refreshInterval:(display:Off,section:0,value:0),time:(from:'2016-08-08 07:57:57-0600',mode:absolute,to:'2016-08-08 10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7" t="str">
            <v>N</v>
          </cell>
          <cell r="X57">
            <v>1</v>
          </cell>
          <cell r="Y57">
            <v>4.5999999999999999E-2</v>
          </cell>
          <cell r="Z57">
            <v>23.328099999999999</v>
          </cell>
          <cell r="AA57">
            <v>23.2821</v>
          </cell>
          <cell r="AB57" t="e">
            <v>#N/A</v>
          </cell>
          <cell r="AC57" t="e">
            <v>#N/A</v>
          </cell>
          <cell r="AD57" t="str">
            <v>0143-08</v>
          </cell>
          <cell r="AE5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58">
          <cell r="A58" t="str">
            <v>144-08</v>
          </cell>
          <cell r="B58">
            <v>4008</v>
          </cell>
          <cell r="C58" t="str">
            <v>DE.1.0.7.0</v>
          </cell>
          <cell r="D58" t="str">
            <v>204:232966</v>
          </cell>
          <cell r="E58">
            <v>42590.412187499998</v>
          </cell>
          <cell r="F58">
            <v>42590.413148148145</v>
          </cell>
          <cell r="G58">
            <v>1</v>
          </cell>
          <cell r="H58" t="str">
            <v>204:167</v>
          </cell>
          <cell r="I58">
            <v>42590.441979166666</v>
          </cell>
          <cell r="J58">
            <v>0</v>
          </cell>
          <cell r="K58" t="str">
            <v>4007/4008</v>
          </cell>
          <cell r="L58" t="str">
            <v>MALAVE</v>
          </cell>
          <cell r="M58">
            <v>2.8831018520577345E-2</v>
          </cell>
          <cell r="N58">
            <v>41.516666669631377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https://search-rtdc-monitor-bjffxe2xuh6vdkpspy63sjmuny.us-east-1.es.amazonaws.com/_plugin/kibana/#/discover/Steve-Slow-Train-Analysis-(2080s-and-2083s)?_g=(refreshInterval:(display:Off,section:0,value:0),time:(from:'2016-08-08 08:53:33-0600',mode:absolute,to:'2016-08-08 11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8" t="str">
            <v>N</v>
          </cell>
          <cell r="X58">
            <v>1</v>
          </cell>
          <cell r="Y58">
            <v>23.296600000000002</v>
          </cell>
          <cell r="Z58">
            <v>1.67E-2</v>
          </cell>
          <cell r="AA58">
            <v>23.279900000000001</v>
          </cell>
          <cell r="AB58" t="e">
            <v>#N/A</v>
          </cell>
          <cell r="AC58" t="e">
            <v>#N/A</v>
          </cell>
          <cell r="AD58" t="str">
            <v>0144-08</v>
          </cell>
          <cell r="AE5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59">
          <cell r="A59" t="str">
            <v>145-08</v>
          </cell>
          <cell r="B59">
            <v>4014</v>
          </cell>
          <cell r="C59" t="str">
            <v>DE.1.0.7.0</v>
          </cell>
          <cell r="D59" t="str">
            <v>204:491</v>
          </cell>
          <cell r="E59">
            <v>42590.383240740739</v>
          </cell>
          <cell r="F59">
            <v>42590.384502314817</v>
          </cell>
          <cell r="G59">
            <v>1</v>
          </cell>
          <cell r="H59" t="str">
            <v>204:233284</v>
          </cell>
          <cell r="I59">
            <v>42590.412314814814</v>
          </cell>
          <cell r="J59">
            <v>0</v>
          </cell>
          <cell r="K59" t="str">
            <v>4013/4014</v>
          </cell>
          <cell r="L59" t="str">
            <v>STURGEON</v>
          </cell>
          <cell r="M59">
            <v>2.7812499996798579E-2</v>
          </cell>
          <cell r="N59">
            <v>40.049999995389953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https://search-rtdc-monitor-bjffxe2xuh6vdkpspy63sjmuny.us-east-1.es.amazonaws.com/_plugin/kibana/#/discover/Steve-Slow-Train-Analysis-(2080s-and-2083s)?_g=(refreshInterval:(display:Off,section:0,value:0),time:(from:'2016-08-08 08:11:52-0600',mode:absolute,to:'2016-08-08 10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9" t="str">
            <v>N</v>
          </cell>
          <cell r="X59">
            <v>1</v>
          </cell>
          <cell r="Y59">
            <v>4.9099999999999998E-2</v>
          </cell>
          <cell r="Z59">
            <v>23.328399999999998</v>
          </cell>
          <cell r="AA59">
            <v>23.279299999999999</v>
          </cell>
          <cell r="AB59" t="e">
            <v>#N/A</v>
          </cell>
          <cell r="AC59" t="e">
            <v>#N/A</v>
          </cell>
          <cell r="AD59" t="str">
            <v>0145-08</v>
          </cell>
          <cell r="AE5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60">
          <cell r="A60" t="str">
            <v>146-08</v>
          </cell>
          <cell r="B60">
            <v>4013</v>
          </cell>
          <cell r="C60" t="str">
            <v>DE.1.0.7.0</v>
          </cell>
          <cell r="D60" t="str">
            <v>204:232973</v>
          </cell>
          <cell r="E60">
            <v>42590.414467592593</v>
          </cell>
          <cell r="F60">
            <v>42590.415625000001</v>
          </cell>
          <cell r="G60">
            <v>1</v>
          </cell>
          <cell r="H60" t="str">
            <v>204:169</v>
          </cell>
          <cell r="I60">
            <v>42590.453645833331</v>
          </cell>
          <cell r="J60">
            <v>0</v>
          </cell>
          <cell r="K60" t="str">
            <v>4013/4014</v>
          </cell>
          <cell r="L60" t="str">
            <v>STURGEON</v>
          </cell>
          <cell r="M60">
            <v>3.8020833329937886E-2</v>
          </cell>
          <cell r="N60">
            <v>54.749999995110556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https://search-rtdc-monitor-bjffxe2xuh6vdkpspy63sjmuny.us-east-1.es.amazonaws.com/_plugin/kibana/#/discover/Steve-Slow-Train-Analysis-(2080s-and-2083s)?_g=(refreshInterval:(display:Off,section:0,value:0),time:(from:'2016-08-08 08:56:50-0600',mode:absolute,to:'2016-08-08 11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0" t="str">
            <v>N</v>
          </cell>
          <cell r="X60">
            <v>1</v>
          </cell>
          <cell r="Y60">
            <v>23.2973</v>
          </cell>
          <cell r="Z60">
            <v>1.6899999999999998E-2</v>
          </cell>
          <cell r="AA60">
            <v>23.2804</v>
          </cell>
          <cell r="AB60" t="e">
            <v>#N/A</v>
          </cell>
          <cell r="AC60" t="e">
            <v>#N/A</v>
          </cell>
          <cell r="AD60" t="str">
            <v>0146-08</v>
          </cell>
          <cell r="AE6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61">
          <cell r="A61" t="str">
            <v>147-08</v>
          </cell>
          <cell r="B61">
            <v>4020</v>
          </cell>
          <cell r="C61" t="str">
            <v>DE.1.0.7.0</v>
          </cell>
          <cell r="D61" t="str">
            <v>204:444</v>
          </cell>
          <cell r="E61">
            <v>42590.392361111109</v>
          </cell>
          <cell r="F61">
            <v>42590.39334490741</v>
          </cell>
          <cell r="G61">
            <v>1</v>
          </cell>
          <cell r="H61" t="str">
            <v>204:233315</v>
          </cell>
          <cell r="I61">
            <v>42590.422418981485</v>
          </cell>
          <cell r="J61">
            <v>0</v>
          </cell>
          <cell r="K61" t="str">
            <v>4019/4020</v>
          </cell>
          <cell r="L61" t="str">
            <v>GEBRETEKLE</v>
          </cell>
          <cell r="M61">
            <v>2.9074074074742384E-2</v>
          </cell>
          <cell r="N61">
            <v>41.866666667629033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https://search-rtdc-monitor-bjffxe2xuh6vdkpspy63sjmuny.us-east-1.es.amazonaws.com/_plugin/kibana/#/discover/Steve-Slow-Train-Analysis-(2080s-and-2083s)?_g=(refreshInterval:(display:Off,section:0,value:0),time:(from:'2016-08-08 08:25:00-0600',mode:absolute,to:'2016-08-08 11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1" t="str">
            <v>N</v>
          </cell>
          <cell r="X61">
            <v>1</v>
          </cell>
          <cell r="Y61">
            <v>4.4400000000000002E-2</v>
          </cell>
          <cell r="Z61">
            <v>23.331499999999998</v>
          </cell>
          <cell r="AA61">
            <v>23.287099999999999</v>
          </cell>
          <cell r="AB61" t="e">
            <v>#N/A</v>
          </cell>
          <cell r="AC61" t="e">
            <v>#N/A</v>
          </cell>
          <cell r="AD61" t="str">
            <v>0147-08</v>
          </cell>
          <cell r="AE6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62">
          <cell r="A62" t="str">
            <v>148-08</v>
          </cell>
          <cell r="B62">
            <v>4019</v>
          </cell>
          <cell r="C62" t="str">
            <v>DE.1.0.7.0</v>
          </cell>
          <cell r="D62" t="str">
            <v>204:233004</v>
          </cell>
          <cell r="E62">
            <v>42590.43072916667</v>
          </cell>
          <cell r="F62">
            <v>42590.432118055556</v>
          </cell>
          <cell r="G62">
            <v>2</v>
          </cell>
          <cell r="H62" t="str">
            <v>204:150</v>
          </cell>
          <cell r="I62">
            <v>42590.463414351849</v>
          </cell>
          <cell r="J62">
            <v>0</v>
          </cell>
          <cell r="K62" t="str">
            <v>4019/4020</v>
          </cell>
          <cell r="L62" t="str">
            <v>GEBRETEKLE</v>
          </cell>
          <cell r="M62">
            <v>3.1296296292566694E-2</v>
          </cell>
          <cell r="N62">
            <v>45.06666666129604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https://search-rtdc-monitor-bjffxe2xuh6vdkpspy63sjmuny.us-east-1.es.amazonaws.com/_plugin/kibana/#/discover/Steve-Slow-Train-Analysis-(2080s-and-2083s)?_g=(refreshInterval:(display:Off,section:0,value:0),time:(from:'2016-08-08 09:20:15-0600',mode:absolute,to:'2016-08-08 12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2" t="str">
            <v>N</v>
          </cell>
          <cell r="X62">
            <v>1</v>
          </cell>
          <cell r="Y62">
            <v>23.3004</v>
          </cell>
          <cell r="Z62">
            <v>1.4999999999999999E-2</v>
          </cell>
          <cell r="AA62">
            <v>23.285399999999999</v>
          </cell>
          <cell r="AB62" t="e">
            <v>#N/A</v>
          </cell>
          <cell r="AC62" t="e">
            <v>#N/A</v>
          </cell>
          <cell r="AD62" t="str">
            <v>0148-08</v>
          </cell>
          <cell r="AE6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63">
          <cell r="A63" t="str">
            <v>149-08</v>
          </cell>
          <cell r="B63">
            <v>4027</v>
          </cell>
          <cell r="C63" t="str">
            <v>DE.1.0.7.0</v>
          </cell>
          <cell r="D63" t="str">
            <v>204:424</v>
          </cell>
          <cell r="E63">
            <v>42590.404386574075</v>
          </cell>
          <cell r="F63">
            <v>42590.405347222222</v>
          </cell>
          <cell r="G63">
            <v>1</v>
          </cell>
          <cell r="H63" t="str">
            <v>204:233320</v>
          </cell>
          <cell r="I63">
            <v>42590.433738425927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2.8391203704813961E-2</v>
          </cell>
          <cell r="N63">
            <v>40.883333334932104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https://search-rtdc-monitor-bjffxe2xuh6vdkpspy63sjmuny.us-east-1.es.amazonaws.com/_plugin/kibana/#/discover/Steve-Slow-Train-Analysis-(2080s-and-2083s)?_g=(refreshInterval:(display:Off,section:0,value:0),time:(from:'2016-08-08 08:42:19-0600',mode:absolute,to:'2016-08-08 11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4.24E-2</v>
          </cell>
          <cell r="Z63">
            <v>23.332000000000001</v>
          </cell>
          <cell r="AA63">
            <v>23.2896</v>
          </cell>
          <cell r="AB63" t="e">
            <v>#N/A</v>
          </cell>
          <cell r="AC63" t="e">
            <v>#N/A</v>
          </cell>
          <cell r="AD63" t="str">
            <v>0149-08</v>
          </cell>
          <cell r="AE6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64">
          <cell r="A64" t="str">
            <v>150-08</v>
          </cell>
          <cell r="B64">
            <v>4028</v>
          </cell>
          <cell r="C64" t="str">
            <v>DE.1.0.7.0</v>
          </cell>
          <cell r="D64" t="str">
            <v>204:233005</v>
          </cell>
          <cell r="E64">
            <v>42590.440138888887</v>
          </cell>
          <cell r="F64">
            <v>42590.44121527778</v>
          </cell>
          <cell r="G64">
            <v>1</v>
          </cell>
          <cell r="H64" t="str">
            <v>204:152</v>
          </cell>
          <cell r="I64">
            <v>42590.472407407404</v>
          </cell>
          <cell r="J64">
            <v>1</v>
          </cell>
          <cell r="K64" t="str">
            <v>4027/4028</v>
          </cell>
          <cell r="L64" t="str">
            <v>SPECTOR</v>
          </cell>
          <cell r="M64">
            <v>3.1192129623377696E-2</v>
          </cell>
          <cell r="N64">
            <v>44.916666657663882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23.3005</v>
          </cell>
          <cell r="Z64">
            <v>1.52E-2</v>
          </cell>
          <cell r="AA64">
            <v>23.285299999999999</v>
          </cell>
          <cell r="AB64">
            <v>10694</v>
          </cell>
          <cell r="AC64" t="str">
            <v>PERMANENT SPEED RESTRICTION</v>
          </cell>
          <cell r="AD64" t="str">
            <v>0150-08</v>
          </cell>
          <cell r="AE6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65">
          <cell r="A65" t="str">
            <v>151-08</v>
          </cell>
          <cell r="B65">
            <v>4038</v>
          </cell>
          <cell r="C65" t="str">
            <v>DE.1.0.7.0</v>
          </cell>
          <cell r="D65" t="str">
            <v>204:464</v>
          </cell>
          <cell r="E65">
            <v>42590.412569444445</v>
          </cell>
          <cell r="F65">
            <v>42590.413634259261</v>
          </cell>
          <cell r="G65">
            <v>1</v>
          </cell>
          <cell r="H65" t="str">
            <v>204:233287</v>
          </cell>
          <cell r="I65">
            <v>42590.443993055553</v>
          </cell>
          <cell r="J65">
            <v>0</v>
          </cell>
          <cell r="K65" t="str">
            <v>4037/4038</v>
          </cell>
          <cell r="L65" t="str">
            <v>HOMIK</v>
          </cell>
          <cell r="M65">
            <v>3.0358796291693579E-2</v>
          </cell>
          <cell r="N65">
            <v>43.716666660038754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https://search-rtdc-monitor-bjffxe2xuh6vdkpspy63sjmuny.us-east-1.es.amazonaws.com/_plugin/kibana/#/discover/Steve-Slow-Train-Analysis-(2080s-and-2083s)?_g=(refreshInterval:(display:Off,section:0,value:0),time:(from:'2016-08-08 08:54:06-0600',mode:absolute,to:'2016-08-08 11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4.6399999999999997E-2</v>
          </cell>
          <cell r="Z65">
            <v>23.328700000000001</v>
          </cell>
          <cell r="AA65">
            <v>23.282300000000003</v>
          </cell>
          <cell r="AB65" t="e">
            <v>#N/A</v>
          </cell>
          <cell r="AC65" t="e">
            <v>#N/A</v>
          </cell>
          <cell r="AD65" t="str">
            <v>0151-08</v>
          </cell>
          <cell r="AE6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66">
          <cell r="A66" t="str">
            <v>152-08</v>
          </cell>
          <cell r="B66">
            <v>4037</v>
          </cell>
          <cell r="C66" t="str">
            <v>DE.1.0.7.0</v>
          </cell>
          <cell r="D66" t="str">
            <v>204:232983</v>
          </cell>
          <cell r="E66">
            <v>42590.445844907408</v>
          </cell>
          <cell r="F66">
            <v>42590.44736111111</v>
          </cell>
          <cell r="G66">
            <v>2</v>
          </cell>
          <cell r="H66" t="str">
            <v>204:181</v>
          </cell>
          <cell r="I66">
            <v>42590.486967592595</v>
          </cell>
          <cell r="J66">
            <v>0</v>
          </cell>
          <cell r="K66" t="str">
            <v>4037/4038</v>
          </cell>
          <cell r="L66" t="str">
            <v>HOMIK</v>
          </cell>
          <cell r="M66">
            <v>3.9606481484952383E-2</v>
          </cell>
          <cell r="N66">
            <v>57.033333338331431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https://search-rtdc-monitor-bjffxe2xuh6vdkpspy63sjmuny.us-east-1.es.amazonaws.com/_plugin/kibana/#/discover/Steve-Slow-Train-Analysis-(2080s-and-2083s)?_g=(refreshInterval:(display:Off,section:0,value:0),time:(from:'2016-08-08 09:42:01-0600',mode:absolute,to:'2016-08-08 12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23.298300000000001</v>
          </cell>
          <cell r="Z66">
            <v>1.8100000000000002E-2</v>
          </cell>
          <cell r="AA66">
            <v>23.280200000000001</v>
          </cell>
          <cell r="AB66" t="e">
            <v>#N/A</v>
          </cell>
          <cell r="AC66" t="e">
            <v>#N/A</v>
          </cell>
          <cell r="AD66" t="str">
            <v>0152-08</v>
          </cell>
          <cell r="AE66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67">
          <cell r="A67" t="str">
            <v>153-08</v>
          </cell>
          <cell r="B67">
            <v>4029</v>
          </cell>
          <cell r="C67" t="str">
            <v>DE.1.0.7.0</v>
          </cell>
          <cell r="D67" t="str">
            <v>204:469</v>
          </cell>
          <cell r="E67">
            <v>42590.425381944442</v>
          </cell>
          <cell r="F67">
            <v>42590.426087962966</v>
          </cell>
          <cell r="G67">
            <v>1</v>
          </cell>
          <cell r="H67" t="str">
            <v>204:233282</v>
          </cell>
          <cell r="I67">
            <v>42590.452349537038</v>
          </cell>
          <cell r="J67">
            <v>1</v>
          </cell>
          <cell r="K67" t="str">
            <v>4029/4030</v>
          </cell>
          <cell r="L67" t="str">
            <v>STARKS</v>
          </cell>
          <cell r="M67">
            <v>2.626157407212304E-2</v>
          </cell>
          <cell r="N67">
            <v>37.816666663857177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23.328199999999999</v>
          </cell>
          <cell r="AA67">
            <v>23.281299999999998</v>
          </cell>
          <cell r="AB67">
            <v>0</v>
          </cell>
          <cell r="AC67" t="str">
            <v>PERMANENT SPEED RESTRICTION</v>
          </cell>
          <cell r="AD67" t="str">
            <v>0153-08</v>
          </cell>
          <cell r="AE67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68">
          <cell r="A68" t="str">
            <v>154-08</v>
          </cell>
          <cell r="B68">
            <v>4030</v>
          </cell>
          <cell r="C68" t="str">
            <v>DE.1.0.7.0</v>
          </cell>
          <cell r="D68" t="str">
            <v>204:232977</v>
          </cell>
          <cell r="E68">
            <v>42590.46398148148</v>
          </cell>
          <cell r="F68">
            <v>42590.46497685185</v>
          </cell>
          <cell r="G68">
            <v>1</v>
          </cell>
          <cell r="H68" t="str">
            <v>204:165</v>
          </cell>
          <cell r="I68">
            <v>42590.494733796295</v>
          </cell>
          <cell r="J68">
            <v>1</v>
          </cell>
          <cell r="K68" t="str">
            <v>4029/4030</v>
          </cell>
          <cell r="L68" t="str">
            <v>STARKS</v>
          </cell>
          <cell r="M68">
            <v>2.9756944444670808E-2</v>
          </cell>
          <cell r="N68">
            <v>42.850000000325963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1.6500000000000001E-2</v>
          </cell>
          <cell r="AA68">
            <v>23.281199999999998</v>
          </cell>
          <cell r="AB68">
            <v>21848</v>
          </cell>
          <cell r="AC68" t="str">
            <v>PERMANENT SPEED RESTRICTION</v>
          </cell>
          <cell r="AD68" t="str">
            <v>0154-08</v>
          </cell>
          <cell r="AE68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69">
          <cell r="A69" t="str">
            <v>155-08</v>
          </cell>
          <cell r="B69">
            <v>4011</v>
          </cell>
          <cell r="C69" t="str">
            <v>DE.1.0.7.0</v>
          </cell>
          <cell r="D69" t="str">
            <v>204:453</v>
          </cell>
          <cell r="E69">
            <v>42590.434560185182</v>
          </cell>
          <cell r="F69">
            <v>42590.435717592591</v>
          </cell>
          <cell r="G69">
            <v>1</v>
          </cell>
          <cell r="H69" t="str">
            <v>204:233287</v>
          </cell>
          <cell r="I69">
            <v>42590.463946759257</v>
          </cell>
          <cell r="J69">
            <v>0</v>
          </cell>
          <cell r="K69" t="str">
            <v>4011/4012</v>
          </cell>
          <cell r="L69" t="str">
            <v>DAVIS</v>
          </cell>
          <cell r="M69">
            <v>2.8229166666278616E-2</v>
          </cell>
          <cell r="N69">
            <v>40.649999999441206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https://search-rtdc-monitor-bjffxe2xuh6vdkpspy63sjmuny.us-east-1.es.amazonaws.com/_plugin/kibana/#/discover/Steve-Slow-Train-Analysis-(2080s-and-2083s)?_g=(refreshInterval:(display:Off,section:0,value:0),time:(from:'2016-08-08 09:25:46-0600',mode:absolute,to:'2016-08-08 12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9" t="str">
            <v>N</v>
          </cell>
          <cell r="X69">
            <v>1</v>
          </cell>
          <cell r="Y69">
            <v>4.53E-2</v>
          </cell>
          <cell r="Z69">
            <v>23.328700000000001</v>
          </cell>
          <cell r="AA69">
            <v>23.2834</v>
          </cell>
          <cell r="AB69" t="e">
            <v>#N/A</v>
          </cell>
          <cell r="AC69" t="e">
            <v>#N/A</v>
          </cell>
          <cell r="AD69" t="str">
            <v>0155-08</v>
          </cell>
          <cell r="AE69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70">
          <cell r="A70" t="str">
            <v>156-08</v>
          </cell>
          <cell r="B70">
            <v>4012</v>
          </cell>
          <cell r="C70" t="str">
            <v>DE.1.0.7.0</v>
          </cell>
          <cell r="D70" t="str">
            <v>204:232993</v>
          </cell>
          <cell r="E70">
            <v>42590.471643518518</v>
          </cell>
          <cell r="F70">
            <v>42590.473078703704</v>
          </cell>
          <cell r="G70">
            <v>2</v>
          </cell>
          <cell r="H70" t="str">
            <v>204:172</v>
          </cell>
          <cell r="I70">
            <v>42590.505115740743</v>
          </cell>
          <cell r="J70">
            <v>0</v>
          </cell>
          <cell r="K70" t="str">
            <v>4011/4012</v>
          </cell>
          <cell r="L70" t="str">
            <v>DAVIS</v>
          </cell>
          <cell r="M70">
            <v>3.2037037039117422E-2</v>
          </cell>
          <cell r="N70">
            <v>46.133333336329088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https://search-rtdc-monitor-bjffxe2xuh6vdkpspy63sjmuny.us-east-1.es.amazonaws.com/_plugin/kibana/#/discover/Steve-Slow-Train-Analysis-(2080s-and-2083s)?_g=(refreshInterval:(display:Off,section:0,value:0),time:(from:'2016-08-08 10:19:10-0600',mode:absolute,to:'2016-08-08 13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0" t="str">
            <v>N</v>
          </cell>
          <cell r="X70">
            <v>1</v>
          </cell>
          <cell r="Y70">
            <v>23.299299999999999</v>
          </cell>
          <cell r="Z70">
            <v>1.72E-2</v>
          </cell>
          <cell r="AA70">
            <v>23.2821</v>
          </cell>
          <cell r="AB70" t="e">
            <v>#N/A</v>
          </cell>
          <cell r="AC70" t="e">
            <v>#N/A</v>
          </cell>
          <cell r="AD70" t="str">
            <v>0156-08</v>
          </cell>
          <cell r="AE70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71">
          <cell r="A71" t="str">
            <v>157-08</v>
          </cell>
          <cell r="B71">
            <v>4007</v>
          </cell>
          <cell r="C71" t="str">
            <v>DE.1.0.7.0</v>
          </cell>
          <cell r="D71" t="str">
            <v>204:509</v>
          </cell>
          <cell r="E71">
            <v>42590.447256944448</v>
          </cell>
          <cell r="F71">
            <v>42590.448171296295</v>
          </cell>
          <cell r="G71">
            <v>1</v>
          </cell>
          <cell r="H71" t="str">
            <v>204:233278</v>
          </cell>
          <cell r="I71">
            <v>42590.473680555559</v>
          </cell>
          <cell r="J71">
            <v>1</v>
          </cell>
          <cell r="K71" t="str">
            <v>4007/4008</v>
          </cell>
          <cell r="L71" t="str">
            <v>MALAVE</v>
          </cell>
          <cell r="M71">
            <v>2.5509259263344575E-2</v>
          </cell>
          <cell r="N71">
            <v>36.733333339216188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1" t="str">
            <v>N</v>
          </cell>
          <cell r="X71">
            <v>1</v>
          </cell>
          <cell r="Y71">
            <v>5.0900000000000001E-2</v>
          </cell>
          <cell r="Z71">
            <v>23.3278</v>
          </cell>
          <cell r="AA71">
            <v>23.276900000000001</v>
          </cell>
          <cell r="AB71">
            <v>161962</v>
          </cell>
          <cell r="AC71" t="str">
            <v>PERMANENT SPEED RESTRICTION</v>
          </cell>
          <cell r="AD71" t="str">
            <v>0157-08</v>
          </cell>
          <cell r="AE71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72">
          <cell r="A72" t="str">
            <v>158-08</v>
          </cell>
          <cell r="B72">
            <v>4008</v>
          </cell>
          <cell r="C72" t="str">
            <v>DE.1.0.7.0</v>
          </cell>
          <cell r="D72" t="str">
            <v>204:232969</v>
          </cell>
          <cell r="E72">
            <v>42590.48510416667</v>
          </cell>
          <cell r="F72">
            <v>42590.486967592595</v>
          </cell>
          <cell r="G72">
            <v>2</v>
          </cell>
          <cell r="H72" t="str">
            <v>204:154</v>
          </cell>
          <cell r="I72">
            <v>42590.513796296298</v>
          </cell>
          <cell r="J72">
            <v>0</v>
          </cell>
          <cell r="K72" t="str">
            <v>4007/4008</v>
          </cell>
          <cell r="L72" t="str">
            <v>MALAVE</v>
          </cell>
          <cell r="M72">
            <v>2.6828703703358769E-2</v>
          </cell>
          <cell r="N72">
            <v>38.633333332836628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https://search-rtdc-monitor-bjffxe2xuh6vdkpspy63sjmuny.us-east-1.es.amazonaws.com/_plugin/kibana/#/discover/Steve-Slow-Train-Analysis-(2080s-and-2083s)?_g=(refreshInterval:(display:Off,section:0,value:0),time:(from:'2016-08-08 10:38:33-0600',mode:absolute,to:'2016-08-08 13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2" t="str">
            <v>N</v>
          </cell>
          <cell r="X72">
            <v>1</v>
          </cell>
          <cell r="Y72">
            <v>23.296900000000001</v>
          </cell>
          <cell r="Z72">
            <v>1.54E-2</v>
          </cell>
          <cell r="AA72">
            <v>23.281500000000001</v>
          </cell>
          <cell r="AB72" t="e">
            <v>#N/A</v>
          </cell>
          <cell r="AC72" t="e">
            <v>#N/A</v>
          </cell>
          <cell r="AD72" t="str">
            <v>0158-08</v>
          </cell>
          <cell r="AE72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73">
          <cell r="A73" t="str">
            <v>159-08</v>
          </cell>
          <cell r="B73">
            <v>4014</v>
          </cell>
          <cell r="C73" t="str">
            <v>DE.1.0.7.0</v>
          </cell>
          <cell r="D73" t="str">
            <v>204:457</v>
          </cell>
          <cell r="E73">
            <v>42590.457060185188</v>
          </cell>
          <cell r="F73">
            <v>42590.458321759259</v>
          </cell>
          <cell r="G73">
            <v>1</v>
          </cell>
          <cell r="H73" t="str">
            <v>204:233291</v>
          </cell>
          <cell r="I73">
            <v>42590.489664351851</v>
          </cell>
          <cell r="J73">
            <v>0</v>
          </cell>
          <cell r="K73" t="str">
            <v>4013/4014</v>
          </cell>
          <cell r="L73" t="str">
            <v>STEWART</v>
          </cell>
          <cell r="M73">
            <v>3.1342592592409346E-2</v>
          </cell>
          <cell r="N73">
            <v>45.133333333069459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https://search-rtdc-monitor-bjffxe2xuh6vdkpspy63sjmuny.us-east-1.es.amazonaws.com/_plugin/kibana/#/discover/Steve-Slow-Train-Analysis-(2080s-and-2083s)?_g=(refreshInterval:(display:Off,section:0,value:0),time:(from:'2016-08-08 09:58:10-0600',mode:absolute,to:'2016-08-08 12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3" t="str">
            <v>N</v>
          </cell>
          <cell r="X73">
            <v>1</v>
          </cell>
          <cell r="Y73">
            <v>4.5699999999999998E-2</v>
          </cell>
          <cell r="Z73">
            <v>23.3291</v>
          </cell>
          <cell r="AA73">
            <v>23.2834</v>
          </cell>
          <cell r="AB73" t="e">
            <v>#N/A</v>
          </cell>
          <cell r="AC73" t="e">
            <v>#N/A</v>
          </cell>
          <cell r="AD73" t="str">
            <v>0159-08</v>
          </cell>
          <cell r="AE73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74">
          <cell r="A74" t="str">
            <v>160-08</v>
          </cell>
          <cell r="B74">
            <v>4013</v>
          </cell>
          <cell r="C74" t="str">
            <v>DE.1.0.7.0</v>
          </cell>
          <cell r="D74" t="str">
            <v>204:232977</v>
          </cell>
          <cell r="E74">
            <v>42590.496064814812</v>
          </cell>
          <cell r="F74">
            <v>42590.497048611112</v>
          </cell>
          <cell r="G74">
            <v>1</v>
          </cell>
          <cell r="H74" t="str">
            <v>204:150</v>
          </cell>
          <cell r="I74">
            <v>42590.525462962964</v>
          </cell>
          <cell r="J74">
            <v>0</v>
          </cell>
          <cell r="K74" t="str">
            <v>4013/4014</v>
          </cell>
          <cell r="L74" t="str">
            <v>STEWART</v>
          </cell>
          <cell r="M74">
            <v>2.8414351851097308E-2</v>
          </cell>
          <cell r="N74">
            <v>40.916666665580124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https://search-rtdc-monitor-bjffxe2xuh6vdkpspy63sjmuny.us-east-1.es.amazonaws.com/_plugin/kibana/#/discover/Steve-Slow-Train-Analysis-(2080s-and-2083s)?_g=(refreshInterval:(display:Off,section:0,value:0),time:(from:'2016-08-08 10:54:20-0600',mode:absolute,to:'2016-08-08 13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1.4999999999999999E-2</v>
          </cell>
          <cell r="AA74">
            <v>23.282699999999998</v>
          </cell>
          <cell r="AB74" t="e">
            <v>#N/A</v>
          </cell>
          <cell r="AC74" t="e">
            <v>#N/A</v>
          </cell>
          <cell r="AD74" t="str">
            <v>0160-08</v>
          </cell>
          <cell r="AE74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75">
          <cell r="A75" t="str">
            <v>161-08</v>
          </cell>
          <cell r="B75">
            <v>4020</v>
          </cell>
          <cell r="C75" t="str">
            <v>DE.1.0.7.0</v>
          </cell>
          <cell r="D75" t="str">
            <v>204:449</v>
          </cell>
          <cell r="E75">
            <v>42590.465509259258</v>
          </cell>
          <cell r="F75">
            <v>42590.466689814813</v>
          </cell>
          <cell r="G75">
            <v>1</v>
          </cell>
          <cell r="H75" t="str">
            <v>204:233309</v>
          </cell>
          <cell r="I75">
            <v>42590.494618055556</v>
          </cell>
          <cell r="J75">
            <v>0</v>
          </cell>
          <cell r="K75" t="str">
            <v>4019/4020</v>
          </cell>
          <cell r="L75" t="str">
            <v>BARTLETT</v>
          </cell>
          <cell r="M75">
            <v>2.792824074276723E-2</v>
          </cell>
          <cell r="N75">
            <v>40.216666669584811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https://search-rtdc-monitor-bjffxe2xuh6vdkpspy63sjmuny.us-east-1.es.amazonaws.com/_plugin/kibana/#/discover/Steve-Slow-Train-Analysis-(2080s-and-2083s)?_g=(refreshInterval:(display:Off,section:0,value:0),time:(from:'2016-08-08 10:10:20-0600',mode:absolute,to:'2016-08-08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5" t="str">
            <v>N</v>
          </cell>
          <cell r="X75">
            <v>1</v>
          </cell>
          <cell r="Y75">
            <v>4.4900000000000002E-2</v>
          </cell>
          <cell r="Z75">
            <v>23.3309</v>
          </cell>
          <cell r="AA75">
            <v>23.286000000000001</v>
          </cell>
          <cell r="AB75" t="e">
            <v>#N/A</v>
          </cell>
          <cell r="AC75" t="e">
            <v>#N/A</v>
          </cell>
          <cell r="AD75" t="str">
            <v>0161-08</v>
          </cell>
          <cell r="AE75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76">
          <cell r="A76" t="str">
            <v>162-08</v>
          </cell>
          <cell r="B76">
            <v>4019</v>
          </cell>
          <cell r="C76" t="str">
            <v>DE.1.0.7.0</v>
          </cell>
          <cell r="D76" t="str">
            <v>204:232992</v>
          </cell>
          <cell r="E76">
            <v>42590.496990740743</v>
          </cell>
          <cell r="F76">
            <v>42590.498020833336</v>
          </cell>
          <cell r="G76">
            <v>1</v>
          </cell>
          <cell r="H76" t="str">
            <v>204:149</v>
          </cell>
          <cell r="I76">
            <v>42590.536469907405</v>
          </cell>
          <cell r="J76">
            <v>0</v>
          </cell>
          <cell r="K76" t="str">
            <v>4019/4020</v>
          </cell>
          <cell r="L76" t="str">
            <v>BARTLETT</v>
          </cell>
          <cell r="M76">
            <v>3.8449074068921618E-2</v>
          </cell>
          <cell r="N76">
            <v>55.36666665924713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https://search-rtdc-monitor-bjffxe2xuh6vdkpspy63sjmuny.us-east-1.es.amazonaws.com/_plugin/kibana/#/discover/Steve-Slow-Train-Analysis-(2080s-and-2083s)?_g=(refreshInterval:(display:Off,section:0,value:0),time:(from:'2016-08-08 10:55:40-0600',mode:absolute,to:'2016-08-08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6" t="str">
            <v>N</v>
          </cell>
          <cell r="X76">
            <v>1</v>
          </cell>
          <cell r="Y76">
            <v>23.299199999999999</v>
          </cell>
          <cell r="Z76">
            <v>1.49E-2</v>
          </cell>
          <cell r="AA76">
            <v>23.284299999999998</v>
          </cell>
          <cell r="AB76" t="e">
            <v>#N/A</v>
          </cell>
          <cell r="AC76" t="e">
            <v>#N/A</v>
          </cell>
          <cell r="AD76" t="str">
            <v>0162-08</v>
          </cell>
          <cell r="AE76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77">
          <cell r="A77" t="str">
            <v>163-08</v>
          </cell>
          <cell r="B77">
            <v>4027</v>
          </cell>
          <cell r="C77" t="str">
            <v>DE.1.0.7.0</v>
          </cell>
          <cell r="D77" t="str">
            <v>204:462</v>
          </cell>
          <cell r="E77">
            <v>42590.475381944445</v>
          </cell>
          <cell r="F77">
            <v>42590.476643518516</v>
          </cell>
          <cell r="G77">
            <v>1</v>
          </cell>
          <cell r="H77" t="str">
            <v>204:233387</v>
          </cell>
          <cell r="I77">
            <v>42590.504664351851</v>
          </cell>
          <cell r="J77">
            <v>0</v>
          </cell>
          <cell r="K77" t="str">
            <v>4027/4028</v>
          </cell>
          <cell r="L77" t="str">
            <v>STORY</v>
          </cell>
          <cell r="M77">
            <v>2.8020833335176576E-2</v>
          </cell>
          <cell r="N77">
            <v>40.350000002654269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https://search-rtdc-monitor-bjffxe2xuh6vdkpspy63sjmuny.us-east-1.es.amazonaws.com/_plugin/kibana/#/discover/Steve-Slow-Train-Analysis-(2080s-and-2083s)?_g=(refreshInterval:(display:Off,section:0,value:0),time:(from:'2016-08-08 10:24:33-0600',mode:absolute,to:'2016-08-08 13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23.338699999999999</v>
          </cell>
          <cell r="AA77">
            <v>23.2925</v>
          </cell>
          <cell r="AB77" t="e">
            <v>#N/A</v>
          </cell>
          <cell r="AC77" t="e">
            <v>#N/A</v>
          </cell>
          <cell r="AD77" t="str">
            <v>0163-08</v>
          </cell>
          <cell r="AE77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78">
          <cell r="A78" t="str">
            <v>164-08</v>
          </cell>
          <cell r="B78">
            <v>4028</v>
          </cell>
          <cell r="C78" t="str">
            <v>DE.1.0.7.0</v>
          </cell>
          <cell r="D78" t="str">
            <v>204:233070</v>
          </cell>
          <cell r="E78">
            <v>42590.508009259262</v>
          </cell>
          <cell r="F78">
            <v>42590.509305555555</v>
          </cell>
          <cell r="G78">
            <v>1</v>
          </cell>
          <cell r="H78" t="str">
            <v>204:152</v>
          </cell>
          <cell r="I78">
            <v>42590.549062500002</v>
          </cell>
          <cell r="J78">
            <v>2</v>
          </cell>
          <cell r="K78" t="str">
            <v>4027/4028</v>
          </cell>
          <cell r="L78" t="str">
            <v>STORY</v>
          </cell>
          <cell r="M78">
            <v>3.9756944446708076E-2</v>
          </cell>
          <cell r="N78">
            <v>57.250000003259629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23.306999999999999</v>
          </cell>
          <cell r="Z78">
            <v>1.52E-2</v>
          </cell>
          <cell r="AA78">
            <v>23.291799999999999</v>
          </cell>
          <cell r="AB78">
            <v>21848</v>
          </cell>
          <cell r="AC78" t="str">
            <v>PERMANENT SPEED RESTRICTION</v>
          </cell>
          <cell r="AD78" t="str">
            <v>0164-08</v>
          </cell>
          <cell r="AE78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79">
          <cell r="A79" t="str">
            <v>165-08</v>
          </cell>
          <cell r="B79">
            <v>4038</v>
          </cell>
          <cell r="C79" t="str">
            <v>DE.1.0.7.0</v>
          </cell>
          <cell r="D79" t="str">
            <v>204:473</v>
          </cell>
          <cell r="E79">
            <v>42590.485775462963</v>
          </cell>
          <cell r="F79">
            <v>42590.486909722225</v>
          </cell>
          <cell r="G79">
            <v>1</v>
          </cell>
          <cell r="H79" t="str">
            <v>204:233303</v>
          </cell>
          <cell r="I79">
            <v>42590.515150462961</v>
          </cell>
          <cell r="J79">
            <v>0</v>
          </cell>
          <cell r="K79" t="str">
            <v>4037/4038</v>
          </cell>
          <cell r="L79" t="str">
            <v>SWANSON</v>
          </cell>
          <cell r="M79">
            <v>2.824074073578231E-2</v>
          </cell>
          <cell r="N79">
            <v>40.666666659526527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https://search-rtdc-monitor-bjffxe2xuh6vdkpspy63sjmuny.us-east-1.es.amazonaws.com/_plugin/kibana/#/discover/Steve-Slow-Train-Analysis-(2080s-and-2083s)?_g=(refreshInterval:(display:Off,section:0,value:0),time:(from:'2016-08-08 10:39:31-0600',mode:absolute,to:'2016-08-08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4.7300000000000002E-2</v>
          </cell>
          <cell r="Z79">
            <v>23.330300000000001</v>
          </cell>
          <cell r="AA79">
            <v>23.283000000000001</v>
          </cell>
          <cell r="AB79" t="e">
            <v>#N/A</v>
          </cell>
          <cell r="AC79" t="e">
            <v>#N/A</v>
          </cell>
          <cell r="AD79" t="str">
            <v>0165-08</v>
          </cell>
          <cell r="AE79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80">
          <cell r="A80" t="str">
            <v>166-08</v>
          </cell>
          <cell r="B80">
            <v>4037</v>
          </cell>
          <cell r="C80" t="str">
            <v>DE.1.0.7.0</v>
          </cell>
          <cell r="D80" t="str">
            <v>204:232963</v>
          </cell>
          <cell r="E80">
            <v>42590.518206018518</v>
          </cell>
          <cell r="F80">
            <v>42590.520972222221</v>
          </cell>
          <cell r="G80">
            <v>3</v>
          </cell>
          <cell r="H80" t="str">
            <v>204:138</v>
          </cell>
          <cell r="I80">
            <v>42590.557326388887</v>
          </cell>
          <cell r="J80">
            <v>0</v>
          </cell>
          <cell r="K80" t="str">
            <v>4037/4038</v>
          </cell>
          <cell r="L80" t="str">
            <v>SWANSON</v>
          </cell>
          <cell r="M80">
            <v>3.6354166666569654E-2</v>
          </cell>
          <cell r="N80">
            <v>52.349999999860302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https://search-rtdc-monitor-bjffxe2xuh6vdkpspy63sjmuny.us-east-1.es.amazonaws.com/_plugin/kibana/#/discover/Steve-Slow-Train-Analysis-(2080s-and-2083s)?_g=(refreshInterval:(display:Off,section:0,value:0),time:(from:'2016-08-08 11:26:13-0600',mode:absolute,to:'2016-08-08 14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1.38E-2</v>
          </cell>
          <cell r="AA80">
            <v>23.282499999999999</v>
          </cell>
          <cell r="AB80" t="e">
            <v>#N/A</v>
          </cell>
          <cell r="AC80" t="e">
            <v>#N/A</v>
          </cell>
          <cell r="AD80" t="str">
            <v>0166-08</v>
          </cell>
          <cell r="AE80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81">
          <cell r="A81" t="str">
            <v>167-08</v>
          </cell>
          <cell r="B81">
            <v>4029</v>
          </cell>
          <cell r="C81" t="str">
            <v>DE.1.0.7.0</v>
          </cell>
          <cell r="D81" t="str">
            <v>204:453</v>
          </cell>
          <cell r="E81">
            <v>42590.498726851853</v>
          </cell>
          <cell r="F81">
            <v>42590.499965277777</v>
          </cell>
          <cell r="G81">
            <v>1</v>
          </cell>
          <cell r="H81" t="str">
            <v>204:233300</v>
          </cell>
          <cell r="I81">
            <v>42590.527881944443</v>
          </cell>
          <cell r="J81">
            <v>0</v>
          </cell>
          <cell r="K81" t="str">
            <v>4029/4030</v>
          </cell>
          <cell r="L81" t="str">
            <v>YOUNG</v>
          </cell>
          <cell r="M81">
            <v>2.7916666665987577E-2</v>
          </cell>
          <cell r="N81">
            <v>40.199999999022111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https://search-rtdc-monitor-bjffxe2xuh6vdkpspy63sjmuny.us-east-1.es.amazonaws.com/_plugin/kibana/#/discover/Steve-Slow-Train-Analysis-(2080s-and-2083s)?_g=(refreshInterval:(display:Off,section:0,value:0),time:(from:'2016-08-08 10:58:10-0600',mode:absolute,to:'2016-08-08 13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</v>
          </cell>
          <cell r="AA81">
            <v>23.284699999999997</v>
          </cell>
          <cell r="AB81" t="e">
            <v>#N/A</v>
          </cell>
          <cell r="AC81" t="e">
            <v>#N/A</v>
          </cell>
          <cell r="AD81" t="str">
            <v>0167-08</v>
          </cell>
          <cell r="AE8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82">
          <cell r="A82" t="str">
            <v>168-08</v>
          </cell>
          <cell r="B82">
            <v>4030</v>
          </cell>
          <cell r="C82" t="str">
            <v>DE.1.0.7.0</v>
          </cell>
          <cell r="D82" t="str">
            <v>204:233004</v>
          </cell>
          <cell r="E82">
            <v>42590.534918981481</v>
          </cell>
          <cell r="F82">
            <v>42590.53570601852</v>
          </cell>
          <cell r="G82">
            <v>1</v>
          </cell>
          <cell r="H82" t="str">
            <v>204:223</v>
          </cell>
          <cell r="I82">
            <v>42590.569236111114</v>
          </cell>
          <cell r="J82">
            <v>0</v>
          </cell>
          <cell r="K82" t="str">
            <v>4029/4030</v>
          </cell>
          <cell r="L82" t="str">
            <v>YOUNG</v>
          </cell>
          <cell r="M82">
            <v>3.3530092594446614E-2</v>
          </cell>
          <cell r="N82">
            <v>48.283333336003125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https://search-rtdc-monitor-bjffxe2xuh6vdkpspy63sjmuny.us-east-1.es.amazonaws.com/_plugin/kibana/#/discover/Steve-Slow-Train-Analysis-(2080s-and-2083s)?_g=(refreshInterval:(display:Off,section:0,value:0),time:(from:'2016-08-08 11:50:17-0600',mode:absolute,to:'2016-08-08 14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2" t="str">
            <v>N</v>
          </cell>
          <cell r="X82">
            <v>1</v>
          </cell>
          <cell r="Y82">
            <v>23.3004</v>
          </cell>
          <cell r="Z82">
            <v>2.23E-2</v>
          </cell>
          <cell r="AA82">
            <v>23.278099999999998</v>
          </cell>
          <cell r="AB82" t="e">
            <v>#N/A</v>
          </cell>
          <cell r="AC82" t="e">
            <v>#N/A</v>
          </cell>
          <cell r="AD82" t="str">
            <v>0168-08</v>
          </cell>
          <cell r="AE8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83">
          <cell r="A83" t="str">
            <v>169-08</v>
          </cell>
          <cell r="B83">
            <v>4011</v>
          </cell>
          <cell r="C83" t="str">
            <v>DE.1.0.7.0</v>
          </cell>
          <cell r="D83" t="str">
            <v>204:455</v>
          </cell>
          <cell r="E83">
            <v>42590.508668981478</v>
          </cell>
          <cell r="F83">
            <v>42590.510150462964</v>
          </cell>
          <cell r="G83">
            <v>2</v>
          </cell>
          <cell r="H83" t="str">
            <v>204:233293</v>
          </cell>
          <cell r="I83">
            <v>42590.53633101852</v>
          </cell>
          <cell r="J83">
            <v>0</v>
          </cell>
          <cell r="K83" t="str">
            <v>4011/4012</v>
          </cell>
          <cell r="L83" t="str">
            <v>HELVIE</v>
          </cell>
          <cell r="M83">
            <v>2.6180555556493346E-2</v>
          </cell>
          <cell r="N83">
            <v>37.700000001350418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https://search-rtdc-monitor-bjffxe2xuh6vdkpspy63sjmuny.us-east-1.es.amazonaws.com/_plugin/kibana/#/discover/Steve-Slow-Train-Analysis-(2080s-and-2083s)?_g=(refreshInterval:(display:Off,section:0,value:0),time:(from:'2016-08-08 11:12:29-0600',mode:absolute,to:'2016-08-08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23.3293</v>
          </cell>
          <cell r="AA83">
            <v>23.283799999999999</v>
          </cell>
          <cell r="AB83" t="e">
            <v>#N/A</v>
          </cell>
          <cell r="AC83" t="e">
            <v>#N/A</v>
          </cell>
          <cell r="AD83" t="str">
            <v>0169-08</v>
          </cell>
          <cell r="AE83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84">
          <cell r="A84" t="str">
            <v>170-08</v>
          </cell>
          <cell r="B84">
            <v>4012</v>
          </cell>
          <cell r="C84" t="str">
            <v>DE.1.0.7.0</v>
          </cell>
          <cell r="D84" t="str">
            <v>204:232971</v>
          </cell>
          <cell r="E84">
            <v>42590.544618055559</v>
          </cell>
          <cell r="F84">
            <v>42590.545601851853</v>
          </cell>
          <cell r="G84">
            <v>1</v>
          </cell>
          <cell r="H84" t="str">
            <v>204:161</v>
          </cell>
          <cell r="I84">
            <v>42590.576944444445</v>
          </cell>
          <cell r="J84">
            <v>0</v>
          </cell>
          <cell r="K84" t="str">
            <v>4011/4012</v>
          </cell>
          <cell r="L84" t="str">
            <v>HELVIE</v>
          </cell>
          <cell r="M84">
            <v>3.1342592592409346E-2</v>
          </cell>
          <cell r="N84">
            <v>45.133333333069459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https://search-rtdc-monitor-bjffxe2xuh6vdkpspy63sjmuny.us-east-1.es.amazonaws.com/_plugin/kibana/#/discover/Steve-Slow-Train-Analysis-(2080s-and-2083s)?_g=(refreshInterval:(display:Off,section:0,value:0),time:(from:'2016-08-08 12:04:15-0600',mode:absolute,to:'2016-08-08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4" t="str">
            <v>N</v>
          </cell>
          <cell r="X84">
            <v>1</v>
          </cell>
          <cell r="Y84">
            <v>23.2971</v>
          </cell>
          <cell r="Z84">
            <v>1.61E-2</v>
          </cell>
          <cell r="AA84">
            <v>23.280999999999999</v>
          </cell>
          <cell r="AB84" t="e">
            <v>#N/A</v>
          </cell>
          <cell r="AC84" t="e">
            <v>#N/A</v>
          </cell>
          <cell r="AD84" t="str">
            <v>0170-08</v>
          </cell>
          <cell r="AE8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85">
          <cell r="A85" t="str">
            <v>171-08</v>
          </cell>
          <cell r="B85">
            <v>4007</v>
          </cell>
          <cell r="C85" t="str">
            <v>DE.1.0.7.0</v>
          </cell>
          <cell r="D85" t="str">
            <v>204:447</v>
          </cell>
          <cell r="E85">
            <v>42590.515520833331</v>
          </cell>
          <cell r="F85">
            <v>42590.516724537039</v>
          </cell>
          <cell r="G85">
            <v>1</v>
          </cell>
          <cell r="H85" t="str">
            <v>204:233363</v>
          </cell>
          <cell r="I85">
            <v>42590.548634259256</v>
          </cell>
          <cell r="J85">
            <v>0</v>
          </cell>
          <cell r="K85" t="str">
            <v>4007/4008</v>
          </cell>
          <cell r="L85" t="str">
            <v>SHOOK</v>
          </cell>
          <cell r="M85">
            <v>3.1909722216369119E-2</v>
          </cell>
          <cell r="N85">
            <v>45.949999991571531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https://search-rtdc-monitor-bjffxe2xuh6vdkpspy63sjmuny.us-east-1.es.amazonaws.com/_plugin/kibana/#/discover/Steve-Slow-Train-Analysis-(2080s-and-2083s)?_g=(refreshInterval:(display:Off,section:0,value:0),time:(from:'2016-08-08 11:22:21-0600',mode:absolute,to:'2016-08-08 14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5" t="str">
            <v>N</v>
          </cell>
          <cell r="X85">
            <v>1</v>
          </cell>
          <cell r="Y85">
            <v>4.4699999999999997E-2</v>
          </cell>
          <cell r="Z85">
            <v>23.336300000000001</v>
          </cell>
          <cell r="AA85">
            <v>23.291600000000003</v>
          </cell>
          <cell r="AB85" t="e">
            <v>#N/A</v>
          </cell>
          <cell r="AC85" t="e">
            <v>#N/A</v>
          </cell>
          <cell r="AD85" t="str">
            <v>0171-08</v>
          </cell>
          <cell r="AE8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86">
          <cell r="A86" t="str">
            <v>172-08</v>
          </cell>
          <cell r="B86">
            <v>4008</v>
          </cell>
          <cell r="C86" t="str">
            <v>DE.1.0.7.0</v>
          </cell>
          <cell r="D86" t="str">
            <v>204:233034</v>
          </cell>
          <cell r="E86">
            <v>42590.555451388886</v>
          </cell>
          <cell r="F86">
            <v>42590.556516203702</v>
          </cell>
          <cell r="G86">
            <v>1</v>
          </cell>
          <cell r="H86" t="str">
            <v>204:132</v>
          </cell>
          <cell r="I86">
            <v>42590.586608796293</v>
          </cell>
          <cell r="J86">
            <v>0</v>
          </cell>
          <cell r="K86" t="str">
            <v>4007/4008</v>
          </cell>
          <cell r="L86" t="str">
            <v>SHOOK</v>
          </cell>
          <cell r="M86">
            <v>3.0092592591245193E-2</v>
          </cell>
          <cell r="N86">
            <v>43.333333331393078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https://search-rtdc-monitor-bjffxe2xuh6vdkpspy63sjmuny.us-east-1.es.amazonaws.com/_plugin/kibana/#/discover/Steve-Slow-Train-Analysis-(2080s-and-2083s)?_g=(refreshInterval:(display:Off,section:0,value:0),time:(from:'2016-08-08 12:19:51-0600',mode:absolute,to:'2016-08-08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6" t="str">
            <v>N</v>
          </cell>
          <cell r="X86">
            <v>1</v>
          </cell>
          <cell r="Y86">
            <v>23.3034</v>
          </cell>
          <cell r="Z86">
            <v>1.32E-2</v>
          </cell>
          <cell r="AA86">
            <v>23.290199999999999</v>
          </cell>
          <cell r="AB86" t="e">
            <v>#N/A</v>
          </cell>
          <cell r="AC86" t="e">
            <v>#N/A</v>
          </cell>
          <cell r="AD86" t="str">
            <v>0172-08</v>
          </cell>
          <cell r="AE8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87">
          <cell r="A87" t="str">
            <v>173-08</v>
          </cell>
          <cell r="B87">
            <v>4014</v>
          </cell>
          <cell r="C87" t="str">
            <v>DE.1.0.7.0</v>
          </cell>
          <cell r="D87" t="str">
            <v>204:478</v>
          </cell>
          <cell r="E87">
            <v>42590.528020833335</v>
          </cell>
          <cell r="F87">
            <v>42590.528981481482</v>
          </cell>
          <cell r="G87">
            <v>1</v>
          </cell>
          <cell r="H87" t="str">
            <v>204:233343</v>
          </cell>
          <cell r="I87">
            <v>42590.56045138889</v>
          </cell>
          <cell r="J87">
            <v>0</v>
          </cell>
          <cell r="K87" t="str">
            <v>4013/4014</v>
          </cell>
          <cell r="L87" t="str">
            <v>STEWART</v>
          </cell>
          <cell r="M87">
            <v>3.1469907407881692E-2</v>
          </cell>
          <cell r="N87">
            <v>45.316666667349637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https://search-rtdc-monitor-bjffxe2xuh6vdkpspy63sjmuny.us-east-1.es.amazonaws.com/_plugin/kibana/#/discover/Steve-Slow-Train-Analysis-(2080s-and-2083s)?_g=(refreshInterval:(display:Off,section:0,value:0),time:(from:'2016-08-08 11:40:21-0600',mode:absolute,to:'2016-08-08 14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7" t="str">
            <v>N</v>
          </cell>
          <cell r="X87">
            <v>1</v>
          </cell>
          <cell r="Y87">
            <v>4.7800000000000002E-2</v>
          </cell>
          <cell r="Z87">
            <v>23.334299999999999</v>
          </cell>
          <cell r="AA87">
            <v>23.2865</v>
          </cell>
          <cell r="AB87" t="e">
            <v>#N/A</v>
          </cell>
          <cell r="AC87" t="e">
            <v>#N/A</v>
          </cell>
          <cell r="AD87" t="str">
            <v>0173-08</v>
          </cell>
          <cell r="AE87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88">
          <cell r="A88" t="str">
            <v>174-08</v>
          </cell>
          <cell r="B88">
            <v>4013</v>
          </cell>
          <cell r="C88" t="str">
            <v>DE.1.0.7.0</v>
          </cell>
          <cell r="D88" t="str">
            <v>204:233000</v>
          </cell>
          <cell r="E88">
            <v>42590.566990740743</v>
          </cell>
          <cell r="F88">
            <v>42590.567986111113</v>
          </cell>
          <cell r="G88">
            <v>1</v>
          </cell>
          <cell r="H88" t="str">
            <v>204:160</v>
          </cell>
          <cell r="I88">
            <v>42590.599247685182</v>
          </cell>
          <cell r="J88">
            <v>0</v>
          </cell>
          <cell r="K88" t="str">
            <v>4013/4014</v>
          </cell>
          <cell r="L88" t="str">
            <v>STEWART</v>
          </cell>
          <cell r="M88">
            <v>3.1261574069503695E-2</v>
          </cell>
          <cell r="N88">
            <v>45.01666666008532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https://search-rtdc-monitor-bjffxe2xuh6vdkpspy63sjmuny.us-east-1.es.amazonaws.com/_plugin/kibana/#/discover/Steve-Slow-Train-Analysis-(2080s-and-2083s)?_g=(refreshInterval:(display:Off,section:0,value:0),time:(from:'2016-08-08 12:36:28-0600',mode:absolute,to:'2016-08-08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8" t="str">
            <v>N</v>
          </cell>
          <cell r="X88">
            <v>1</v>
          </cell>
          <cell r="Y88">
            <v>23.3</v>
          </cell>
          <cell r="Z88">
            <v>1.6E-2</v>
          </cell>
          <cell r="AA88">
            <v>23.284000000000002</v>
          </cell>
          <cell r="AB88" t="e">
            <v>#N/A</v>
          </cell>
          <cell r="AC88" t="e">
            <v>#N/A</v>
          </cell>
          <cell r="AD88" t="str">
            <v>0174-08</v>
          </cell>
          <cell r="AE88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89">
          <cell r="A89" t="str">
            <v>175-08</v>
          </cell>
          <cell r="B89">
            <v>4020</v>
          </cell>
          <cell r="C89" t="str">
            <v>DE.1.0.7.0</v>
          </cell>
          <cell r="D89" t="str">
            <v>204:464</v>
          </cell>
          <cell r="E89">
            <v>42590.537881944445</v>
          </cell>
          <cell r="F89">
            <v>42590.538877314815</v>
          </cell>
          <cell r="G89">
            <v>1</v>
          </cell>
          <cell r="H89" t="str">
            <v>204:233319</v>
          </cell>
          <cell r="I89">
            <v>42590.568136574075</v>
          </cell>
          <cell r="J89">
            <v>0</v>
          </cell>
          <cell r="K89" t="str">
            <v>4019/4020</v>
          </cell>
          <cell r="L89" t="str">
            <v>BARTLETT</v>
          </cell>
          <cell r="M89">
            <v>2.9259259259561077E-2</v>
          </cell>
          <cell r="N89">
            <v>42.133333333767951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https://search-rtdc-monitor-bjffxe2xuh6vdkpspy63sjmuny.us-east-1.es.amazonaws.com/_plugin/kibana/#/discover/Steve-Slow-Train-Analysis-(2080s-and-2083s)?_g=(refreshInterval:(display:Off,section:0,value:0),time:(from:'2016-08-08 11:54:33-0600',mode:absolute,to:'2016-08-08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9" t="str">
            <v>N</v>
          </cell>
          <cell r="X89">
            <v>1</v>
          </cell>
          <cell r="Y89">
            <v>4.6399999999999997E-2</v>
          </cell>
          <cell r="Z89">
            <v>23.331900000000001</v>
          </cell>
          <cell r="AA89">
            <v>23.285500000000003</v>
          </cell>
          <cell r="AB89" t="e">
            <v>#N/A</v>
          </cell>
          <cell r="AC89" t="e">
            <v>#N/A</v>
          </cell>
          <cell r="AD89" t="str">
            <v>0175-08</v>
          </cell>
          <cell r="AE8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90">
          <cell r="A90" t="str">
            <v>176-08</v>
          </cell>
          <cell r="B90">
            <v>4019</v>
          </cell>
          <cell r="C90" t="str">
            <v>DE.1.0.7.0</v>
          </cell>
          <cell r="D90" t="str">
            <v>204:233013</v>
          </cell>
          <cell r="E90">
            <v>42590.577256944445</v>
          </cell>
          <cell r="F90">
            <v>42590.578263888892</v>
          </cell>
          <cell r="G90">
            <v>1</v>
          </cell>
          <cell r="H90" t="str">
            <v>204:167</v>
          </cell>
          <cell r="I90">
            <v>42590.608472222222</v>
          </cell>
          <cell r="J90">
            <v>0</v>
          </cell>
          <cell r="K90" t="str">
            <v>4019/4020</v>
          </cell>
          <cell r="L90" t="str">
            <v>BARTLETT</v>
          </cell>
          <cell r="M90">
            <v>3.0208333329937886E-2</v>
          </cell>
          <cell r="N90">
            <v>43.499999995110556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https://search-rtdc-monitor-bjffxe2xuh6vdkpspy63sjmuny.us-east-1.es.amazonaws.com/_plugin/kibana/#/discover/Steve-Slow-Train-Analysis-(2080s-and-2083s)?_g=(refreshInterval:(display:Off,section:0,value:0),time:(from:'2016-08-08 12:51:15-0600',mode:absolute,to:'2016-08-08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0" t="str">
            <v>N</v>
          </cell>
          <cell r="X90">
            <v>1</v>
          </cell>
          <cell r="Y90">
            <v>23.301300000000001</v>
          </cell>
          <cell r="Z90">
            <v>1.67E-2</v>
          </cell>
          <cell r="AA90">
            <v>23.284600000000001</v>
          </cell>
          <cell r="AB90" t="e">
            <v>#N/A</v>
          </cell>
          <cell r="AC90" t="e">
            <v>#N/A</v>
          </cell>
          <cell r="AD90" t="str">
            <v>0176-08</v>
          </cell>
          <cell r="AE9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91">
          <cell r="A91" t="str">
            <v>177-08</v>
          </cell>
          <cell r="B91">
            <v>4027</v>
          </cell>
          <cell r="C91" t="str">
            <v>DE.1.0.7.0</v>
          </cell>
          <cell r="D91" t="str">
            <v>204:480</v>
          </cell>
          <cell r="E91">
            <v>42590.550266203703</v>
          </cell>
          <cell r="F91">
            <v>42590.550937499997</v>
          </cell>
          <cell r="G91">
            <v>0</v>
          </cell>
          <cell r="H91" t="str">
            <v>204:233280</v>
          </cell>
          <cell r="I91">
            <v>42590.577430555553</v>
          </cell>
          <cell r="J91">
            <v>1</v>
          </cell>
          <cell r="K91" t="str">
            <v>4027/4028</v>
          </cell>
          <cell r="L91" t="str">
            <v>STORY</v>
          </cell>
          <cell r="M91">
            <v>2.6493055556784384E-2</v>
          </cell>
          <cell r="N91">
            <v>38.150000001769513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4.8000000000000001E-2</v>
          </cell>
          <cell r="Z91">
            <v>23.327999999999999</v>
          </cell>
          <cell r="AA91">
            <v>23.28</v>
          </cell>
          <cell r="AB91" t="e">
            <v>#N/A</v>
          </cell>
          <cell r="AC91" t="e">
            <v>#N/A</v>
          </cell>
          <cell r="AD91" t="str">
            <v>0177-08</v>
          </cell>
          <cell r="AE9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92">
          <cell r="A92" t="str">
            <v>178-08</v>
          </cell>
          <cell r="B92">
            <v>4028</v>
          </cell>
          <cell r="C92" t="str">
            <v>DE.1.0.7.0</v>
          </cell>
          <cell r="D92" t="str">
            <v>204:233000</v>
          </cell>
          <cell r="E92">
            <v>42590.586921296293</v>
          </cell>
          <cell r="F92">
            <v>42590.587847222225</v>
          </cell>
          <cell r="G92">
            <v>1</v>
          </cell>
          <cell r="H92" t="str">
            <v>204:127</v>
          </cell>
          <cell r="I92">
            <v>42590.618634259263</v>
          </cell>
          <cell r="J92">
            <v>1</v>
          </cell>
          <cell r="K92" t="str">
            <v>4027/4028</v>
          </cell>
          <cell r="L92" t="str">
            <v>STORY</v>
          </cell>
          <cell r="M92">
            <v>3.0787037037953269E-2</v>
          </cell>
          <cell r="N92">
            <v>44.333333334652707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23.3</v>
          </cell>
          <cell r="Z92">
            <v>1.2699999999999999E-2</v>
          </cell>
          <cell r="AA92">
            <v>23.287300000000002</v>
          </cell>
          <cell r="AB92" t="e">
            <v>#N/A</v>
          </cell>
          <cell r="AC92" t="e">
            <v>#N/A</v>
          </cell>
          <cell r="AD92" t="str">
            <v>0178-08</v>
          </cell>
          <cell r="AE9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93">
          <cell r="A93" t="str">
            <v>179-08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42590.559606481482</v>
          </cell>
          <cell r="F93">
            <v>42590.560543981483</v>
          </cell>
          <cell r="G93">
            <v>1</v>
          </cell>
          <cell r="H93" t="str">
            <v>204:233276</v>
          </cell>
          <cell r="I93">
            <v>42590.588078703702</v>
          </cell>
          <cell r="J93">
            <v>0</v>
          </cell>
          <cell r="K93" t="str">
            <v>4037/4038</v>
          </cell>
          <cell r="L93" t="str">
            <v>SWANSON</v>
          </cell>
          <cell r="M93">
            <v>2.753472221957054E-2</v>
          </cell>
          <cell r="N93">
            <v>39.649999996181577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https://search-rtdc-monitor-bjffxe2xuh6vdkpspy63sjmuny.us-east-1.es.amazonaws.com/_plugin/kibana/#/discover/Steve-Slow-Train-Analysis-(2080s-and-2083s)?_g=(refreshInterval:(display:Off,section:0,value:0),time:(from:'2016-08-08 12:25:50-0600',mode:absolute,to:'2016-08-08 15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23.3276</v>
          </cell>
          <cell r="AA93">
            <v>23.2819</v>
          </cell>
          <cell r="AB93" t="e">
            <v>#N/A</v>
          </cell>
          <cell r="AC93" t="e">
            <v>#N/A</v>
          </cell>
          <cell r="AD93" t="str">
            <v>0179-08</v>
          </cell>
          <cell r="AE93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94">
          <cell r="A94" t="str">
            <v>180-08</v>
          </cell>
          <cell r="B94">
            <v>4037</v>
          </cell>
          <cell r="C94" t="str">
            <v>DE.1.0.7.0</v>
          </cell>
          <cell r="D94" t="str">
            <v>204:232968</v>
          </cell>
          <cell r="E94">
            <v>42590.589467592596</v>
          </cell>
          <cell r="F94">
            <v>42590.590439814812</v>
          </cell>
          <cell r="G94">
            <v>1</v>
          </cell>
          <cell r="H94" t="str">
            <v>204:152</v>
          </cell>
          <cell r="I94">
            <v>42590.63076388889</v>
          </cell>
          <cell r="J94">
            <v>0</v>
          </cell>
          <cell r="K94" t="str">
            <v>4037/4038</v>
          </cell>
          <cell r="L94" t="str">
            <v>SWANSON</v>
          </cell>
          <cell r="M94">
            <v>4.0324074077943806E-2</v>
          </cell>
          <cell r="N94">
            <v>58.06666667223908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https://search-rtdc-monitor-bjffxe2xuh6vdkpspy63sjmuny.us-east-1.es.amazonaws.com/_plugin/kibana/#/discover/Steve-Slow-Train-Analysis-(2080s-and-2083s)?_g=(refreshInterval:(display:Off,section:0,value:0),time:(from:'2016-08-08 13:08:50-0600',mode:absolute,to:'2016-08-08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23.296800000000001</v>
          </cell>
          <cell r="Z94">
            <v>1.52E-2</v>
          </cell>
          <cell r="AA94">
            <v>23.281600000000001</v>
          </cell>
          <cell r="AB94" t="e">
            <v>#N/A</v>
          </cell>
          <cell r="AC94" t="e">
            <v>#N/A</v>
          </cell>
          <cell r="AD94" t="str">
            <v>0180-08</v>
          </cell>
          <cell r="AE94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95">
          <cell r="A95" t="str">
            <v>181-08</v>
          </cell>
          <cell r="B95">
            <v>4029</v>
          </cell>
          <cell r="C95" t="str">
            <v>DE.1.0.7.0</v>
          </cell>
          <cell r="D95" t="str">
            <v>204:520</v>
          </cell>
          <cell r="E95">
            <v>42590.571712962963</v>
          </cell>
          <cell r="F95">
            <v>42590.572685185187</v>
          </cell>
          <cell r="G95">
            <v>1</v>
          </cell>
          <cell r="H95" t="str">
            <v>204:233299</v>
          </cell>
          <cell r="I95">
            <v>42590.599236111113</v>
          </cell>
          <cell r="J95">
            <v>0</v>
          </cell>
          <cell r="K95" t="str">
            <v>4029/4030</v>
          </cell>
          <cell r="L95" t="str">
            <v>YOUNG</v>
          </cell>
          <cell r="M95">
            <v>2.6550925926130731E-2</v>
          </cell>
          <cell r="N95">
            <v>38.233333333628252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https://search-rtdc-monitor-bjffxe2xuh6vdkpspy63sjmuny.us-east-1.es.amazonaws.com/_plugin/kibana/#/discover/Steve-Slow-Train-Analysis-(2080s-and-2083s)?_g=(refreshInterval:(display:Off,section:0,value:0),time:(from:'2016-08-08 12:43:16-0600',mode:absolute,to:'2016-08-08 15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5" t="str">
            <v>N</v>
          </cell>
          <cell r="X95">
            <v>1</v>
          </cell>
          <cell r="Y95">
            <v>5.1999999999999998E-2</v>
          </cell>
          <cell r="Z95">
            <v>23.329899999999999</v>
          </cell>
          <cell r="AA95">
            <v>23.277899999999999</v>
          </cell>
          <cell r="AB95" t="e">
            <v>#N/A</v>
          </cell>
          <cell r="AC95" t="e">
            <v>#N/A</v>
          </cell>
          <cell r="AD95" t="str">
            <v>0181-08</v>
          </cell>
          <cell r="AE9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96">
          <cell r="A96" t="str">
            <v>182-08</v>
          </cell>
          <cell r="B96">
            <v>4030</v>
          </cell>
          <cell r="C96" t="str">
            <v>DE.1.0.7.0</v>
          </cell>
          <cell r="D96" t="str">
            <v>204:232994</v>
          </cell>
          <cell r="E96">
            <v>42590.602766203701</v>
          </cell>
          <cell r="F96">
            <v>42590.60429398148</v>
          </cell>
          <cell r="G96">
            <v>2</v>
          </cell>
          <cell r="H96" t="str">
            <v>204:163</v>
          </cell>
          <cell r="I96">
            <v>42590.641215277778</v>
          </cell>
          <cell r="J96">
            <v>0</v>
          </cell>
          <cell r="K96" t="str">
            <v>4029/4030</v>
          </cell>
          <cell r="L96" t="str">
            <v>YOUNG</v>
          </cell>
          <cell r="M96">
            <v>3.6921296297805384E-2</v>
          </cell>
          <cell r="N96">
            <v>53.166666668839753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https://search-rtdc-monitor-bjffxe2xuh6vdkpspy63sjmuny.us-east-1.es.amazonaws.com/_plugin/kibana/#/discover/Steve-Slow-Train-Analysis-(2080s-and-2083s)?_g=(refreshInterval:(display:Off,section:0,value:0),time:(from:'2016-08-08 13:27:59-0600',mode:absolute,to:'2016-08-08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6" t="str">
            <v>N</v>
          </cell>
          <cell r="X96">
            <v>1</v>
          </cell>
          <cell r="Y96">
            <v>23.299399999999999</v>
          </cell>
          <cell r="Z96">
            <v>1.6299999999999999E-2</v>
          </cell>
          <cell r="AA96">
            <v>23.283099999999997</v>
          </cell>
          <cell r="AB96" t="e">
            <v>#N/A</v>
          </cell>
          <cell r="AC96" t="e">
            <v>#N/A</v>
          </cell>
          <cell r="AD96" t="str">
            <v>0182-08</v>
          </cell>
          <cell r="AE9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97">
          <cell r="A97" t="str">
            <v>183-08</v>
          </cell>
          <cell r="B97">
            <v>4011</v>
          </cell>
          <cell r="C97" t="str">
            <v>DE.1.0.7.0</v>
          </cell>
          <cell r="D97" t="str">
            <v>204:440</v>
          </cell>
          <cell r="E97">
            <v>42590.580590277779</v>
          </cell>
          <cell r="F97">
            <v>42590.581747685188</v>
          </cell>
          <cell r="G97">
            <v>1</v>
          </cell>
          <cell r="H97" t="str">
            <v>204:233291</v>
          </cell>
          <cell r="I97">
            <v>42590.611712962964</v>
          </cell>
          <cell r="J97">
            <v>0</v>
          </cell>
          <cell r="K97" t="str">
            <v>4011/4012</v>
          </cell>
          <cell r="L97" t="str">
            <v>HELVIE</v>
          </cell>
          <cell r="M97">
            <v>2.9965277775772847E-2</v>
          </cell>
          <cell r="N97">
            <v>43.1499999971129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https://search-rtdc-monitor-bjffxe2xuh6vdkpspy63sjmuny.us-east-1.es.amazonaws.com/_plugin/kibana/#/discover/Steve-Slow-Train-Analysis-(2080s-and-2083s)?_g=(refreshInterval:(display:Off,section:0,value:0),time:(from:'2016-08-08 12:56:03-0600',mode:absolute,to:'2016-08-08 15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7" t="str">
            <v>N</v>
          </cell>
          <cell r="X97">
            <v>1</v>
          </cell>
          <cell r="Y97">
            <v>4.3999999999999997E-2</v>
          </cell>
          <cell r="Z97">
            <v>23.3291</v>
          </cell>
          <cell r="AA97">
            <v>23.2851</v>
          </cell>
          <cell r="AB97" t="e">
            <v>#N/A</v>
          </cell>
          <cell r="AC97" t="e">
            <v>#N/A</v>
          </cell>
          <cell r="AD97" t="str">
            <v>0183-08</v>
          </cell>
          <cell r="AE97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98">
          <cell r="A98" t="str">
            <v>184-08</v>
          </cell>
          <cell r="B98">
            <v>4012</v>
          </cell>
          <cell r="C98" t="str">
            <v>DE.1.0.7.0</v>
          </cell>
          <cell r="D98" t="str">
            <v>204:233004</v>
          </cell>
          <cell r="E98">
            <v>42590.619328703702</v>
          </cell>
          <cell r="F98">
            <v>42590.620370370372</v>
          </cell>
          <cell r="G98">
            <v>1</v>
          </cell>
          <cell r="H98" t="str">
            <v>204:178</v>
          </cell>
          <cell r="I98">
            <v>42590.653460648151</v>
          </cell>
          <cell r="J98">
            <v>1</v>
          </cell>
          <cell r="K98" t="str">
            <v>4011/4012</v>
          </cell>
          <cell r="L98" t="str">
            <v>HELVIE</v>
          </cell>
          <cell r="M98">
            <v>3.309027777868323E-2</v>
          </cell>
          <cell r="N98">
            <v>47.650000001303852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8" t="str">
            <v>N</v>
          </cell>
          <cell r="X98">
            <v>1</v>
          </cell>
          <cell r="Y98">
            <v>23.3004</v>
          </cell>
          <cell r="Z98">
            <v>1.78E-2</v>
          </cell>
          <cell r="AA98">
            <v>23.282599999999999</v>
          </cell>
          <cell r="AB98" t="e">
            <v>#N/A</v>
          </cell>
          <cell r="AC98" t="e">
            <v>#N/A</v>
          </cell>
          <cell r="AD98" t="str">
            <v>0184-08</v>
          </cell>
          <cell r="AE98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99">
          <cell r="A99" t="str">
            <v>185-08</v>
          </cell>
          <cell r="B99">
            <v>4007</v>
          </cell>
          <cell r="C99" t="str">
            <v>DE.1.0.7.0</v>
          </cell>
          <cell r="D99" t="str">
            <v>204:447</v>
          </cell>
          <cell r="E99">
            <v>42590.58798611111</v>
          </cell>
          <cell r="F99">
            <v>42590.589131944442</v>
          </cell>
          <cell r="G99">
            <v>1</v>
          </cell>
          <cell r="H99" t="str">
            <v>204:233408</v>
          </cell>
          <cell r="I99">
            <v>42590.618993055556</v>
          </cell>
          <cell r="J99">
            <v>0</v>
          </cell>
          <cell r="K99" t="str">
            <v>4007/4008</v>
          </cell>
          <cell r="L99" t="str">
            <v>SHOOK</v>
          </cell>
          <cell r="M99">
            <v>2.9861111113859806E-2</v>
          </cell>
          <cell r="N99">
            <v>43.000000003958121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https://search-rtdc-monitor-bjffxe2xuh6vdkpspy63sjmuny.us-east-1.es.amazonaws.com/_plugin/kibana/#/discover/Steve-Slow-Train-Analysis-(2080s-and-2083s)?_g=(refreshInterval:(display:Off,section:0,value:0),time:(from:'2016-08-08 13:06:42-0600',mode:absolute,to:'2016-08-08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9" t="str">
            <v>N</v>
          </cell>
          <cell r="X99">
            <v>1</v>
          </cell>
          <cell r="Y99">
            <v>4.4699999999999997E-2</v>
          </cell>
          <cell r="Z99">
            <v>23.340800000000002</v>
          </cell>
          <cell r="AA99">
            <v>23.296100000000003</v>
          </cell>
          <cell r="AB99" t="e">
            <v>#N/A</v>
          </cell>
          <cell r="AC99" t="e">
            <v>#N/A</v>
          </cell>
          <cell r="AD99" t="str">
            <v>0185-08</v>
          </cell>
          <cell r="AE99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00">
          <cell r="A100" t="str">
            <v>186-08</v>
          </cell>
          <cell r="B100">
            <v>4008</v>
          </cell>
          <cell r="C100" t="str">
            <v>DE.1.0.7.0</v>
          </cell>
          <cell r="D100" t="str">
            <v>204:233053</v>
          </cell>
          <cell r="E100">
            <v>42590.627025462964</v>
          </cell>
          <cell r="F100">
            <v>42590.628125000003</v>
          </cell>
          <cell r="G100">
            <v>1</v>
          </cell>
          <cell r="H100" t="str">
            <v>204:125</v>
          </cell>
          <cell r="I100">
            <v>42590.663055555553</v>
          </cell>
          <cell r="J100">
            <v>0</v>
          </cell>
          <cell r="K100" t="str">
            <v>4007/4008</v>
          </cell>
          <cell r="L100" t="str">
            <v>SHOOK</v>
          </cell>
          <cell r="M100">
            <v>3.4930555550090503E-2</v>
          </cell>
          <cell r="N100">
            <v>50.299999992130324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https://search-rtdc-monitor-bjffxe2xuh6vdkpspy63sjmuny.us-east-1.es.amazonaws.com/_plugin/kibana/#/discover/Steve-Slow-Train-Analysis-(2080s-and-2083s)?_g=(refreshInterval:(display:Off,section:0,value:0),time:(from:'2016-08-08 14:02:55-0600',mode:absolute,to:'2016-08-08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0" t="str">
            <v>N</v>
          </cell>
          <cell r="X100">
            <v>1</v>
          </cell>
          <cell r="Y100">
            <v>23.305299999999999</v>
          </cell>
          <cell r="Z100">
            <v>1.2500000000000001E-2</v>
          </cell>
          <cell r="AA100">
            <v>23.2928</v>
          </cell>
          <cell r="AB100" t="e">
            <v>#N/A</v>
          </cell>
          <cell r="AC100" t="e">
            <v>#N/A</v>
          </cell>
          <cell r="AD100" t="str">
            <v>0186-08</v>
          </cell>
          <cell r="AE100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01">
          <cell r="A101" t="str">
            <v>187-08</v>
          </cell>
          <cell r="B101">
            <v>4014</v>
          </cell>
          <cell r="C101" t="str">
            <v>DE.1.0.7.0</v>
          </cell>
          <cell r="D101" t="str">
            <v>204:469</v>
          </cell>
          <cell r="E101">
            <v>42590.601817129631</v>
          </cell>
          <cell r="F101">
            <v>42590.602789351855</v>
          </cell>
          <cell r="G101">
            <v>1</v>
          </cell>
          <cell r="H101" t="str">
            <v>204:233321</v>
          </cell>
          <cell r="I101">
            <v>42590.63175925926</v>
          </cell>
          <cell r="J101">
            <v>1</v>
          </cell>
          <cell r="K101" t="str">
            <v>4013/4014</v>
          </cell>
          <cell r="L101" t="str">
            <v>STEWART</v>
          </cell>
          <cell r="M101">
            <v>2.8969907405553386E-2</v>
          </cell>
          <cell r="N101">
            <v>41.716666663996875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1" t="str">
            <v>N</v>
          </cell>
          <cell r="X101">
            <v>1</v>
          </cell>
          <cell r="Y101">
            <v>4.6899999999999997E-2</v>
          </cell>
          <cell r="Z101">
            <v>23.332100000000001</v>
          </cell>
          <cell r="AA101">
            <v>23.2852</v>
          </cell>
          <cell r="AB101" t="e">
            <v>#N/A</v>
          </cell>
          <cell r="AC101" t="e">
            <v>#N/A</v>
          </cell>
          <cell r="AD101" t="str">
            <v>0187-08</v>
          </cell>
          <cell r="AE101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02">
          <cell r="A102" t="str">
            <v>188-08</v>
          </cell>
          <cell r="B102">
            <v>4013</v>
          </cell>
          <cell r="C102" t="str">
            <v>DE.1.0.7.0</v>
          </cell>
          <cell r="D102" t="str">
            <v>204:232977</v>
          </cell>
          <cell r="E102">
            <v>42590.639537037037</v>
          </cell>
          <cell r="F102">
            <v>42590.640393518515</v>
          </cell>
          <cell r="G102">
            <v>1</v>
          </cell>
          <cell r="H102" t="str">
            <v>204:180</v>
          </cell>
          <cell r="I102">
            <v>42590.673564814817</v>
          </cell>
          <cell r="J102">
            <v>1</v>
          </cell>
          <cell r="K102" t="str">
            <v>4013/4014</v>
          </cell>
          <cell r="L102" t="str">
            <v>STEWART</v>
          </cell>
          <cell r="M102">
            <v>3.3171296301588882E-2</v>
          </cell>
          <cell r="N102">
            <v>47.76666667428799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1.7999999999999999E-2</v>
          </cell>
          <cell r="AA102">
            <v>23.279699999999998</v>
          </cell>
          <cell r="AB102" t="e">
            <v>#N/A</v>
          </cell>
          <cell r="AC102" t="e">
            <v>#N/A</v>
          </cell>
          <cell r="AD102" t="str">
            <v>0188-08</v>
          </cell>
          <cell r="AE10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03">
          <cell r="A103" t="str">
            <v>189-08</v>
          </cell>
          <cell r="B103">
            <v>4020</v>
          </cell>
          <cell r="C103" t="str">
            <v>DE.1.0.7.0</v>
          </cell>
          <cell r="D103" t="str">
            <v>204:447</v>
          </cell>
          <cell r="E103">
            <v>42590.610115740739</v>
          </cell>
          <cell r="F103">
            <v>42590.61109953704</v>
          </cell>
          <cell r="G103">
            <v>1</v>
          </cell>
          <cell r="H103" t="str">
            <v>204:233303</v>
          </cell>
          <cell r="I103">
            <v>42590.641030092593</v>
          </cell>
          <cell r="J103">
            <v>0</v>
          </cell>
          <cell r="K103" t="str">
            <v>4019/4020</v>
          </cell>
          <cell r="L103" t="str">
            <v>BARTLETT</v>
          </cell>
          <cell r="M103">
            <v>2.9930555552709848E-2</v>
          </cell>
          <cell r="N103">
            <v>43.099999995902181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https://search-rtdc-monitor-bjffxe2xuh6vdkpspy63sjmuny.us-east-1.es.amazonaws.com/_plugin/kibana/#/discover/Steve-Slow-Train-Analysis-(2080s-and-2083s)?_g=(refreshInterval:(display:Off,section:0,value:0),time:(from:'2016-08-08 13:38:34-0600',mode:absolute,to:'2016-08-08 16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3" t="str">
            <v>N</v>
          </cell>
          <cell r="X103">
            <v>1</v>
          </cell>
          <cell r="Y103">
            <v>4.4699999999999997E-2</v>
          </cell>
          <cell r="Z103">
            <v>23.330300000000001</v>
          </cell>
          <cell r="AA103">
            <v>23.285600000000002</v>
          </cell>
          <cell r="AB103" t="e">
            <v>#N/A</v>
          </cell>
          <cell r="AC103" t="e">
            <v>#N/A</v>
          </cell>
          <cell r="AD103" t="str">
            <v>0189-08</v>
          </cell>
          <cell r="AE10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04">
          <cell r="A104" t="str">
            <v>190-08</v>
          </cell>
          <cell r="B104">
            <v>4019</v>
          </cell>
          <cell r="C104" t="str">
            <v>DE.1.0.7.0</v>
          </cell>
          <cell r="D104" t="str">
            <v>204:232971</v>
          </cell>
          <cell r="E104">
            <v>42590.642916666664</v>
          </cell>
          <cell r="F104">
            <v>42590.643634259257</v>
          </cell>
          <cell r="G104">
            <v>1</v>
          </cell>
          <cell r="H104" t="str">
            <v>204:136</v>
          </cell>
          <cell r="I104">
            <v>42590.684004629627</v>
          </cell>
          <cell r="J104">
            <v>0</v>
          </cell>
          <cell r="K104" t="str">
            <v>4019/4020</v>
          </cell>
          <cell r="L104" t="str">
            <v>BARTLETT</v>
          </cell>
          <cell r="M104">
            <v>4.03703703705105E-2</v>
          </cell>
          <cell r="N104">
            <v>58.13333333353512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https://search-rtdc-monitor-bjffxe2xuh6vdkpspy63sjmuny.us-east-1.es.amazonaws.com/_plugin/kibana/#/discover/Steve-Slow-Train-Analysis-(2080s-and-2083s)?_g=(refreshInterval:(display:Off,section:0,value:0),time:(from:'2016-08-08 14:25:48-0600',mode:absolute,to:'2016-08-08 17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4" t="str">
            <v>N</v>
          </cell>
          <cell r="X104">
            <v>1</v>
          </cell>
          <cell r="Y104">
            <v>23.2971</v>
          </cell>
          <cell r="Z104">
            <v>1.3599999999999999E-2</v>
          </cell>
          <cell r="AA104">
            <v>23.2835</v>
          </cell>
          <cell r="AB104" t="e">
            <v>#N/A</v>
          </cell>
          <cell r="AC104" t="e">
            <v>#N/A</v>
          </cell>
          <cell r="AD104" t="str">
            <v>0190-08</v>
          </cell>
          <cell r="AE10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05">
          <cell r="A105" t="str">
            <v>191-08</v>
          </cell>
          <cell r="B105">
            <v>4027</v>
          </cell>
          <cell r="C105" t="str">
            <v>DE.1.0.7.0</v>
          </cell>
          <cell r="D105" t="str">
            <v>204:435</v>
          </cell>
          <cell r="E105">
            <v>42590.62027777778</v>
          </cell>
          <cell r="F105">
            <v>42590.621261574073</v>
          </cell>
          <cell r="G105">
            <v>1</v>
          </cell>
          <cell r="H105" t="str">
            <v>204:233363</v>
          </cell>
          <cell r="I105">
            <v>42590.650358796294</v>
          </cell>
          <cell r="J105">
            <v>0</v>
          </cell>
          <cell r="K105" t="str">
            <v>4027/4028</v>
          </cell>
          <cell r="L105" t="str">
            <v>STORY</v>
          </cell>
          <cell r="M105">
            <v>2.9097222221025731E-2</v>
          </cell>
          <cell r="N105">
            <v>41.899999998277053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https://search-rtdc-monitor-bjffxe2xuh6vdkpspy63sjmuny.us-east-1.es.amazonaws.com/_plugin/kibana/#/discover/Steve-Slow-Train-Analysis-(2080s-and-2083s)?_g=(refreshInterval:(display:Off,section:0,value:0),time:(from:'2016-08-08 13:53:12-0600',mode:absolute,to:'2016-08-08 16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4.3499999999999997E-2</v>
          </cell>
          <cell r="Z105">
            <v>23.336300000000001</v>
          </cell>
          <cell r="AA105">
            <v>23.2928</v>
          </cell>
          <cell r="AB105" t="e">
            <v>#N/A</v>
          </cell>
          <cell r="AC105" t="e">
            <v>#N/A</v>
          </cell>
          <cell r="AD105" t="str">
            <v>0191-08</v>
          </cell>
          <cell r="AE10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06">
          <cell r="A106" t="str">
            <v>192-08</v>
          </cell>
          <cell r="B106">
            <v>4028</v>
          </cell>
          <cell r="C106" t="str">
            <v>DE.1.0.7.0</v>
          </cell>
          <cell r="D106" t="str">
            <v>204:233060</v>
          </cell>
          <cell r="E106">
            <v>42590.659699074073</v>
          </cell>
          <cell r="F106">
            <v>42590.66064814815</v>
          </cell>
          <cell r="G106">
            <v>1</v>
          </cell>
          <cell r="H106" t="str">
            <v>204:127</v>
          </cell>
          <cell r="I106">
            <v>42590.697245370371</v>
          </cell>
          <cell r="J106">
            <v>0</v>
          </cell>
          <cell r="K106" t="str">
            <v>4027/4028</v>
          </cell>
          <cell r="L106" t="str">
            <v>STORY</v>
          </cell>
          <cell r="M106">
            <v>3.6597222220734693E-2</v>
          </cell>
          <cell r="N106">
            <v>52.699999997857958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https://search-rtdc-monitor-bjffxe2xuh6vdkpspy63sjmuny.us-east-1.es.amazonaws.com/_plugin/kibana/#/discover/Steve-Slow-Train-Analysis-(2080s-and-2083s)?_g=(refreshInterval:(display:Off,section:0,value:0),time:(from:'2016-08-08 14:49:58-0600',mode:absolute,to:'2016-08-08 17:44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23.306000000000001</v>
          </cell>
          <cell r="Z106">
            <v>1.2699999999999999E-2</v>
          </cell>
          <cell r="AA106">
            <v>23.293300000000002</v>
          </cell>
          <cell r="AB106" t="e">
            <v>#N/A</v>
          </cell>
          <cell r="AC106" t="e">
            <v>#N/A</v>
          </cell>
          <cell r="AD106" t="str">
            <v>0192-08</v>
          </cell>
          <cell r="AE10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07">
          <cell r="A107" t="str">
            <v>193-08</v>
          </cell>
          <cell r="B107">
            <v>4038</v>
          </cell>
          <cell r="C107" t="str">
            <v>DE.1.0.7.0</v>
          </cell>
          <cell r="D107" t="str">
            <v>204:469</v>
          </cell>
          <cell r="E107">
            <v>42590.633321759262</v>
          </cell>
          <cell r="F107">
            <v>42590.634351851855</v>
          </cell>
          <cell r="G107">
            <v>1</v>
          </cell>
          <cell r="H107" t="str">
            <v>204:233270</v>
          </cell>
          <cell r="I107">
            <v>42590.661597222221</v>
          </cell>
          <cell r="J107">
            <v>0</v>
          </cell>
          <cell r="K107" t="str">
            <v>4037/4038</v>
          </cell>
          <cell r="L107" t="str">
            <v>SWANSON</v>
          </cell>
          <cell r="M107">
            <v>2.7245370365562849E-2</v>
          </cell>
          <cell r="N107">
            <v>39.233333326410502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https://search-rtdc-monitor-bjffxe2xuh6vdkpspy63sjmuny.us-east-1.es.amazonaws.com/_plugin/kibana/#/discover/Steve-Slow-Train-Analysis-(2080s-and-2083s)?_g=(refreshInterval:(display:Off,section:0,value:0),time:(from:'2016-08-08 14:11:59-0600',mode:absolute,to:'2016-08-08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4.6899999999999997E-2</v>
          </cell>
          <cell r="Z107">
            <v>23.327000000000002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0193-08</v>
          </cell>
          <cell r="AE10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08">
          <cell r="A108" t="str">
            <v>194-08</v>
          </cell>
          <cell r="B108">
            <v>4037</v>
          </cell>
          <cell r="C108" t="str">
            <v>DE.1.0.7.0</v>
          </cell>
          <cell r="D108" t="str">
            <v>204:232963</v>
          </cell>
          <cell r="E108">
            <v>42590.664571759262</v>
          </cell>
          <cell r="F108">
            <v>42590.665578703702</v>
          </cell>
          <cell r="G108">
            <v>1</v>
          </cell>
          <cell r="H108" t="str">
            <v>204:141</v>
          </cell>
          <cell r="I108">
            <v>42590.707627314812</v>
          </cell>
          <cell r="J108">
            <v>0</v>
          </cell>
          <cell r="K108" t="str">
            <v>4037/4038</v>
          </cell>
          <cell r="L108" t="str">
            <v>SWANSON</v>
          </cell>
          <cell r="M108">
            <v>4.2048611110658385E-2</v>
          </cell>
          <cell r="N108">
            <v>60.549999999348074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https://search-rtdc-monitor-bjffxe2xuh6vdkpspy63sjmuny.us-east-1.es.amazonaws.com/_plugin/kibana/#/discover/Steve-Slow-Train-Analysis-(2080s-and-2083s)?_g=(refreshInterval:(display:Off,section:0,value:0),time:(from:'2016-08-08 14:56:59-0600',mode:absolute,to:'2016-08-08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1.41E-2</v>
          </cell>
          <cell r="AA108">
            <v>23.2822</v>
          </cell>
          <cell r="AB108" t="e">
            <v>#N/A</v>
          </cell>
          <cell r="AC108" t="e">
            <v>#N/A</v>
          </cell>
          <cell r="AD108" t="str">
            <v>0194-08</v>
          </cell>
          <cell r="AE10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09">
          <cell r="A109" t="str">
            <v>195-08</v>
          </cell>
          <cell r="B109">
            <v>4029</v>
          </cell>
          <cell r="C109" t="str">
            <v>DE.1.0.7.0</v>
          </cell>
          <cell r="D109" t="str">
            <v>204:488</v>
          </cell>
          <cell r="E109">
            <v>42590.643171296295</v>
          </cell>
          <cell r="F109">
            <v>42590.644201388888</v>
          </cell>
          <cell r="G109">
            <v>1</v>
          </cell>
          <cell r="H109" t="str">
            <v>204:233325</v>
          </cell>
          <cell r="I109">
            <v>42590.674571759257</v>
          </cell>
          <cell r="J109">
            <v>0</v>
          </cell>
          <cell r="K109" t="str">
            <v>4029/4030</v>
          </cell>
          <cell r="L109" t="str">
            <v>YOUNG</v>
          </cell>
          <cell r="M109">
            <v>3.0370370368473232E-2</v>
          </cell>
          <cell r="N109">
            <v>43.733333330601454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https://search-rtdc-monitor-bjffxe2xuh6vdkpspy63sjmuny.us-east-1.es.amazonaws.com/_plugin/kibana/#/discover/Steve-Slow-Train-Analysis-(2080s-and-2083s)?_g=(refreshInterval:(display:Off,section:0,value:0),time:(from:'2016-08-08 14:26:10-0600',mode:absolute,to:'2016-08-08 17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9" t="str">
            <v>N</v>
          </cell>
          <cell r="X109">
            <v>1</v>
          </cell>
          <cell r="Y109">
            <v>4.8800000000000003E-2</v>
          </cell>
          <cell r="Z109">
            <v>23.3325</v>
          </cell>
          <cell r="AA109">
            <v>23.2837</v>
          </cell>
          <cell r="AB109" t="e">
            <v>#N/A</v>
          </cell>
          <cell r="AC109" t="e">
            <v>#N/A</v>
          </cell>
          <cell r="AD109" t="str">
            <v>0195-08</v>
          </cell>
          <cell r="AE10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10">
          <cell r="A110" t="str">
            <v>196-08</v>
          </cell>
          <cell r="B110">
            <v>4030</v>
          </cell>
          <cell r="C110" t="str">
            <v>DE.1.0.7.0</v>
          </cell>
          <cell r="D110" t="str">
            <v>204:232996</v>
          </cell>
          <cell r="E110">
            <v>42590.679965277777</v>
          </cell>
          <cell r="F110">
            <v>42590.680798611109</v>
          </cell>
          <cell r="G110">
            <v>1</v>
          </cell>
          <cell r="H110" t="str">
            <v>204:143</v>
          </cell>
          <cell r="I110">
            <v>42590.719976851855</v>
          </cell>
          <cell r="J110">
            <v>0</v>
          </cell>
          <cell r="K110" t="str">
            <v>4029/4030</v>
          </cell>
          <cell r="L110" t="str">
            <v>YOUNG</v>
          </cell>
          <cell r="M110">
            <v>3.9178240745968651E-2</v>
          </cell>
          <cell r="N110">
            <v>56.416666674194857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https://search-rtdc-monitor-bjffxe2xuh6vdkpspy63sjmuny.us-east-1.es.amazonaws.com/_plugin/kibana/#/discover/Steve-Slow-Train-Analysis-(2080s-and-2083s)?_g=(refreshInterval:(display:Off,section:0,value:0),time:(from:'2016-08-08 15:19:09-0600',mode:absolute,to:'2016-08-08 18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0" t="str">
            <v>N</v>
          </cell>
          <cell r="X110">
            <v>1</v>
          </cell>
          <cell r="Y110">
            <v>23.299600000000002</v>
          </cell>
          <cell r="Z110">
            <v>1.43E-2</v>
          </cell>
          <cell r="AA110">
            <v>23.285300000000003</v>
          </cell>
          <cell r="AB110" t="e">
            <v>#N/A</v>
          </cell>
          <cell r="AC110" t="e">
            <v>#N/A</v>
          </cell>
          <cell r="AD110" t="str">
            <v>0196-08</v>
          </cell>
          <cell r="AE11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11">
          <cell r="A111" t="str">
            <v>197-08</v>
          </cell>
          <cell r="B111">
            <v>4011</v>
          </cell>
          <cell r="C111" t="str">
            <v>DE.1.0.7.0</v>
          </cell>
          <cell r="D111" t="str">
            <v>204:482</v>
          </cell>
          <cell r="E111">
            <v>42590.654583333337</v>
          </cell>
          <cell r="F111">
            <v>42590.655578703707</v>
          </cell>
          <cell r="G111">
            <v>1</v>
          </cell>
          <cell r="H111" t="str">
            <v>204:233299</v>
          </cell>
          <cell r="I111">
            <v>42590.683125000003</v>
          </cell>
          <cell r="J111">
            <v>0</v>
          </cell>
          <cell r="K111" t="str">
            <v>4011/4012</v>
          </cell>
          <cell r="L111" t="str">
            <v>HELVIE</v>
          </cell>
          <cell r="M111">
            <v>2.7546296296350192E-2</v>
          </cell>
          <cell r="N111">
            <v>39.666666666744277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https://search-rtdc-monitor-bjffxe2xuh6vdkpspy63sjmuny.us-east-1.es.amazonaws.com/_plugin/kibana/#/discover/Steve-Slow-Train-Analysis-(2080s-and-2083s)?_g=(refreshInterval:(display:Off,section:0,value:0),time:(from:'2016-08-08 14:42:36-0600',mode:absolute,to:'2016-08-08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1" t="str">
            <v>N</v>
          </cell>
          <cell r="X111">
            <v>1</v>
          </cell>
          <cell r="Y111">
            <v>4.82E-2</v>
          </cell>
          <cell r="Z111">
            <v>23.329899999999999</v>
          </cell>
          <cell r="AA111">
            <v>23.281699999999997</v>
          </cell>
          <cell r="AB111" t="e">
            <v>#N/A</v>
          </cell>
          <cell r="AC111" t="e">
            <v>#N/A</v>
          </cell>
          <cell r="AD111" t="str">
            <v>0197-08</v>
          </cell>
          <cell r="AE11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12">
          <cell r="A112" t="str">
            <v>198-08</v>
          </cell>
          <cell r="B112">
            <v>4012</v>
          </cell>
          <cell r="C112" t="str">
            <v>DE.1.0.7.0</v>
          </cell>
          <cell r="D112" t="str">
            <v>204:232971</v>
          </cell>
          <cell r="E112">
            <v>42590.691817129627</v>
          </cell>
          <cell r="F112">
            <v>42590.692719907405</v>
          </cell>
          <cell r="G112">
            <v>1</v>
          </cell>
          <cell r="H112" t="str">
            <v>204:174</v>
          </cell>
          <cell r="I112">
            <v>42590.72824074074</v>
          </cell>
          <cell r="J112">
            <v>1</v>
          </cell>
          <cell r="K112" t="str">
            <v>4011/4012</v>
          </cell>
          <cell r="L112" t="str">
            <v>HELVIE</v>
          </cell>
          <cell r="M112">
            <v>3.5520833334885538E-2</v>
          </cell>
          <cell r="N112">
            <v>51.150000002235174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1.7399999999999999E-2</v>
          </cell>
          <cell r="AA112">
            <v>23.279700000000002</v>
          </cell>
          <cell r="AB112" t="e">
            <v>#N/A</v>
          </cell>
          <cell r="AC112" t="e">
            <v>#N/A</v>
          </cell>
          <cell r="AD112" t="str">
            <v>0198-08</v>
          </cell>
          <cell r="AE11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13">
          <cell r="A113" t="str">
            <v>199-08</v>
          </cell>
          <cell r="B113">
            <v>4007</v>
          </cell>
          <cell r="C113" t="str">
            <v>DE.1.0.7.0</v>
          </cell>
          <cell r="D113" t="str">
            <v>204:444</v>
          </cell>
          <cell r="E113">
            <v>42590.664097222223</v>
          </cell>
          <cell r="F113">
            <v>42590.665439814817</v>
          </cell>
          <cell r="G113">
            <v>1</v>
          </cell>
          <cell r="H113" t="str">
            <v>204:233363</v>
          </cell>
          <cell r="I113">
            <v>42590.692997685182</v>
          </cell>
          <cell r="J113">
            <v>0</v>
          </cell>
          <cell r="K113" t="str">
            <v>4007/4008</v>
          </cell>
          <cell r="L113" t="str">
            <v>SHOOK</v>
          </cell>
          <cell r="M113">
            <v>2.7557870365853887E-2</v>
          </cell>
          <cell r="N113">
            <v>39.683333326829597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https://search-rtdc-monitor-bjffxe2xuh6vdkpspy63sjmuny.us-east-1.es.amazonaws.com/_plugin/kibana/#/discover/Steve-Slow-Train-Analysis-(2080s-and-2083s)?_g=(refreshInterval:(display:Off,section:0,value:0),time:(from:'2016-08-08 14:56:18-0600',mode:absolute,to:'2016-08-08 17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3" t="str">
            <v>N</v>
          </cell>
          <cell r="X113">
            <v>1</v>
          </cell>
          <cell r="Y113">
            <v>4.4400000000000002E-2</v>
          </cell>
          <cell r="Z113">
            <v>23.336300000000001</v>
          </cell>
          <cell r="AA113">
            <v>23.291900000000002</v>
          </cell>
          <cell r="AB113" t="e">
            <v>#N/A</v>
          </cell>
          <cell r="AC113" t="e">
            <v>#N/A</v>
          </cell>
          <cell r="AD113" t="str">
            <v>0199-08</v>
          </cell>
          <cell r="AE11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14">
          <cell r="A114" t="str">
            <v>200-08</v>
          </cell>
          <cell r="B114">
            <v>4008</v>
          </cell>
          <cell r="C114" t="str">
            <v>DE.1.0.7.0</v>
          </cell>
          <cell r="D114" t="str">
            <v>204:233053</v>
          </cell>
          <cell r="E114">
            <v>42590.701608796298</v>
          </cell>
          <cell r="F114">
            <v>42590.702511574076</v>
          </cell>
          <cell r="G114">
            <v>1</v>
          </cell>
          <cell r="H114" t="str">
            <v>204:132</v>
          </cell>
          <cell r="I114">
            <v>42590.74015046296</v>
          </cell>
          <cell r="J114">
            <v>2</v>
          </cell>
          <cell r="K114" t="str">
            <v>4007/4008</v>
          </cell>
          <cell r="L114" t="str">
            <v>SHOOK</v>
          </cell>
          <cell r="M114">
            <v>3.7638888883520849E-2</v>
          </cell>
          <cell r="N114">
            <v>54.199999992270023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4" t="str">
            <v>N</v>
          </cell>
          <cell r="X114">
            <v>1</v>
          </cell>
          <cell r="Y114">
            <v>23.305299999999999</v>
          </cell>
          <cell r="Z114">
            <v>1.32E-2</v>
          </cell>
          <cell r="AA114">
            <v>23.292099999999998</v>
          </cell>
          <cell r="AB114">
            <v>58904</v>
          </cell>
          <cell r="AC114" t="str">
            <v>GRADE CROSSING</v>
          </cell>
          <cell r="AD114" t="str">
            <v>0200-08</v>
          </cell>
          <cell r="AE11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15">
          <cell r="A115" t="str">
            <v>201-08</v>
          </cell>
          <cell r="B115">
            <v>4014</v>
          </cell>
          <cell r="C115" t="str">
            <v>DE.1.0.7.0</v>
          </cell>
          <cell r="D115" t="str">
            <v>204:498</v>
          </cell>
          <cell r="E115">
            <v>42590.676585648151</v>
          </cell>
          <cell r="F115">
            <v>42590.677511574075</v>
          </cell>
          <cell r="G115">
            <v>1</v>
          </cell>
          <cell r="H115" t="str">
            <v>204:233096</v>
          </cell>
          <cell r="I115">
            <v>42590.707604166666</v>
          </cell>
          <cell r="J115">
            <v>1</v>
          </cell>
          <cell r="K115" t="str">
            <v>4013/4014</v>
          </cell>
          <cell r="L115" t="str">
            <v>STEWART</v>
          </cell>
          <cell r="M115">
            <v>3.0092592591245193E-2</v>
          </cell>
          <cell r="N115">
            <v>43.333333331393078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5" t="str">
            <v>N</v>
          </cell>
          <cell r="X115">
            <v>1</v>
          </cell>
          <cell r="Y115">
            <v>4.9799999999999997E-2</v>
          </cell>
          <cell r="Z115">
            <v>23.3096</v>
          </cell>
          <cell r="AA115">
            <v>23.259799999999998</v>
          </cell>
          <cell r="AB115" t="e">
            <v>#N/A</v>
          </cell>
          <cell r="AC115" t="e">
            <v>#N/A</v>
          </cell>
          <cell r="AD115" t="str">
            <v>0201-08</v>
          </cell>
          <cell r="AE11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16">
          <cell r="A116" t="str">
            <v>202-08</v>
          </cell>
          <cell r="B116">
            <v>4013</v>
          </cell>
          <cell r="C116" t="str">
            <v>DE.1.0.7.0</v>
          </cell>
          <cell r="D116" t="str">
            <v>204:232777</v>
          </cell>
          <cell r="E116">
            <v>42590.710844907408</v>
          </cell>
          <cell r="F116">
            <v>42590.711840277778</v>
          </cell>
          <cell r="G116">
            <v>1</v>
          </cell>
          <cell r="H116" t="str">
            <v>204:156</v>
          </cell>
          <cell r="I116">
            <v>42590.751909722225</v>
          </cell>
          <cell r="J116">
            <v>0</v>
          </cell>
          <cell r="K116" t="str">
            <v>4013/4014</v>
          </cell>
          <cell r="L116" t="str">
            <v>STEWART</v>
          </cell>
          <cell r="M116">
            <v>4.0069444446999114E-2</v>
          </cell>
          <cell r="N116">
            <v>57.700000003678724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https://search-rtdc-monitor-bjffxe2xuh6vdkpspy63sjmuny.us-east-1.es.amazonaws.com/_plugin/kibana/#/discover/Steve-Slow-Train-Analysis-(2080s-and-2083s)?_g=(refreshInterval:(display:Off,section:0,value:0),time:(from:'2016-08-08 16:03:37-0600',mode:absolute,to:'2016-08-08 19:02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6" t="str">
            <v>N</v>
          </cell>
          <cell r="X116">
            <v>1</v>
          </cell>
          <cell r="Y116">
            <v>23.277699999999999</v>
          </cell>
          <cell r="Z116">
            <v>1.5599999999999999E-2</v>
          </cell>
          <cell r="AA116">
            <v>23.2621</v>
          </cell>
          <cell r="AB116" t="e">
            <v>#N/A</v>
          </cell>
          <cell r="AC116" t="e">
            <v>#N/A</v>
          </cell>
          <cell r="AD116" t="str">
            <v>0202-08</v>
          </cell>
          <cell r="AE1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17">
          <cell r="A117" t="str">
            <v>203-08</v>
          </cell>
          <cell r="B117">
            <v>4020</v>
          </cell>
          <cell r="C117" t="str">
            <v>DE.1.0.7.0</v>
          </cell>
          <cell r="D117" t="str">
            <v>204:442</v>
          </cell>
          <cell r="E117">
            <v>42590.684953703705</v>
          </cell>
          <cell r="F117">
            <v>42590.685810185183</v>
          </cell>
          <cell r="G117">
            <v>1</v>
          </cell>
          <cell r="H117" t="str">
            <v>204:233289</v>
          </cell>
          <cell r="I117">
            <v>42590.716666666667</v>
          </cell>
          <cell r="J117">
            <v>0</v>
          </cell>
          <cell r="K117" t="str">
            <v>4019/4020</v>
          </cell>
          <cell r="L117" t="str">
            <v>BARTLETT</v>
          </cell>
          <cell r="M117">
            <v>3.0856481484079268E-2</v>
          </cell>
          <cell r="N117">
            <v>44.433333337074146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https://search-rtdc-monitor-bjffxe2xuh6vdkpspy63sjmuny.us-east-1.es.amazonaws.com/_plugin/kibana/#/discover/Steve-Slow-Train-Analysis-(2080s-and-2083s)?_g=(refreshInterval:(display:Off,section:0,value:0),time:(from:'2016-08-08 15:26:20-0600',mode:absolute,to:'2016-08-08 18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7" t="str">
            <v>N</v>
          </cell>
          <cell r="X117">
            <v>1</v>
          </cell>
          <cell r="Y117">
            <v>4.4200000000000003E-2</v>
          </cell>
          <cell r="Z117">
            <v>23.328900000000001</v>
          </cell>
          <cell r="AA117">
            <v>23.284700000000001</v>
          </cell>
          <cell r="AB117" t="e">
            <v>#N/A</v>
          </cell>
          <cell r="AC117" t="e">
            <v>#N/A</v>
          </cell>
          <cell r="AD117" t="str">
            <v>0203-08</v>
          </cell>
          <cell r="AE1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18">
          <cell r="A118" t="str">
            <v>204-08</v>
          </cell>
          <cell r="B118">
            <v>4019</v>
          </cell>
          <cell r="C118" t="str">
            <v>DE.1.0.7.0</v>
          </cell>
          <cell r="D118" t="str">
            <v>204:232972</v>
          </cell>
          <cell r="E118">
            <v>42590.718460648146</v>
          </cell>
          <cell r="F118">
            <v>42590.719548611109</v>
          </cell>
          <cell r="G118">
            <v>1</v>
          </cell>
          <cell r="H118" t="str">
            <v>204:167</v>
          </cell>
          <cell r="I118">
            <v>42590.75540509259</v>
          </cell>
          <cell r="J118">
            <v>1</v>
          </cell>
          <cell r="K118" t="str">
            <v>4019/4020</v>
          </cell>
          <cell r="L118" t="str">
            <v>BARTLETT</v>
          </cell>
          <cell r="M118">
            <v>3.5856481481459923E-2</v>
          </cell>
          <cell r="N118">
            <v>51.633333333302289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8" t="str">
            <v>N</v>
          </cell>
          <cell r="X118">
            <v>1</v>
          </cell>
          <cell r="Y118">
            <v>23.2972</v>
          </cell>
          <cell r="Z118">
            <v>1.67E-2</v>
          </cell>
          <cell r="AA118">
            <v>23.2805</v>
          </cell>
          <cell r="AB118" t="e">
            <v>#N/A</v>
          </cell>
          <cell r="AC118" t="e">
            <v>#N/A</v>
          </cell>
          <cell r="AD118" t="str">
            <v>0204-08</v>
          </cell>
          <cell r="AE11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19">
          <cell r="A119" t="str">
            <v>205-08</v>
          </cell>
          <cell r="B119">
            <v>4027</v>
          </cell>
          <cell r="C119" t="str">
            <v>DE.1.0.7.0</v>
          </cell>
          <cell r="D119" t="str">
            <v>204:447</v>
          </cell>
          <cell r="E119">
            <v>42590.698842592596</v>
          </cell>
          <cell r="F119">
            <v>42590.699791666666</v>
          </cell>
          <cell r="G119">
            <v>1</v>
          </cell>
          <cell r="H119" t="str">
            <v>204:233305</v>
          </cell>
          <cell r="I119">
            <v>42590.730543981481</v>
          </cell>
          <cell r="J119">
            <v>2</v>
          </cell>
          <cell r="K119" t="str">
            <v>4027/4028</v>
          </cell>
          <cell r="L119" t="str">
            <v>STORY</v>
          </cell>
          <cell r="M119">
            <v>3.0752314814890269E-2</v>
          </cell>
          <cell r="N119">
            <v>44.283333333441988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4.4699999999999997E-2</v>
          </cell>
          <cell r="Z119">
            <v>23.330500000000001</v>
          </cell>
          <cell r="AA119">
            <v>23.285800000000002</v>
          </cell>
          <cell r="AB119" t="e">
            <v>#N/A</v>
          </cell>
          <cell r="AC119" t="e">
            <v>#N/A</v>
          </cell>
          <cell r="AD119" t="str">
            <v>0205-08</v>
          </cell>
          <cell r="AE1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20">
          <cell r="A120" t="str">
            <v>206-08</v>
          </cell>
          <cell r="B120">
            <v>4028</v>
          </cell>
          <cell r="C120" t="str">
            <v>DE.1.0.7.0</v>
          </cell>
          <cell r="D120" t="str">
            <v>204:127875</v>
          </cell>
          <cell r="E120">
            <v>42590.750347222223</v>
          </cell>
          <cell r="F120">
            <v>42590.751608796294</v>
          </cell>
          <cell r="G120">
            <v>1</v>
          </cell>
          <cell r="H120" t="str">
            <v>204:156</v>
          </cell>
          <cell r="I120">
            <v>42590.771226851852</v>
          </cell>
          <cell r="J120">
            <v>1</v>
          </cell>
          <cell r="K120" t="str">
            <v>4027/4028</v>
          </cell>
          <cell r="L120" t="str">
            <v>STORY</v>
          </cell>
          <cell r="M120">
            <v>1.9618055557657499E-2</v>
          </cell>
          <cell r="P120">
            <v>28.250000003026798</v>
          </cell>
          <cell r="R120" t="str">
            <v>Onboard in-route failure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Y</v>
          </cell>
          <cell r="X120">
            <v>1</v>
          </cell>
          <cell r="Y120">
            <v>12.7875</v>
          </cell>
          <cell r="Z120">
            <v>1.5599999999999999E-2</v>
          </cell>
          <cell r="AA120">
            <v>12.7719</v>
          </cell>
          <cell r="AB120">
            <v>21848</v>
          </cell>
          <cell r="AC120" t="str">
            <v>PERMANENT SPEED RESTRICTION</v>
          </cell>
          <cell r="AD120" t="str">
            <v>0206-08</v>
          </cell>
          <cell r="AE1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21">
          <cell r="A121" t="str">
            <v>207-08</v>
          </cell>
          <cell r="B121">
            <v>4038</v>
          </cell>
          <cell r="C121" t="str">
            <v>DE.1.0.7.0</v>
          </cell>
          <cell r="D121" t="str">
            <v>204:446</v>
          </cell>
          <cell r="E121">
            <v>42590.708865740744</v>
          </cell>
          <cell r="F121">
            <v>42590.709861111114</v>
          </cell>
          <cell r="G121">
            <v>1</v>
          </cell>
          <cell r="H121" t="str">
            <v>204:233295</v>
          </cell>
          <cell r="I121">
            <v>42590.743680555555</v>
          </cell>
          <cell r="J121">
            <v>0</v>
          </cell>
          <cell r="K121" t="str">
            <v>4037/4038</v>
          </cell>
          <cell r="L121" t="str">
            <v>SWANSON</v>
          </cell>
          <cell r="M121">
            <v>3.3819444441178348E-2</v>
          </cell>
          <cell r="N121">
            <v>48.699999995296821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https://search-rtdc-monitor-bjffxe2xuh6vdkpspy63sjmuny.us-east-1.es.amazonaws.com/_plugin/kibana/#/discover/Steve-Slow-Train-Analysis-(2080s-and-2083s)?_g=(refreshInterval:(display:Off,section:0,value:0),time:(from:'2016-08-08 16:00:46-0600',mode:absolute,to:'2016-08-08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4.4600000000000001E-2</v>
          </cell>
          <cell r="Z121">
            <v>23.329499999999999</v>
          </cell>
          <cell r="AA121">
            <v>23.2849</v>
          </cell>
          <cell r="AB121" t="e">
            <v>#N/A</v>
          </cell>
          <cell r="AC121" t="e">
            <v>#N/A</v>
          </cell>
          <cell r="AD121" t="str">
            <v>0207-08</v>
          </cell>
          <cell r="AE1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22">
          <cell r="A122" t="str">
            <v>208-08</v>
          </cell>
          <cell r="B122">
            <v>4037</v>
          </cell>
          <cell r="C122" t="str">
            <v>DE.1.0.7.0</v>
          </cell>
          <cell r="D122" t="str">
            <v>204:232966</v>
          </cell>
          <cell r="E122">
            <v>42590.746782407405</v>
          </cell>
          <cell r="F122">
            <v>42590.747523148151</v>
          </cell>
          <cell r="G122">
            <v>1</v>
          </cell>
          <cell r="H122" t="str">
            <v>204:163</v>
          </cell>
          <cell r="I122">
            <v>42590.777025462965</v>
          </cell>
          <cell r="J122">
            <v>1</v>
          </cell>
          <cell r="K122" t="str">
            <v>4037/4038</v>
          </cell>
          <cell r="L122" t="str">
            <v>SWANSON</v>
          </cell>
          <cell r="M122">
            <v>2.9502314813726116E-2</v>
          </cell>
          <cell r="N122">
            <v>42.483333331765607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23.296600000000002</v>
          </cell>
          <cell r="Z122">
            <v>1.6299999999999999E-2</v>
          </cell>
          <cell r="AA122">
            <v>23.2803</v>
          </cell>
          <cell r="AB122">
            <v>15167</v>
          </cell>
          <cell r="AC122" t="str">
            <v>PERMANENT SPEED RESTRICTION</v>
          </cell>
          <cell r="AD122" t="str">
            <v>0208-08</v>
          </cell>
          <cell r="AE1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23">
          <cell r="A123" t="str">
            <v>209-08</v>
          </cell>
          <cell r="B123">
            <v>4029</v>
          </cell>
          <cell r="C123" t="str">
            <v>DE.1.0.7.0</v>
          </cell>
          <cell r="D123" t="str">
            <v>204:446</v>
          </cell>
          <cell r="E123">
            <v>42590.722314814811</v>
          </cell>
          <cell r="F123">
            <v>42590.724421296298</v>
          </cell>
          <cell r="G123">
            <v>3</v>
          </cell>
          <cell r="H123" t="str">
            <v>204:233293</v>
          </cell>
          <cell r="I123">
            <v>42590.754571759258</v>
          </cell>
          <cell r="J123">
            <v>0</v>
          </cell>
          <cell r="K123" t="str">
            <v>4029/4030</v>
          </cell>
          <cell r="L123" t="str">
            <v>ISHMAEL</v>
          </cell>
          <cell r="M123">
            <v>3.015046296059154E-2</v>
          </cell>
          <cell r="N123">
            <v>43.416666663251817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https://search-rtdc-monitor-bjffxe2xuh6vdkpspy63sjmuny.us-east-1.es.amazonaws.com/_plugin/kibana/#/discover/Steve-Slow-Train-Analysis-(2080s-and-2083s)?_g=(refreshInterval:(display:Off,section:0,value:0),time:(from:'2016-08-08 16:20:08-0600',mode:absolute,to:'2016-08-08 19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3" t="str">
            <v>N</v>
          </cell>
          <cell r="X123">
            <v>1</v>
          </cell>
          <cell r="Y123">
            <v>4.4600000000000001E-2</v>
          </cell>
          <cell r="Z123">
            <v>23.3293</v>
          </cell>
          <cell r="AA123">
            <v>23.284700000000001</v>
          </cell>
          <cell r="AB123" t="e">
            <v>#N/A</v>
          </cell>
          <cell r="AC123" t="e">
            <v>#N/A</v>
          </cell>
          <cell r="AD123" t="str">
            <v>0209-08</v>
          </cell>
          <cell r="AE12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24">
          <cell r="A124" t="str">
            <v>210-08</v>
          </cell>
          <cell r="B124">
            <v>4030</v>
          </cell>
          <cell r="C124" t="str">
            <v>DE.1.0.7.0</v>
          </cell>
          <cell r="D124" t="str">
            <v>204:232987</v>
          </cell>
          <cell r="E124">
            <v>42590.755972222221</v>
          </cell>
          <cell r="F124">
            <v>42590.757314814815</v>
          </cell>
          <cell r="G124">
            <v>1</v>
          </cell>
          <cell r="H124" t="str">
            <v>204:149</v>
          </cell>
          <cell r="I124">
            <v>42590.786469907405</v>
          </cell>
          <cell r="J124">
            <v>0</v>
          </cell>
          <cell r="K124" t="str">
            <v>4029/4030</v>
          </cell>
          <cell r="L124" t="str">
            <v>ISHMAEL</v>
          </cell>
          <cell r="M124">
            <v>2.9155092590372078E-2</v>
          </cell>
          <cell r="N124">
            <v>41.983333330135792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https://search-rtdc-monitor-bjffxe2xuh6vdkpspy63sjmuny.us-east-1.es.amazonaws.com/_plugin/kibana/#/discover/Steve-Slow-Train-Analysis-(2080s-and-2083s)?_g=(refreshInterval:(display:Off,section:0,value:0),time:(from:'2016-08-08 17:08:36-0600',mode:absolute,to:'2016-08-08 19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4" t="str">
            <v>N</v>
          </cell>
          <cell r="X124">
            <v>1</v>
          </cell>
          <cell r="Y124">
            <v>23.2987</v>
          </cell>
          <cell r="Z124">
            <v>1.49E-2</v>
          </cell>
          <cell r="AA124">
            <v>23.283799999999999</v>
          </cell>
          <cell r="AB124" t="e">
            <v>#N/A</v>
          </cell>
          <cell r="AC124" t="e">
            <v>#N/A</v>
          </cell>
          <cell r="AD124" t="str">
            <v>0210-08</v>
          </cell>
          <cell r="AE12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25">
          <cell r="A125" t="str">
            <v>211-08</v>
          </cell>
          <cell r="B125">
            <v>4011</v>
          </cell>
          <cell r="C125" t="str">
            <v>DE.1.0.7.0</v>
          </cell>
          <cell r="D125" t="str">
            <v>204:491</v>
          </cell>
          <cell r="E125">
            <v>42590.730069444442</v>
          </cell>
          <cell r="F125">
            <v>42590.731307870374</v>
          </cell>
          <cell r="G125">
            <v>1</v>
          </cell>
          <cell r="H125" t="str">
            <v>204:233299</v>
          </cell>
          <cell r="I125">
            <v>42590.76152777778</v>
          </cell>
          <cell r="J125">
            <v>0</v>
          </cell>
          <cell r="K125" t="str">
            <v>4011/4012</v>
          </cell>
          <cell r="L125" t="str">
            <v>YOUNG</v>
          </cell>
          <cell r="M125">
            <v>3.0219907406717539E-2</v>
          </cell>
          <cell r="N125">
            <v>43.516666665673256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https://search-rtdc-monitor-bjffxe2xuh6vdkpspy63sjmuny.us-east-1.es.amazonaws.com/_plugin/kibana/#/discover/Steve-Slow-Train-Analysis-(2080s-and-2083s)?_g=(refreshInterval:(display:Off,section:0,value:0),time:(from:'2016-08-08 16:31:18-0600',mode:absolute,to:'2016-08-08 19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5" t="str">
            <v>N</v>
          </cell>
          <cell r="X125">
            <v>1</v>
          </cell>
          <cell r="Y125">
            <v>4.9099999999999998E-2</v>
          </cell>
          <cell r="Z125">
            <v>23.329899999999999</v>
          </cell>
          <cell r="AA125">
            <v>23.280799999999999</v>
          </cell>
          <cell r="AB125" t="e">
            <v>#N/A</v>
          </cell>
          <cell r="AC125" t="e">
            <v>#N/A</v>
          </cell>
          <cell r="AD125" t="str">
            <v>0211-08</v>
          </cell>
          <cell r="AE12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26">
          <cell r="A126" t="str">
            <v>212-08</v>
          </cell>
          <cell r="B126">
            <v>4012</v>
          </cell>
          <cell r="C126" t="str">
            <v>DE.1.0.7.0</v>
          </cell>
          <cell r="D126" t="str">
            <v>204:232992</v>
          </cell>
          <cell r="E126">
            <v>42590.763865740744</v>
          </cell>
          <cell r="F126">
            <v>42590.765069444446</v>
          </cell>
          <cell r="G126">
            <v>1</v>
          </cell>
          <cell r="H126" t="str">
            <v>204:125</v>
          </cell>
          <cell r="I126">
            <v>42590.800636574073</v>
          </cell>
          <cell r="J126">
            <v>0</v>
          </cell>
          <cell r="K126" t="str">
            <v>4011/4012</v>
          </cell>
          <cell r="L126" t="str">
            <v>YOUNG</v>
          </cell>
          <cell r="M126">
            <v>3.5567129627452232E-2</v>
          </cell>
          <cell r="N126">
            <v>51.216666663531214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https://search-rtdc-monitor-bjffxe2xuh6vdkpspy63sjmuny.us-east-1.es.amazonaws.com/_plugin/kibana/#/discover/Steve-Slow-Train-Analysis-(2080s-and-2083s)?_g=(refreshInterval:(display:Off,section:0,value:0),time:(from:'2016-08-08 17:19:58-0600',mode:absolute,to:'2016-08-08 20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1.2500000000000001E-2</v>
          </cell>
          <cell r="AA126">
            <v>23.2867</v>
          </cell>
          <cell r="AB126" t="e">
            <v>#N/A</v>
          </cell>
          <cell r="AC126" t="e">
            <v>#N/A</v>
          </cell>
          <cell r="AD126" t="str">
            <v>0212-08</v>
          </cell>
          <cell r="AE12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27">
          <cell r="A127" t="str">
            <v>213-08</v>
          </cell>
          <cell r="B127">
            <v>4007</v>
          </cell>
          <cell r="C127" t="str">
            <v>DE.1.0.7.0</v>
          </cell>
          <cell r="D127" t="str">
            <v>204:437</v>
          </cell>
          <cell r="E127">
            <v>42590.742893518516</v>
          </cell>
          <cell r="F127">
            <v>42590.744490740741</v>
          </cell>
          <cell r="G127">
            <v>2</v>
          </cell>
          <cell r="H127" t="str">
            <v>204:233323</v>
          </cell>
          <cell r="I127">
            <v>42590.772349537037</v>
          </cell>
          <cell r="J127">
            <v>0</v>
          </cell>
          <cell r="K127" t="str">
            <v>4007/4008</v>
          </cell>
          <cell r="L127" t="str">
            <v>NEWELL</v>
          </cell>
          <cell r="M127">
            <v>2.7858796296641231E-2</v>
          </cell>
          <cell r="N127">
            <v>40.116666667163372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https://search-rtdc-monitor-bjffxe2xuh6vdkpspy63sjmuny.us-east-1.es.amazonaws.com/_plugin/kibana/#/discover/Steve-Slow-Train-Analysis-(2080s-and-2083s)?_g=(refreshInterval:(display:Off,section:0,value:0),time:(from:'2016-08-08 16:49:46-0600',mode:absolute,to:'2016-08-08 19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7" t="str">
            <v>N</v>
          </cell>
          <cell r="X127">
            <v>1</v>
          </cell>
          <cell r="Y127">
            <v>4.3700000000000003E-2</v>
          </cell>
          <cell r="Z127">
            <v>23.3323</v>
          </cell>
          <cell r="AA127">
            <v>23.288599999999999</v>
          </cell>
          <cell r="AB127" t="e">
            <v>#N/A</v>
          </cell>
          <cell r="AC127" t="e">
            <v>#N/A</v>
          </cell>
          <cell r="AD127" t="str">
            <v>0213-08</v>
          </cell>
          <cell r="AE12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28">
          <cell r="A128" t="str">
            <v>214-08</v>
          </cell>
          <cell r="B128">
            <v>4008</v>
          </cell>
          <cell r="C128" t="str">
            <v>DE.1.0.7.0</v>
          </cell>
          <cell r="D128" t="str">
            <v>204:232994</v>
          </cell>
          <cell r="E128">
            <v>42590.774953703702</v>
          </cell>
          <cell r="F128">
            <v>42590.776261574072</v>
          </cell>
          <cell r="G128">
            <v>1</v>
          </cell>
          <cell r="H128" t="str">
            <v>204:143</v>
          </cell>
          <cell r="I128">
            <v>42590.809247685182</v>
          </cell>
          <cell r="J128">
            <v>1</v>
          </cell>
          <cell r="K128" t="str">
            <v>4007/4008</v>
          </cell>
          <cell r="L128" t="str">
            <v>NEWELL</v>
          </cell>
          <cell r="M128">
            <v>3.2986111109494232E-2</v>
          </cell>
          <cell r="N128">
            <v>47.499999997671694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1.43E-2</v>
          </cell>
          <cell r="AA128">
            <v>23.2851</v>
          </cell>
          <cell r="AB128" t="e">
            <v>#N/A</v>
          </cell>
          <cell r="AC128" t="e">
            <v>#N/A</v>
          </cell>
          <cell r="AD128" t="str">
            <v>0214-08</v>
          </cell>
          <cell r="AE12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29">
          <cell r="A129" t="str">
            <v>215-08</v>
          </cell>
          <cell r="B129">
            <v>4014</v>
          </cell>
          <cell r="C129" t="str">
            <v>DE.1.0.7.0</v>
          </cell>
          <cell r="D129" t="str">
            <v>204:464</v>
          </cell>
          <cell r="E129">
            <v>42590.753148148149</v>
          </cell>
          <cell r="F129">
            <v>42590.754791666666</v>
          </cell>
          <cell r="G129">
            <v>2</v>
          </cell>
          <cell r="H129" t="str">
            <v>204:233351</v>
          </cell>
          <cell r="I129">
            <v>42590.783958333333</v>
          </cell>
          <cell r="J129">
            <v>1</v>
          </cell>
          <cell r="K129" t="str">
            <v>4013/4014</v>
          </cell>
          <cell r="L129" t="str">
            <v>SHOOK</v>
          </cell>
          <cell r="M129">
            <v>2.9166666667151731E-2</v>
          </cell>
          <cell r="N129">
            <v>42.000000000698492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9" t="str">
            <v>N</v>
          </cell>
          <cell r="X129">
            <v>1</v>
          </cell>
          <cell r="Y129">
            <v>4.6399999999999997E-2</v>
          </cell>
          <cell r="Z129">
            <v>23.335100000000001</v>
          </cell>
          <cell r="AA129">
            <v>23.288700000000002</v>
          </cell>
          <cell r="AB129">
            <v>17867</v>
          </cell>
          <cell r="AC129" t="str">
            <v>PERMANENT SPEED RESTRICTION</v>
          </cell>
          <cell r="AD129" t="str">
            <v>0215-08</v>
          </cell>
          <cell r="AE12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30">
          <cell r="A130" t="str">
            <v>216-08</v>
          </cell>
          <cell r="B130">
            <v>4013</v>
          </cell>
          <cell r="C130" t="str">
            <v>DE.1.0.7.0</v>
          </cell>
          <cell r="D130" t="str">
            <v>204:233047</v>
          </cell>
          <cell r="E130">
            <v>42590.787754629629</v>
          </cell>
          <cell r="F130">
            <v>42590.788634259261</v>
          </cell>
          <cell r="G130">
            <v>1</v>
          </cell>
          <cell r="H130" t="str">
            <v>204:134</v>
          </cell>
          <cell r="I130">
            <v>42590.81832175926</v>
          </cell>
          <cell r="J130">
            <v>1</v>
          </cell>
          <cell r="K130" t="str">
            <v>4013/4014</v>
          </cell>
          <cell r="L130" t="str">
            <v>SHOOK</v>
          </cell>
          <cell r="M130">
            <v>2.9687499998544808E-2</v>
          </cell>
          <cell r="N130">
            <v>42.749999997904524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N</v>
          </cell>
          <cell r="X130">
            <v>1</v>
          </cell>
          <cell r="Y130">
            <v>23.3047</v>
          </cell>
          <cell r="Z130">
            <v>1.34E-2</v>
          </cell>
          <cell r="AA130">
            <v>23.2913</v>
          </cell>
          <cell r="AB130" t="e">
            <v>#N/A</v>
          </cell>
          <cell r="AC130" t="e">
            <v>#N/A</v>
          </cell>
          <cell r="AD130" t="str">
            <v>0216-08</v>
          </cell>
          <cell r="AE13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31">
          <cell r="A131" t="str">
            <v>217-08</v>
          </cell>
          <cell r="B131">
            <v>4020</v>
          </cell>
          <cell r="C131" t="str">
            <v>DE.1.0.7.0</v>
          </cell>
          <cell r="D131" t="str">
            <v>204:462</v>
          </cell>
          <cell r="E131">
            <v>42590.760567129626</v>
          </cell>
          <cell r="F131">
            <v>42590.761689814812</v>
          </cell>
          <cell r="G131">
            <v>1</v>
          </cell>
          <cell r="H131" t="str">
            <v>204:233303</v>
          </cell>
          <cell r="I131">
            <v>42590.788946759261</v>
          </cell>
          <cell r="J131">
            <v>0</v>
          </cell>
          <cell r="K131" t="str">
            <v>4019/4020</v>
          </cell>
          <cell r="L131" t="str">
            <v>CHANDLER</v>
          </cell>
          <cell r="M131">
            <v>2.7256944449618459E-2</v>
          </cell>
          <cell r="N131">
            <v>39.250000007450581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https://search-rtdc-monitor-bjffxe2xuh6vdkpspy63sjmuny.us-east-1.es.amazonaws.com/_plugin/kibana/#/discover/Steve-Slow-Train-Analysis-(2080s-and-2083s)?_g=(refreshInterval:(display:Off,section:0,value:0),time:(from:'2016-08-08 17:15:13-0600',mode:absolute,to:'2016-08-08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1" t="str">
            <v>N</v>
          </cell>
          <cell r="X131">
            <v>1</v>
          </cell>
          <cell r="Y131">
            <v>4.6199999999999998E-2</v>
          </cell>
          <cell r="Z131">
            <v>23.330300000000001</v>
          </cell>
          <cell r="AA131">
            <v>23.284100000000002</v>
          </cell>
          <cell r="AB131" t="e">
            <v>#N/A</v>
          </cell>
          <cell r="AC131" t="e">
            <v>#N/A</v>
          </cell>
          <cell r="AD131" t="str">
            <v>0217-08</v>
          </cell>
          <cell r="AE13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32">
          <cell r="A132" t="str">
            <v>218-08</v>
          </cell>
          <cell r="B132">
            <v>4019</v>
          </cell>
          <cell r="C132" t="str">
            <v>DE.1.0.7.0</v>
          </cell>
          <cell r="D132" t="str">
            <v>204:232961</v>
          </cell>
          <cell r="E132">
            <v>42590.796851851854</v>
          </cell>
          <cell r="F132">
            <v>42590.797939814816</v>
          </cell>
          <cell r="G132">
            <v>1</v>
          </cell>
          <cell r="H132" t="str">
            <v>204:169</v>
          </cell>
          <cell r="I132">
            <v>42590.835162037038</v>
          </cell>
          <cell r="J132">
            <v>1</v>
          </cell>
          <cell r="K132" t="str">
            <v>4019/4020</v>
          </cell>
          <cell r="L132" t="str">
            <v>CHANDLER</v>
          </cell>
          <cell r="M132">
            <v>3.722222222131677E-2</v>
          </cell>
          <cell r="N132">
            <v>53.599999998696148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2" t="str">
            <v>N</v>
          </cell>
          <cell r="X132">
            <v>1</v>
          </cell>
          <cell r="Y132">
            <v>23.296099999999999</v>
          </cell>
          <cell r="Z132">
            <v>1.6899999999999998E-2</v>
          </cell>
          <cell r="AA132">
            <v>23.279199999999999</v>
          </cell>
          <cell r="AB132" t="e">
            <v>#N/A</v>
          </cell>
          <cell r="AC132" t="e">
            <v>#N/A</v>
          </cell>
          <cell r="AD132" t="str">
            <v>0218-08</v>
          </cell>
          <cell r="AE13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33">
          <cell r="A133" t="str">
            <v>219-08</v>
          </cell>
          <cell r="B133">
            <v>4027</v>
          </cell>
          <cell r="C133" t="str">
            <v>DE.1.0.7.0</v>
          </cell>
          <cell r="D133" t="str">
            <v>204:440</v>
          </cell>
          <cell r="E133">
            <v>42590.773043981484</v>
          </cell>
          <cell r="F133">
            <v>42590.774016203701</v>
          </cell>
          <cell r="G133">
            <v>1</v>
          </cell>
          <cell r="H133" t="str">
            <v>204:233289</v>
          </cell>
          <cell r="I133">
            <v>42590.803541666668</v>
          </cell>
          <cell r="J133">
            <v>1</v>
          </cell>
          <cell r="K133" t="str">
            <v>4027/4028</v>
          </cell>
          <cell r="L133" t="str">
            <v>STORY</v>
          </cell>
          <cell r="M133">
            <v>2.9525462967285421E-2</v>
          </cell>
          <cell r="N133">
            <v>42.516666672891006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4.3999999999999997E-2</v>
          </cell>
          <cell r="Z133">
            <v>23.328900000000001</v>
          </cell>
          <cell r="AA133">
            <v>23.2849</v>
          </cell>
          <cell r="AB133">
            <v>27333</v>
          </cell>
          <cell r="AC133" t="str">
            <v>PERMANENT SPEED RESTRICTION</v>
          </cell>
          <cell r="AD133" t="str">
            <v>0219-08</v>
          </cell>
          <cell r="AE13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34">
          <cell r="A134" t="str">
            <v>220-08</v>
          </cell>
          <cell r="B134">
            <v>4028</v>
          </cell>
          <cell r="C134" t="str">
            <v>DE.1.0.7.0</v>
          </cell>
          <cell r="D134" t="str">
            <v>204:232976</v>
          </cell>
          <cell r="E134">
            <v>42590.80537037037</v>
          </cell>
          <cell r="F134">
            <v>42590.806481481479</v>
          </cell>
          <cell r="G134">
            <v>1</v>
          </cell>
          <cell r="H134" t="str">
            <v>204:156</v>
          </cell>
          <cell r="I134">
            <v>42590.842002314814</v>
          </cell>
          <cell r="J134">
            <v>0</v>
          </cell>
          <cell r="K134" t="str">
            <v>4027/4028</v>
          </cell>
          <cell r="L134" t="str">
            <v>STORY</v>
          </cell>
          <cell r="M134">
            <v>3.5520833334885538E-2</v>
          </cell>
          <cell r="N134">
            <v>51.150000002235174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https://search-rtdc-monitor-bjffxe2xuh6vdkpspy63sjmuny.us-east-1.es.amazonaws.com/_plugin/kibana/#/discover/Steve-Slow-Train-Analysis-(2080s-and-2083s)?_g=(refreshInterval:(display:Off,section:0,value:0),time:(from:'2016-08-08 18:19:44-0600',mode:absolute,to:'2016-08-08 21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23.297599999999999</v>
          </cell>
          <cell r="Z134">
            <v>1.5599999999999999E-2</v>
          </cell>
          <cell r="AA134">
            <v>23.282</v>
          </cell>
          <cell r="AB134" t="e">
            <v>#N/A</v>
          </cell>
          <cell r="AC134" t="e">
            <v>#N/A</v>
          </cell>
          <cell r="AD134" t="str">
            <v>0220-08</v>
          </cell>
          <cell r="AE13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35">
          <cell r="A135" t="str">
            <v>221-08</v>
          </cell>
          <cell r="B135">
            <v>4029</v>
          </cell>
          <cell r="C135" t="str">
            <v>DE.1.0.7.0</v>
          </cell>
          <cell r="D135" t="str">
            <v>204:464</v>
          </cell>
          <cell r="E135">
            <v>42590.787858796299</v>
          </cell>
          <cell r="F135">
            <v>42590.788900462961</v>
          </cell>
          <cell r="G135">
            <v>1</v>
          </cell>
          <cell r="H135" t="str">
            <v>204:233304</v>
          </cell>
          <cell r="I135">
            <v>42590.822233796294</v>
          </cell>
          <cell r="J135">
            <v>0</v>
          </cell>
          <cell r="K135" t="str">
            <v>4029/4030</v>
          </cell>
          <cell r="L135" t="str">
            <v>ISHMAEL</v>
          </cell>
          <cell r="M135">
            <v>3.3333333332848269E-2</v>
          </cell>
          <cell r="N135">
            <v>47.999999999301508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https://search-rtdc-monitor-bjffxe2xuh6vdkpspy63sjmuny.us-east-1.es.amazonaws.com/_plugin/kibana/#/discover/Steve-Slow-Train-Analysis-(2080s-and-2083s)?_g=(refreshInterval:(display:Off,section:0,value:0),time:(from:'2016-08-08 17:54:31-0600',mode:absolute,to:'2016-08-08 20:44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5" t="str">
            <v>N</v>
          </cell>
          <cell r="X135">
            <v>1</v>
          </cell>
          <cell r="Y135">
            <v>4.6399999999999997E-2</v>
          </cell>
          <cell r="Z135">
            <v>23.330400000000001</v>
          </cell>
          <cell r="AA135">
            <v>23.284000000000002</v>
          </cell>
          <cell r="AB135" t="e">
            <v>#N/A</v>
          </cell>
          <cell r="AC135" t="e">
            <v>#N/A</v>
          </cell>
          <cell r="AD135" t="str">
            <v>0221-08</v>
          </cell>
          <cell r="AE13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36">
          <cell r="A136" t="str">
            <v>222-08</v>
          </cell>
          <cell r="B136">
            <v>4030</v>
          </cell>
          <cell r="C136" t="str">
            <v>DE.1.0.7.0</v>
          </cell>
          <cell r="D136" t="str">
            <v>204:232994</v>
          </cell>
          <cell r="E136">
            <v>42590.824861111112</v>
          </cell>
          <cell r="F136">
            <v>42590.825787037036</v>
          </cell>
          <cell r="G136">
            <v>1</v>
          </cell>
          <cell r="H136" t="str">
            <v>204:169</v>
          </cell>
          <cell r="I136">
            <v>42590.859375</v>
          </cell>
          <cell r="J136">
            <v>0</v>
          </cell>
          <cell r="K136" t="str">
            <v>4029/4030</v>
          </cell>
          <cell r="L136" t="str">
            <v>ISHMAEL</v>
          </cell>
          <cell r="M136">
            <v>3.3587962963792961E-2</v>
          </cell>
          <cell r="N136">
            <v>48.366666667861864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https://search-rtdc-monitor-bjffxe2xuh6vdkpspy63sjmuny.us-east-1.es.amazonaws.com/_plugin/kibana/#/discover/Steve-Slow-Train-Analysis-(2080s-and-2083s)?_g=(refreshInterval:(display:Off,section:0,value:0),time:(from:'2016-08-08 18:47:48-0600',mode:absolute,to:'2016-08-08 21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6" t="str">
            <v>N</v>
          </cell>
          <cell r="X136">
            <v>1</v>
          </cell>
          <cell r="Y136">
            <v>23.299399999999999</v>
          </cell>
          <cell r="Z136">
            <v>1.6899999999999998E-2</v>
          </cell>
          <cell r="AA136">
            <v>23.282499999999999</v>
          </cell>
          <cell r="AB136" t="e">
            <v>#N/A</v>
          </cell>
          <cell r="AC136" t="e">
            <v>#N/A</v>
          </cell>
          <cell r="AD136" t="str">
            <v>0222-08</v>
          </cell>
          <cell r="AE13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37">
          <cell r="A137" t="str">
            <v>223-08</v>
          </cell>
          <cell r="B137">
            <v>4007</v>
          </cell>
          <cell r="C137" t="str">
            <v>DE.1.0.7.0</v>
          </cell>
          <cell r="D137" t="str">
            <v>204:491</v>
          </cell>
          <cell r="E137">
            <v>42590.810636574075</v>
          </cell>
          <cell r="F137">
            <v>42590.811759259261</v>
          </cell>
          <cell r="G137">
            <v>1</v>
          </cell>
          <cell r="H137" t="str">
            <v>204:233291</v>
          </cell>
          <cell r="I137">
            <v>42590.838680555556</v>
          </cell>
          <cell r="J137">
            <v>0</v>
          </cell>
          <cell r="K137" t="str">
            <v>4007/4008</v>
          </cell>
          <cell r="L137" t="str">
            <v>NEWELL</v>
          </cell>
          <cell r="M137">
            <v>2.6921296295768116E-2</v>
          </cell>
          <cell r="N137">
            <v>38.766666665906087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https://search-rtdc-monitor-bjffxe2xuh6vdkpspy63sjmuny.us-east-1.es.amazonaws.com/_plugin/kibana/#/discover/Steve-Slow-Train-Analysis-(2080s-and-2083s)?_g=(refreshInterval:(display:Off,section:0,value:0),time:(from:'2016-08-08 18:27:19-0600',mode:absolute,to:'2016-08-08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7" t="str">
            <v>N</v>
          </cell>
          <cell r="X137">
            <v>1</v>
          </cell>
          <cell r="Y137">
            <v>4.9099999999999998E-2</v>
          </cell>
          <cell r="Z137">
            <v>23.3291</v>
          </cell>
          <cell r="AA137">
            <v>23.28</v>
          </cell>
          <cell r="AB137" t="e">
            <v>#N/A</v>
          </cell>
          <cell r="AC137" t="e">
            <v>#N/A</v>
          </cell>
          <cell r="AD137" t="str">
            <v>0223-08</v>
          </cell>
          <cell r="AE13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38">
          <cell r="A138" t="str">
            <v>224-08</v>
          </cell>
          <cell r="B138">
            <v>4008</v>
          </cell>
          <cell r="C138" t="str">
            <v>DE.1.0.7.0</v>
          </cell>
          <cell r="D138" t="str">
            <v>204:232998</v>
          </cell>
          <cell r="E138">
            <v>42590.849606481483</v>
          </cell>
          <cell r="F138">
            <v>42590.850706018522</v>
          </cell>
          <cell r="G138">
            <v>1</v>
          </cell>
          <cell r="H138" t="str">
            <v>204:152</v>
          </cell>
          <cell r="I138">
            <v>42590.878136574072</v>
          </cell>
          <cell r="J138">
            <v>0</v>
          </cell>
          <cell r="K138" t="str">
            <v>4007/4008</v>
          </cell>
          <cell r="L138" t="str">
            <v>NEWELL</v>
          </cell>
          <cell r="M138">
            <v>2.7430555550381541E-2</v>
          </cell>
          <cell r="N138">
            <v>39.499999992549419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https://search-rtdc-monitor-bjffxe2xuh6vdkpspy63sjmuny.us-east-1.es.amazonaws.com/_plugin/kibana/#/discover/Steve-Slow-Train-Analysis-(2080s-and-2083s)?_g=(refreshInterval:(display:Off,section:0,value:0),time:(from:'2016-08-08 19:23:26-0600',mode:absolute,to:'2016-08-08 22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1.52E-2</v>
          </cell>
          <cell r="AA138">
            <v>23.284600000000001</v>
          </cell>
          <cell r="AB138" t="e">
            <v>#N/A</v>
          </cell>
          <cell r="AC138" t="e">
            <v>#N/A</v>
          </cell>
          <cell r="AD138" t="str">
            <v>0224-08</v>
          </cell>
          <cell r="AE13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39">
          <cell r="A139" t="str">
            <v>225-08</v>
          </cell>
          <cell r="B139">
            <v>4020</v>
          </cell>
          <cell r="C139" t="str">
            <v>DE.1.0.7.0</v>
          </cell>
          <cell r="D139" t="str">
            <v>204:475</v>
          </cell>
          <cell r="E139">
            <v>42590.837233796294</v>
          </cell>
          <cell r="F139">
            <v>42590.838009259256</v>
          </cell>
          <cell r="G139">
            <v>1</v>
          </cell>
          <cell r="H139" t="str">
            <v>204:233287</v>
          </cell>
          <cell r="I139">
            <v>42590.865011574075</v>
          </cell>
          <cell r="J139">
            <v>0</v>
          </cell>
          <cell r="K139" t="str">
            <v>4019/4020</v>
          </cell>
          <cell r="L139" t="str">
            <v>CHANDLER</v>
          </cell>
          <cell r="M139">
            <v>2.7002314818673767E-2</v>
          </cell>
          <cell r="N139">
            <v>38.883333338890225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https://search-rtdc-monitor-bjffxe2xuh6vdkpspy63sjmuny.us-east-1.es.amazonaws.com/_plugin/kibana/#/discover/Steve-Slow-Train-Analysis-(2080s-and-2083s)?_g=(refreshInterval:(display:Off,section:0,value:0),time:(from:'2016-08-08 19:05:37-0600',mode:absolute,to:'2016-08-08 21:45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9" t="str">
            <v>N</v>
          </cell>
          <cell r="X139">
            <v>1</v>
          </cell>
          <cell r="Y139">
            <v>4.7500000000000001E-2</v>
          </cell>
          <cell r="Z139">
            <v>23.328700000000001</v>
          </cell>
          <cell r="AA139">
            <v>23.281200000000002</v>
          </cell>
          <cell r="AB139" t="e">
            <v>#N/A</v>
          </cell>
          <cell r="AC139" t="e">
            <v>#N/A</v>
          </cell>
          <cell r="AD139" t="str">
            <v>0225-08</v>
          </cell>
          <cell r="AE13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0">
          <cell r="A140" t="str">
            <v>226-08</v>
          </cell>
          <cell r="B140">
            <v>4019</v>
          </cell>
          <cell r="C140" t="str">
            <v>DE.1.0.7.0</v>
          </cell>
          <cell r="D140" t="str">
            <v>204:232968</v>
          </cell>
          <cell r="E140">
            <v>42590.871689814812</v>
          </cell>
          <cell r="F140">
            <v>42590.872673611113</v>
          </cell>
          <cell r="G140">
            <v>1</v>
          </cell>
          <cell r="H140" t="str">
            <v>204:150</v>
          </cell>
          <cell r="I140">
            <v>42590.902546296296</v>
          </cell>
          <cell r="J140">
            <v>0</v>
          </cell>
          <cell r="K140" t="str">
            <v>4019/4020</v>
          </cell>
          <cell r="L140" t="str">
            <v>CHANDLER</v>
          </cell>
          <cell r="M140">
            <v>2.9872685183363501E-2</v>
          </cell>
          <cell r="N140">
            <v>43.016666664043441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https://search-rtdc-monitor-bjffxe2xuh6vdkpspy63sjmuny.us-east-1.es.amazonaws.com/_plugin/kibana/#/discover/Steve-Slow-Train-Analysis-(2080s-and-2083s)?_g=(refreshInterval:(display:Off,section:0,value:0),time:(from:'2016-08-08 19:55:14-0600',mode:absolute,to:'2016-08-08 22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1.4999999999999999E-2</v>
          </cell>
          <cell r="AA140">
            <v>23.2818</v>
          </cell>
          <cell r="AB140" t="e">
            <v>#N/A</v>
          </cell>
          <cell r="AC140" t="e">
            <v>#N/A</v>
          </cell>
          <cell r="AD140" t="str">
            <v>0226-08</v>
          </cell>
          <cell r="AE14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1">
          <cell r="A141" t="str">
            <v>227-08</v>
          </cell>
          <cell r="B141">
            <v>4027</v>
          </cell>
          <cell r="C141" t="str">
            <v>DE.1.0.7.0</v>
          </cell>
          <cell r="D141" t="str">
            <v>204:458</v>
          </cell>
          <cell r="E141">
            <v>42590.84784722222</v>
          </cell>
          <cell r="F141">
            <v>42590.848796296297</v>
          </cell>
          <cell r="G141">
            <v>1</v>
          </cell>
          <cell r="H141" t="str">
            <v>204:233295</v>
          </cell>
          <cell r="I141">
            <v>42590.881435185183</v>
          </cell>
          <cell r="J141">
            <v>0</v>
          </cell>
          <cell r="K141" t="str">
            <v>4027/4028</v>
          </cell>
          <cell r="L141" t="str">
            <v>STORY</v>
          </cell>
          <cell r="M141">
            <v>3.2638888886140194E-2</v>
          </cell>
          <cell r="N141">
            <v>46.999999996041879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https://search-rtdc-monitor-bjffxe2xuh6vdkpspy63sjmuny.us-east-1.es.amazonaws.com/_plugin/kibana/#/discover/Steve-Slow-Train-Analysis-(2080s-and-2083s)?_g=(refreshInterval:(display:Off,section:0,value:0),time:(from:'2016-08-08 19:20:54-0600',mode:absolute,to:'2016-08-08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4.58E-2</v>
          </cell>
          <cell r="Z141">
            <v>23.329499999999999</v>
          </cell>
          <cell r="AA141">
            <v>23.2837</v>
          </cell>
          <cell r="AB141" t="e">
            <v>#N/A</v>
          </cell>
          <cell r="AC141" t="e">
            <v>#N/A</v>
          </cell>
          <cell r="AD141" t="str">
            <v>0227-08</v>
          </cell>
          <cell r="AE14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42">
          <cell r="A142" t="str">
            <v>228-08</v>
          </cell>
          <cell r="B142">
            <v>4028</v>
          </cell>
          <cell r="C142" t="str">
            <v>DE.1.0.7.0</v>
          </cell>
          <cell r="D142" t="str">
            <v>204:232981</v>
          </cell>
          <cell r="E142">
            <v>42590.889016203706</v>
          </cell>
          <cell r="F142">
            <v>42590.890069444446</v>
          </cell>
          <cell r="G142">
            <v>1</v>
          </cell>
          <cell r="H142" t="str">
            <v>204:150</v>
          </cell>
          <cell r="I142">
            <v>42590.933506944442</v>
          </cell>
          <cell r="J142">
            <v>2</v>
          </cell>
          <cell r="K142" t="str">
            <v>4027/4028</v>
          </cell>
          <cell r="L142" t="str">
            <v>STORY</v>
          </cell>
          <cell r="M142">
            <v>4.3437499996798579E-2</v>
          </cell>
          <cell r="N142">
            <v>62.549999995389953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23.298100000000002</v>
          </cell>
          <cell r="Z142">
            <v>1.4999999999999999E-2</v>
          </cell>
          <cell r="AA142">
            <v>23.283100000000001</v>
          </cell>
          <cell r="AB142" t="e">
            <v>#N/A</v>
          </cell>
          <cell r="AC142" t="e">
            <v>#N/A</v>
          </cell>
          <cell r="AD142" t="str">
            <v>0228-08</v>
          </cell>
          <cell r="AE14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43">
          <cell r="A143" t="str">
            <v>229-08</v>
          </cell>
          <cell r="B143">
            <v>4029</v>
          </cell>
          <cell r="C143" t="str">
            <v>DE.1.0.7.0</v>
          </cell>
          <cell r="D143" t="str">
            <v>204:447</v>
          </cell>
          <cell r="E143">
            <v>42590.86074074074</v>
          </cell>
          <cell r="F143">
            <v>42590.861724537041</v>
          </cell>
          <cell r="G143">
            <v>1</v>
          </cell>
          <cell r="H143" t="str">
            <v>204:155650</v>
          </cell>
          <cell r="I143">
            <v>42590.899027777778</v>
          </cell>
          <cell r="J143">
            <v>2</v>
          </cell>
          <cell r="K143" t="str">
            <v>4029/4030</v>
          </cell>
          <cell r="L143" t="str">
            <v>ISHMAEL</v>
          </cell>
          <cell r="M143">
            <v>3.7303240736946464E-2</v>
          </cell>
          <cell r="P143">
            <v>53.716666661202908</v>
          </cell>
          <cell r="R143" t="str">
            <v>61st 2N premature downgrade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3" t="str">
            <v>Y</v>
          </cell>
          <cell r="X143">
            <v>1</v>
          </cell>
          <cell r="Y143">
            <v>4.4699999999999997E-2</v>
          </cell>
          <cell r="Z143">
            <v>15.565</v>
          </cell>
          <cell r="AA143">
            <v>15.520299999999999</v>
          </cell>
          <cell r="AB143">
            <v>4677</v>
          </cell>
          <cell r="AC143" t="str">
            <v>PERMANENT SPEED RESTRICTION</v>
          </cell>
          <cell r="AD143" t="str">
            <v>0229-08</v>
          </cell>
          <cell r="AE14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4">
          <cell r="A144" t="str">
            <v>230-08</v>
          </cell>
          <cell r="B144">
            <v>4030</v>
          </cell>
          <cell r="C144" t="str">
            <v>DE.1.0.7.0</v>
          </cell>
          <cell r="D144" t="str">
            <v>204:232989</v>
          </cell>
          <cell r="E144">
            <v>42590.918425925927</v>
          </cell>
          <cell r="F144">
            <v>42590.919247685182</v>
          </cell>
          <cell r="G144">
            <v>1</v>
          </cell>
          <cell r="H144" t="str">
            <v>204:161</v>
          </cell>
          <cell r="I144">
            <v>42590.947881944441</v>
          </cell>
          <cell r="J144">
            <v>0</v>
          </cell>
          <cell r="K144" t="str">
            <v>4029/4030</v>
          </cell>
          <cell r="L144" t="str">
            <v>ISHMAEL</v>
          </cell>
          <cell r="M144">
            <v>2.8634259258979E-2</v>
          </cell>
          <cell r="N144">
            <v>41.23333333292976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https://search-rtdc-monitor-bjffxe2xuh6vdkpspy63sjmuny.us-east-1.es.amazonaws.com/_plugin/kibana/#/discover/Steve-Slow-Train-Analysis-(2080s-and-2083s)?_g=(refreshInterval:(display:Off,section:0,value:0),time:(from:'2016-08-08 21:02:32-0600',mode:absolute,to:'2016-08-08 23:44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1.61E-2</v>
          </cell>
          <cell r="AA144">
            <v>23.282799999999998</v>
          </cell>
          <cell r="AB144" t="e">
            <v>#N/A</v>
          </cell>
          <cell r="AC144" t="e">
            <v>#N/A</v>
          </cell>
          <cell r="AD144" t="str">
            <v>0230-08</v>
          </cell>
          <cell r="AE14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45">
          <cell r="A145" t="str">
            <v>231-08</v>
          </cell>
          <cell r="B145">
            <v>4007</v>
          </cell>
          <cell r="C145" t="str">
            <v>DE.1.0.7.0</v>
          </cell>
          <cell r="D145" t="str">
            <v>204:469</v>
          </cell>
          <cell r="E145">
            <v>42590.879710648151</v>
          </cell>
          <cell r="F145">
            <v>42590.880648148152</v>
          </cell>
          <cell r="G145">
            <v>1</v>
          </cell>
          <cell r="H145" t="str">
            <v>204:233293</v>
          </cell>
          <cell r="I145">
            <v>42590.921111111114</v>
          </cell>
          <cell r="J145">
            <v>0</v>
          </cell>
          <cell r="K145" t="str">
            <v>4007/4008</v>
          </cell>
          <cell r="L145" t="str">
            <v>NEWELL</v>
          </cell>
          <cell r="M145">
            <v>4.0462962962919846E-2</v>
          </cell>
          <cell r="N145">
            <v>58.266666666604578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https://search-rtdc-monitor-bjffxe2xuh6vdkpspy63sjmuny.us-east-1.es.amazonaws.com/_plugin/kibana/#/discover/Steve-Slow-Train-Analysis-(2080s-and-2083s)?_g=(refreshInterval:(display:Off,section:0,value:0),time:(from:'2016-08-08 20:06:47-0600',mode:absolute,to:'2016-08-08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23.3293</v>
          </cell>
          <cell r="AA145">
            <v>23.282399999999999</v>
          </cell>
          <cell r="AB145" t="e">
            <v>#N/A</v>
          </cell>
          <cell r="AC145" t="e">
            <v>#N/A</v>
          </cell>
          <cell r="AD145" t="str">
            <v>0231-08</v>
          </cell>
          <cell r="AE14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46">
          <cell r="A146" t="str">
            <v>232-08</v>
          </cell>
          <cell r="B146">
            <v>4008</v>
          </cell>
          <cell r="C146" t="str">
            <v>DE.1.0.7.0</v>
          </cell>
          <cell r="D146" t="str">
            <v>204:232982</v>
          </cell>
          <cell r="E146">
            <v>42590.930300925924</v>
          </cell>
          <cell r="F146">
            <v>42590.931585648148</v>
          </cell>
          <cell r="G146">
            <v>1</v>
          </cell>
          <cell r="H146" t="str">
            <v>204:161</v>
          </cell>
          <cell r="I146">
            <v>42590.964884259258</v>
          </cell>
          <cell r="J146">
            <v>0</v>
          </cell>
          <cell r="K146" t="str">
            <v>4007/4008</v>
          </cell>
          <cell r="L146" t="str">
            <v>NEWELL</v>
          </cell>
          <cell r="M146">
            <v>3.329861110978527E-2</v>
          </cell>
          <cell r="N146">
            <v>47.949999998090789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https://search-rtdc-monitor-bjffxe2xuh6vdkpspy63sjmuny.us-east-1.es.amazonaws.com/_plugin/kibana/#/discover/Steve-Slow-Train-Analysis-(2080s-and-2083s)?_g=(refreshInterval:(display:Off,section:0,value:0),time:(from:'2016-08-08 21:19:38-0600',mode:absolute,to:'2016-08-09 00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6" t="str">
            <v>N</v>
          </cell>
          <cell r="X146">
            <v>1</v>
          </cell>
          <cell r="Y146">
            <v>23.298200000000001</v>
          </cell>
          <cell r="Z146">
            <v>1.61E-2</v>
          </cell>
          <cell r="AA146">
            <v>23.2821</v>
          </cell>
          <cell r="AB146" t="e">
            <v>#N/A</v>
          </cell>
          <cell r="AC146" t="e">
            <v>#N/A</v>
          </cell>
          <cell r="AD146" t="str">
            <v>0232-08</v>
          </cell>
          <cell r="AE14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47">
          <cell r="A147" t="str">
            <v>233-08</v>
          </cell>
          <cell r="B147">
            <v>4020</v>
          </cell>
          <cell r="C147" t="str">
            <v>DE.1.0.7.0</v>
          </cell>
          <cell r="D147" t="str">
            <v>204:466</v>
          </cell>
          <cell r="E147">
            <v>42590.913194444445</v>
          </cell>
          <cell r="F147">
            <v>42590.914398148147</v>
          </cell>
          <cell r="G147">
            <v>1</v>
          </cell>
          <cell r="H147" t="str">
            <v>204:233284</v>
          </cell>
          <cell r="I147">
            <v>42590.945393518516</v>
          </cell>
          <cell r="J147">
            <v>0</v>
          </cell>
          <cell r="K147" t="str">
            <v>4019/4020</v>
          </cell>
          <cell r="L147" t="str">
            <v>CHANDLER</v>
          </cell>
          <cell r="M147">
            <v>3.0995370369055308E-2</v>
          </cell>
          <cell r="N147">
            <v>44.633333331439644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https://search-rtdc-monitor-bjffxe2xuh6vdkpspy63sjmuny.us-east-1.es.amazonaws.com/_plugin/kibana/#/discover/Steve-Slow-Train-Analysis-(2080s-and-2083s)?_g=(refreshInterval:(display:Off,section:0,value:0),time:(from:'2016-08-08 20:55:00-0600',mode:absolute,to:'2016-08-08 23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23.328399999999998</v>
          </cell>
          <cell r="AA147">
            <v>23.281799999999997</v>
          </cell>
          <cell r="AB147" t="e">
            <v>#N/A</v>
          </cell>
          <cell r="AC147" t="e">
            <v>#N/A</v>
          </cell>
          <cell r="AD147" t="str">
            <v>0233-08</v>
          </cell>
          <cell r="AE1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8">
          <cell r="A148" t="str">
            <v>234-08</v>
          </cell>
          <cell r="B148">
            <v>4019</v>
          </cell>
          <cell r="C148" t="str">
            <v>DE.1.0.7.0</v>
          </cell>
          <cell r="D148" t="str">
            <v>204:232971</v>
          </cell>
          <cell r="E148">
            <v>42590.952511574076</v>
          </cell>
          <cell r="F148">
            <v>42590.953263888892</v>
          </cell>
          <cell r="G148">
            <v>1</v>
          </cell>
          <cell r="H148" t="str">
            <v>204:221979</v>
          </cell>
          <cell r="I148">
            <v>42590.961527777778</v>
          </cell>
          <cell r="J148">
            <v>0</v>
          </cell>
          <cell r="K148" t="str">
            <v>4019/4020</v>
          </cell>
          <cell r="L148" t="str">
            <v>CHANDLER</v>
          </cell>
          <cell r="M148">
            <v>8.2638888852670789E-3</v>
          </cell>
          <cell r="P148">
            <v>11.899999994784594</v>
          </cell>
          <cell r="R148" t="str">
            <v>CP Pena went offline</v>
          </cell>
          <cell r="S148">
            <v>0</v>
          </cell>
          <cell r="T148" t="str">
            <v>Southbound</v>
          </cell>
          <cell r="U148">
            <v>0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https://search-rtdc-monitor-bjffxe2xuh6vdkpspy63sjmuny.us-east-1.es.amazonaws.com/_plugin/kibana/#/discover/Steve-Slow-Train-Analysis-(2080s-and-2083s)?_g=(refreshInterval:(display:Off,section:0,value:0),time:(from:'2016-08-08 21:51:37-0600',mode:absolute,to:'2016-08-09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8" t="str">
            <v>Y</v>
          </cell>
          <cell r="X148">
            <v>1</v>
          </cell>
          <cell r="Y148">
            <v>23.2971</v>
          </cell>
          <cell r="Z148">
            <v>22.197900000000001</v>
          </cell>
          <cell r="AA148">
            <v>1.0991999999999997</v>
          </cell>
          <cell r="AB148" t="e">
            <v>#N/A</v>
          </cell>
          <cell r="AC148" t="e">
            <v>#N/A</v>
          </cell>
          <cell r="AD148" t="str">
            <v>0234-08</v>
          </cell>
          <cell r="AE1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9">
          <cell r="A149" t="str">
            <v>235-08</v>
          </cell>
          <cell r="B149">
            <v>4027</v>
          </cell>
          <cell r="C149" t="str">
            <v>DE.1.0.7.0</v>
          </cell>
          <cell r="D149" t="str">
            <v>204:458</v>
          </cell>
          <cell r="E149">
            <v>42590.935254629629</v>
          </cell>
          <cell r="F149">
            <v>42590.936377314814</v>
          </cell>
          <cell r="G149">
            <v>1</v>
          </cell>
          <cell r="H149" t="str">
            <v>204:154560</v>
          </cell>
          <cell r="I149">
            <v>42590.957800925928</v>
          </cell>
          <cell r="J149">
            <v>1</v>
          </cell>
          <cell r="K149" t="str">
            <v>4027/4028</v>
          </cell>
          <cell r="L149" t="str">
            <v>STORY</v>
          </cell>
          <cell r="M149">
            <v>2.142361111327773E-2</v>
          </cell>
          <cell r="P149">
            <v>30.850000003119931</v>
          </cell>
          <cell r="R149" t="str">
            <v>61st 2N premature downgrade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9" t="str">
            <v>Y</v>
          </cell>
          <cell r="X149">
            <v>1</v>
          </cell>
          <cell r="Y149">
            <v>4.58E-2</v>
          </cell>
          <cell r="Z149">
            <v>15.456</v>
          </cell>
          <cell r="AA149">
            <v>15.4102</v>
          </cell>
          <cell r="AB149" t="e">
            <v>#N/A</v>
          </cell>
          <cell r="AC149" t="e">
            <v>#N/A</v>
          </cell>
          <cell r="AD149" t="str">
            <v>0235-08</v>
          </cell>
          <cell r="AE1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50">
          <cell r="A150" t="str">
            <v>236-08</v>
          </cell>
          <cell r="B150">
            <v>4028</v>
          </cell>
          <cell r="C150" t="str">
            <v>DE.1.0.7.0</v>
          </cell>
          <cell r="D150" t="str">
            <v>204:232948</v>
          </cell>
          <cell r="E150">
            <v>42590.978460648148</v>
          </cell>
          <cell r="F150">
            <v>42590.979363425926</v>
          </cell>
          <cell r="G150">
            <v>1</v>
          </cell>
          <cell r="H150" t="str">
            <v>204:141</v>
          </cell>
          <cell r="I150">
            <v>42591.009652777779</v>
          </cell>
          <cell r="J150">
            <v>1</v>
          </cell>
          <cell r="K150" t="str">
            <v>4027/4028</v>
          </cell>
          <cell r="L150" t="str">
            <v>STORY</v>
          </cell>
          <cell r="M150">
            <v>3.0289351852843538E-2</v>
          </cell>
          <cell r="N150">
            <v>43.616666668094695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0" t="str">
            <v>N</v>
          </cell>
          <cell r="X150">
            <v>1</v>
          </cell>
          <cell r="Y150">
            <v>23.294799999999999</v>
          </cell>
          <cell r="Z150">
            <v>1.41E-2</v>
          </cell>
          <cell r="AA150">
            <v>23.2807</v>
          </cell>
          <cell r="AB150" t="e">
            <v>#N/A</v>
          </cell>
          <cell r="AC150" t="e">
            <v>#N/A</v>
          </cell>
          <cell r="AD150" t="str">
            <v>0236-08</v>
          </cell>
          <cell r="AE1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51">
          <cell r="A151" t="str">
            <v>237-08</v>
          </cell>
          <cell r="B151">
            <v>4029</v>
          </cell>
          <cell r="C151" t="str">
            <v>DE.1.0.7.0</v>
          </cell>
          <cell r="D151" t="str">
            <v>204:460</v>
          </cell>
          <cell r="E151">
            <v>42590.951226851852</v>
          </cell>
          <cell r="F151">
            <v>42590.952210648145</v>
          </cell>
          <cell r="G151">
            <v>1</v>
          </cell>
          <cell r="H151" t="str">
            <v>204:233270</v>
          </cell>
          <cell r="I151">
            <v>42590.985995370371</v>
          </cell>
          <cell r="J151">
            <v>0</v>
          </cell>
          <cell r="K151" t="str">
            <v>4029/4030</v>
          </cell>
          <cell r="L151" t="str">
            <v>ISHMAEL</v>
          </cell>
          <cell r="M151">
            <v>3.3784722225391306E-2</v>
          </cell>
          <cell r="N151">
            <v>48.650000004563481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https://search-rtdc-monitor-bjffxe2xuh6vdkpspy63sjmuny.us-east-1.es.amazonaws.com/_plugin/kibana/#/discover/Steve-Slow-Train-Analysis-(2080s-and-2083s)?_g=(refreshInterval:(display:Off,section:0,value:0),time:(from:'2016-08-08 21:49:46-0600',mode:absolute,to:'2016-08-09 00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23.327000000000002</v>
          </cell>
          <cell r="AA151">
            <v>23.281000000000002</v>
          </cell>
          <cell r="AB151" t="e">
            <v>#N/A</v>
          </cell>
          <cell r="AC151" t="e">
            <v>#N/A</v>
          </cell>
          <cell r="AD151" t="str">
            <v>0237-08</v>
          </cell>
          <cell r="AE15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52">
          <cell r="A152" t="str">
            <v>238-08</v>
          </cell>
          <cell r="B152">
            <v>4030</v>
          </cell>
          <cell r="C152" t="str">
            <v>DE.1.0.7.0</v>
          </cell>
          <cell r="D152" t="str">
            <v>204:232977</v>
          </cell>
          <cell r="E152">
            <v>42590.990324074075</v>
          </cell>
          <cell r="F152">
            <v>42590.991527777776</v>
          </cell>
          <cell r="G152">
            <v>1</v>
          </cell>
          <cell r="H152" t="str">
            <v>204:147</v>
          </cell>
          <cell r="I152">
            <v>42591.025995370372</v>
          </cell>
          <cell r="J152">
            <v>0</v>
          </cell>
          <cell r="K152" t="str">
            <v>4029/4030</v>
          </cell>
          <cell r="L152" t="str">
            <v>ISHMAEL</v>
          </cell>
          <cell r="M152">
            <v>3.4467592595319729E-2</v>
          </cell>
          <cell r="N152">
            <v>49.63333333726041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https://search-rtdc-monitor-bjffxe2xuh6vdkpspy63sjmuny.us-east-1.es.amazonaws.com/_plugin/kibana/#/discover/Steve-Slow-Train-Analysis-(2080s-and-2083s)?_g=(refreshInterval:(display:Off,section:0,value:0),time:(from:'2016-08-08 22:46:04-0600',mode:absolute,to:'2016-08-09 01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2" t="str">
            <v>N</v>
          </cell>
          <cell r="X152">
            <v>1</v>
          </cell>
          <cell r="Y152">
            <v>23.297699999999999</v>
          </cell>
          <cell r="Z152">
            <v>1.47E-2</v>
          </cell>
          <cell r="AA152">
            <v>23.282999999999998</v>
          </cell>
          <cell r="AB152" t="e">
            <v>#N/A</v>
          </cell>
          <cell r="AC152" t="e">
            <v>#N/A</v>
          </cell>
          <cell r="AD152" t="str">
            <v>0238-08</v>
          </cell>
          <cell r="AE15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53">
          <cell r="A153" t="str">
            <v>239-08</v>
          </cell>
          <cell r="B153">
            <v>4007</v>
          </cell>
          <cell r="C153" t="str">
            <v>DE.1.0.7.0</v>
          </cell>
          <cell r="D153" t="str">
            <v>204:457</v>
          </cell>
          <cell r="E153">
            <v>42590.974733796298</v>
          </cell>
          <cell r="F153">
            <v>42590.975706018522</v>
          </cell>
          <cell r="G153">
            <v>1</v>
          </cell>
          <cell r="H153" t="str">
            <v>204:233289</v>
          </cell>
          <cell r="I153">
            <v>42591.00571759259</v>
          </cell>
          <cell r="J153">
            <v>0</v>
          </cell>
          <cell r="K153" t="str">
            <v>4007/4008</v>
          </cell>
          <cell r="L153" t="str">
            <v>NEWELL</v>
          </cell>
          <cell r="M153">
            <v>3.0011574068339542E-2</v>
          </cell>
          <cell r="N153">
            <v>43.21666665840894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https://search-rtdc-monitor-bjffxe2xuh6vdkpspy63sjmuny.us-east-1.es.amazonaws.com/_plugin/kibana/#/discover/Steve-Slow-Train-Analysis-(2080s-and-2083s)?_g=(refreshInterval:(display:Off,section:0,value:0),time:(from:'2016-08-08 22:23:37-0600',mode:absolute,to:'2016-08-09 01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23.328900000000001</v>
          </cell>
          <cell r="AA153">
            <v>23.283200000000001</v>
          </cell>
          <cell r="AB153" t="e">
            <v>#N/A</v>
          </cell>
          <cell r="AC153" t="e">
            <v>#N/A</v>
          </cell>
          <cell r="AD153" t="str">
            <v>0239-08</v>
          </cell>
          <cell r="AE15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54">
          <cell r="A154" t="str">
            <v>240-08</v>
          </cell>
          <cell r="B154">
            <v>4008</v>
          </cell>
          <cell r="C154" t="str">
            <v>DE.1.0.7.0</v>
          </cell>
          <cell r="D154" t="str">
            <v>204:232975</v>
          </cell>
          <cell r="E154">
            <v>42591.015347222223</v>
          </cell>
          <cell r="F154">
            <v>42591.016076388885</v>
          </cell>
          <cell r="G154">
            <v>1</v>
          </cell>
          <cell r="H154" t="str">
            <v>204:150</v>
          </cell>
          <cell r="I154">
            <v>42591.045671296299</v>
          </cell>
          <cell r="J154">
            <v>0</v>
          </cell>
          <cell r="K154" t="str">
            <v>4007/4008</v>
          </cell>
          <cell r="L154" t="str">
            <v>NEWELL</v>
          </cell>
          <cell r="M154">
            <v>2.959490741341142E-2</v>
          </cell>
          <cell r="N154">
            <v>42.616666675312445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https://search-rtdc-monitor-bjffxe2xuh6vdkpspy63sjmuny.us-east-1.es.amazonaws.com/_plugin/kibana/#/discover/Steve-Slow-Train-Analysis-(2080s-and-2083s)?_g=(refreshInterval:(display:Off,section:0,value:0),time:(from:'2016-08-08 23:22:06-0600',mode:absolute,to:'2016-08-09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4" t="str">
            <v>N</v>
          </cell>
          <cell r="X154">
            <v>1</v>
          </cell>
          <cell r="Y154">
            <v>23.297499999999999</v>
          </cell>
          <cell r="Z154">
            <v>1.4999999999999999E-2</v>
          </cell>
          <cell r="AA154">
            <v>23.282499999999999</v>
          </cell>
          <cell r="AB154" t="e">
            <v>#N/A</v>
          </cell>
          <cell r="AC154" t="e">
            <v>#N/A</v>
          </cell>
          <cell r="AD154" t="str">
            <v>0240-08</v>
          </cell>
          <cell r="AE154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55">
          <cell r="A155" t="str">
            <v>241-08</v>
          </cell>
          <cell r="B155">
            <v>4020</v>
          </cell>
          <cell r="C155" t="str">
            <v>DE.1.0.7.0</v>
          </cell>
          <cell r="D155" t="str">
            <v>204:475</v>
          </cell>
          <cell r="E155">
            <v>42591.000648148147</v>
          </cell>
          <cell r="F155">
            <v>42591.00141203704</v>
          </cell>
          <cell r="G155">
            <v>1</v>
          </cell>
          <cell r="H155" t="str">
            <v>204:233274</v>
          </cell>
          <cell r="I155">
            <v>42591.029004629629</v>
          </cell>
          <cell r="J155">
            <v>0</v>
          </cell>
          <cell r="K155" t="str">
            <v>4019/4020</v>
          </cell>
          <cell r="L155" t="str">
            <v>CHANDLER</v>
          </cell>
          <cell r="M155">
            <v>2.7592592588916887E-2</v>
          </cell>
          <cell r="N155">
            <v>39.733333328040317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https://search-rtdc-monitor-bjffxe2xuh6vdkpspy63sjmuny.us-east-1.es.amazonaws.com/_plugin/kibana/#/discover/Steve-Slow-Train-Analysis-(2080s-and-2083s)?_g=(refreshInterval:(display:Off,section:0,value:0),time:(from:'2016-08-08 23:00:56-0600',mode:absolute,to:'2016-08-09 01:41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5" t="str">
            <v>N</v>
          </cell>
          <cell r="X155">
            <v>1</v>
          </cell>
          <cell r="Y155">
            <v>4.7500000000000001E-2</v>
          </cell>
          <cell r="Z155">
            <v>23.327400000000001</v>
          </cell>
          <cell r="AA155">
            <v>23.279900000000001</v>
          </cell>
          <cell r="AB155" t="e">
            <v>#N/A</v>
          </cell>
          <cell r="AC155" t="e">
            <v>#N/A</v>
          </cell>
          <cell r="AD155" t="str">
            <v>0241-08</v>
          </cell>
          <cell r="AE155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156">
          <cell r="A156" t="str">
            <v>242-08</v>
          </cell>
          <cell r="B156">
            <v>4019</v>
          </cell>
          <cell r="C156" t="str">
            <v>DE.1.0.7.0</v>
          </cell>
          <cell r="D156" t="str">
            <v>204:232959</v>
          </cell>
          <cell r="E156">
            <v>42591.037893518522</v>
          </cell>
          <cell r="F156">
            <v>42591.038784722223</v>
          </cell>
          <cell r="G156">
            <v>1</v>
          </cell>
          <cell r="H156" t="str">
            <v>204:167</v>
          </cell>
          <cell r="I156">
            <v>42591.066840277781</v>
          </cell>
          <cell r="J156">
            <v>0</v>
          </cell>
          <cell r="K156" t="str">
            <v>4019/4020</v>
          </cell>
          <cell r="L156" t="str">
            <v>CHANDLER</v>
          </cell>
          <cell r="M156">
            <v>2.8055555558239575E-2</v>
          </cell>
          <cell r="N156">
            <v>40.400000003864989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https://search-rtdc-monitor-bjffxe2xuh6vdkpspy63sjmuny.us-east-1.es.amazonaws.com/_plugin/kibana/#/discover/Steve-Slow-Train-Analysis-(2080s-and-2083s)?_g=(refreshInterval:(display:Off,section:0,value:0),time:(from:'2016-08-08 23:54:34-0600',mode:absolute,to:'2016-08-09 02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6" t="str">
            <v>N</v>
          </cell>
          <cell r="X156">
            <v>1</v>
          </cell>
          <cell r="Y156">
            <v>23.2959</v>
          </cell>
          <cell r="Z156">
            <v>1.67E-2</v>
          </cell>
          <cell r="AA156">
            <v>23.279199999999999</v>
          </cell>
          <cell r="AB156" t="e">
            <v>#N/A</v>
          </cell>
          <cell r="AC156" t="e">
            <v>#N/A</v>
          </cell>
          <cell r="AD156" t="str">
            <v>0242-08</v>
          </cell>
          <cell r="AE156" t="str">
            <v>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 &amp; 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</v>
          </cell>
        </row>
        <row r="157">
          <cell r="A157" t="str">
            <v>243-08</v>
          </cell>
          <cell r="B157">
            <v>4027</v>
          </cell>
          <cell r="C157" t="str">
            <v>DE.1.0.7.0</v>
          </cell>
          <cell r="D157" t="str">
            <v>204:433</v>
          </cell>
          <cell r="E157">
            <v>42591.014201388891</v>
          </cell>
          <cell r="F157">
            <v>42591.01494212963</v>
          </cell>
          <cell r="G157">
            <v>1</v>
          </cell>
          <cell r="H157" t="str">
            <v>204:233274</v>
          </cell>
          <cell r="I157">
            <v>42591.046631944446</v>
          </cell>
          <cell r="J157">
            <v>0</v>
          </cell>
          <cell r="K157" t="str">
            <v>4027/4028</v>
          </cell>
          <cell r="L157" t="str">
            <v>STORY</v>
          </cell>
          <cell r="M157">
            <v>3.1689814815763384E-2</v>
          </cell>
          <cell r="N157">
            <v>45.633333334699273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23:20:27-0600',mode:absolute,to:'2016-08-09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7" t="str">
            <v>N</v>
          </cell>
          <cell r="X157">
            <v>1</v>
          </cell>
          <cell r="Y157">
            <v>4.3299999999999998E-2</v>
          </cell>
          <cell r="Z157">
            <v>23.327400000000001</v>
          </cell>
          <cell r="AA157">
            <v>23.284100000000002</v>
          </cell>
          <cell r="AB157" t="e">
            <v>#N/A</v>
          </cell>
          <cell r="AC157" t="e">
            <v>#N/A</v>
          </cell>
          <cell r="AD157" t="str">
            <v>0243-08</v>
          </cell>
          <cell r="AE157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158">
          <cell r="A158" t="str">
            <v>244-08</v>
          </cell>
          <cell r="B158">
            <v>4028</v>
          </cell>
          <cell r="C158" t="str">
            <v>DE.1.0.7.0</v>
          </cell>
          <cell r="D158" t="str">
            <v>204:232961</v>
          </cell>
          <cell r="E158">
            <v>42591.055706018517</v>
          </cell>
          <cell r="F158">
            <v>42591.057071759256</v>
          </cell>
          <cell r="G158">
            <v>1</v>
          </cell>
          <cell r="H158" t="str">
            <v>204:220</v>
          </cell>
          <cell r="I158">
            <v>42591.087199074071</v>
          </cell>
          <cell r="J158">
            <v>0</v>
          </cell>
          <cell r="K158" t="str">
            <v>4027/4028</v>
          </cell>
          <cell r="L158" t="str">
            <v>STORY</v>
          </cell>
          <cell r="M158">
            <v>3.0127314814308193E-2</v>
          </cell>
          <cell r="N158">
            <v>43.383333332603797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https://search-rtdc-monitor-bjffxe2xuh6vdkpspy63sjmuny.us-east-1.es.amazonaws.com/_plugin/kibana/#/discover/Steve-Slow-Train-Analysis-(2080s-and-2083s)?_g=(refreshInterval:(display:Off,section:0,value:0),time:(from:'2016-08-09 00:20:13-0600',mode:absolute,to:'2016-08-09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8" t="str">
            <v>N</v>
          </cell>
          <cell r="X158">
            <v>1</v>
          </cell>
          <cell r="Y158">
            <v>23.296099999999999</v>
          </cell>
          <cell r="Z158">
            <v>2.1999999999999999E-2</v>
          </cell>
          <cell r="AA158">
            <v>23.274100000000001</v>
          </cell>
          <cell r="AB158" t="e">
            <v>#N/A</v>
          </cell>
          <cell r="AC158" t="e">
            <v>#N/A</v>
          </cell>
          <cell r="AD158" t="str">
            <v>0244-08</v>
          </cell>
          <cell r="AE158" t="str">
            <v>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 &amp; aws s3 cp s3://rtdc.mdm.uploadarchive/RTDC4028/2016-08-10/ "%USERPROFILE%\AppData\Local\Temp\OnboardLogs"\RTDC4028\2016-08-10 --recursive &amp; "%USERPROFILE%\Documents\GitHub\mrs-test-scripts\Headless Mode &amp; Sideloading\WalkAndUnGZ.bat" "%USERPROFILE%\AppData\Local\Temp\OnboardLogs"\RTDC4028\2016-08-10</v>
          </cell>
        </row>
        <row r="159">
          <cell r="A159" t="str">
            <v>800-08</v>
          </cell>
          <cell r="B159">
            <v>4015</v>
          </cell>
          <cell r="C159" t="str">
            <v>DE.1.0.7.0</v>
          </cell>
          <cell r="D159" t="str">
            <v>300:58609</v>
          </cell>
          <cell r="E159">
            <v>42590.207708333335</v>
          </cell>
          <cell r="F159">
            <v>42590.209282407406</v>
          </cell>
          <cell r="G159">
            <v>2</v>
          </cell>
          <cell r="H159" t="str">
            <v>204:629</v>
          </cell>
          <cell r="I159">
            <v>42590.228275462963</v>
          </cell>
          <cell r="J159">
            <v>0</v>
          </cell>
          <cell r="K159" t="str">
            <v>4015/4016</v>
          </cell>
          <cell r="L159" t="str">
            <v>DAVIS</v>
          </cell>
          <cell r="M159">
            <v>1.8993055557075422E-2</v>
          </cell>
          <cell r="N159">
            <v>27.350000002188608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https://search-rtdc-monitor-bjffxe2xuh6vdkpspy63sjmuny.us-east-1.es.amazonaws.com/_plugin/kibana/#/discover/Steve-Slow-Train-Analysis-(2080s-and-2083s)?_g=(refreshInterval:(display:Off,section:0,value:0),time:(from:'2016-08-08 03:59:06-0600',mode:absolute,to:'2016-08-08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59" t="str">
            <v>N</v>
          </cell>
          <cell r="X159">
            <v>556</v>
          </cell>
          <cell r="Y159">
            <v>5.8609</v>
          </cell>
          <cell r="Z159">
            <v>6.2899999999999998E-2</v>
          </cell>
          <cell r="AA159">
            <v>5.798</v>
          </cell>
          <cell r="AB159" t="e">
            <v>#N/A</v>
          </cell>
          <cell r="AC159" t="e">
            <v>#N/A</v>
          </cell>
          <cell r="AD159" t="str">
            <v>0800-08</v>
          </cell>
          <cell r="AE15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0">
          <cell r="A160" t="str">
            <v>801-08</v>
          </cell>
          <cell r="B160">
            <v>4016</v>
          </cell>
          <cell r="C160" t="str">
            <v>DE.1.0.7.0</v>
          </cell>
          <cell r="D160" t="str">
            <v>204:936</v>
          </cell>
          <cell r="E160">
            <v>42590.238842592589</v>
          </cell>
          <cell r="F160">
            <v>42590.23982638889</v>
          </cell>
          <cell r="G160">
            <v>1</v>
          </cell>
          <cell r="H160" t="str">
            <v>300:58924</v>
          </cell>
          <cell r="I160">
            <v>42590.254537037035</v>
          </cell>
          <cell r="J160">
            <v>0</v>
          </cell>
          <cell r="K160" t="str">
            <v>4015/4016</v>
          </cell>
          <cell r="L160" t="str">
            <v>DAVIS</v>
          </cell>
          <cell r="M160">
            <v>1.4710648145410232E-2</v>
          </cell>
          <cell r="N160">
            <v>21.183333329390734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https://search-rtdc-monitor-bjffxe2xuh6vdkpspy63sjmuny.us-east-1.es.amazonaws.com/_plugin/kibana/#/discover/Steve-Slow-Train-Analysis-(2080s-and-2083s)?_g=(refreshInterval:(display:Off,section:0,value:0),time:(from:'2016-08-08 04:43:56-0600',mode:absolute,to:'2016-08-08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0" t="str">
            <v>N</v>
          </cell>
          <cell r="X160">
            <v>1</v>
          </cell>
          <cell r="Y160">
            <v>9.3600000000000003E-2</v>
          </cell>
          <cell r="Z160">
            <v>5.8924000000000003</v>
          </cell>
          <cell r="AA160">
            <v>5.7988</v>
          </cell>
          <cell r="AB160" t="e">
            <v>#N/A</v>
          </cell>
          <cell r="AC160" t="e">
            <v>#N/A</v>
          </cell>
          <cell r="AD160" t="str">
            <v>0801-08</v>
          </cell>
          <cell r="AE16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1">
          <cell r="A161" t="str">
            <v>802-08</v>
          </cell>
          <cell r="B161">
            <v>4015</v>
          </cell>
          <cell r="C161" t="str">
            <v>DE.1.0.7.0</v>
          </cell>
          <cell r="D161" t="str">
            <v>300:58611</v>
          </cell>
          <cell r="E161">
            <v>42590.255567129629</v>
          </cell>
          <cell r="F161">
            <v>42590.256377314814</v>
          </cell>
          <cell r="G161">
            <v>1</v>
          </cell>
          <cell r="H161" t="str">
            <v>204:643</v>
          </cell>
          <cell r="I161">
            <v>42590.268634259257</v>
          </cell>
          <cell r="J161">
            <v>0</v>
          </cell>
          <cell r="K161" t="str">
            <v>4015/4016</v>
          </cell>
          <cell r="L161" t="str">
            <v>DAVIS</v>
          </cell>
          <cell r="M161">
            <v>1.2256944442924578E-2</v>
          </cell>
          <cell r="N161">
            <v>17.649999997811392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https://search-rtdc-monitor-bjffxe2xuh6vdkpspy63sjmuny.us-east-1.es.amazonaws.com/_plugin/kibana/#/discover/Steve-Slow-Train-Analysis-(2080s-and-2083s)?_g=(refreshInterval:(display:Off,section:0,value:0),time:(from:'2016-08-08 05:08:01-0600',mode:absolute,to:'2016-08-08 07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1</v>
          </cell>
          <cell r="Y161">
            <v>5.8611000000000004</v>
          </cell>
          <cell r="Z161">
            <v>6.4299999999999996E-2</v>
          </cell>
          <cell r="AA161">
            <v>5.7968000000000002</v>
          </cell>
          <cell r="AB161" t="e">
            <v>#N/A</v>
          </cell>
          <cell r="AC161" t="e">
            <v>#N/A</v>
          </cell>
          <cell r="AD161" t="str">
            <v>0802-08</v>
          </cell>
          <cell r="AE16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2">
          <cell r="A162" t="str">
            <v>803-08</v>
          </cell>
          <cell r="B162">
            <v>4040</v>
          </cell>
          <cell r="C162" t="str">
            <v>DE.1.0.7.0</v>
          </cell>
          <cell r="D162" t="str">
            <v>204:964</v>
          </cell>
          <cell r="E162">
            <v>42590.259456018517</v>
          </cell>
          <cell r="F162">
            <v>42590.260243055556</v>
          </cell>
          <cell r="G162">
            <v>1</v>
          </cell>
          <cell r="H162" t="str">
            <v>300:58886</v>
          </cell>
          <cell r="I162">
            <v>42590.275266203702</v>
          </cell>
          <cell r="J162">
            <v>0</v>
          </cell>
          <cell r="K162" t="str">
            <v>4039/4040</v>
          </cell>
          <cell r="L162" t="str">
            <v>GRASTON</v>
          </cell>
          <cell r="M162">
            <v>1.5023148145701271E-2</v>
          </cell>
          <cell r="N162">
            <v>21.63333332980983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https://search-rtdc-monitor-bjffxe2xuh6vdkpspy63sjmuny.us-east-1.es.amazonaws.com/_plugin/kibana/#/discover/Steve-Slow-Train-Analysis-(2080s-and-2083s)?_g=(refreshInterval:(display:Off,section:0,value:0),time:(from:'2016-08-08 05:13:37-0600',mode:absolute,to:'2016-08-08 07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2" t="str">
            <v>N</v>
          </cell>
          <cell r="X162">
            <v>1</v>
          </cell>
          <cell r="Y162">
            <v>9.64E-2</v>
          </cell>
          <cell r="Z162">
            <v>5.8886000000000003</v>
          </cell>
          <cell r="AA162">
            <v>5.7922000000000002</v>
          </cell>
          <cell r="AB162" t="e">
            <v>#N/A</v>
          </cell>
          <cell r="AC162" t="e">
            <v>#N/A</v>
          </cell>
          <cell r="AD162" t="str">
            <v>0803-08</v>
          </cell>
          <cell r="AE162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3">
          <cell r="A163" t="str">
            <v>804-08</v>
          </cell>
          <cell r="B163">
            <v>4039</v>
          </cell>
          <cell r="C163" t="str">
            <v>DE.1.0.7.0</v>
          </cell>
          <cell r="D163" t="str">
            <v>300:58572</v>
          </cell>
          <cell r="E163">
            <v>42590.276423611111</v>
          </cell>
          <cell r="F163">
            <v>42590.277418981481</v>
          </cell>
          <cell r="G163">
            <v>1</v>
          </cell>
          <cell r="H163" t="str">
            <v>204:680</v>
          </cell>
          <cell r="I163">
            <v>42590.288541666669</v>
          </cell>
          <cell r="J163">
            <v>0</v>
          </cell>
          <cell r="K163" t="str">
            <v>4039/4040</v>
          </cell>
          <cell r="L163" t="str">
            <v>GRASTON</v>
          </cell>
          <cell r="M163">
            <v>1.1122685187729076E-2</v>
          </cell>
          <cell r="N163">
            <v>16.016666670329869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https://search-rtdc-monitor-bjffxe2xuh6vdkpspy63sjmuny.us-east-1.es.amazonaws.com/_plugin/kibana/#/discover/Steve-Slow-Train-Analysis-(2080s-and-2083s)?_g=(refreshInterval:(display:Off,section:0,value:0),time:(from:'2016-08-08 05:38:03-0600',mode:absolute,to:'2016-08-08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3" t="str">
            <v>N</v>
          </cell>
          <cell r="X163">
            <v>1</v>
          </cell>
          <cell r="Y163">
            <v>5.8571999999999997</v>
          </cell>
          <cell r="Z163">
            <v>6.8000000000000005E-2</v>
          </cell>
          <cell r="AA163">
            <v>5.7892000000000001</v>
          </cell>
          <cell r="AB163" t="e">
            <v>#N/A</v>
          </cell>
          <cell r="AC163" t="e">
            <v>#N/A</v>
          </cell>
          <cell r="AD163" t="str">
            <v>0804-08</v>
          </cell>
          <cell r="AE163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4">
          <cell r="A164" t="str">
            <v>805-08</v>
          </cell>
          <cell r="B164">
            <v>4016</v>
          </cell>
          <cell r="C164" t="str">
            <v>DE.1.0.7.0</v>
          </cell>
          <cell r="D164" t="str">
            <v>204:930</v>
          </cell>
          <cell r="E164">
            <v>42590.281851851854</v>
          </cell>
          <cell r="F164">
            <v>42590.28261574074</v>
          </cell>
          <cell r="G164">
            <v>1</v>
          </cell>
          <cell r="H164" t="str">
            <v>300:58928</v>
          </cell>
          <cell r="I164">
            <v>42590.296168981484</v>
          </cell>
          <cell r="J164">
            <v>0</v>
          </cell>
          <cell r="K164" t="str">
            <v>4015/4016</v>
          </cell>
          <cell r="L164" t="str">
            <v>DAVIS</v>
          </cell>
          <cell r="M164">
            <v>1.3553240743931383E-2</v>
          </cell>
          <cell r="N164">
            <v>19.516666671261191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https://search-rtdc-monitor-bjffxe2xuh6vdkpspy63sjmuny.us-east-1.es.amazonaws.com/_plugin/kibana/#/discover/Steve-Slow-Train-Analysis-(2080s-and-2083s)?_g=(refreshInterval:(display:Off,section:0,value:0),time:(from:'2016-08-08 05:45:52-0600',mode:absolute,to:'2016-08-08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4" t="str">
            <v>N</v>
          </cell>
          <cell r="X164">
            <v>1</v>
          </cell>
          <cell r="Y164">
            <v>9.2999999999999999E-2</v>
          </cell>
          <cell r="Z164">
            <v>5.8928000000000003</v>
          </cell>
          <cell r="AA164">
            <v>5.7998000000000003</v>
          </cell>
          <cell r="AB164" t="e">
            <v>#N/A</v>
          </cell>
          <cell r="AC164" t="e">
            <v>#N/A</v>
          </cell>
          <cell r="AD164" t="str">
            <v>0805-08</v>
          </cell>
          <cell r="AE16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5">
          <cell r="A165" t="str">
            <v>806-08</v>
          </cell>
          <cell r="B165">
            <v>4015</v>
          </cell>
          <cell r="C165" t="str">
            <v>DE.1.0.7.0</v>
          </cell>
          <cell r="D165" t="str">
            <v>300:58615</v>
          </cell>
          <cell r="E165">
            <v>42590.297303240739</v>
          </cell>
          <cell r="F165">
            <v>42590.298055555555</v>
          </cell>
          <cell r="G165">
            <v>1</v>
          </cell>
          <cell r="H165" t="str">
            <v>204:645</v>
          </cell>
          <cell r="I165">
            <v>42590.310046296298</v>
          </cell>
          <cell r="J165">
            <v>0</v>
          </cell>
          <cell r="K165" t="str">
            <v>4015/4016</v>
          </cell>
          <cell r="L165" t="str">
            <v>DAVIS</v>
          </cell>
          <cell r="M165">
            <v>1.1990740742476191E-2</v>
          </cell>
          <cell r="N165">
            <v>17.266666669165716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https://search-rtdc-monitor-bjffxe2xuh6vdkpspy63sjmuny.us-east-1.es.amazonaws.com/_plugin/kibana/#/discover/Steve-Slow-Train-Analysis-(2080s-and-2083s)?_g=(refreshInterval:(display:Off,section:0,value:0),time:(from:'2016-08-08 06:08:07-0600',mode:absolute,to:'2016-08-08 08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5" t="str">
            <v>N</v>
          </cell>
          <cell r="X165">
            <v>1</v>
          </cell>
          <cell r="Y165">
            <v>5.8615000000000004</v>
          </cell>
          <cell r="Z165">
            <v>6.4500000000000002E-2</v>
          </cell>
          <cell r="AA165">
            <v>5.7970000000000006</v>
          </cell>
          <cell r="AB165" t="e">
            <v>#N/A</v>
          </cell>
          <cell r="AC165" t="e">
            <v>#N/A</v>
          </cell>
          <cell r="AD165" t="str">
            <v>0806-08</v>
          </cell>
          <cell r="AE16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6">
          <cell r="A166" t="str">
            <v>807-08</v>
          </cell>
          <cell r="B166">
            <v>4040</v>
          </cell>
          <cell r="C166" t="str">
            <v>DE.1.0.7.0</v>
          </cell>
          <cell r="D166" t="str">
            <v>204:958</v>
          </cell>
          <cell r="E166">
            <v>42590.303101851852</v>
          </cell>
          <cell r="F166">
            <v>42590.303796296299</v>
          </cell>
          <cell r="G166">
            <v>0</v>
          </cell>
          <cell r="H166" t="str">
            <v>300:58897</v>
          </cell>
          <cell r="I166">
            <v>42590.316122685188</v>
          </cell>
          <cell r="J166">
            <v>0</v>
          </cell>
          <cell r="K166" t="str">
            <v>4039/4040</v>
          </cell>
          <cell r="L166" t="str">
            <v>GRASTON</v>
          </cell>
          <cell r="M166">
            <v>1.2326388889050577E-2</v>
          </cell>
          <cell r="N166">
            <v>17.750000000232831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https://search-rtdc-monitor-bjffxe2xuh6vdkpspy63sjmuny.us-east-1.es.amazonaws.com/_plugin/kibana/#/discover/Steve-Slow-Train-Analysis-(2080s-and-2083s)?_g=(refreshInterval:(display:Off,section:0,value:0),time:(from:'2016-08-08 06:16:28-0600',mode:absolute,to:'2016-08-08 08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6" t="str">
            <v>N</v>
          </cell>
          <cell r="X166">
            <v>1</v>
          </cell>
          <cell r="Y166">
            <v>9.5799999999999996E-2</v>
          </cell>
          <cell r="Z166">
            <v>5.8897000000000004</v>
          </cell>
          <cell r="AA166">
            <v>5.7939000000000007</v>
          </cell>
          <cell r="AB166" t="e">
            <v>#N/A</v>
          </cell>
          <cell r="AC166" t="e">
            <v>#N/A</v>
          </cell>
          <cell r="AD166" t="str">
            <v>0807-08</v>
          </cell>
          <cell r="AE166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7">
          <cell r="A167" t="str">
            <v>808-08</v>
          </cell>
          <cell r="B167">
            <v>4039</v>
          </cell>
          <cell r="C167" t="str">
            <v>DE.1.0.7.0</v>
          </cell>
          <cell r="D167" t="str">
            <v>300:58581</v>
          </cell>
          <cell r="E167">
            <v>42590.317106481481</v>
          </cell>
          <cell r="F167">
            <v>42590.318067129629</v>
          </cell>
          <cell r="G167">
            <v>1</v>
          </cell>
          <cell r="H167" t="str">
            <v>300:57322</v>
          </cell>
          <cell r="I167">
            <v>42590.323113425926</v>
          </cell>
          <cell r="J167">
            <v>0</v>
          </cell>
          <cell r="K167" t="str">
            <v>4039/4040</v>
          </cell>
          <cell r="L167" t="str">
            <v>GRASTON</v>
          </cell>
          <cell r="M167">
            <v>5.0462962972233072E-3</v>
          </cell>
          <cell r="P167">
            <v>7.2666666680015624</v>
          </cell>
          <cell r="R167" t="str">
            <v>Onboard in-route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https://search-rtdc-monitor-bjffxe2xuh6vdkpspy63sjmuny.us-east-1.es.amazonaws.com/_plugin/kibana/#/discover/Steve-Slow-Train-Analysis-(2080s-and-2083s)?_g=(refreshInterval:(display:Off,section:0,value:0),time:(from:'2016-08-08 06:36:38-0600',mode:absolute,to:'2016-08-08 08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7" t="str">
            <v>Y</v>
          </cell>
          <cell r="X167">
            <v>1</v>
          </cell>
          <cell r="Y167">
            <v>5.8581000000000003</v>
          </cell>
          <cell r="Z167">
            <v>5.7321999999999997</v>
          </cell>
          <cell r="AA167">
            <v>0.12590000000000057</v>
          </cell>
          <cell r="AB167" t="e">
            <v>#N/A</v>
          </cell>
          <cell r="AC167" t="e">
            <v>#N/A</v>
          </cell>
          <cell r="AD167" t="str">
            <v>0808-08</v>
          </cell>
          <cell r="AE167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8">
          <cell r="A168" t="str">
            <v>809-08</v>
          </cell>
          <cell r="B168">
            <v>4016</v>
          </cell>
          <cell r="C168" t="str">
            <v>DE.1.0.7.0</v>
          </cell>
          <cell r="D168" t="str">
            <v>204:946</v>
          </cell>
          <cell r="E168">
            <v>42590.324016203704</v>
          </cell>
          <cell r="F168">
            <v>42590.324687499997</v>
          </cell>
          <cell r="G168">
            <v>0</v>
          </cell>
          <cell r="H168" t="str">
            <v>300:58929</v>
          </cell>
          <cell r="I168">
            <v>42590.337777777779</v>
          </cell>
          <cell r="J168">
            <v>0</v>
          </cell>
          <cell r="K168" t="str">
            <v>4015/4016</v>
          </cell>
          <cell r="L168" t="str">
            <v>DAVIS</v>
          </cell>
          <cell r="M168">
            <v>1.3090277781884652E-2</v>
          </cell>
          <cell r="N168">
            <v>18.850000005913898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https://search-rtdc-monitor-bjffxe2xuh6vdkpspy63sjmuny.us-east-1.es.amazonaws.com/_plugin/kibana/#/discover/Steve-Slow-Train-Analysis-(2080s-and-2083s)?_g=(refreshInterval:(display:Off,section:0,value:0),time:(from:'2016-08-08 06:46:35-0600',mode:absolute,to:'2016-08-08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N</v>
          </cell>
          <cell r="X168">
            <v>1</v>
          </cell>
          <cell r="Y168">
            <v>9.4600000000000004E-2</v>
          </cell>
          <cell r="Z168">
            <v>5.8929</v>
          </cell>
          <cell r="AA168">
            <v>5.7983000000000002</v>
          </cell>
          <cell r="AB168" t="e">
            <v>#N/A</v>
          </cell>
          <cell r="AC168" t="e">
            <v>#N/A</v>
          </cell>
          <cell r="AD168" t="str">
            <v>0809-08</v>
          </cell>
          <cell r="AE16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9">
          <cell r="A169" t="str">
            <v>810-08</v>
          </cell>
          <cell r="B169">
            <v>4015</v>
          </cell>
          <cell r="C169" t="str">
            <v>DE.1.0.7.0</v>
          </cell>
          <cell r="D169" t="str">
            <v>300:58615</v>
          </cell>
          <cell r="E169">
            <v>42590.338819444441</v>
          </cell>
          <cell r="F169">
            <v>42590.339687500003</v>
          </cell>
          <cell r="G169">
            <v>1</v>
          </cell>
          <cell r="H169" t="str">
            <v>204:663</v>
          </cell>
          <cell r="I169">
            <v>42590.352048611108</v>
          </cell>
          <cell r="J169">
            <v>0</v>
          </cell>
          <cell r="K169" t="str">
            <v>4015/4016</v>
          </cell>
          <cell r="L169" t="str">
            <v>DAVIS</v>
          </cell>
          <cell r="M169">
            <v>1.2361111104837619E-2</v>
          </cell>
          <cell r="N169">
            <v>17.799999990966171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https://search-rtdc-monitor-bjffxe2xuh6vdkpspy63sjmuny.us-east-1.es.amazonaws.com/_plugin/kibana/#/discover/Steve-Slow-Train-Analysis-(2080s-and-2083s)?_g=(refreshInterval:(display:Off,section:0,value:0),time:(from:'2016-08-08 07:07:54-0600',mode:absolute,to:'2016-08-08 09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N</v>
          </cell>
          <cell r="X169">
            <v>1</v>
          </cell>
          <cell r="Y169">
            <v>5.8615000000000004</v>
          </cell>
          <cell r="Z169">
            <v>6.6299999999999998E-2</v>
          </cell>
          <cell r="AA169">
            <v>5.7952000000000004</v>
          </cell>
          <cell r="AB169" t="e">
            <v>#N/A</v>
          </cell>
          <cell r="AC169" t="e">
            <v>#N/A</v>
          </cell>
          <cell r="AD169" t="str">
            <v>0810-08</v>
          </cell>
          <cell r="AE16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70">
          <cell r="A170" t="str">
            <v>811-08</v>
          </cell>
          <cell r="B170">
            <v>4031</v>
          </cell>
          <cell r="C170" t="str">
            <v>DE.1.0.7.0</v>
          </cell>
          <cell r="D170" t="str">
            <v>204:972</v>
          </cell>
          <cell r="E170">
            <v>42590.346805555557</v>
          </cell>
          <cell r="F170">
            <v>42590.347662037035</v>
          </cell>
          <cell r="G170">
            <v>1</v>
          </cell>
          <cell r="H170" t="str">
            <v>300:58912</v>
          </cell>
          <cell r="I170">
            <v>42590.358587962961</v>
          </cell>
          <cell r="J170">
            <v>0</v>
          </cell>
          <cell r="K170" t="str">
            <v>4031/4032</v>
          </cell>
          <cell r="L170" t="str">
            <v>GRASTON</v>
          </cell>
          <cell r="M170">
            <v>1.0925925926130731E-2</v>
          </cell>
          <cell r="N170">
            <v>15.733333333628252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https://search-rtdc-monitor-bjffxe2xuh6vdkpspy63sjmuny.us-east-1.es.amazonaws.com/_plugin/kibana/#/discover/Steve-Slow-Train-Analysis-(2080s-and-2083s)?_g=(refreshInterval:(display:Off,section:0,value:0),time:(from:'2016-08-08 07:19:24-0600',mode:absolute,to:'2016-08-08 09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0" t="str">
            <v>N</v>
          </cell>
          <cell r="X170">
            <v>1</v>
          </cell>
          <cell r="Y170">
            <v>9.7199999999999995E-2</v>
          </cell>
          <cell r="Z170">
            <v>5.8912000000000004</v>
          </cell>
          <cell r="AA170">
            <v>5.7940000000000005</v>
          </cell>
          <cell r="AB170" t="e">
            <v>#N/A</v>
          </cell>
          <cell r="AC170" t="e">
            <v>#N/A</v>
          </cell>
          <cell r="AD170" t="str">
            <v>0811-08</v>
          </cell>
          <cell r="AE17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1">
          <cell r="A171" t="str">
            <v>812-08</v>
          </cell>
          <cell r="B171">
            <v>4032</v>
          </cell>
          <cell r="C171" t="str">
            <v>DE.1.0.7.0</v>
          </cell>
          <cell r="D171" t="str">
            <v>300:58596</v>
          </cell>
          <cell r="E171">
            <v>42590.359606481485</v>
          </cell>
          <cell r="F171">
            <v>42590.360578703701</v>
          </cell>
          <cell r="G171">
            <v>1</v>
          </cell>
          <cell r="H171" t="str">
            <v>204:689</v>
          </cell>
          <cell r="I171">
            <v>42590.371921296297</v>
          </cell>
          <cell r="J171">
            <v>0</v>
          </cell>
          <cell r="K171" t="str">
            <v>4031/4032</v>
          </cell>
          <cell r="L171" t="str">
            <v>GRASTON</v>
          </cell>
          <cell r="M171">
            <v>1.1342592595610768E-2</v>
          </cell>
          <cell r="N171">
            <v>16.333333337679505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https://search-rtdc-monitor-bjffxe2xuh6vdkpspy63sjmuny.us-east-1.es.amazonaws.com/_plugin/kibana/#/discover/Steve-Slow-Train-Analysis-(2080s-and-2083s)?_g=(refreshInterval:(display:Off,section:0,value:0),time:(from:'2016-08-08 07:37:50-0600',mode:absolute,to:'2016-08-08 09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1" t="str">
            <v>N</v>
          </cell>
          <cell r="X171">
            <v>1</v>
          </cell>
          <cell r="Y171">
            <v>5.8596000000000004</v>
          </cell>
          <cell r="Z171">
            <v>6.8900000000000003E-2</v>
          </cell>
          <cell r="AA171">
            <v>5.7907000000000002</v>
          </cell>
          <cell r="AB171" t="e">
            <v>#N/A</v>
          </cell>
          <cell r="AC171" t="e">
            <v>#N/A</v>
          </cell>
          <cell r="AD171" t="str">
            <v>0812-08</v>
          </cell>
          <cell r="AE17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2">
          <cell r="A172" t="str">
            <v>813-08</v>
          </cell>
          <cell r="B172">
            <v>4031</v>
          </cell>
          <cell r="C172" t="str">
            <v>DE.1.0.7.0</v>
          </cell>
          <cell r="D172" t="str">
            <v>204:978</v>
          </cell>
          <cell r="E172">
            <v>42590.386701388888</v>
          </cell>
          <cell r="F172">
            <v>42590.387453703705</v>
          </cell>
          <cell r="G172">
            <v>1</v>
          </cell>
          <cell r="H172" t="str">
            <v>300:58907</v>
          </cell>
          <cell r="I172">
            <v>42590.399675925924</v>
          </cell>
          <cell r="J172">
            <v>0</v>
          </cell>
          <cell r="K172" t="str">
            <v>4031/4032</v>
          </cell>
          <cell r="L172" t="str">
            <v>GRASTON</v>
          </cell>
          <cell r="M172">
            <v>1.2222222219861578E-2</v>
          </cell>
          <cell r="N172">
            <v>17.599999996600673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https://search-rtdc-monitor-bjffxe2xuh6vdkpspy63sjmuny.us-east-1.es.amazonaws.com/_plugin/kibana/#/discover/Steve-Slow-Train-Analysis-(2080s-and-2083s)?_g=(refreshInterval:(display:Off,section:0,value:0),time:(from:'2016-08-08 08:16:51-0600',mode:absolute,to:'2016-08-08 10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2" t="str">
            <v>N</v>
          </cell>
          <cell r="X172">
            <v>1</v>
          </cell>
          <cell r="Y172">
            <v>9.7799999999999998E-2</v>
          </cell>
          <cell r="Z172">
            <v>5.8906999999999998</v>
          </cell>
          <cell r="AA172">
            <v>5.7928999999999995</v>
          </cell>
          <cell r="AB172" t="e">
            <v>#N/A</v>
          </cell>
          <cell r="AC172" t="e">
            <v>#N/A</v>
          </cell>
          <cell r="AD172" t="str">
            <v>0813-08</v>
          </cell>
          <cell r="AE17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3">
          <cell r="A173" t="str">
            <v>814-08</v>
          </cell>
          <cell r="B173">
            <v>4032</v>
          </cell>
          <cell r="C173" t="str">
            <v>DE.1.0.7.0</v>
          </cell>
          <cell r="D173" t="str">
            <v>300:58587</v>
          </cell>
          <cell r="E173">
            <v>42590.400833333333</v>
          </cell>
          <cell r="F173">
            <v>42590.401782407411</v>
          </cell>
          <cell r="G173">
            <v>1</v>
          </cell>
          <cell r="H173" t="str">
            <v>204:673</v>
          </cell>
          <cell r="I173">
            <v>42590.414722222224</v>
          </cell>
          <cell r="J173">
            <v>0</v>
          </cell>
          <cell r="K173" t="str">
            <v>4031/4032</v>
          </cell>
          <cell r="L173" t="str">
            <v>GRASTON</v>
          </cell>
          <cell r="M173">
            <v>1.2939814812853001E-2</v>
          </cell>
          <cell r="N173">
            <v>18.633333330508322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https://search-rtdc-monitor-bjffxe2xuh6vdkpspy63sjmuny.us-east-1.es.amazonaws.com/_plugin/kibana/#/discover/Steve-Slow-Train-Analysis-(2080s-and-2083s)?_g=(refreshInterval:(display:Off,section:0,value:0),time:(from:'2016-08-08 08:37:12-0600',mode:absolute,to:'2016-08-08 10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6.7299999999999999E-2</v>
          </cell>
          <cell r="AA173">
            <v>5.7913999999999994</v>
          </cell>
          <cell r="AB173" t="e">
            <v>#N/A</v>
          </cell>
          <cell r="AC173" t="e">
            <v>#N/A</v>
          </cell>
          <cell r="AD173" t="str">
            <v>0814-08</v>
          </cell>
          <cell r="AE17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4">
          <cell r="A174" t="str">
            <v>815-08</v>
          </cell>
          <cell r="B174">
            <v>4031</v>
          </cell>
          <cell r="C174" t="str">
            <v>DE.1.0.7.0</v>
          </cell>
          <cell r="D174" t="str">
            <v>204:972</v>
          </cell>
          <cell r="E174">
            <v>42590.428483796299</v>
          </cell>
          <cell r="F174">
            <v>42590.429201388892</v>
          </cell>
          <cell r="G174">
            <v>1</v>
          </cell>
          <cell r="H174" t="str">
            <v>300:58897</v>
          </cell>
          <cell r="I174">
            <v>42590.485532407409</v>
          </cell>
          <cell r="J174">
            <v>0</v>
          </cell>
          <cell r="K174" t="str">
            <v>4031/4032</v>
          </cell>
          <cell r="L174" t="str">
            <v>GRASTON</v>
          </cell>
          <cell r="M174">
            <v>5.6331018517084885E-2</v>
          </cell>
          <cell r="N174">
            <v>81.116666664602235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https://search-rtdc-monitor-bjffxe2xuh6vdkpspy63sjmuny.us-east-1.es.amazonaws.com/_plugin/kibana/#/discover/Steve-Slow-Train-Analysis-(2080s-and-2083s)?_g=(refreshInterval:(display:Off,section:0,value:0),time:(from:'2016-08-08 09:17:01-0600',mode:absolute,to:'2016-08-08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4" t="str">
            <v>N</v>
          </cell>
          <cell r="X174">
            <v>1</v>
          </cell>
          <cell r="Y174">
            <v>9.7199999999999995E-2</v>
          </cell>
          <cell r="Z174">
            <v>5.8897000000000004</v>
          </cell>
          <cell r="AA174">
            <v>5.7925000000000004</v>
          </cell>
          <cell r="AB174" t="e">
            <v>#N/A</v>
          </cell>
          <cell r="AC174" t="e">
            <v>#N/A</v>
          </cell>
          <cell r="AD174" t="str">
            <v>0815-08</v>
          </cell>
          <cell r="AE17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5">
          <cell r="A175" t="str">
            <v>816-08</v>
          </cell>
          <cell r="B175">
            <v>4032</v>
          </cell>
          <cell r="C175" t="str">
            <v>DE.1.0.7.0</v>
          </cell>
          <cell r="D175" t="str">
            <v>300:58632</v>
          </cell>
          <cell r="E175">
            <v>42590.442442129628</v>
          </cell>
          <cell r="F175">
            <v>42590.443171296298</v>
          </cell>
          <cell r="G175">
            <v>1</v>
          </cell>
          <cell r="H175" t="str">
            <v>204:684</v>
          </cell>
          <cell r="I175">
            <v>42590.455046296294</v>
          </cell>
          <cell r="J175">
            <v>1</v>
          </cell>
          <cell r="K175" t="str">
            <v>4031/4032</v>
          </cell>
          <cell r="L175" t="str">
            <v>GRASTON</v>
          </cell>
          <cell r="M175">
            <v>1.187499999650754E-2</v>
          </cell>
          <cell r="N175">
            <v>17.099999994970858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5" t="str">
            <v>N</v>
          </cell>
          <cell r="X175">
            <v>1</v>
          </cell>
          <cell r="Y175">
            <v>5.8632</v>
          </cell>
          <cell r="Z175">
            <v>6.8400000000000002E-2</v>
          </cell>
          <cell r="AA175">
            <v>5.7948000000000004</v>
          </cell>
          <cell r="AB175" t="e">
            <v>#N/A</v>
          </cell>
          <cell r="AC175" t="e">
            <v>#N/A</v>
          </cell>
          <cell r="AD175" t="str">
            <v>0816-08</v>
          </cell>
          <cell r="AE17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6">
          <cell r="A176" t="str">
            <v>817-08</v>
          </cell>
          <cell r="B176">
            <v>4031</v>
          </cell>
          <cell r="C176" t="str">
            <v>DE.1.0.7.0</v>
          </cell>
          <cell r="D176" t="str">
            <v>204:976</v>
          </cell>
          <cell r="E176">
            <v>42590.470034722224</v>
          </cell>
          <cell r="F176">
            <v>42590.470960648148</v>
          </cell>
          <cell r="G176">
            <v>1</v>
          </cell>
          <cell r="H176" t="str">
            <v>300:58897</v>
          </cell>
          <cell r="I176">
            <v>42590.485532407409</v>
          </cell>
          <cell r="J176">
            <v>0</v>
          </cell>
          <cell r="K176" t="str">
            <v>4031/4032</v>
          </cell>
          <cell r="L176" t="str">
            <v>GRASTON</v>
          </cell>
          <cell r="M176">
            <v>1.4571759260434192E-2</v>
          </cell>
          <cell r="N176">
            <v>20.983333335025236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https://search-rtdc-monitor-bjffxe2xuh6vdkpspy63sjmuny.us-east-1.es.amazonaws.com/_plugin/kibana/#/discover/Steve-Slow-Train-Analysis-(2080s-and-2083s)?_g=(refreshInterval:(display:Off,section:0,value:0),time:(from:'2016-08-08 10:16:51-0600',mode:absolute,to:'2016-08-08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6" t="str">
            <v>N</v>
          </cell>
          <cell r="X176">
            <v>1</v>
          </cell>
          <cell r="Y176">
            <v>9.7600000000000006E-2</v>
          </cell>
          <cell r="Z176">
            <v>5.8897000000000004</v>
          </cell>
          <cell r="AA176">
            <v>5.7921000000000005</v>
          </cell>
          <cell r="AB176" t="e">
            <v>#N/A</v>
          </cell>
          <cell r="AC176" t="e">
            <v>#N/A</v>
          </cell>
          <cell r="AD176" t="str">
            <v>0817-08</v>
          </cell>
          <cell r="AE17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7">
          <cell r="A177" t="str">
            <v>818-08</v>
          </cell>
          <cell r="B177">
            <v>4032</v>
          </cell>
          <cell r="C177" t="str">
            <v>DE.1.0.7.0</v>
          </cell>
          <cell r="D177" t="str">
            <v>300:58587</v>
          </cell>
          <cell r="E177">
            <v>42590.486250000002</v>
          </cell>
          <cell r="F177">
            <v>42590.487129629626</v>
          </cell>
          <cell r="G177">
            <v>1</v>
          </cell>
          <cell r="H177" t="str">
            <v>204:685</v>
          </cell>
          <cell r="I177">
            <v>42590.497118055559</v>
          </cell>
          <cell r="J177">
            <v>0</v>
          </cell>
          <cell r="K177" t="str">
            <v>4031/4032</v>
          </cell>
          <cell r="L177" t="str">
            <v>GRASTON</v>
          </cell>
          <cell r="M177">
            <v>9.9884259325335734E-3</v>
          </cell>
          <cell r="N177">
            <v>14.383333342848346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https://search-rtdc-monitor-bjffxe2xuh6vdkpspy63sjmuny.us-east-1.es.amazonaws.com/_plugin/kibana/#/discover/Steve-Slow-Train-Analysis-(2080s-and-2083s)?_g=(refreshInterval:(display:Off,section:0,value:0),time:(from:'2016-08-08 10:40:12-0600',mode:absolute,to:'2016-08-08 12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7" t="str">
            <v>N</v>
          </cell>
          <cell r="X177">
            <v>1</v>
          </cell>
          <cell r="Y177">
            <v>5.8586999999999998</v>
          </cell>
          <cell r="Z177">
            <v>6.8500000000000005E-2</v>
          </cell>
          <cell r="AA177">
            <v>5.7901999999999996</v>
          </cell>
          <cell r="AB177" t="e">
            <v>#N/A</v>
          </cell>
          <cell r="AC177" t="e">
            <v>#N/A</v>
          </cell>
          <cell r="AD177" t="str">
            <v>0818-08</v>
          </cell>
          <cell r="AE17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8">
          <cell r="A178" t="str">
            <v>819-08</v>
          </cell>
          <cell r="B178">
            <v>4031</v>
          </cell>
          <cell r="C178" t="str">
            <v>DE.1.0.7.0</v>
          </cell>
          <cell r="D178" t="str">
            <v>204:976</v>
          </cell>
          <cell r="E178">
            <v>42590.512754629628</v>
          </cell>
          <cell r="F178">
            <v>42590.513796296298</v>
          </cell>
          <cell r="G178">
            <v>1</v>
          </cell>
          <cell r="H178" t="str">
            <v>300:58907</v>
          </cell>
          <cell r="I178">
            <v>42590.524398148147</v>
          </cell>
          <cell r="J178">
            <v>0</v>
          </cell>
          <cell r="K178" t="str">
            <v>4031/4032</v>
          </cell>
          <cell r="L178" t="str">
            <v>GRASTON</v>
          </cell>
          <cell r="M178">
            <v>1.060185184906004E-2</v>
          </cell>
          <cell r="N178">
            <v>15.266666662646458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https://search-rtdc-monitor-bjffxe2xuh6vdkpspy63sjmuny.us-east-1.es.amazonaws.com/_plugin/kibana/#/discover/Steve-Slow-Train-Analysis-(2080s-and-2083s)?_g=(refreshInterval:(display:Off,section:0,value:0),time:(from:'2016-08-08 11:18:22-0600',mode:absolute,to:'2016-08-08 13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8" t="str">
            <v>N</v>
          </cell>
          <cell r="X178">
            <v>1</v>
          </cell>
          <cell r="Y178">
            <v>9.7600000000000006E-2</v>
          </cell>
          <cell r="Z178">
            <v>5.8906999999999998</v>
          </cell>
          <cell r="AA178">
            <v>5.7930999999999999</v>
          </cell>
          <cell r="AB178" t="e">
            <v>#N/A</v>
          </cell>
          <cell r="AC178" t="e">
            <v>#N/A</v>
          </cell>
          <cell r="AD178" t="str">
            <v>0819-08</v>
          </cell>
          <cell r="AE17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9">
          <cell r="A179" t="str">
            <v>820-08</v>
          </cell>
          <cell r="B179">
            <v>4032</v>
          </cell>
          <cell r="C179" t="str">
            <v>DE.1.0.7.0</v>
          </cell>
          <cell r="D179" t="str">
            <v>300:58585</v>
          </cell>
          <cell r="E179">
            <v>42590.525555555556</v>
          </cell>
          <cell r="F179">
            <v>42590.526655092595</v>
          </cell>
          <cell r="G179">
            <v>1</v>
          </cell>
          <cell r="H179" t="str">
            <v>204:685</v>
          </cell>
          <cell r="I179">
            <v>42590.538414351853</v>
          </cell>
          <cell r="J179">
            <v>0</v>
          </cell>
          <cell r="K179" t="str">
            <v>4031/4032</v>
          </cell>
          <cell r="L179" t="str">
            <v>GRASTON</v>
          </cell>
          <cell r="M179">
            <v>1.1759259257814847E-2</v>
          </cell>
          <cell r="N179">
            <v>16.93333333125338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https://search-rtdc-monitor-bjffxe2xuh6vdkpspy63sjmuny.us-east-1.es.amazonaws.com/_plugin/kibana/#/discover/Steve-Slow-Train-Analysis-(2080s-and-2083s)?_g=(refreshInterval:(display:Off,section:0,value:0),time:(from:'2016-08-08 11:36:48-0600',mode:absolute,to:'2016-08-08 13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9" t="str">
            <v>N</v>
          </cell>
          <cell r="X179">
            <v>1</v>
          </cell>
          <cell r="Y179">
            <v>5.8585000000000003</v>
          </cell>
          <cell r="Z179">
            <v>6.8500000000000005E-2</v>
          </cell>
          <cell r="AA179">
            <v>5.79</v>
          </cell>
          <cell r="AB179" t="e">
            <v>#N/A</v>
          </cell>
          <cell r="AC179" t="e">
            <v>#N/A</v>
          </cell>
          <cell r="AD179" t="str">
            <v>0820-08</v>
          </cell>
          <cell r="AE17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0">
          <cell r="A180" t="str">
            <v>821-08</v>
          </cell>
          <cell r="B180">
            <v>4031</v>
          </cell>
          <cell r="C180" t="str">
            <v>DE.1.0.7.0</v>
          </cell>
          <cell r="D180" t="str">
            <v>204:976</v>
          </cell>
          <cell r="E180">
            <v>42590.547615740739</v>
          </cell>
          <cell r="F180">
            <v>42590.549131944441</v>
          </cell>
          <cell r="G180">
            <v>2</v>
          </cell>
          <cell r="H180" t="str">
            <v>300:58860</v>
          </cell>
          <cell r="I180">
            <v>42590.566967592589</v>
          </cell>
          <cell r="J180">
            <v>0</v>
          </cell>
          <cell r="K180" t="str">
            <v>4031/4032</v>
          </cell>
          <cell r="L180" t="str">
            <v>HAITHCOX</v>
          </cell>
          <cell r="M180">
            <v>1.7835648148320615E-2</v>
          </cell>
          <cell r="N180">
            <v>25.683333333581686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https://search-rtdc-monitor-bjffxe2xuh6vdkpspy63sjmuny.us-east-1.es.amazonaws.com/_plugin/kibana/#/discover/Steve-Slow-Train-Analysis-(2080s-and-2083s)?_g=(refreshInterval:(display:Off,section:0,value:0),time:(from:'2016-08-08 12:08:34-0600',mode:absolute,to:'2016-08-08 14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0" t="str">
            <v>N</v>
          </cell>
          <cell r="X180">
            <v>1</v>
          </cell>
          <cell r="Y180">
            <v>9.7600000000000006E-2</v>
          </cell>
          <cell r="Z180">
            <v>5.8860000000000001</v>
          </cell>
          <cell r="AA180">
            <v>5.7884000000000002</v>
          </cell>
          <cell r="AB180" t="e">
            <v>#N/A</v>
          </cell>
          <cell r="AC180" t="e">
            <v>#N/A</v>
          </cell>
          <cell r="AD180" t="str">
            <v>0821-08</v>
          </cell>
          <cell r="AE18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1">
          <cell r="A181" t="str">
            <v>822-08</v>
          </cell>
          <cell r="B181">
            <v>4032</v>
          </cell>
          <cell r="C181" t="str">
            <v>DE.1.0.7.0</v>
          </cell>
          <cell r="D181" t="str">
            <v>300:58525</v>
          </cell>
          <cell r="E181">
            <v>42590.56790509259</v>
          </cell>
          <cell r="F181">
            <v>42590.568923611114</v>
          </cell>
          <cell r="G181">
            <v>1</v>
          </cell>
          <cell r="H181" t="str">
            <v>204:663</v>
          </cell>
          <cell r="I181">
            <v>42590.582349537035</v>
          </cell>
          <cell r="J181">
            <v>0</v>
          </cell>
          <cell r="K181" t="str">
            <v>4031/4032</v>
          </cell>
          <cell r="L181" t="str">
            <v>HAITHCOX</v>
          </cell>
          <cell r="M181">
            <v>1.3425925921183079E-2</v>
          </cell>
          <cell r="N181">
            <v>19.333333326503634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https://search-rtdc-monitor-bjffxe2xuh6vdkpspy63sjmuny.us-east-1.es.amazonaws.com/_plugin/kibana/#/discover/Steve-Slow-Train-Analysis-(2080s-and-2083s)?_g=(refreshInterval:(display:Off,section:0,value:0),time:(from:'2016-08-08 12:37:47-0600',mode:absolute,to:'2016-08-08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1" t="str">
            <v>N</v>
          </cell>
          <cell r="X181">
            <v>1</v>
          </cell>
          <cell r="Y181">
            <v>5.8525</v>
          </cell>
          <cell r="Z181">
            <v>6.6299999999999998E-2</v>
          </cell>
          <cell r="AA181">
            <v>5.7862</v>
          </cell>
          <cell r="AB181" t="e">
            <v>#N/A</v>
          </cell>
          <cell r="AC181" t="e">
            <v>#N/A</v>
          </cell>
          <cell r="AD181" t="str">
            <v>0822-08</v>
          </cell>
          <cell r="AE18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2">
          <cell r="A182" t="str">
            <v>823-08</v>
          </cell>
          <cell r="B182">
            <v>4031</v>
          </cell>
          <cell r="C182" t="str">
            <v>DE.1.0.7.0</v>
          </cell>
          <cell r="D182" t="str">
            <v>204:958</v>
          </cell>
          <cell r="E182">
            <v>42590.591643518521</v>
          </cell>
          <cell r="F182">
            <v>42590.593032407407</v>
          </cell>
          <cell r="G182">
            <v>1</v>
          </cell>
          <cell r="H182" t="str">
            <v>300:58995</v>
          </cell>
          <cell r="I182">
            <v>42590.607743055552</v>
          </cell>
          <cell r="J182">
            <v>1</v>
          </cell>
          <cell r="K182" t="str">
            <v>4031/4032</v>
          </cell>
          <cell r="L182" t="str">
            <v>HAITHCOX</v>
          </cell>
          <cell r="M182">
            <v>1.4710648145410232E-2</v>
          </cell>
          <cell r="N182">
            <v>21.183333329390734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2" t="str">
            <v>N</v>
          </cell>
          <cell r="X182">
            <v>1</v>
          </cell>
          <cell r="Y182">
            <v>9.5799999999999996E-2</v>
          </cell>
          <cell r="Z182">
            <v>5.8994999999999997</v>
          </cell>
          <cell r="AA182">
            <v>5.8037000000000001</v>
          </cell>
          <cell r="AB182" t="e">
            <v>#N/A</v>
          </cell>
          <cell r="AC182" t="e">
            <v>#N/A</v>
          </cell>
          <cell r="AD182" t="str">
            <v>0823-08</v>
          </cell>
          <cell r="AE18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3">
          <cell r="A183" t="str">
            <v>824-08</v>
          </cell>
          <cell r="B183">
            <v>4032</v>
          </cell>
          <cell r="C183" t="str">
            <v>DE.1.0.7.0</v>
          </cell>
          <cell r="D183" t="str">
            <v>300:58675</v>
          </cell>
          <cell r="E183">
            <v>42590.609456018516</v>
          </cell>
          <cell r="F183">
            <v>42590.610277777778</v>
          </cell>
          <cell r="G183">
            <v>1</v>
          </cell>
          <cell r="H183" t="str">
            <v>204:661</v>
          </cell>
          <cell r="I183">
            <v>42590.62164351852</v>
          </cell>
          <cell r="J183">
            <v>0</v>
          </cell>
          <cell r="K183" t="str">
            <v>4031/4032</v>
          </cell>
          <cell r="L183" t="str">
            <v>HAITHCOX</v>
          </cell>
          <cell r="M183">
            <v>1.1365740741894115E-2</v>
          </cell>
          <cell r="N183">
            <v>16.366666668327525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https://search-rtdc-monitor-bjffxe2xuh6vdkpspy63sjmuny.us-east-1.es.amazonaws.com/_plugin/kibana/#/discover/Steve-Slow-Train-Analysis-(2080s-and-2083s)?_g=(refreshInterval:(display:Off,section:0,value:0),time:(from:'2016-08-08 13:37:37-0600',mode:absolute,to:'2016-08-08 15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3" t="str">
            <v>N</v>
          </cell>
          <cell r="X183">
            <v>1</v>
          </cell>
          <cell r="Y183">
            <v>5.8674999999999997</v>
          </cell>
          <cell r="Z183">
            <v>6.6100000000000006E-2</v>
          </cell>
          <cell r="AA183">
            <v>5.8014000000000001</v>
          </cell>
          <cell r="AB183" t="e">
            <v>#N/A</v>
          </cell>
          <cell r="AC183" t="e">
            <v>#N/A</v>
          </cell>
          <cell r="AD183" t="str">
            <v>0824-08</v>
          </cell>
          <cell r="AE18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4">
          <cell r="A184" t="str">
            <v>825-08</v>
          </cell>
          <cell r="B184">
            <v>4031</v>
          </cell>
          <cell r="C184" t="str">
            <v>DE.1.0.7.0</v>
          </cell>
          <cell r="D184" t="str">
            <v>204:981</v>
          </cell>
          <cell r="E184">
            <v>42590.634375000001</v>
          </cell>
          <cell r="F184">
            <v>42590.635682870372</v>
          </cell>
          <cell r="G184">
            <v>1</v>
          </cell>
          <cell r="H184" t="str">
            <v>300:58928</v>
          </cell>
          <cell r="I184">
            <v>42590.650821759256</v>
          </cell>
          <cell r="J184">
            <v>0</v>
          </cell>
          <cell r="K184" t="str">
            <v>4031/4032</v>
          </cell>
          <cell r="L184" t="str">
            <v>HAITHCOX</v>
          </cell>
          <cell r="M184">
            <v>1.5138888884393964E-2</v>
          </cell>
          <cell r="N184">
            <v>21.799999993527308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https://search-rtdc-monitor-bjffxe2xuh6vdkpspy63sjmuny.us-east-1.es.amazonaws.com/_plugin/kibana/#/discover/Steve-Slow-Train-Analysis-(2080s-and-2083s)?_g=(refreshInterval:(display:Off,section:0,value:0),time:(from:'2016-08-08 14:13:30-0600',mode:absolute,to:'2016-08-08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4" t="str">
            <v>N</v>
          </cell>
          <cell r="X184">
            <v>1</v>
          </cell>
          <cell r="Y184">
            <v>9.8100000000000007E-2</v>
          </cell>
          <cell r="Z184">
            <v>5.8928000000000003</v>
          </cell>
          <cell r="AA184">
            <v>5.7947000000000006</v>
          </cell>
          <cell r="AB184" t="e">
            <v>#N/A</v>
          </cell>
          <cell r="AC184" t="e">
            <v>#N/A</v>
          </cell>
          <cell r="AD184" t="str">
            <v>0825-08</v>
          </cell>
          <cell r="AE18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5">
          <cell r="A185" t="str">
            <v>826-08</v>
          </cell>
          <cell r="B185">
            <v>4032</v>
          </cell>
          <cell r="C185" t="str">
            <v>DE.1.0.7.0</v>
          </cell>
          <cell r="D185" t="str">
            <v>300:58617</v>
          </cell>
          <cell r="E185">
            <v>42590.651724537034</v>
          </cell>
          <cell r="F185">
            <v>42590.652870370373</v>
          </cell>
          <cell r="G185">
            <v>1</v>
          </cell>
          <cell r="H185" t="str">
            <v>204:745</v>
          </cell>
          <cell r="I185">
            <v>42590.664803240739</v>
          </cell>
          <cell r="J185">
            <v>1</v>
          </cell>
          <cell r="K185" t="str">
            <v>4031/4032</v>
          </cell>
          <cell r="L185" t="str">
            <v>HAITHCOX</v>
          </cell>
          <cell r="M185">
            <v>1.1932870365853887E-2</v>
          </cell>
          <cell r="N185">
            <v>17.183333326829597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5" t="str">
            <v>N</v>
          </cell>
          <cell r="X185">
            <v>1</v>
          </cell>
          <cell r="Y185">
            <v>5.8616999999999999</v>
          </cell>
          <cell r="Z185">
            <v>7.4499999999999997E-2</v>
          </cell>
          <cell r="AA185">
            <v>5.7872000000000003</v>
          </cell>
          <cell r="AB185" t="e">
            <v>#N/A</v>
          </cell>
          <cell r="AC185" t="e">
            <v>#N/A</v>
          </cell>
          <cell r="AD185" t="str">
            <v>0826-08</v>
          </cell>
          <cell r="AE18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6">
          <cell r="A186" t="str">
            <v>827-08</v>
          </cell>
          <cell r="B186">
            <v>4016</v>
          </cell>
          <cell r="C186" t="str">
            <v>DE.1.0.7.0</v>
          </cell>
          <cell r="D186" t="str">
            <v>204:967</v>
          </cell>
          <cell r="E186">
            <v>42590.66</v>
          </cell>
          <cell r="F186">
            <v>42590.661157407405</v>
          </cell>
          <cell r="G186">
            <v>1</v>
          </cell>
          <cell r="H186" t="str">
            <v>300:58980</v>
          </cell>
          <cell r="I186">
            <v>42590.672152777777</v>
          </cell>
          <cell r="J186">
            <v>0</v>
          </cell>
          <cell r="K186" t="str">
            <v>4015/4016</v>
          </cell>
          <cell r="L186" t="str">
            <v>COOLAHAN</v>
          </cell>
          <cell r="M186">
            <v>1.099537037225673E-2</v>
          </cell>
          <cell r="N186">
            <v>15.833333336049691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https://search-rtdc-monitor-bjffxe2xuh6vdkpspy63sjmuny.us-east-1.es.amazonaws.com/_plugin/kibana/#/discover/Steve-Slow-Train-Analysis-(2080s-and-2083s)?_g=(refreshInterval:(display:Off,section:0,value:0),time:(from:'2016-08-08 14:50:24-0600',mode:absolute,to:'2016-08-08 17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9.6699999999999994E-2</v>
          </cell>
          <cell r="Z186">
            <v>5.8979999999999997</v>
          </cell>
          <cell r="AA186">
            <v>5.8012999999999995</v>
          </cell>
          <cell r="AB186" t="e">
            <v>#N/A</v>
          </cell>
          <cell r="AC186" t="e">
            <v>#N/A</v>
          </cell>
          <cell r="AD186" t="str">
            <v>0827-08</v>
          </cell>
          <cell r="AE186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87">
          <cell r="A187" t="str">
            <v>828-08</v>
          </cell>
          <cell r="B187">
            <v>4015</v>
          </cell>
          <cell r="C187" t="str">
            <v>DE.1.0.7.0</v>
          </cell>
          <cell r="D187" t="str">
            <v>300:58675</v>
          </cell>
          <cell r="E187">
            <v>42590.673356481479</v>
          </cell>
          <cell r="F187">
            <v>42590.67454861111</v>
          </cell>
          <cell r="G187">
            <v>1</v>
          </cell>
          <cell r="H187" t="str">
            <v>204:668</v>
          </cell>
          <cell r="I187">
            <v>42590.685219907406</v>
          </cell>
          <cell r="J187">
            <v>0</v>
          </cell>
          <cell r="K187" t="str">
            <v>4015/4016</v>
          </cell>
          <cell r="L187" t="str">
            <v>COOLAHAN</v>
          </cell>
          <cell r="M187">
            <v>1.0671296295186039E-2</v>
          </cell>
          <cell r="N187">
            <v>15.366666665067896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https://search-rtdc-monitor-bjffxe2xuh6vdkpspy63sjmuny.us-east-1.es.amazonaws.com/_plugin/kibana/#/discover/Steve-Slow-Train-Analysis-(2080s-and-2083s)?_g=(refreshInterval:(display:Off,section:0,value:0),time:(from:'2016-08-08 15:09:38-0600',mode:absolute,to:'2016-08-08 17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5.8674999999999997</v>
          </cell>
          <cell r="Z187">
            <v>6.6799999999999998E-2</v>
          </cell>
          <cell r="AA187">
            <v>5.8007</v>
          </cell>
          <cell r="AB187" t="e">
            <v>#N/A</v>
          </cell>
          <cell r="AC187" t="e">
            <v>#N/A</v>
          </cell>
          <cell r="AD187" t="str">
            <v>0828-08</v>
          </cell>
          <cell r="AE187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88">
          <cell r="A188" t="str">
            <v>829-08</v>
          </cell>
          <cell r="B188">
            <v>4031</v>
          </cell>
          <cell r="C188" t="str">
            <v>DE.1.0.7.0</v>
          </cell>
          <cell r="D188" t="str">
            <v>204:1035</v>
          </cell>
          <cell r="E188">
            <v>42590.666898148149</v>
          </cell>
          <cell r="F188">
            <v>42590.667858796296</v>
          </cell>
          <cell r="G188">
            <v>1</v>
          </cell>
          <cell r="H188" t="str">
            <v>300:58912</v>
          </cell>
          <cell r="I188">
            <v>42590.691458333335</v>
          </cell>
          <cell r="J188">
            <v>1</v>
          </cell>
          <cell r="K188" t="str">
            <v>4031/4032</v>
          </cell>
          <cell r="L188" t="str">
            <v>HAITHCOX</v>
          </cell>
          <cell r="M188">
            <v>2.3599537038535345E-2</v>
          </cell>
          <cell r="N188">
            <v>33.983333335490897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8" t="str">
            <v>N</v>
          </cell>
          <cell r="X188">
            <v>1</v>
          </cell>
          <cell r="Y188">
            <v>0.10349999999999999</v>
          </cell>
          <cell r="Z188">
            <v>5.8912000000000004</v>
          </cell>
          <cell r="AA188">
            <v>5.7877000000000001</v>
          </cell>
          <cell r="AB188" t="e">
            <v>#N/A</v>
          </cell>
          <cell r="AC188" t="e">
            <v>#N/A</v>
          </cell>
          <cell r="AD188" t="str">
            <v>0829-08</v>
          </cell>
          <cell r="AE18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9">
          <cell r="A189" t="str">
            <v>830-08</v>
          </cell>
          <cell r="B189">
            <v>4032</v>
          </cell>
          <cell r="C189" t="str">
            <v>DE.1.0.7.0</v>
          </cell>
          <cell r="D189" t="str">
            <v>300:58589</v>
          </cell>
          <cell r="E189">
            <v>42590.692499999997</v>
          </cell>
          <cell r="F189">
            <v>42590.693599537037</v>
          </cell>
          <cell r="G189">
            <v>1</v>
          </cell>
          <cell r="H189" t="str">
            <v>204:666</v>
          </cell>
          <cell r="I189">
            <v>42590.705520833333</v>
          </cell>
          <cell r="J189">
            <v>0</v>
          </cell>
          <cell r="K189" t="str">
            <v>4031/4032</v>
          </cell>
          <cell r="L189" t="str">
            <v>HAITHCOX</v>
          </cell>
          <cell r="M189">
            <v>1.1921296296350192E-2</v>
          </cell>
          <cell r="N189">
            <v>17.166666666744277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https://search-rtdc-monitor-bjffxe2xuh6vdkpspy63sjmuny.us-east-1.es.amazonaws.com/_plugin/kibana/#/discover/Steve-Slow-Train-Analysis-(2080s-and-2083s)?_g=(refreshInterval:(display:Off,section:0,value:0),time:(from:'2016-08-08 15:37:12-0600',mode:absolute,to:'2016-08-08 17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9" t="str">
            <v>N</v>
          </cell>
          <cell r="X189">
            <v>1</v>
          </cell>
          <cell r="Y189">
            <v>5.8589000000000002</v>
          </cell>
          <cell r="Z189">
            <v>6.6600000000000006E-2</v>
          </cell>
          <cell r="AA189">
            <v>5.7923</v>
          </cell>
          <cell r="AB189" t="e">
            <v>#N/A</v>
          </cell>
          <cell r="AC189" t="e">
            <v>#N/A</v>
          </cell>
          <cell r="AD189" t="str">
            <v>0830-08</v>
          </cell>
          <cell r="AE18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0">
          <cell r="A190" t="str">
            <v>831-08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42590.698831018519</v>
          </cell>
          <cell r="F190">
            <v>42590.700127314813</v>
          </cell>
          <cell r="G190">
            <v>1</v>
          </cell>
          <cell r="H190" t="str">
            <v>300:59003</v>
          </cell>
          <cell r="I190">
            <v>42590.712581018517</v>
          </cell>
          <cell r="J190">
            <v>0</v>
          </cell>
          <cell r="K190" t="str">
            <v>4015/4016</v>
          </cell>
          <cell r="L190" t="str">
            <v>COOLAHAN</v>
          </cell>
          <cell r="M190">
            <v>1.2453703704522923E-2</v>
          </cell>
          <cell r="N190">
            <v>17.933333334513009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https://search-rtdc-monitor-bjffxe2xuh6vdkpspy63sjmuny.us-east-1.es.amazonaws.com/_plugin/kibana/#/discover/Steve-Slow-Train-Analysis-(2080s-and-2083s)?_g=(refreshInterval:(display:Off,section:0,value:0),time:(from:'2016-08-08 15:46:19-0600',mode:absolute,to:'2016-08-08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5.9002999999999997</v>
          </cell>
          <cell r="AA190">
            <v>5.8024999999999993</v>
          </cell>
          <cell r="AB190" t="e">
            <v>#N/A</v>
          </cell>
          <cell r="AC190" t="e">
            <v>#N/A</v>
          </cell>
          <cell r="AD190" t="str">
            <v>0831-08</v>
          </cell>
          <cell r="AE19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1">
          <cell r="A191" t="str">
            <v>832-08</v>
          </cell>
          <cell r="B191">
            <v>4015</v>
          </cell>
          <cell r="C191" t="str">
            <v>DE.1.0.7.0</v>
          </cell>
          <cell r="D191" t="str">
            <v>300:58687</v>
          </cell>
          <cell r="E191">
            <v>42590.713368055556</v>
          </cell>
          <cell r="F191">
            <v>42590.714525462965</v>
          </cell>
          <cell r="G191">
            <v>1</v>
          </cell>
          <cell r="H191" t="str">
            <v>204:759</v>
          </cell>
          <cell r="I191">
            <v>42590.726458333331</v>
          </cell>
          <cell r="J191">
            <v>1</v>
          </cell>
          <cell r="K191" t="str">
            <v>4015/4016</v>
          </cell>
          <cell r="L191" t="str">
            <v>COOLAHAN</v>
          </cell>
          <cell r="M191">
            <v>1.1932870365853887E-2</v>
          </cell>
          <cell r="N191">
            <v>17.183333326829597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5.8686999999999996</v>
          </cell>
          <cell r="Z191">
            <v>7.5899999999999995E-2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0832-08</v>
          </cell>
          <cell r="AE19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2">
          <cell r="A192" t="str">
            <v>833-08</v>
          </cell>
          <cell r="B192">
            <v>4031</v>
          </cell>
          <cell r="C192" t="str">
            <v>DE.1.0.7.0</v>
          </cell>
          <cell r="D192" t="str">
            <v>204:967</v>
          </cell>
          <cell r="E192">
            <v>42590.706886574073</v>
          </cell>
          <cell r="F192">
            <v>42590.707789351851</v>
          </cell>
          <cell r="G192">
            <v>1</v>
          </cell>
          <cell r="H192" t="str">
            <v>300:58918</v>
          </cell>
          <cell r="I192">
            <v>42590.732719907406</v>
          </cell>
          <cell r="J192">
            <v>0</v>
          </cell>
          <cell r="K192" t="str">
            <v>4031/4032</v>
          </cell>
          <cell r="L192" t="str">
            <v>HAITHCOX</v>
          </cell>
          <cell r="M192">
            <v>2.4930555555329192E-2</v>
          </cell>
          <cell r="N192">
            <v>35.899999999674037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https://search-rtdc-monitor-bjffxe2xuh6vdkpspy63sjmuny.us-east-1.es.amazonaws.com/_plugin/kibana/#/discover/Steve-Slow-Train-Analysis-(2080s-and-2083s)?_g=(refreshInterval:(display:Off,section:0,value:0),time:(from:'2016-08-08 15:57:55-0600',mode:absolute,to:'2016-08-08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2" t="str">
            <v>N</v>
          </cell>
          <cell r="X192">
            <v>1</v>
          </cell>
          <cell r="Y192">
            <v>9.6699999999999994E-2</v>
          </cell>
          <cell r="Z192">
            <v>5.8917999999999999</v>
          </cell>
          <cell r="AA192">
            <v>5.7950999999999997</v>
          </cell>
          <cell r="AB192" t="e">
            <v>#N/A</v>
          </cell>
          <cell r="AC192" t="e">
            <v>#N/A</v>
          </cell>
          <cell r="AD192" t="str">
            <v>0833-08</v>
          </cell>
          <cell r="AE19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3">
          <cell r="A193" t="str">
            <v>834-08</v>
          </cell>
          <cell r="B193">
            <v>4032</v>
          </cell>
          <cell r="C193" t="str">
            <v>DE.1.0.7.0</v>
          </cell>
          <cell r="D193" t="str">
            <v>300:58596</v>
          </cell>
          <cell r="E193">
            <v>42590.733680555553</v>
          </cell>
          <cell r="F193">
            <v>42590.734803240739</v>
          </cell>
          <cell r="G193">
            <v>1</v>
          </cell>
          <cell r="H193" t="str">
            <v>204:699</v>
          </cell>
          <cell r="I193">
            <v>42590.747499999998</v>
          </cell>
          <cell r="J193">
            <v>0</v>
          </cell>
          <cell r="K193" t="str">
            <v>4031/4032</v>
          </cell>
          <cell r="L193" t="str">
            <v>HAITHCOX</v>
          </cell>
          <cell r="M193">
            <v>1.2696759258687962E-2</v>
          </cell>
          <cell r="N193">
            <v>18.283333332510665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https://search-rtdc-monitor-bjffxe2xuh6vdkpspy63sjmuny.us-east-1.es.amazonaws.com/_plugin/kibana/#/discover/Steve-Slow-Train-Analysis-(2080s-and-2083s)?_g=(refreshInterval:(display:Off,section:0,value:0),time:(from:'2016-08-08 16:36:30-0600',mode:absolute,to:'2016-08-08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3" t="str">
            <v>N</v>
          </cell>
          <cell r="X193">
            <v>1</v>
          </cell>
          <cell r="Y193">
            <v>5.8596000000000004</v>
          </cell>
          <cell r="Z193">
            <v>6.9900000000000004E-2</v>
          </cell>
          <cell r="AA193">
            <v>5.7897000000000007</v>
          </cell>
          <cell r="AB193" t="e">
            <v>#N/A</v>
          </cell>
          <cell r="AC193" t="e">
            <v>#N/A</v>
          </cell>
          <cell r="AD193" t="str">
            <v>0834-08</v>
          </cell>
          <cell r="AE19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4">
          <cell r="A194" t="str">
            <v>835-08</v>
          </cell>
          <cell r="B194">
            <v>4016</v>
          </cell>
          <cell r="C194" t="str">
            <v>DE.1.0.7.0</v>
          </cell>
          <cell r="D194" t="str">
            <v>204:1039</v>
          </cell>
          <cell r="E194">
            <v>42590.740231481483</v>
          </cell>
          <cell r="F194">
            <v>42590.741446759261</v>
          </cell>
          <cell r="G194">
            <v>1</v>
          </cell>
          <cell r="H194" t="str">
            <v>300:59007</v>
          </cell>
          <cell r="I194">
            <v>42590.753472222219</v>
          </cell>
          <cell r="J194">
            <v>0</v>
          </cell>
          <cell r="K194" t="str">
            <v>4015/4016</v>
          </cell>
          <cell r="L194" t="str">
            <v>COOLAHAN</v>
          </cell>
          <cell r="M194">
            <v>1.2025462958263233E-2</v>
          </cell>
          <cell r="N194">
            <v>17.316666659899056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https://search-rtdc-monitor-bjffxe2xuh6vdkpspy63sjmuny.us-east-1.es.amazonaws.com/_plugin/kibana/#/discover/Steve-Slow-Train-Analysis-(2080s-and-2083s)?_g=(refreshInterval:(display:Off,section:0,value:0),time:(from:'2016-08-08 16:45:56-0600',mode:absolute,to:'2016-08-08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0.10390000000000001</v>
          </cell>
          <cell r="Z194">
            <v>5.9006999999999996</v>
          </cell>
          <cell r="AA194">
            <v>5.7967999999999993</v>
          </cell>
          <cell r="AB194" t="e">
            <v>#N/A</v>
          </cell>
          <cell r="AC194" t="e">
            <v>#N/A</v>
          </cell>
          <cell r="AD194" t="str">
            <v>0835-08</v>
          </cell>
          <cell r="AE19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5">
          <cell r="A195" t="str">
            <v>836-08</v>
          </cell>
          <cell r="B195">
            <v>4015</v>
          </cell>
          <cell r="C195" t="str">
            <v>DE.1.0.7.0</v>
          </cell>
          <cell r="D195" t="str">
            <v>300:58679</v>
          </cell>
          <cell r="E195">
            <v>42590.754479166666</v>
          </cell>
          <cell r="F195">
            <v>42590.755578703705</v>
          </cell>
          <cell r="G195">
            <v>1</v>
          </cell>
          <cell r="H195" t="str">
            <v>204:685</v>
          </cell>
          <cell r="I195">
            <v>42590.76766203704</v>
          </cell>
          <cell r="J195">
            <v>1</v>
          </cell>
          <cell r="K195" t="str">
            <v>4015/4016</v>
          </cell>
          <cell r="L195" t="str">
            <v>COOLAHAN</v>
          </cell>
          <cell r="M195">
            <v>1.2083333334885538E-2</v>
          </cell>
          <cell r="N195">
            <v>17.400000002235174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5.8678999999999997</v>
          </cell>
          <cell r="Z195">
            <v>6.8500000000000005E-2</v>
          </cell>
          <cell r="AA195">
            <v>5.7993999999999994</v>
          </cell>
          <cell r="AB195" t="e">
            <v>#N/A</v>
          </cell>
          <cell r="AC195" t="e">
            <v>#N/A</v>
          </cell>
          <cell r="AD195" t="str">
            <v>0836-08</v>
          </cell>
          <cell r="AE19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6">
          <cell r="A196" t="str">
            <v>837-08</v>
          </cell>
          <cell r="B196">
            <v>4031</v>
          </cell>
          <cell r="C196" t="str">
            <v>DE.1.0.7.0</v>
          </cell>
          <cell r="D196" t="str">
            <v>204:962</v>
          </cell>
          <cell r="E196">
            <v>42590.755601851852</v>
          </cell>
          <cell r="F196">
            <v>42590.756412037037</v>
          </cell>
          <cell r="G196">
            <v>1</v>
          </cell>
          <cell r="H196" t="str">
            <v>300:58931</v>
          </cell>
          <cell r="I196">
            <v>42590.774247685185</v>
          </cell>
          <cell r="J196">
            <v>0</v>
          </cell>
          <cell r="K196" t="str">
            <v>4031/4032</v>
          </cell>
          <cell r="L196" t="str">
            <v>HAITHCOX</v>
          </cell>
          <cell r="M196">
            <v>1.7835648148320615E-2</v>
          </cell>
          <cell r="N196">
            <v>25.683333333581686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17:08:04-0600',mode:absolute,to:'2016-08-08 19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N</v>
          </cell>
          <cell r="X196">
            <v>1</v>
          </cell>
          <cell r="Y196">
            <v>9.6199999999999994E-2</v>
          </cell>
          <cell r="Z196">
            <v>5.8930999999999996</v>
          </cell>
          <cell r="AA196">
            <v>5.7968999999999999</v>
          </cell>
          <cell r="AB196" t="e">
            <v>#N/A</v>
          </cell>
          <cell r="AC196" t="e">
            <v>#N/A</v>
          </cell>
          <cell r="AD196" t="str">
            <v>0837-08</v>
          </cell>
          <cell r="AE19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7">
          <cell r="A197" t="str">
            <v>838-08</v>
          </cell>
          <cell r="B197">
            <v>4032</v>
          </cell>
          <cell r="C197" t="str">
            <v>DE.1.0.7.0</v>
          </cell>
          <cell r="D197" t="str">
            <v>300:58604</v>
          </cell>
          <cell r="E197">
            <v>42590.775208333333</v>
          </cell>
          <cell r="F197">
            <v>42590.776180555556</v>
          </cell>
          <cell r="G197">
            <v>1</v>
          </cell>
          <cell r="H197" t="str">
            <v>204:673</v>
          </cell>
          <cell r="I197">
            <v>42590.788599537038</v>
          </cell>
          <cell r="J197">
            <v>0</v>
          </cell>
          <cell r="K197" t="str">
            <v>4031/4032</v>
          </cell>
          <cell r="L197" t="str">
            <v>HAITHCOX</v>
          </cell>
          <cell r="M197">
            <v>1.2418981481459923E-2</v>
          </cell>
          <cell r="N197">
            <v>17.883333333302289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17:36:18-0600',mode:absolute,to:'2016-08-08 19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5.8604000000000003</v>
          </cell>
          <cell r="Z197">
            <v>6.7299999999999999E-2</v>
          </cell>
          <cell r="AA197">
            <v>5.7930999999999999</v>
          </cell>
          <cell r="AB197" t="e">
            <v>#N/A</v>
          </cell>
          <cell r="AC197" t="e">
            <v>#N/A</v>
          </cell>
          <cell r="AD197" t="str">
            <v>0838-08</v>
          </cell>
          <cell r="AE19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8">
          <cell r="A198" t="str">
            <v>839-08</v>
          </cell>
          <cell r="B198">
            <v>4016</v>
          </cell>
          <cell r="C198" t="str">
            <v>DE.1.0.7.0</v>
          </cell>
          <cell r="D198" t="str">
            <v>204:986</v>
          </cell>
          <cell r="E198">
            <v>42590.782256944447</v>
          </cell>
          <cell r="F198">
            <v>42590.783935185187</v>
          </cell>
          <cell r="G198">
            <v>2</v>
          </cell>
          <cell r="H198" t="str">
            <v>300:58922</v>
          </cell>
          <cell r="I198">
            <v>42590.795208333337</v>
          </cell>
          <cell r="J198">
            <v>1</v>
          </cell>
          <cell r="K198" t="str">
            <v>4015/4016</v>
          </cell>
          <cell r="L198" t="str">
            <v>COOLAHAN</v>
          </cell>
          <cell r="M198">
            <v>1.1273148149484769E-2</v>
          </cell>
          <cell r="N198">
            <v>16.233333335258067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9.8599999999999993E-2</v>
          </cell>
          <cell r="Z198">
            <v>5.8921999999999999</v>
          </cell>
          <cell r="AA198">
            <v>5.7935999999999996</v>
          </cell>
          <cell r="AB198" t="e">
            <v>#N/A</v>
          </cell>
          <cell r="AC198" t="e">
            <v>#N/A</v>
          </cell>
          <cell r="AD198" t="str">
            <v>0839-08</v>
          </cell>
          <cell r="AE19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9">
          <cell r="A199" t="str">
            <v>840-08</v>
          </cell>
          <cell r="B199">
            <v>4032</v>
          </cell>
          <cell r="C199" t="str">
            <v>DE.1.0.7.0</v>
          </cell>
          <cell r="D199" t="str">
            <v>300:58613</v>
          </cell>
          <cell r="E199">
            <v>42590.817187499997</v>
          </cell>
          <cell r="F199">
            <v>42590.817893518521</v>
          </cell>
          <cell r="G199">
            <v>1</v>
          </cell>
          <cell r="H199" t="str">
            <v>204:671</v>
          </cell>
          <cell r="I199">
            <v>42590.830474537041</v>
          </cell>
          <cell r="J199">
            <v>0</v>
          </cell>
          <cell r="K199" t="str">
            <v>4031/4032</v>
          </cell>
          <cell r="L199" t="str">
            <v>HAITHCOX</v>
          </cell>
          <cell r="M199">
            <v>1.2581018519995268E-2</v>
          </cell>
          <cell r="N199">
            <v>18.116666668793187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18:36:45-0600',mode:absolute,to:'2016-08-08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6.7100000000000007E-2</v>
          </cell>
          <cell r="AA199">
            <v>5.7942</v>
          </cell>
          <cell r="AB199" t="e">
            <v>#N/A</v>
          </cell>
          <cell r="AC199" t="e">
            <v>#N/A</v>
          </cell>
          <cell r="AD199" t="str">
            <v>0840-08</v>
          </cell>
          <cell r="AE19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0">
          <cell r="A200" t="str">
            <v>841-08</v>
          </cell>
          <cell r="B200">
            <v>4031</v>
          </cell>
          <cell r="C200" t="str">
            <v>DE.1.0.7.0</v>
          </cell>
          <cell r="D200" t="str">
            <v>204:960</v>
          </cell>
          <cell r="E200">
            <v>42590.789710648147</v>
          </cell>
          <cell r="F200">
            <v>42590.790578703702</v>
          </cell>
          <cell r="G200">
            <v>1</v>
          </cell>
          <cell r="H200" t="str">
            <v>300:58929</v>
          </cell>
          <cell r="I200">
            <v>42590.816145833334</v>
          </cell>
          <cell r="J200">
            <v>0</v>
          </cell>
          <cell r="K200" t="str">
            <v>4031/4032</v>
          </cell>
          <cell r="L200" t="str">
            <v>HAITHCOX</v>
          </cell>
          <cell r="M200">
            <v>2.5567129632690921E-2</v>
          </cell>
          <cell r="N200">
            <v>36.816666671074927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https://search-rtdc-monitor-bjffxe2xuh6vdkpspy63sjmuny.us-east-1.es.amazonaws.com/_plugin/kibana/#/discover/Steve-Slow-Train-Analysis-(2080s-and-2083s)?_g=(refreshInterval:(display:Off,section:0,value:0),time:(from:'2016-08-08 17:57:11-0600',mode:absolute,to:'2016-08-08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9.6000000000000002E-2</v>
          </cell>
          <cell r="Z200">
            <v>5.8929</v>
          </cell>
          <cell r="AA200">
            <v>5.7968999999999999</v>
          </cell>
          <cell r="AB200" t="e">
            <v>#N/A</v>
          </cell>
          <cell r="AC200" t="e">
            <v>#N/A</v>
          </cell>
          <cell r="AD200" t="str">
            <v>0841-08</v>
          </cell>
          <cell r="AE20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1">
          <cell r="A201" t="str">
            <v>842-08</v>
          </cell>
          <cell r="B201">
            <v>4032</v>
          </cell>
          <cell r="C201" t="str">
            <v>DE.1.0.7.0</v>
          </cell>
          <cell r="D201" t="str">
            <v>300:58606</v>
          </cell>
          <cell r="E201">
            <v>42590.859224537038</v>
          </cell>
          <cell r="F201">
            <v>42590.86</v>
          </cell>
          <cell r="G201">
            <v>1</v>
          </cell>
          <cell r="H201" t="str">
            <v>204:677</v>
          </cell>
          <cell r="I201">
            <v>42590.872187499997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1.2187499996798579E-2</v>
          </cell>
          <cell r="N201">
            <v>17.549999995389953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https://search-rtdc-monitor-bjffxe2xuh6vdkpspy63sjmuny.us-east-1.es.amazonaws.com/_plugin/kibana/#/discover/Steve-Slow-Train-Analysis-(2080s-and-2083s)?_g=(refreshInterval:(display:Off,section:0,value:0),time:(from:'2016-08-08 19:37:17-0600',mode:absolute,to:'2016-08-08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5.8605999999999998</v>
          </cell>
          <cell r="Z201">
            <v>6.7699999999999996E-2</v>
          </cell>
          <cell r="AA201">
            <v>5.7928999999999995</v>
          </cell>
          <cell r="AB201" t="e">
            <v>#N/A</v>
          </cell>
          <cell r="AC201" t="e">
            <v>#N/A</v>
          </cell>
          <cell r="AD201" t="str">
            <v>0842-08</v>
          </cell>
          <cell r="AE20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2">
          <cell r="A202" t="str">
            <v>843-08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42590.8434837963</v>
          </cell>
          <cell r="F202">
            <v>42590.844409722224</v>
          </cell>
          <cell r="G202">
            <v>1</v>
          </cell>
          <cell r="H202" t="str">
            <v>300:58926</v>
          </cell>
          <cell r="I202">
            <v>42590.858206018522</v>
          </cell>
          <cell r="J202">
            <v>0</v>
          </cell>
          <cell r="K202" t="str">
            <v>4031/4032</v>
          </cell>
          <cell r="L202" t="str">
            <v>HAITHCOX</v>
          </cell>
          <cell r="M202">
            <v>1.3796296298096422E-2</v>
          </cell>
          <cell r="N202">
            <v>19.866666669258848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https://search-rtdc-monitor-bjffxe2xuh6vdkpspy63sjmuny.us-east-1.es.amazonaws.com/_plugin/kibana/#/discover/Steve-Slow-Train-Analysis-(2080s-and-2083s)?_g=(refreshInterval:(display:Off,section:0,value:0),time:(from:'2016-08-08 19:14:37-0600',mode:absolute,to:'2016-08-08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5.8925999999999998</v>
          </cell>
          <cell r="AA202">
            <v>5.7951999999999995</v>
          </cell>
          <cell r="AB202" t="e">
            <v>#N/A</v>
          </cell>
          <cell r="AC202" t="e">
            <v>#N/A</v>
          </cell>
          <cell r="AD202" t="str">
            <v>0843-08</v>
          </cell>
          <cell r="AE20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3">
          <cell r="A203" t="str">
            <v>844-08</v>
          </cell>
          <cell r="B203">
            <v>4032</v>
          </cell>
          <cell r="C203" t="str">
            <v>DE.1.0.7.0</v>
          </cell>
          <cell r="D203" t="str">
            <v>300:58664</v>
          </cell>
          <cell r="E203">
            <v>42590.901909722219</v>
          </cell>
          <cell r="F203">
            <v>42590.903055555558</v>
          </cell>
          <cell r="G203">
            <v>1</v>
          </cell>
          <cell r="H203" t="str">
            <v>204:710</v>
          </cell>
          <cell r="I203">
            <v>42590.914537037039</v>
          </cell>
          <cell r="J203">
            <v>1</v>
          </cell>
          <cell r="K203" t="str">
            <v>4031/4032</v>
          </cell>
          <cell r="L203" t="str">
            <v>COOLAHAN</v>
          </cell>
          <cell r="M203">
            <v>1.1481481480586808E-2</v>
          </cell>
          <cell r="N203">
            <v>16.533333332045004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5.8663999999999996</v>
          </cell>
          <cell r="Z203">
            <v>7.0999999999999994E-2</v>
          </cell>
          <cell r="AA203">
            <v>5.7953999999999999</v>
          </cell>
          <cell r="AB203" t="e">
            <v>#N/A</v>
          </cell>
          <cell r="AC203" t="e">
            <v>#N/A</v>
          </cell>
          <cell r="AD203" t="str">
            <v>0844-08</v>
          </cell>
          <cell r="AE20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4">
          <cell r="A204" t="str">
            <v>845-08</v>
          </cell>
          <cell r="B204">
            <v>4031</v>
          </cell>
          <cell r="C204" t="str">
            <v>DE.1.0.7.0</v>
          </cell>
          <cell r="D204" t="str">
            <v>204:974</v>
          </cell>
          <cell r="E204">
            <v>42590.881828703707</v>
          </cell>
          <cell r="F204">
            <v>42590.883125</v>
          </cell>
          <cell r="G204">
            <v>1</v>
          </cell>
          <cell r="H204" t="str">
            <v>300:58978</v>
          </cell>
          <cell r="I204">
            <v>42590.901076388887</v>
          </cell>
          <cell r="J204">
            <v>1</v>
          </cell>
          <cell r="K204" t="str">
            <v>4031/4032</v>
          </cell>
          <cell r="L204" t="str">
            <v>COOLAHAN</v>
          </cell>
          <cell r="M204">
            <v>1.7951388887013309E-2</v>
          </cell>
          <cell r="N204">
            <v>25.849999997299165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9.74E-2</v>
          </cell>
          <cell r="Z204">
            <v>5.8978000000000002</v>
          </cell>
          <cell r="AA204">
            <v>5.8003999999999998</v>
          </cell>
          <cell r="AB204" t="e">
            <v>#N/A</v>
          </cell>
          <cell r="AC204" t="e">
            <v>#N/A</v>
          </cell>
          <cell r="AD204" t="str">
            <v>0845-08</v>
          </cell>
          <cell r="AE20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5">
          <cell r="A205" t="str">
            <v>847-08</v>
          </cell>
          <cell r="B205">
            <v>4031</v>
          </cell>
          <cell r="C205" t="str">
            <v>DE.1.0.7.0</v>
          </cell>
          <cell r="D205" t="str">
            <v>204:1002</v>
          </cell>
          <cell r="E205">
            <v>42590.92728009259</v>
          </cell>
          <cell r="F205">
            <v>42590.928668981483</v>
          </cell>
          <cell r="G205">
            <v>2</v>
          </cell>
          <cell r="H205" t="str">
            <v>300:59009</v>
          </cell>
          <cell r="I205">
            <v>42590.941990740743</v>
          </cell>
          <cell r="J205">
            <v>0</v>
          </cell>
          <cell r="K205" t="str">
            <v>4031/4032</v>
          </cell>
          <cell r="L205" t="str">
            <v>COOLAHAN</v>
          </cell>
          <cell r="M205">
            <v>1.3321759259270038E-2</v>
          </cell>
          <cell r="N205">
            <v>19.183333333348855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https://search-rtdc-monitor-bjffxe2xuh6vdkpspy63sjmuny.us-east-1.es.amazonaws.com/_plugin/kibana/#/discover/Steve-Slow-Train-Analysis-(2080s-and-2083s)?_g=(refreshInterval:(display:Off,section:0,value:0),time:(from:'2016-08-08 21:15:17-0600',mode:absolute,to:'2016-08-08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0.1002</v>
          </cell>
          <cell r="Z205">
            <v>5.9009</v>
          </cell>
          <cell r="AA205">
            <v>5.8007</v>
          </cell>
          <cell r="AB205" t="e">
            <v>#N/A</v>
          </cell>
          <cell r="AC205" t="e">
            <v>#N/A</v>
          </cell>
          <cell r="AD205" t="str">
            <v>0847-08</v>
          </cell>
          <cell r="AE205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6">
          <cell r="A206" t="str">
            <v>303-08</v>
          </cell>
          <cell r="B206">
            <v>4038</v>
          </cell>
          <cell r="C206" t="str">
            <v>DE.1.0.7.0</v>
          </cell>
          <cell r="D206" t="str">
            <v>204:453</v>
          </cell>
          <cell r="E206">
            <v>42590.796319444446</v>
          </cell>
          <cell r="F206">
            <v>42590.797500000001</v>
          </cell>
          <cell r="G206">
            <v>1</v>
          </cell>
          <cell r="H206" t="str">
            <v>300:23306</v>
          </cell>
          <cell r="I206">
            <v>42590.807071759256</v>
          </cell>
          <cell r="J206">
            <v>0</v>
          </cell>
          <cell r="K206" t="str">
            <v>4037/4038</v>
          </cell>
          <cell r="L206" t="str">
            <v>MAYBERRY</v>
          </cell>
          <cell r="M206">
            <v>9.5717592557775788E-3</v>
          </cell>
          <cell r="N206">
            <v>13.783333328319713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https://search-rtdc-monitor-bjffxe2xuh6vdkpspy63sjmuny.us-east-1.es.amazonaws.com/_plugin/kibana/#/discover/Steve-Slow-Train-Analysis-(2080s-and-2083s)?_g=(refreshInterval:(display:Off,section:0,value:0),time:(from:'2016-08-08 18:06:42-0600',mode:absolute,to:'2016-08-08 20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6" t="str">
            <v>Y</v>
          </cell>
          <cell r="X206">
            <v>-544</v>
          </cell>
          <cell r="Y206">
            <v>4.53E-2</v>
          </cell>
          <cell r="Z206">
            <v>2.3306</v>
          </cell>
          <cell r="AA206">
            <v>2.2852999999999999</v>
          </cell>
          <cell r="AB206" t="e">
            <v>#N/A</v>
          </cell>
          <cell r="AC206" t="e">
            <v>#N/A</v>
          </cell>
          <cell r="AD206" t="str">
            <v>0303-08</v>
          </cell>
          <cell r="AE206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07">
          <cell r="A207" t="str">
            <v>309-08</v>
          </cell>
          <cell r="B207">
            <v>4029</v>
          </cell>
          <cell r="C207" t="str">
            <v>DE.1.0.7.0</v>
          </cell>
          <cell r="D207" t="str">
            <v>204:471</v>
          </cell>
          <cell r="E207">
            <v>42591.028634259259</v>
          </cell>
          <cell r="F207">
            <v>42591.029456018521</v>
          </cell>
          <cell r="G207">
            <v>1</v>
          </cell>
          <cell r="H207" t="str">
            <v>300:23299</v>
          </cell>
          <cell r="I207">
            <v>42591.037280092591</v>
          </cell>
          <cell r="J207">
            <v>0</v>
          </cell>
          <cell r="K207" t="str">
            <v>4029/4030</v>
          </cell>
          <cell r="L207" t="str">
            <v>ISHMAEL</v>
          </cell>
          <cell r="M207">
            <v>7.8240740695036948E-3</v>
          </cell>
          <cell r="N207">
            <v>11.26666666008532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https://search-rtdc-monitor-bjffxe2xuh6vdkpspy63sjmuny.us-east-1.es.amazonaws.com/_plugin/kibana/#/discover/Steve-Slow-Train-Analysis-(2080s-and-2083s)?_g=(refreshInterval:(display:Off,section:0,value:0),time:(from:'2016-08-08 23:41:14-0600',mode:absolute,to:'2016-08-09 01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6</v>
          </cell>
          <cell r="Y207">
            <v>4.7100000000000003E-2</v>
          </cell>
          <cell r="Z207">
            <v>2.3298999999999999</v>
          </cell>
          <cell r="AA207">
            <v>2.2827999999999999</v>
          </cell>
          <cell r="AB207" t="e">
            <v>#N/A</v>
          </cell>
          <cell r="AC207" t="e">
            <v>#N/A</v>
          </cell>
          <cell r="AD207" t="str">
            <v>0309-08</v>
          </cell>
          <cell r="AE207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8">
          <cell r="A208" t="str">
            <v>311-08</v>
          </cell>
          <cell r="B208">
            <v>4007</v>
          </cell>
          <cell r="C208" t="str">
            <v>DE.1.0.7.0</v>
          </cell>
          <cell r="D208" t="str">
            <v>204:466</v>
          </cell>
          <cell r="E208">
            <v>42591.04965277778</v>
          </cell>
          <cell r="F208">
            <v>42591.05064814815</v>
          </cell>
          <cell r="G208">
            <v>1</v>
          </cell>
          <cell r="H208" t="str">
            <v>300:22975</v>
          </cell>
          <cell r="I208">
            <v>42591.055844907409</v>
          </cell>
          <cell r="J208">
            <v>0</v>
          </cell>
          <cell r="K208" t="str">
            <v>4007/4008</v>
          </cell>
          <cell r="L208" t="str">
            <v>NEWELL</v>
          </cell>
          <cell r="M208">
            <v>5.1967592589790002E-3</v>
          </cell>
          <cell r="N208">
            <v>7.4833333329297602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00:11:30-0600',mode:absolute,to:'2016-08-09 02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8" t="str">
            <v>Y</v>
          </cell>
          <cell r="X208">
            <v>2</v>
          </cell>
          <cell r="Y208">
            <v>4.6600000000000003E-2</v>
          </cell>
          <cell r="Z208">
            <v>2.2974999999999999</v>
          </cell>
          <cell r="AA208">
            <v>2.2508999999999997</v>
          </cell>
          <cell r="AB208" t="e">
            <v>#N/A</v>
          </cell>
          <cell r="AC208" t="e">
            <v>#N/A</v>
          </cell>
          <cell r="AD208" t="str">
            <v>0311-08</v>
          </cell>
          <cell r="AE20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9">
          <cell r="A209" t="str">
            <v>313-08</v>
          </cell>
          <cell r="B209">
            <v>4020</v>
          </cell>
          <cell r="C209" t="str">
            <v>DE.1.0.7.0</v>
          </cell>
          <cell r="D209" t="str">
            <v>204:471</v>
          </cell>
          <cell r="E209">
            <v>42591.071122685185</v>
          </cell>
          <cell r="F209">
            <v>42591.07203703704</v>
          </cell>
          <cell r="G209">
            <v>1</v>
          </cell>
          <cell r="H209" t="str">
            <v>300:23299</v>
          </cell>
          <cell r="I209">
            <v>42591.080590277779</v>
          </cell>
          <cell r="J209">
            <v>0</v>
          </cell>
          <cell r="K209" t="str">
            <v>4019/4020</v>
          </cell>
          <cell r="L209" t="str">
            <v>CHANDLER</v>
          </cell>
          <cell r="M209">
            <v>8.55324073927477E-3</v>
          </cell>
          <cell r="N209">
            <v>12.316666664555669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00:42:25-0600',mode:absolute,to:'2016-08-09 02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9" t="str">
            <v>Y</v>
          </cell>
          <cell r="X209">
            <v>2</v>
          </cell>
          <cell r="Y209">
            <v>4.7100000000000003E-2</v>
          </cell>
          <cell r="Z209">
            <v>2.3298999999999999</v>
          </cell>
          <cell r="AA209">
            <v>2.2827999999999999</v>
          </cell>
          <cell r="AB209" t="e">
            <v>#N/A</v>
          </cell>
          <cell r="AC209" t="e">
            <v>#N/A</v>
          </cell>
          <cell r="AD209" t="str">
            <v>0313-08</v>
          </cell>
          <cell r="AE209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210">
          <cell r="A210" t="str">
            <v>315-07</v>
          </cell>
          <cell r="B210">
            <v>4018</v>
          </cell>
          <cell r="C210" t="str">
            <v>DE.1.0.7.0</v>
          </cell>
          <cell r="D210" t="str">
            <v>204:480</v>
          </cell>
          <cell r="E210">
            <v>42590.090416666666</v>
          </cell>
          <cell r="F210">
            <v>42590.091458333336</v>
          </cell>
          <cell r="G210">
            <v>1</v>
          </cell>
          <cell r="H210" t="str">
            <v>300:23306</v>
          </cell>
          <cell r="I210">
            <v>42590.098645833335</v>
          </cell>
          <cell r="J210">
            <v>0</v>
          </cell>
          <cell r="K210" t="str">
            <v>4017/4018</v>
          </cell>
          <cell r="L210" t="str">
            <v>CHANDLER</v>
          </cell>
          <cell r="M210">
            <v>7.1874999994179234E-3</v>
          </cell>
          <cell r="N210">
            <v>10.34999999916181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0" t="str">
            <v>Y</v>
          </cell>
          <cell r="X210">
            <v>2</v>
          </cell>
          <cell r="Y210">
            <v>4.8000000000000001E-2</v>
          </cell>
          <cell r="Z210">
            <v>2.3306</v>
          </cell>
          <cell r="AA210">
            <v>2.2826</v>
          </cell>
          <cell r="AB210" t="e">
            <v>#N/A</v>
          </cell>
          <cell r="AC210" t="e">
            <v>#N/A</v>
          </cell>
          <cell r="AD210" t="str">
            <v>0315-07</v>
          </cell>
          <cell r="AE210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11">
          <cell r="A211" t="str">
            <v>315-08</v>
          </cell>
          <cell r="B211">
            <v>4027</v>
          </cell>
          <cell r="C211" t="str">
            <v>DE.1.0.7.0</v>
          </cell>
          <cell r="D211" t="str">
            <v>204:519</v>
          </cell>
          <cell r="E211">
            <v>42591.089328703703</v>
          </cell>
          <cell r="F211">
            <v>42591.090081018519</v>
          </cell>
          <cell r="G211">
            <v>1</v>
          </cell>
          <cell r="H211" t="str">
            <v>300:23049</v>
          </cell>
          <cell r="I211">
            <v>42591.096203703702</v>
          </cell>
          <cell r="J211">
            <v>0</v>
          </cell>
          <cell r="K211" t="str">
            <v>4027/4028</v>
          </cell>
          <cell r="L211" t="str">
            <v>STORY</v>
          </cell>
          <cell r="M211">
            <v>6.1226851830724627E-3</v>
          </cell>
          <cell r="N211">
            <v>8.8166666636243463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1" t="str">
            <v>Y</v>
          </cell>
          <cell r="X211">
            <v>0</v>
          </cell>
          <cell r="Y211">
            <v>5.1900000000000002E-2</v>
          </cell>
          <cell r="Z211">
            <v>2.3048999999999999</v>
          </cell>
          <cell r="AA211">
            <v>2.2530000000000001</v>
          </cell>
          <cell r="AB211" t="e">
            <v>#N/A</v>
          </cell>
          <cell r="AC211" t="e">
            <v>#N/A</v>
          </cell>
          <cell r="AD211" t="str">
            <v>0315-08</v>
          </cell>
          <cell r="AE211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2">
          <cell r="A212" t="str">
            <v>901-08</v>
          </cell>
          <cell r="B212">
            <v>4016</v>
          </cell>
          <cell r="C212" t="str">
            <v>DE.1.0.7.0</v>
          </cell>
          <cell r="D212" t="str">
            <v>300:28563</v>
          </cell>
          <cell r="E212">
            <v>42590.196087962962</v>
          </cell>
          <cell r="F212">
            <v>42590.197314814817</v>
          </cell>
          <cell r="G212">
            <v>1</v>
          </cell>
          <cell r="H212" t="str">
            <v>300:28827</v>
          </cell>
          <cell r="I212">
            <v>42590.198217592595</v>
          </cell>
          <cell r="J212">
            <v>0</v>
          </cell>
          <cell r="K212" t="str">
            <v>4015/4016</v>
          </cell>
          <cell r="L212" t="str">
            <v>DAVIS</v>
          </cell>
          <cell r="M212">
            <v>9.0277777781011537E-4</v>
          </cell>
          <cell r="N212">
            <v>1.3000000000465661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https://search-rtdc-monitor-bjffxe2xuh6vdkpspy63sjmuny.us-east-1.es.amazonaws.com/_plugin/kibana/#/discover/Steve-Slow-Train-Analysis-(2080s-and-2083s)?_g=(refreshInterval:(display:Off,section:0,value:0),time:(from:'2016-08-08 03:42:22-0600',mode:absolute,to:'2016-08-08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2" t="str">
            <v>Y</v>
          </cell>
          <cell r="X212">
            <v>586</v>
          </cell>
          <cell r="Y212">
            <v>2.8563000000000001</v>
          </cell>
          <cell r="Z212">
            <v>2.8826999999999998</v>
          </cell>
          <cell r="AA212">
            <v>2.6399999999999757E-2</v>
          </cell>
          <cell r="AB212" t="e">
            <v>#N/A</v>
          </cell>
          <cell r="AC212" t="e">
            <v>#N/A</v>
          </cell>
          <cell r="AD212" t="str">
            <v>0901-08</v>
          </cell>
          <cell r="AE212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3">
          <cell r="A213" t="str">
            <v>901-08</v>
          </cell>
          <cell r="B213">
            <v>4016</v>
          </cell>
          <cell r="C213" t="str">
            <v>DE.1.0.7.0</v>
          </cell>
          <cell r="D213" t="str">
            <v>300:28566</v>
          </cell>
          <cell r="E213">
            <v>42590.190486111111</v>
          </cell>
          <cell r="F213">
            <v>42590.194780092592</v>
          </cell>
          <cell r="G213">
            <v>6</v>
          </cell>
          <cell r="H213" t="str">
            <v>300:28827</v>
          </cell>
          <cell r="I213">
            <v>42590.198217592595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3.4375000032014214E-3</v>
          </cell>
          <cell r="N213">
            <v>4.9500000046100467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https://search-rtdc-monitor-bjffxe2xuh6vdkpspy63sjmuny.us-east-1.es.amazonaws.com/_plugin/kibana/#/discover/Steve-Slow-Train-Analysis-(2080s-and-2083s)?_g=(refreshInterval:(display:Off,section:0,value:0),time:(from:'2016-08-08 03:34:18-0600',mode:absolute,to:'2016-08-08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0</v>
          </cell>
          <cell r="Y213">
            <v>2.8565999999999998</v>
          </cell>
          <cell r="Z213">
            <v>2.8826999999999998</v>
          </cell>
          <cell r="AA213">
            <v>2.6100000000000012E-2</v>
          </cell>
          <cell r="AB213" t="e">
            <v>#N/A</v>
          </cell>
          <cell r="AC213" t="e">
            <v>#N/A</v>
          </cell>
          <cell r="AD213" t="str">
            <v>0901-08</v>
          </cell>
          <cell r="AE213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4">
          <cell r="A214" t="str">
            <v>902-08</v>
          </cell>
          <cell r="B214">
            <v>4039</v>
          </cell>
          <cell r="C214" t="str">
            <v>DE.1.0.7.0</v>
          </cell>
          <cell r="D214" t="str">
            <v>300:22344</v>
          </cell>
          <cell r="E214">
            <v>42590.248020833336</v>
          </cell>
          <cell r="F214">
            <v>42590.25204861111</v>
          </cell>
          <cell r="G214">
            <v>5</v>
          </cell>
          <cell r="H214" t="str">
            <v>204:664</v>
          </cell>
          <cell r="I214">
            <v>42590.258217592593</v>
          </cell>
          <cell r="J214">
            <v>0</v>
          </cell>
          <cell r="K214" t="str">
            <v>4039/4040</v>
          </cell>
          <cell r="L214" t="str">
            <v>GRASTON</v>
          </cell>
          <cell r="M214">
            <v>6.1689814829151146E-3</v>
          </cell>
          <cell r="N214">
            <v>8.883333335397765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https://search-rtdc-monitor-bjffxe2xuh6vdkpspy63sjmuny.us-east-1.es.amazonaws.com/_plugin/kibana/#/discover/Steve-Slow-Train-Analysis-(2080s-and-2083s)?_g=(refreshInterval:(display:Off,section:0,value:0),time:(from:'2016-08-08 04:57:09-0600',mode:absolute,to:'2016-08-08 07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14" t="str">
            <v>Y</v>
          </cell>
          <cell r="X214">
            <v>1</v>
          </cell>
          <cell r="Y214">
            <v>2.2343999999999999</v>
          </cell>
          <cell r="Z214">
            <v>6.6400000000000001E-2</v>
          </cell>
          <cell r="AA214">
            <v>2.1680000000000001</v>
          </cell>
          <cell r="AB214" t="e">
            <v>#N/A</v>
          </cell>
          <cell r="AC214" t="e">
            <v>#N/A</v>
          </cell>
          <cell r="AD214" t="str">
            <v>0902-08</v>
          </cell>
          <cell r="AE214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215">
          <cell r="A215" t="str">
            <v>904-08</v>
          </cell>
          <cell r="B215">
            <v>4015</v>
          </cell>
          <cell r="C215" t="str">
            <v>DE.1.0.7.0</v>
          </cell>
          <cell r="D215" t="str">
            <v>300:22681</v>
          </cell>
          <cell r="E215">
            <v>42590.647199074076</v>
          </cell>
          <cell r="F215">
            <v>42590.651631944442</v>
          </cell>
          <cell r="G215">
            <v>6</v>
          </cell>
          <cell r="H215" t="str">
            <v>204:685</v>
          </cell>
          <cell r="I215">
            <v>42590.658159722225</v>
          </cell>
          <cell r="J215">
            <v>0</v>
          </cell>
          <cell r="K215" t="str">
            <v>4015/4016</v>
          </cell>
          <cell r="L215" t="str">
            <v>COOLAHAN</v>
          </cell>
          <cell r="M215">
            <v>6.5277777830488048E-3</v>
          </cell>
          <cell r="N215">
            <v>9.400000007590279</v>
          </cell>
          <cell r="S215">
            <v>1</v>
          </cell>
          <cell r="T215" t="str">
            <v>Southbound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https://search-rtdc-monitor-bjffxe2xuh6vdkpspy63sjmuny.us-east-1.es.amazonaws.com/_plugin/kibana/#/discover/Steve-Slow-Train-Analysis-(2080s-and-2083s)?_g=(refreshInterval:(display:Off,section:0,value:0),time:(from:'2016-08-08 14:31:58-0600',mode:absolute,to:'2016-08-08 16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5" t="str">
            <v>Y</v>
          </cell>
          <cell r="X215">
            <v>2</v>
          </cell>
          <cell r="Y215">
            <v>2.2681</v>
          </cell>
          <cell r="Z215">
            <v>6.8500000000000005E-2</v>
          </cell>
          <cell r="AA215">
            <v>2.1996000000000002</v>
          </cell>
          <cell r="AB215" t="e">
            <v>#N/A</v>
          </cell>
          <cell r="AC215" t="e">
            <v>#N/A</v>
          </cell>
          <cell r="AD215" t="str">
            <v>0904-08</v>
          </cell>
          <cell r="AE21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6">
          <cell r="A216" t="str">
            <v>906-08</v>
          </cell>
          <cell r="B216">
            <v>4015</v>
          </cell>
          <cell r="C216" t="str">
            <v>DE.1.0.7.0</v>
          </cell>
          <cell r="D216" t="str">
            <v>300:58688</v>
          </cell>
          <cell r="E216">
            <v>42590.797071759262</v>
          </cell>
          <cell r="F216">
            <v>42590.798611111109</v>
          </cell>
          <cell r="G216">
            <v>2</v>
          </cell>
          <cell r="H216" t="str">
            <v>300:28793</v>
          </cell>
          <cell r="I216">
            <v>42590.805995370371</v>
          </cell>
          <cell r="J216">
            <v>0</v>
          </cell>
          <cell r="K216" t="str">
            <v>4015/4016</v>
          </cell>
          <cell r="L216" t="str">
            <v>COOLAHAN</v>
          </cell>
          <cell r="M216">
            <v>7.3842592610162683E-3</v>
          </cell>
          <cell r="N216">
            <v>10.633333335863426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https://search-rtdc-monitor-bjffxe2xuh6vdkpspy63sjmuny.us-east-1.es.amazonaws.com/_plugin/kibana/#/discover/Steve-Slow-Train-Analysis-(2080s-and-2083s)?_g=(refreshInterval:(display:Off,section:0,value:0),time:(from:'2016-08-08 18:07:47-0600',mode:absolute,to:'2016-08-08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6" t="str">
            <v>Y</v>
          </cell>
          <cell r="X216">
            <v>2</v>
          </cell>
          <cell r="Y216">
            <v>5.8688000000000002</v>
          </cell>
          <cell r="Z216">
            <v>2.8793000000000002</v>
          </cell>
          <cell r="AA216">
            <v>2.9895</v>
          </cell>
          <cell r="AB216" t="e">
            <v>#N/A</v>
          </cell>
          <cell r="AC216" t="e">
            <v>#N/A</v>
          </cell>
          <cell r="AD216" t="str">
            <v>0906-08</v>
          </cell>
          <cell r="AE216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7">
          <cell r="A217" t="str">
            <v>908-08</v>
          </cell>
          <cell r="B217">
            <v>4032</v>
          </cell>
          <cell r="C217" t="str">
            <v>DE.1.0.7.0</v>
          </cell>
          <cell r="D217" t="str">
            <v>300:58691</v>
          </cell>
          <cell r="E217">
            <v>42590.942662037036</v>
          </cell>
          <cell r="F217">
            <v>42590.944201388891</v>
          </cell>
          <cell r="G217">
            <v>2</v>
          </cell>
          <cell r="H217" t="str">
            <v>300:21769</v>
          </cell>
          <cell r="I217">
            <v>42590.951840277776</v>
          </cell>
          <cell r="J217">
            <v>0</v>
          </cell>
          <cell r="K217" t="str">
            <v>4031/4032</v>
          </cell>
          <cell r="L217" t="str">
            <v>COOLAHAN</v>
          </cell>
          <cell r="M217">
            <v>7.6388888846850023E-3</v>
          </cell>
          <cell r="N217">
            <v>10.999999993946403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https://search-rtdc-monitor-bjffxe2xuh6vdkpspy63sjmuny.us-east-1.es.amazonaws.com/_plugin/kibana/#/discover/Steve-Slow-Train-Analysis-(2080s-and-2083s)?_g=(refreshInterval:(display:Off,section:0,value:0),time:(from:'2016-08-08 21:37:26-0600',mode:absolute,to:'2016-08-08 23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7" t="str">
            <v>Y</v>
          </cell>
          <cell r="X217">
            <v>2</v>
          </cell>
          <cell r="Y217">
            <v>5.8691000000000004</v>
          </cell>
          <cell r="Z217">
            <v>2.1768999999999998</v>
          </cell>
          <cell r="AA217">
            <v>3.6922000000000006</v>
          </cell>
          <cell r="AB217" t="e">
            <v>#N/A</v>
          </cell>
          <cell r="AC217" t="e">
            <v>#N/A</v>
          </cell>
          <cell r="AD217" t="str">
            <v>0908-08</v>
          </cell>
          <cell r="AE21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</sheetData>
      <sheetData sheetId="1" refreshError="1"/>
      <sheetData sheetId="2" refreshError="1"/>
      <sheetData sheetId="3">
        <row r="1">
          <cell r="C1" t="str">
            <v>242-07</v>
          </cell>
          <cell r="D1">
            <v>1810000</v>
          </cell>
          <cell r="E1" t="str">
            <v>NEWELL</v>
          </cell>
        </row>
        <row r="2">
          <cell r="C2" t="str">
            <v>311-07</v>
          </cell>
          <cell r="D2">
            <v>1290000</v>
          </cell>
          <cell r="E2" t="str">
            <v>COOLAHAN</v>
          </cell>
        </row>
        <row r="3">
          <cell r="C3" t="str">
            <v>244-07</v>
          </cell>
          <cell r="D3">
            <v>1800000</v>
          </cell>
          <cell r="E3" t="str">
            <v>CHANDLER</v>
          </cell>
        </row>
        <row r="4">
          <cell r="C4" t="str">
            <v>313-07</v>
          </cell>
          <cell r="D4">
            <v>1810000</v>
          </cell>
          <cell r="E4" t="str">
            <v>NEWELL</v>
          </cell>
        </row>
        <row r="5">
          <cell r="C5" t="str">
            <v>315-07</v>
          </cell>
          <cell r="D5">
            <v>1800000</v>
          </cell>
          <cell r="E5" t="str">
            <v>CHANDLER</v>
          </cell>
        </row>
        <row r="6">
          <cell r="C6" t="str">
            <v>101-08</v>
          </cell>
          <cell r="D6">
            <v>2110000</v>
          </cell>
          <cell r="E6" t="str">
            <v>OUN</v>
          </cell>
        </row>
        <row r="7">
          <cell r="C7" t="str">
            <v>103-08</v>
          </cell>
          <cell r="D7">
            <v>1480000</v>
          </cell>
          <cell r="E7" t="str">
            <v>STURGEON</v>
          </cell>
        </row>
        <row r="8">
          <cell r="C8" t="str">
            <v>105-08</v>
          </cell>
          <cell r="D8">
            <v>1100000</v>
          </cell>
          <cell r="E8" t="str">
            <v>GEBRETEKLE</v>
          </cell>
        </row>
        <row r="9">
          <cell r="C9" t="str">
            <v>105-08</v>
          </cell>
          <cell r="D9">
            <v>1100000</v>
          </cell>
          <cell r="E9" t="str">
            <v>GEBRETEKLE</v>
          </cell>
        </row>
        <row r="10">
          <cell r="C10" t="str">
            <v>102-08</v>
          </cell>
          <cell r="D10">
            <v>2110000</v>
          </cell>
          <cell r="E10" t="str">
            <v>OUN</v>
          </cell>
        </row>
        <row r="11">
          <cell r="C11" t="str">
            <v>104-08</v>
          </cell>
          <cell r="D11">
            <v>1480000</v>
          </cell>
          <cell r="E11" t="str">
            <v>STURGEON</v>
          </cell>
        </row>
        <row r="12">
          <cell r="C12" t="str">
            <v>107-08</v>
          </cell>
          <cell r="D12">
            <v>1090000</v>
          </cell>
          <cell r="E12" t="str">
            <v>SPECTOR</v>
          </cell>
        </row>
        <row r="13">
          <cell r="C13" t="str">
            <v>901-08</v>
          </cell>
          <cell r="D13">
            <v>1990000</v>
          </cell>
          <cell r="E13" t="str">
            <v>DAVIS</v>
          </cell>
        </row>
        <row r="14">
          <cell r="C14" t="str">
            <v>901-08</v>
          </cell>
          <cell r="D14">
            <v>1990000</v>
          </cell>
          <cell r="E14" t="str">
            <v>DAVIS</v>
          </cell>
        </row>
        <row r="15">
          <cell r="C15" t="str">
            <v>109-08</v>
          </cell>
          <cell r="D15">
            <v>1830000</v>
          </cell>
          <cell r="E15" t="str">
            <v>YORK</v>
          </cell>
        </row>
        <row r="16">
          <cell r="C16" t="str">
            <v>800-08</v>
          </cell>
          <cell r="D16">
            <v>1990000</v>
          </cell>
          <cell r="E16" t="str">
            <v>DAVIS</v>
          </cell>
        </row>
        <row r="17">
          <cell r="C17" t="str">
            <v>113-08</v>
          </cell>
          <cell r="D17">
            <v>2110000</v>
          </cell>
          <cell r="E17" t="str">
            <v>OUN</v>
          </cell>
        </row>
        <row r="18">
          <cell r="C18" t="str">
            <v>111-08</v>
          </cell>
          <cell r="D18">
            <v>1110000</v>
          </cell>
          <cell r="E18" t="str">
            <v>STARKS</v>
          </cell>
        </row>
        <row r="19">
          <cell r="C19" t="str">
            <v>106-08</v>
          </cell>
          <cell r="D19">
            <v>1100000</v>
          </cell>
          <cell r="E19" t="str">
            <v>GEBRETEKLE</v>
          </cell>
        </row>
        <row r="20">
          <cell r="C20" t="str">
            <v>108-08</v>
          </cell>
          <cell r="D20">
            <v>1090000</v>
          </cell>
          <cell r="E20" t="str">
            <v>SPECTOR</v>
          </cell>
        </row>
        <row r="21">
          <cell r="C21" t="str">
            <v>110-08</v>
          </cell>
          <cell r="D21">
            <v>1830000</v>
          </cell>
          <cell r="E21" t="str">
            <v>YORK</v>
          </cell>
        </row>
        <row r="22">
          <cell r="C22" t="str">
            <v>115-08</v>
          </cell>
          <cell r="D22">
            <v>1310000</v>
          </cell>
          <cell r="E22" t="str">
            <v>MALAVE</v>
          </cell>
        </row>
        <row r="23">
          <cell r="C23" t="str">
            <v>117-08</v>
          </cell>
          <cell r="D23">
            <v>1480000</v>
          </cell>
          <cell r="E23" t="str">
            <v>STURGEON</v>
          </cell>
        </row>
        <row r="24">
          <cell r="C24" t="str">
            <v>801-08</v>
          </cell>
          <cell r="D24">
            <v>1990000</v>
          </cell>
          <cell r="E24" t="str">
            <v>DAVIS</v>
          </cell>
        </row>
        <row r="25">
          <cell r="C25" t="str">
            <v>110-08</v>
          </cell>
          <cell r="D25">
            <v>1830000</v>
          </cell>
          <cell r="E25" t="str">
            <v>YORK</v>
          </cell>
        </row>
        <row r="26">
          <cell r="C26" t="str">
            <v>902-08</v>
          </cell>
          <cell r="D26">
            <v>1240000</v>
          </cell>
          <cell r="E26" t="str">
            <v>GRASTON</v>
          </cell>
        </row>
        <row r="27">
          <cell r="C27" t="str">
            <v>119-08</v>
          </cell>
          <cell r="D27">
            <v>1100000</v>
          </cell>
          <cell r="E27" t="str">
            <v>GEBRETEKLE</v>
          </cell>
        </row>
        <row r="28">
          <cell r="C28" t="str">
            <v>119-08</v>
          </cell>
          <cell r="D28">
            <v>1100000</v>
          </cell>
          <cell r="E28" t="str">
            <v>GEBRETEKLE</v>
          </cell>
        </row>
        <row r="29">
          <cell r="C29" t="str">
            <v>114-08</v>
          </cell>
          <cell r="D29">
            <v>2110000</v>
          </cell>
          <cell r="E29" t="str">
            <v>OUN</v>
          </cell>
        </row>
        <row r="30">
          <cell r="C30" t="str">
            <v>802-08</v>
          </cell>
          <cell r="D30">
            <v>1990000</v>
          </cell>
          <cell r="E30" t="str">
            <v>DAVIS</v>
          </cell>
        </row>
        <row r="31">
          <cell r="C31" t="str">
            <v>112-08</v>
          </cell>
          <cell r="D31">
            <v>1110000</v>
          </cell>
          <cell r="E31" t="str">
            <v>STARKS</v>
          </cell>
        </row>
        <row r="32">
          <cell r="C32" t="str">
            <v>803-08</v>
          </cell>
          <cell r="D32">
            <v>1240000</v>
          </cell>
          <cell r="E32" t="str">
            <v>GRASTON</v>
          </cell>
        </row>
        <row r="33">
          <cell r="C33" t="str">
            <v>121-08</v>
          </cell>
          <cell r="D33">
            <v>1090000</v>
          </cell>
          <cell r="E33" t="str">
            <v>SPECTOR</v>
          </cell>
        </row>
        <row r="34">
          <cell r="C34" t="str">
            <v>116-08</v>
          </cell>
          <cell r="D34">
            <v>1310000</v>
          </cell>
          <cell r="E34" t="str">
            <v>MALAVE</v>
          </cell>
        </row>
        <row r="35">
          <cell r="C35" t="str">
            <v>123-08</v>
          </cell>
          <cell r="D35">
            <v>730000</v>
          </cell>
          <cell r="E35" t="str">
            <v>HOMIK</v>
          </cell>
        </row>
        <row r="36">
          <cell r="C36" t="str">
            <v>118-08</v>
          </cell>
          <cell r="D36">
            <v>1480000</v>
          </cell>
          <cell r="E36" t="str">
            <v>STURGEON</v>
          </cell>
        </row>
        <row r="37">
          <cell r="C37" t="str">
            <v>804-08</v>
          </cell>
          <cell r="D37">
            <v>1240000</v>
          </cell>
          <cell r="E37" t="str">
            <v>GRASTON</v>
          </cell>
        </row>
        <row r="38">
          <cell r="C38" t="str">
            <v>125-08</v>
          </cell>
          <cell r="D38">
            <v>1110000</v>
          </cell>
          <cell r="E38" t="str">
            <v>STARKS</v>
          </cell>
        </row>
        <row r="39">
          <cell r="C39" t="str">
            <v>805-08</v>
          </cell>
          <cell r="D39">
            <v>1990000</v>
          </cell>
          <cell r="E39" t="str">
            <v>DAVIS</v>
          </cell>
        </row>
        <row r="40">
          <cell r="C40" t="str">
            <v>120-08</v>
          </cell>
          <cell r="D40">
            <v>1100000</v>
          </cell>
          <cell r="E40" t="str">
            <v>GEBRETEKLE</v>
          </cell>
        </row>
        <row r="41">
          <cell r="C41" t="str">
            <v>118-08</v>
          </cell>
          <cell r="D41">
            <v>1480000</v>
          </cell>
          <cell r="E41" t="str">
            <v>STURGEON</v>
          </cell>
        </row>
        <row r="42">
          <cell r="C42" t="str">
            <v>127-08</v>
          </cell>
          <cell r="D42">
            <v>2110000</v>
          </cell>
          <cell r="E42" t="str">
            <v>OUN</v>
          </cell>
        </row>
        <row r="43">
          <cell r="C43" t="str">
            <v>122-08</v>
          </cell>
          <cell r="D43">
            <v>1090000</v>
          </cell>
          <cell r="E43" t="str">
            <v>SPECTOR</v>
          </cell>
        </row>
        <row r="44">
          <cell r="C44" t="str">
            <v>806-08</v>
          </cell>
          <cell r="D44">
            <v>1990000</v>
          </cell>
          <cell r="E44" t="str">
            <v>DAVIS</v>
          </cell>
        </row>
        <row r="45">
          <cell r="C45" t="str">
            <v>124-08</v>
          </cell>
          <cell r="D45">
            <v>730000</v>
          </cell>
          <cell r="E45" t="str">
            <v>HOMIK</v>
          </cell>
        </row>
        <row r="46">
          <cell r="C46" t="str">
            <v>129-08</v>
          </cell>
          <cell r="D46">
            <v>1310000</v>
          </cell>
          <cell r="E46" t="str">
            <v>MALAVE</v>
          </cell>
        </row>
        <row r="47">
          <cell r="C47" t="str">
            <v>807-08</v>
          </cell>
          <cell r="D47">
            <v>1240000</v>
          </cell>
          <cell r="E47" t="str">
            <v>GRASTON</v>
          </cell>
        </row>
        <row r="48">
          <cell r="C48" t="str">
            <v>131-08</v>
          </cell>
          <cell r="D48">
            <v>1480000</v>
          </cell>
          <cell r="E48" t="str">
            <v>STURGEON</v>
          </cell>
        </row>
        <row r="49">
          <cell r="C49" t="str">
            <v>808-08</v>
          </cell>
          <cell r="D49">
            <v>1240000</v>
          </cell>
          <cell r="E49" t="str">
            <v>GRASTON</v>
          </cell>
        </row>
        <row r="50">
          <cell r="C50" t="str">
            <v>126-08</v>
          </cell>
          <cell r="D50">
            <v>1110000</v>
          </cell>
          <cell r="E50" t="str">
            <v>STARKS</v>
          </cell>
        </row>
        <row r="51">
          <cell r="C51" t="str">
            <v>133-08</v>
          </cell>
          <cell r="D51">
            <v>1100000</v>
          </cell>
          <cell r="E51" t="str">
            <v>GEBRETEKLE</v>
          </cell>
        </row>
        <row r="52">
          <cell r="C52" t="str">
            <v>809-08</v>
          </cell>
          <cell r="D52">
            <v>1990000</v>
          </cell>
          <cell r="E52" t="str">
            <v>DAVIS</v>
          </cell>
        </row>
        <row r="53">
          <cell r="C53" t="str">
            <v>128-08</v>
          </cell>
          <cell r="D53">
            <v>2110000</v>
          </cell>
          <cell r="E53" t="str">
            <v>OUN</v>
          </cell>
        </row>
        <row r="54">
          <cell r="C54" t="str">
            <v>135-08</v>
          </cell>
          <cell r="D54">
            <v>1090000</v>
          </cell>
          <cell r="E54" t="str">
            <v>SPECTOR</v>
          </cell>
        </row>
        <row r="55">
          <cell r="C55" t="str">
            <v>810-08</v>
          </cell>
          <cell r="D55">
            <v>1990000</v>
          </cell>
          <cell r="E55" t="str">
            <v>DAVIS</v>
          </cell>
        </row>
        <row r="56">
          <cell r="C56" t="str">
            <v>130-08</v>
          </cell>
          <cell r="D56">
            <v>1310000</v>
          </cell>
          <cell r="E56" t="str">
            <v>MALAVE</v>
          </cell>
        </row>
        <row r="57">
          <cell r="C57" t="str">
            <v>137-08</v>
          </cell>
          <cell r="D57">
            <v>1830000</v>
          </cell>
          <cell r="E57" t="str">
            <v>YORK</v>
          </cell>
        </row>
        <row r="58">
          <cell r="C58" t="str">
            <v>132-08</v>
          </cell>
          <cell r="D58">
            <v>1480000</v>
          </cell>
          <cell r="E58" t="str">
            <v>STURGEON</v>
          </cell>
        </row>
        <row r="59">
          <cell r="C59" t="str">
            <v>811-08</v>
          </cell>
          <cell r="D59">
            <v>1240000</v>
          </cell>
          <cell r="E59" t="str">
            <v>GRASTON</v>
          </cell>
        </row>
        <row r="60">
          <cell r="C60" t="str">
            <v>811-08</v>
          </cell>
          <cell r="D60">
            <v>1240000</v>
          </cell>
          <cell r="E60" t="str">
            <v>GRASTON</v>
          </cell>
        </row>
        <row r="61">
          <cell r="C61" t="str">
            <v>139-08</v>
          </cell>
          <cell r="D61">
            <v>1110000</v>
          </cell>
          <cell r="E61" t="str">
            <v>STARKS</v>
          </cell>
        </row>
        <row r="62">
          <cell r="C62" t="str">
            <v>134-08</v>
          </cell>
          <cell r="D62">
            <v>1100000</v>
          </cell>
          <cell r="E62" t="str">
            <v>GEBRETEKLE</v>
          </cell>
        </row>
        <row r="63">
          <cell r="C63" t="str">
            <v>812-08</v>
          </cell>
          <cell r="D63">
            <v>1240000</v>
          </cell>
          <cell r="E63" t="str">
            <v>GRASTON</v>
          </cell>
        </row>
        <row r="64">
          <cell r="C64" t="str">
            <v>141-08</v>
          </cell>
          <cell r="D64">
            <v>2110000</v>
          </cell>
          <cell r="E64" t="str">
            <v>OUN</v>
          </cell>
        </row>
        <row r="65">
          <cell r="C65" t="str">
            <v>136-08</v>
          </cell>
          <cell r="D65">
            <v>1090000</v>
          </cell>
          <cell r="E65" t="str">
            <v>SPECTOR</v>
          </cell>
        </row>
        <row r="66">
          <cell r="C66" t="str">
            <v>138-08</v>
          </cell>
          <cell r="D66">
            <v>1830000</v>
          </cell>
          <cell r="E66" t="str">
            <v>YORK</v>
          </cell>
        </row>
        <row r="67">
          <cell r="C67" t="str">
            <v>138-08</v>
          </cell>
          <cell r="D67">
            <v>1830000</v>
          </cell>
          <cell r="E67" t="str">
            <v>YORK</v>
          </cell>
        </row>
        <row r="68">
          <cell r="C68" t="str">
            <v>143-08</v>
          </cell>
          <cell r="D68">
            <v>1310000</v>
          </cell>
          <cell r="E68" t="str">
            <v>MALAVE</v>
          </cell>
        </row>
        <row r="69">
          <cell r="C69" t="str">
            <v>145-08</v>
          </cell>
          <cell r="D69">
            <v>1480000</v>
          </cell>
          <cell r="E69" t="str">
            <v>STURGEON</v>
          </cell>
        </row>
        <row r="70">
          <cell r="C70" t="str">
            <v>813-08</v>
          </cell>
          <cell r="D70">
            <v>1240000</v>
          </cell>
          <cell r="E70" t="str">
            <v>GRASTON</v>
          </cell>
        </row>
        <row r="71">
          <cell r="C71" t="str">
            <v>140-08</v>
          </cell>
          <cell r="D71">
            <v>1110000</v>
          </cell>
          <cell r="E71" t="str">
            <v>STARKS</v>
          </cell>
        </row>
        <row r="72">
          <cell r="C72" t="str">
            <v>147-08</v>
          </cell>
          <cell r="D72">
            <v>1100000</v>
          </cell>
          <cell r="E72" t="str">
            <v>GEBRETEKLE</v>
          </cell>
        </row>
        <row r="73">
          <cell r="C73" t="str">
            <v>142-08</v>
          </cell>
          <cell r="D73">
            <v>2110000</v>
          </cell>
          <cell r="E73" t="str">
            <v>OUN</v>
          </cell>
        </row>
        <row r="74">
          <cell r="C74" t="str">
            <v>814-08</v>
          </cell>
          <cell r="D74">
            <v>1240000</v>
          </cell>
          <cell r="E74" t="str">
            <v>GRASTON</v>
          </cell>
        </row>
        <row r="75">
          <cell r="C75" t="str">
            <v>149-08</v>
          </cell>
          <cell r="D75">
            <v>1090000</v>
          </cell>
          <cell r="E75" t="str">
            <v>SPECTOR</v>
          </cell>
        </row>
        <row r="76">
          <cell r="C76" t="str">
            <v>144-08</v>
          </cell>
          <cell r="D76">
            <v>1310000</v>
          </cell>
          <cell r="E76" t="str">
            <v>MALAVE</v>
          </cell>
        </row>
        <row r="77">
          <cell r="C77" t="str">
            <v>151-08</v>
          </cell>
          <cell r="D77">
            <v>730000</v>
          </cell>
          <cell r="E77" t="str">
            <v>HOMIK</v>
          </cell>
        </row>
        <row r="78">
          <cell r="C78" t="str">
            <v>146-08</v>
          </cell>
          <cell r="D78">
            <v>1480000</v>
          </cell>
          <cell r="E78" t="str">
            <v>STURGEON</v>
          </cell>
        </row>
        <row r="79">
          <cell r="C79" t="str">
            <v>153-08</v>
          </cell>
          <cell r="D79">
            <v>1110000</v>
          </cell>
          <cell r="E79" t="str">
            <v>STARKS</v>
          </cell>
        </row>
        <row r="80">
          <cell r="C80" t="str">
            <v>815-08</v>
          </cell>
          <cell r="D80">
            <v>1240000</v>
          </cell>
          <cell r="E80" t="str">
            <v>GRASTON</v>
          </cell>
        </row>
        <row r="81">
          <cell r="C81" t="str">
            <v>148-08</v>
          </cell>
          <cell r="D81">
            <v>1100000</v>
          </cell>
          <cell r="E81" t="str">
            <v>GEBRETEKLE</v>
          </cell>
        </row>
        <row r="82">
          <cell r="C82" t="str">
            <v>155-08</v>
          </cell>
          <cell r="D82">
            <v>1990000</v>
          </cell>
          <cell r="E82" t="str">
            <v>DAVIS</v>
          </cell>
        </row>
        <row r="83">
          <cell r="C83" t="str">
            <v>150-08</v>
          </cell>
          <cell r="D83">
            <v>1090000</v>
          </cell>
          <cell r="E83" t="str">
            <v>SPECTOR</v>
          </cell>
        </row>
        <row r="84">
          <cell r="C84" t="str">
            <v>816-08</v>
          </cell>
          <cell r="D84">
            <v>1240000</v>
          </cell>
          <cell r="E84" t="str">
            <v>GRASTON</v>
          </cell>
        </row>
        <row r="85">
          <cell r="C85" t="str">
            <v>152-08</v>
          </cell>
          <cell r="D85">
            <v>730000</v>
          </cell>
          <cell r="E85" t="str">
            <v>HOMIK</v>
          </cell>
        </row>
        <row r="86">
          <cell r="C86" t="str">
            <v>158-08</v>
          </cell>
          <cell r="D86">
            <v>1310000</v>
          </cell>
          <cell r="E86" t="str">
            <v>MALAVE</v>
          </cell>
        </row>
        <row r="87">
          <cell r="C87" t="str">
            <v>157-08</v>
          </cell>
          <cell r="D87">
            <v>1310000</v>
          </cell>
          <cell r="E87" t="str">
            <v>MALAVE</v>
          </cell>
        </row>
        <row r="88">
          <cell r="C88" t="str">
            <v>159-08</v>
          </cell>
          <cell r="D88">
            <v>880000</v>
          </cell>
          <cell r="E88" t="str">
            <v>STEWART</v>
          </cell>
        </row>
        <row r="89">
          <cell r="C89" t="str">
            <v>154-08</v>
          </cell>
          <cell r="D89">
            <v>1110000</v>
          </cell>
          <cell r="E89" t="str">
            <v>STARKS</v>
          </cell>
        </row>
        <row r="90">
          <cell r="C90" t="str">
            <v>154-08</v>
          </cell>
          <cell r="D90">
            <v>1110000</v>
          </cell>
          <cell r="E90" t="str">
            <v>STARKS</v>
          </cell>
        </row>
        <row r="91">
          <cell r="C91" t="str">
            <v>161-08</v>
          </cell>
          <cell r="D91">
            <v>1280000</v>
          </cell>
          <cell r="E91" t="str">
            <v>BARTLETT</v>
          </cell>
        </row>
        <row r="92">
          <cell r="C92" t="str">
            <v>817-08</v>
          </cell>
          <cell r="D92">
            <v>1240000</v>
          </cell>
          <cell r="E92" t="str">
            <v>GRASTON</v>
          </cell>
        </row>
        <row r="93">
          <cell r="C93" t="str">
            <v>156-08</v>
          </cell>
          <cell r="D93">
            <v>1990000</v>
          </cell>
          <cell r="E93" t="str">
            <v>DAVIS</v>
          </cell>
        </row>
        <row r="94">
          <cell r="C94" t="str">
            <v>163-08</v>
          </cell>
          <cell r="D94">
            <v>1740000</v>
          </cell>
          <cell r="E94" t="str">
            <v>STORY</v>
          </cell>
        </row>
        <row r="95">
          <cell r="C95" t="str">
            <v>158-08</v>
          </cell>
          <cell r="D95">
            <v>1310000</v>
          </cell>
          <cell r="E95" t="str">
            <v>MALAVE</v>
          </cell>
        </row>
        <row r="96">
          <cell r="C96" t="str">
            <v>165-08</v>
          </cell>
          <cell r="D96">
            <v>2150000</v>
          </cell>
          <cell r="E96" t="str">
            <v>SWANSON</v>
          </cell>
        </row>
        <row r="97">
          <cell r="C97" t="str">
            <v>818-08</v>
          </cell>
          <cell r="D97">
            <v>1240000</v>
          </cell>
          <cell r="E97" t="str">
            <v>GRASTON</v>
          </cell>
        </row>
        <row r="98">
          <cell r="C98" t="str">
            <v>160-08</v>
          </cell>
          <cell r="D98">
            <v>880000</v>
          </cell>
          <cell r="E98" t="str">
            <v>STEWART</v>
          </cell>
        </row>
        <row r="99">
          <cell r="C99" t="str">
            <v>162-08</v>
          </cell>
          <cell r="D99">
            <v>1280000</v>
          </cell>
          <cell r="E99" t="str">
            <v>BARTLETT</v>
          </cell>
        </row>
        <row r="100">
          <cell r="C100" t="str">
            <v>167-08</v>
          </cell>
          <cell r="D100">
            <v>1140000</v>
          </cell>
          <cell r="E100" t="str">
            <v>YOUNG</v>
          </cell>
        </row>
        <row r="101">
          <cell r="C101" t="str">
            <v>164-08</v>
          </cell>
          <cell r="D101">
            <v>1740000</v>
          </cell>
          <cell r="E101" t="str">
            <v>STORY</v>
          </cell>
        </row>
        <row r="102">
          <cell r="C102" t="str">
            <v>169-08</v>
          </cell>
          <cell r="D102">
            <v>1540000</v>
          </cell>
          <cell r="E102" t="str">
            <v>HELVIE</v>
          </cell>
        </row>
        <row r="103">
          <cell r="C103" t="str">
            <v>819-08</v>
          </cell>
          <cell r="D103">
            <v>1240000</v>
          </cell>
          <cell r="E103" t="str">
            <v>GRASTON</v>
          </cell>
        </row>
        <row r="104">
          <cell r="C104" t="str">
            <v>171-08</v>
          </cell>
          <cell r="D104">
            <v>2020000</v>
          </cell>
          <cell r="E104" t="str">
            <v>SHOOK</v>
          </cell>
        </row>
        <row r="105">
          <cell r="C105" t="str">
            <v>166-08</v>
          </cell>
          <cell r="D105">
            <v>2150000</v>
          </cell>
          <cell r="E105" t="str">
            <v>SWANSON</v>
          </cell>
        </row>
        <row r="106">
          <cell r="C106" t="str">
            <v>820-08</v>
          </cell>
          <cell r="D106">
            <v>1240000</v>
          </cell>
          <cell r="E106" t="str">
            <v>GRASTON</v>
          </cell>
        </row>
        <row r="107">
          <cell r="C107" t="str">
            <v>173-08</v>
          </cell>
          <cell r="D107">
            <v>880000</v>
          </cell>
          <cell r="E107" t="str">
            <v>STEWART</v>
          </cell>
        </row>
        <row r="108">
          <cell r="C108" t="str">
            <v>168-08</v>
          </cell>
          <cell r="D108">
            <v>1140000</v>
          </cell>
          <cell r="E108" t="str">
            <v>YOUNG</v>
          </cell>
        </row>
        <row r="109">
          <cell r="C109" t="str">
            <v>175-08</v>
          </cell>
          <cell r="D109">
            <v>1280000</v>
          </cell>
          <cell r="E109" t="str">
            <v>BARTLETT</v>
          </cell>
        </row>
        <row r="110">
          <cell r="C110" t="str">
            <v>170-08</v>
          </cell>
          <cell r="D110">
            <v>1540000</v>
          </cell>
          <cell r="E110" t="str">
            <v>HELVIE</v>
          </cell>
        </row>
        <row r="111">
          <cell r="C111" t="str">
            <v>821-08</v>
          </cell>
          <cell r="D111">
            <v>2090000</v>
          </cell>
          <cell r="E111" t="str">
            <v>HAITHCOX</v>
          </cell>
        </row>
        <row r="112">
          <cell r="C112" t="str">
            <v>177-08</v>
          </cell>
          <cell r="D112">
            <v>1740000</v>
          </cell>
          <cell r="E112" t="str">
            <v>STORY</v>
          </cell>
        </row>
        <row r="113">
          <cell r="C113" t="str">
            <v>172-08</v>
          </cell>
          <cell r="D113">
            <v>2020000</v>
          </cell>
          <cell r="E113" t="str">
            <v>SHOOK</v>
          </cell>
        </row>
        <row r="114">
          <cell r="C114" t="str">
            <v>166-08</v>
          </cell>
          <cell r="D114">
            <v>2150000</v>
          </cell>
          <cell r="E114" t="str">
            <v>SWANSON</v>
          </cell>
        </row>
        <row r="115">
          <cell r="C115" t="str">
            <v>179-08</v>
          </cell>
          <cell r="D115">
            <v>2150000</v>
          </cell>
          <cell r="E115" t="str">
            <v>SWANSON</v>
          </cell>
        </row>
        <row r="116">
          <cell r="C116" t="str">
            <v>174-08</v>
          </cell>
          <cell r="D116">
            <v>880000</v>
          </cell>
          <cell r="E116" t="str">
            <v>STEWART</v>
          </cell>
        </row>
        <row r="117">
          <cell r="C117" t="str">
            <v>822-08</v>
          </cell>
          <cell r="D117">
            <v>2090000</v>
          </cell>
          <cell r="E117" t="str">
            <v>HAITHCOX</v>
          </cell>
        </row>
        <row r="118">
          <cell r="C118" t="str">
            <v>181-08</v>
          </cell>
          <cell r="D118">
            <v>1140000</v>
          </cell>
          <cell r="E118" t="str">
            <v>YOUNG</v>
          </cell>
        </row>
        <row r="119">
          <cell r="C119" t="str">
            <v>176-08</v>
          </cell>
          <cell r="D119">
            <v>1280000</v>
          </cell>
          <cell r="E119" t="str">
            <v>BARTLETT</v>
          </cell>
        </row>
        <row r="120">
          <cell r="C120" t="str">
            <v>183-08</v>
          </cell>
          <cell r="D120">
            <v>1540000</v>
          </cell>
          <cell r="E120" t="str">
            <v>HELVIE</v>
          </cell>
        </row>
        <row r="121">
          <cell r="C121" t="str">
            <v>178-08</v>
          </cell>
          <cell r="D121">
            <v>1740000</v>
          </cell>
          <cell r="E121" t="str">
            <v>STORY</v>
          </cell>
        </row>
        <row r="122">
          <cell r="C122" t="str">
            <v>185-08</v>
          </cell>
          <cell r="D122">
            <v>2020000</v>
          </cell>
          <cell r="E122" t="str">
            <v>SHOOK</v>
          </cell>
        </row>
        <row r="123">
          <cell r="C123" t="str">
            <v>180-08</v>
          </cell>
          <cell r="D123">
            <v>2150000</v>
          </cell>
          <cell r="E123" t="str">
            <v>SWANSON</v>
          </cell>
        </row>
        <row r="124">
          <cell r="C124" t="str">
            <v>823-08</v>
          </cell>
          <cell r="D124">
            <v>2090000</v>
          </cell>
          <cell r="E124" t="str">
            <v>HAITHCOX</v>
          </cell>
        </row>
        <row r="125">
          <cell r="C125" t="str">
            <v>187-08</v>
          </cell>
          <cell r="D125">
            <v>880000</v>
          </cell>
          <cell r="E125" t="str">
            <v>STEWART</v>
          </cell>
        </row>
        <row r="126">
          <cell r="C126" t="str">
            <v>182-08</v>
          </cell>
          <cell r="D126">
            <v>1140000</v>
          </cell>
          <cell r="E126" t="str">
            <v>YOUNG</v>
          </cell>
        </row>
        <row r="127">
          <cell r="C127" t="str">
            <v>823-08</v>
          </cell>
          <cell r="D127">
            <v>2090000</v>
          </cell>
          <cell r="E127" t="str">
            <v>HAITHCOX</v>
          </cell>
        </row>
        <row r="128">
          <cell r="C128" t="str">
            <v>824-08</v>
          </cell>
          <cell r="D128">
            <v>2090000</v>
          </cell>
          <cell r="E128" t="str">
            <v>HAITHCOX</v>
          </cell>
        </row>
        <row r="129">
          <cell r="C129" t="str">
            <v>189-08</v>
          </cell>
          <cell r="D129">
            <v>1280000</v>
          </cell>
          <cell r="E129" t="str">
            <v>BARTLETT</v>
          </cell>
        </row>
        <row r="130">
          <cell r="C130" t="str">
            <v>184-08</v>
          </cell>
          <cell r="D130">
            <v>1540000</v>
          </cell>
          <cell r="E130" t="str">
            <v>HELVIE</v>
          </cell>
        </row>
        <row r="131">
          <cell r="C131" t="str">
            <v>191-08</v>
          </cell>
          <cell r="D131">
            <v>1740000</v>
          </cell>
          <cell r="E131" t="str">
            <v>STORY</v>
          </cell>
        </row>
        <row r="132">
          <cell r="C132" t="str">
            <v>186-08</v>
          </cell>
          <cell r="D132">
            <v>2020000</v>
          </cell>
          <cell r="E132" t="str">
            <v>SHOOK</v>
          </cell>
        </row>
        <row r="133">
          <cell r="C133" t="str">
            <v>193-08</v>
          </cell>
          <cell r="D133">
            <v>2150000</v>
          </cell>
          <cell r="E133" t="str">
            <v>SWANSON</v>
          </cell>
        </row>
        <row r="134">
          <cell r="C134" t="str">
            <v>825-08</v>
          </cell>
          <cell r="D134">
            <v>2090000</v>
          </cell>
          <cell r="E134" t="str">
            <v>HAITHCOX</v>
          </cell>
        </row>
        <row r="135">
          <cell r="C135" t="str">
            <v>188-08</v>
          </cell>
          <cell r="D135">
            <v>880000</v>
          </cell>
          <cell r="E135" t="str">
            <v>STEWART</v>
          </cell>
        </row>
        <row r="136">
          <cell r="C136" t="str">
            <v>190-08</v>
          </cell>
          <cell r="D136">
            <v>1280000</v>
          </cell>
          <cell r="E136" t="str">
            <v>BARTLETT</v>
          </cell>
        </row>
        <row r="137">
          <cell r="C137" t="str">
            <v>195-08</v>
          </cell>
          <cell r="D137">
            <v>1140000</v>
          </cell>
          <cell r="E137" t="str">
            <v>YOUNG</v>
          </cell>
        </row>
        <row r="138">
          <cell r="C138" t="str">
            <v>904-08</v>
          </cell>
          <cell r="D138">
            <v>1290000</v>
          </cell>
          <cell r="E138" t="str">
            <v>COOLAHAN</v>
          </cell>
        </row>
        <row r="139">
          <cell r="C139" t="str">
            <v>826-08</v>
          </cell>
          <cell r="D139">
            <v>2090000</v>
          </cell>
          <cell r="E139" t="str">
            <v>HAITHCOX</v>
          </cell>
        </row>
        <row r="140">
          <cell r="C140" t="str">
            <v>826-08</v>
          </cell>
          <cell r="D140">
            <v>2090000</v>
          </cell>
          <cell r="E140" t="str">
            <v>HAITHCOX</v>
          </cell>
        </row>
        <row r="141">
          <cell r="C141" t="str">
            <v>197-08</v>
          </cell>
          <cell r="D141">
            <v>1540000</v>
          </cell>
          <cell r="E141" t="str">
            <v>HELVIE</v>
          </cell>
        </row>
        <row r="142">
          <cell r="C142" t="str">
            <v>192-08</v>
          </cell>
          <cell r="D142">
            <v>1740000</v>
          </cell>
          <cell r="E142" t="str">
            <v>STORY</v>
          </cell>
        </row>
        <row r="143">
          <cell r="C143" t="str">
            <v>827-08</v>
          </cell>
          <cell r="D143">
            <v>1290000</v>
          </cell>
          <cell r="E143" t="str">
            <v>COOLAHAN</v>
          </cell>
        </row>
        <row r="144">
          <cell r="C144" t="str">
            <v>199-08</v>
          </cell>
          <cell r="D144">
            <v>2020000</v>
          </cell>
          <cell r="E144" t="str">
            <v>SHOOK</v>
          </cell>
        </row>
        <row r="145">
          <cell r="C145" t="str">
            <v>194-08</v>
          </cell>
          <cell r="D145">
            <v>2150000</v>
          </cell>
          <cell r="E145" t="str">
            <v>SWANSON</v>
          </cell>
        </row>
        <row r="146">
          <cell r="C146" t="str">
            <v>829-08</v>
          </cell>
          <cell r="D146">
            <v>2090000</v>
          </cell>
          <cell r="E146" t="str">
            <v>HAITHCOX</v>
          </cell>
        </row>
        <row r="147">
          <cell r="C147" t="str">
            <v>828-08</v>
          </cell>
          <cell r="D147">
            <v>1290000</v>
          </cell>
          <cell r="E147" t="str">
            <v>COOLAHAN</v>
          </cell>
        </row>
        <row r="148">
          <cell r="C148" t="str">
            <v>201-08</v>
          </cell>
          <cell r="D148">
            <v>880000</v>
          </cell>
          <cell r="E148" t="str">
            <v>STEWART</v>
          </cell>
        </row>
        <row r="149">
          <cell r="C149" t="str">
            <v>196-08</v>
          </cell>
          <cell r="D149">
            <v>1140000</v>
          </cell>
          <cell r="E149" t="str">
            <v>YOUNG</v>
          </cell>
        </row>
        <row r="150">
          <cell r="C150" t="str">
            <v>203-08</v>
          </cell>
          <cell r="D150">
            <v>1280000</v>
          </cell>
          <cell r="E150" t="str">
            <v>BARTLETT</v>
          </cell>
        </row>
        <row r="151">
          <cell r="C151" t="str">
            <v>198-08</v>
          </cell>
          <cell r="D151">
            <v>1540000</v>
          </cell>
          <cell r="E151" t="str">
            <v>HELVIE</v>
          </cell>
        </row>
        <row r="152">
          <cell r="C152" t="str">
            <v>830-08</v>
          </cell>
          <cell r="D152">
            <v>2090000</v>
          </cell>
          <cell r="E152" t="str">
            <v>HAITHCOX</v>
          </cell>
        </row>
        <row r="153">
          <cell r="C153" t="str">
            <v>205-08</v>
          </cell>
          <cell r="D153">
            <v>1740000</v>
          </cell>
          <cell r="E153" t="str">
            <v>STORY</v>
          </cell>
        </row>
        <row r="154">
          <cell r="C154" t="str">
            <v>831-08</v>
          </cell>
          <cell r="D154">
            <v>1290000</v>
          </cell>
          <cell r="E154" t="str">
            <v>COOLAHAN</v>
          </cell>
        </row>
        <row r="155">
          <cell r="C155" t="str">
            <v>200-08</v>
          </cell>
          <cell r="D155">
            <v>2020000</v>
          </cell>
          <cell r="E155" t="str">
            <v>SHOOK</v>
          </cell>
        </row>
        <row r="156">
          <cell r="C156" t="str">
            <v>833-08</v>
          </cell>
          <cell r="D156">
            <v>2090000</v>
          </cell>
          <cell r="E156" t="str">
            <v>HAITHCOX</v>
          </cell>
        </row>
        <row r="157">
          <cell r="C157" t="str">
            <v>207-08</v>
          </cell>
          <cell r="D157">
            <v>2150000</v>
          </cell>
          <cell r="E157" t="str">
            <v>SWANSON</v>
          </cell>
        </row>
        <row r="158">
          <cell r="C158" t="str">
            <v>202-08</v>
          </cell>
          <cell r="D158">
            <v>880000</v>
          </cell>
          <cell r="E158" t="str">
            <v>STEWART</v>
          </cell>
        </row>
        <row r="159">
          <cell r="C159" t="str">
            <v>832-08</v>
          </cell>
          <cell r="D159">
            <v>1290000</v>
          </cell>
          <cell r="E159" t="str">
            <v>COOLAHAN</v>
          </cell>
        </row>
        <row r="160">
          <cell r="C160" t="str">
            <v>204-08</v>
          </cell>
          <cell r="D160">
            <v>1280000</v>
          </cell>
          <cell r="E160" t="str">
            <v>BARTLETT</v>
          </cell>
        </row>
        <row r="161">
          <cell r="C161" t="str">
            <v>209-08</v>
          </cell>
          <cell r="D161">
            <v>2100000</v>
          </cell>
          <cell r="E161" t="str">
            <v>ISHMAEL</v>
          </cell>
        </row>
        <row r="162">
          <cell r="C162" t="str">
            <v>211-08</v>
          </cell>
          <cell r="D162">
            <v>1140000</v>
          </cell>
          <cell r="E162" t="str">
            <v>YOUNG</v>
          </cell>
        </row>
        <row r="163">
          <cell r="C163" t="str">
            <v>834-08</v>
          </cell>
          <cell r="D163">
            <v>2090000</v>
          </cell>
          <cell r="E163" t="str">
            <v>HAITHCOX</v>
          </cell>
        </row>
        <row r="164">
          <cell r="C164" t="str">
            <v>206-08</v>
          </cell>
          <cell r="D164">
            <v>1740000</v>
          </cell>
          <cell r="E164" t="str">
            <v>STORY</v>
          </cell>
        </row>
        <row r="165">
          <cell r="C165" t="str">
            <v>217-08</v>
          </cell>
          <cell r="D165">
            <v>1800000</v>
          </cell>
          <cell r="E165" t="str">
            <v>CHANDLER</v>
          </cell>
        </row>
        <row r="166">
          <cell r="C166" t="str">
            <v>835-08</v>
          </cell>
          <cell r="D166">
            <v>1290000</v>
          </cell>
          <cell r="E166" t="str">
            <v>COOLAHAN</v>
          </cell>
        </row>
        <row r="167">
          <cell r="C167" t="str">
            <v>213-08</v>
          </cell>
          <cell r="D167">
            <v>1810000</v>
          </cell>
          <cell r="E167" t="str">
            <v>NEWELL</v>
          </cell>
        </row>
        <row r="168">
          <cell r="C168" t="str">
            <v>208-08</v>
          </cell>
          <cell r="D168">
            <v>2150000</v>
          </cell>
          <cell r="E168" t="str">
            <v>SWANSON</v>
          </cell>
        </row>
        <row r="169">
          <cell r="C169" t="str">
            <v>206-08</v>
          </cell>
          <cell r="D169">
            <v>1740000</v>
          </cell>
          <cell r="E169" t="str">
            <v>STORY</v>
          </cell>
        </row>
        <row r="170">
          <cell r="C170" t="str">
            <v>215-08</v>
          </cell>
          <cell r="D170">
            <v>2020000</v>
          </cell>
          <cell r="E170" t="str">
            <v>SHOOK</v>
          </cell>
        </row>
        <row r="171">
          <cell r="C171" t="str">
            <v>836-08</v>
          </cell>
          <cell r="D171">
            <v>1290000</v>
          </cell>
          <cell r="E171" t="str">
            <v>COOLAHAN</v>
          </cell>
        </row>
        <row r="172">
          <cell r="C172" t="str">
            <v>837-08</v>
          </cell>
          <cell r="D172">
            <v>2090000</v>
          </cell>
          <cell r="E172" t="str">
            <v>HAITHCOX</v>
          </cell>
        </row>
        <row r="173">
          <cell r="C173" t="str">
            <v>210-08</v>
          </cell>
          <cell r="D173">
            <v>2100000</v>
          </cell>
          <cell r="E173" t="str">
            <v>ISHMAEL</v>
          </cell>
        </row>
        <row r="174">
          <cell r="C174" t="str">
            <v>217-08</v>
          </cell>
          <cell r="D174">
            <v>1800000</v>
          </cell>
          <cell r="E174" t="str">
            <v>CHANDLER</v>
          </cell>
        </row>
        <row r="175">
          <cell r="C175" t="str">
            <v>211-08</v>
          </cell>
          <cell r="D175">
            <v>1140000</v>
          </cell>
          <cell r="E175" t="str">
            <v>YOUNG</v>
          </cell>
        </row>
        <row r="176">
          <cell r="C176" t="str">
            <v>212-08</v>
          </cell>
          <cell r="D176">
            <v>1140000</v>
          </cell>
          <cell r="E176" t="str">
            <v>YOUNG</v>
          </cell>
        </row>
        <row r="177">
          <cell r="C177" t="str">
            <v>219-08</v>
          </cell>
          <cell r="D177">
            <v>1740000</v>
          </cell>
          <cell r="E177" t="str">
            <v>STORY</v>
          </cell>
        </row>
        <row r="178">
          <cell r="C178" t="str">
            <v>838-08</v>
          </cell>
          <cell r="D178">
            <v>2090000</v>
          </cell>
          <cell r="E178" t="str">
            <v>HAITHCOX</v>
          </cell>
        </row>
        <row r="179">
          <cell r="C179" t="str">
            <v>214-08</v>
          </cell>
          <cell r="D179">
            <v>1810000</v>
          </cell>
          <cell r="E179" t="str">
            <v>NEWELL</v>
          </cell>
        </row>
        <row r="180">
          <cell r="C180" t="str">
            <v>839-08</v>
          </cell>
          <cell r="D180">
            <v>1290000</v>
          </cell>
          <cell r="E180" t="str">
            <v>COOLAHAN</v>
          </cell>
        </row>
        <row r="181">
          <cell r="C181" t="str">
            <v>216-08</v>
          </cell>
          <cell r="D181">
            <v>2020000</v>
          </cell>
          <cell r="E181" t="str">
            <v>SHOOK</v>
          </cell>
        </row>
        <row r="182">
          <cell r="C182" t="str">
            <v>221-08</v>
          </cell>
          <cell r="D182">
            <v>2100000</v>
          </cell>
          <cell r="E182" t="str">
            <v>ISHMAEL</v>
          </cell>
        </row>
        <row r="183">
          <cell r="C183" t="str">
            <v>841-08</v>
          </cell>
          <cell r="D183">
            <v>2090000</v>
          </cell>
          <cell r="E183" t="str">
            <v>HAITHCOX</v>
          </cell>
        </row>
        <row r="184">
          <cell r="C184" t="str">
            <v>303-08</v>
          </cell>
          <cell r="D184">
            <v>1520000</v>
          </cell>
          <cell r="E184" t="str">
            <v>MAYBERRY</v>
          </cell>
        </row>
        <row r="185">
          <cell r="C185" t="str">
            <v>218-08</v>
          </cell>
          <cell r="D185">
            <v>1800000</v>
          </cell>
          <cell r="E185" t="str">
            <v>CHANDLER</v>
          </cell>
        </row>
        <row r="186">
          <cell r="C186" t="str">
            <v>906-08</v>
          </cell>
          <cell r="D186">
            <v>1290000</v>
          </cell>
          <cell r="E186" t="str">
            <v>COOLAHAN</v>
          </cell>
        </row>
        <row r="187">
          <cell r="C187" t="str">
            <v>220-08</v>
          </cell>
          <cell r="D187">
            <v>1740000</v>
          </cell>
          <cell r="E187" t="str">
            <v>STORY</v>
          </cell>
        </row>
        <row r="188">
          <cell r="C188" t="str">
            <v>223-08</v>
          </cell>
          <cell r="D188">
            <v>1810000</v>
          </cell>
          <cell r="E188" t="str">
            <v>NEWELL</v>
          </cell>
        </row>
        <row r="189">
          <cell r="C189" t="str">
            <v>840-08</v>
          </cell>
          <cell r="D189">
            <v>2090000</v>
          </cell>
          <cell r="E189" t="str">
            <v>HAITHCOX</v>
          </cell>
        </row>
        <row r="190">
          <cell r="C190" t="str">
            <v>222-08</v>
          </cell>
          <cell r="D190">
            <v>2100000</v>
          </cell>
          <cell r="E190" t="str">
            <v>ISHMAEL</v>
          </cell>
        </row>
        <row r="191">
          <cell r="C191" t="str">
            <v>225-08</v>
          </cell>
          <cell r="D191">
            <v>1800000</v>
          </cell>
          <cell r="E191" t="str">
            <v>CHANDLER</v>
          </cell>
        </row>
        <row r="192">
          <cell r="C192" t="str">
            <v>843-08</v>
          </cell>
          <cell r="D192">
            <v>2090000</v>
          </cell>
          <cell r="E192" t="str">
            <v>HAITHCOX</v>
          </cell>
        </row>
        <row r="193">
          <cell r="C193" t="str">
            <v>227-08</v>
          </cell>
          <cell r="D193">
            <v>1740000</v>
          </cell>
          <cell r="E193" t="str">
            <v>STORY</v>
          </cell>
        </row>
        <row r="194">
          <cell r="C194" t="str">
            <v>224-08</v>
          </cell>
          <cell r="D194">
            <v>1810000</v>
          </cell>
          <cell r="E194" t="str">
            <v>NEWELL</v>
          </cell>
        </row>
        <row r="195">
          <cell r="C195" t="str">
            <v>842-08</v>
          </cell>
          <cell r="D195">
            <v>2090000</v>
          </cell>
          <cell r="E195" t="str">
            <v>HAITHCOX</v>
          </cell>
        </row>
        <row r="196">
          <cell r="C196" t="str">
            <v>229-08</v>
          </cell>
          <cell r="D196">
            <v>2100000</v>
          </cell>
          <cell r="E196" t="str">
            <v>ISHMAEL</v>
          </cell>
        </row>
        <row r="197">
          <cell r="C197" t="str">
            <v>226-08</v>
          </cell>
          <cell r="D197">
            <v>1800000</v>
          </cell>
          <cell r="E197" t="str">
            <v>CHANDLER</v>
          </cell>
        </row>
        <row r="198">
          <cell r="C198" t="str">
            <v>231-08</v>
          </cell>
          <cell r="D198">
            <v>1810000</v>
          </cell>
          <cell r="E198" t="str">
            <v>NEWELL</v>
          </cell>
        </row>
        <row r="199">
          <cell r="C199" t="str">
            <v>845-08</v>
          </cell>
          <cell r="D199">
            <v>1290000</v>
          </cell>
          <cell r="E199" t="str">
            <v>COOLAHAN</v>
          </cell>
        </row>
        <row r="200">
          <cell r="C200" t="str">
            <v>228-08</v>
          </cell>
          <cell r="D200">
            <v>1740000</v>
          </cell>
          <cell r="E200" t="str">
            <v>STORY</v>
          </cell>
        </row>
        <row r="201">
          <cell r="C201" t="str">
            <v>844-08</v>
          </cell>
          <cell r="D201">
            <v>1290000</v>
          </cell>
          <cell r="E201" t="str">
            <v>COOLAHAN</v>
          </cell>
        </row>
        <row r="202">
          <cell r="C202" t="str">
            <v>233-08</v>
          </cell>
          <cell r="D202">
            <v>1800000</v>
          </cell>
          <cell r="E202" t="str">
            <v>CHANDLER</v>
          </cell>
        </row>
        <row r="203">
          <cell r="C203" t="str">
            <v>230-08</v>
          </cell>
          <cell r="D203">
            <v>2100000</v>
          </cell>
          <cell r="E203" t="str">
            <v>ISHMAEL</v>
          </cell>
        </row>
        <row r="204">
          <cell r="C204" t="str">
            <v>847-08</v>
          </cell>
          <cell r="D204">
            <v>1290000</v>
          </cell>
          <cell r="E204" t="str">
            <v>COOLAHAN</v>
          </cell>
        </row>
        <row r="205">
          <cell r="C205" t="str">
            <v>232-08</v>
          </cell>
          <cell r="D205">
            <v>1810000</v>
          </cell>
          <cell r="E205" t="str">
            <v>NEWELL</v>
          </cell>
        </row>
        <row r="206">
          <cell r="C206" t="str">
            <v>235-08</v>
          </cell>
          <cell r="D206">
            <v>1740000</v>
          </cell>
          <cell r="E206" t="str">
            <v>STORY</v>
          </cell>
        </row>
        <row r="207">
          <cell r="C207" t="str">
            <v>908-08</v>
          </cell>
          <cell r="D207">
            <v>1290000</v>
          </cell>
          <cell r="E207" t="str">
            <v>COOLAHAN</v>
          </cell>
        </row>
        <row r="208">
          <cell r="C208" t="str">
            <v>237-08</v>
          </cell>
          <cell r="D208">
            <v>2100000</v>
          </cell>
          <cell r="E208" t="str">
            <v>ISHMAEL</v>
          </cell>
        </row>
        <row r="209">
          <cell r="C209" t="str">
            <v>234-08</v>
          </cell>
          <cell r="D209">
            <v>1800000</v>
          </cell>
          <cell r="E209" t="str">
            <v>CHANDLER</v>
          </cell>
        </row>
        <row r="210">
          <cell r="C210" t="str">
            <v>239-08</v>
          </cell>
          <cell r="D210">
            <v>1810000</v>
          </cell>
          <cell r="E210" t="str">
            <v>NEWELL</v>
          </cell>
        </row>
        <row r="211">
          <cell r="C211" t="str">
            <v>235-08</v>
          </cell>
          <cell r="D211">
            <v>1740000</v>
          </cell>
          <cell r="E211" t="str">
            <v>STORY</v>
          </cell>
        </row>
        <row r="212">
          <cell r="C212" t="str">
            <v>236-08</v>
          </cell>
          <cell r="D212">
            <v>1740000</v>
          </cell>
          <cell r="E212" t="str">
            <v>STORY</v>
          </cell>
        </row>
        <row r="213">
          <cell r="C213" t="str">
            <v>238-08</v>
          </cell>
          <cell r="D213">
            <v>2100000</v>
          </cell>
          <cell r="E213" t="str">
            <v>ISHMAEL</v>
          </cell>
        </row>
        <row r="214">
          <cell r="C214" t="str">
            <v>241-08</v>
          </cell>
          <cell r="D214">
            <v>1800000</v>
          </cell>
          <cell r="E214" t="str">
            <v>CHANDLER</v>
          </cell>
        </row>
        <row r="215">
          <cell r="C215" t="str">
            <v>243-08</v>
          </cell>
          <cell r="D215">
            <v>1740000</v>
          </cell>
          <cell r="E215" t="str">
            <v>STORY</v>
          </cell>
        </row>
        <row r="216">
          <cell r="C216" t="str">
            <v>240-08</v>
          </cell>
          <cell r="D216">
            <v>1810000</v>
          </cell>
          <cell r="E216" t="str">
            <v>NEWELL</v>
          </cell>
        </row>
        <row r="217">
          <cell r="C217" t="str">
            <v>309-08</v>
          </cell>
          <cell r="D217">
            <v>2100000</v>
          </cell>
          <cell r="E217" t="str">
            <v>ISHMAEL</v>
          </cell>
        </row>
        <row r="218">
          <cell r="C218" t="str">
            <v>242-08</v>
          </cell>
          <cell r="D218">
            <v>1800000</v>
          </cell>
          <cell r="E218" t="str">
            <v>CHANDLER</v>
          </cell>
        </row>
        <row r="219">
          <cell r="C219" t="str">
            <v>311-08</v>
          </cell>
          <cell r="D219">
            <v>1810000</v>
          </cell>
          <cell r="E219" t="str">
            <v>NEWELL</v>
          </cell>
        </row>
        <row r="220">
          <cell r="C220" t="str">
            <v>311-08</v>
          </cell>
          <cell r="D220">
            <v>1810000</v>
          </cell>
          <cell r="E220" t="str">
            <v>NEWELL</v>
          </cell>
        </row>
        <row r="221">
          <cell r="C221" t="str">
            <v>244-08</v>
          </cell>
          <cell r="D221">
            <v>1740000</v>
          </cell>
          <cell r="E221" t="str">
            <v>STORY</v>
          </cell>
        </row>
        <row r="222">
          <cell r="C222" t="str">
            <v>313-08</v>
          </cell>
          <cell r="D222">
            <v>1800000</v>
          </cell>
          <cell r="E222" t="str">
            <v>CHANDLER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101-09</v>
          </cell>
          <cell r="B13">
            <v>4040</v>
          </cell>
          <cell r="C13" t="str">
            <v>DE.1.0.7.0</v>
          </cell>
          <cell r="D13" t="str">
            <v>204:774</v>
          </cell>
          <cell r="E13">
            <v>42591.124513888892</v>
          </cell>
          <cell r="F13">
            <v>42591.127280092594</v>
          </cell>
          <cell r="G13">
            <v>3</v>
          </cell>
          <cell r="H13" t="str">
            <v>204:36990</v>
          </cell>
          <cell r="I13">
            <v>42591.142476851855</v>
          </cell>
          <cell r="J13">
            <v>2</v>
          </cell>
          <cell r="K13" t="str">
            <v>4039/4040</v>
          </cell>
          <cell r="L13" t="str">
            <v>KILLION</v>
          </cell>
          <cell r="M13">
            <v>1.5196759261016268E-2</v>
          </cell>
          <cell r="P13">
            <v>21.883333335863426</v>
          </cell>
          <cell r="R13" t="str">
            <v>Wi-MAX outage</v>
          </cell>
          <cell r="S13">
            <v>0.25</v>
          </cell>
          <cell r="T13" t="str">
            <v>NorthBound</v>
          </cell>
          <cell r="U13">
            <v>3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" t="str">
            <v>Y</v>
          </cell>
          <cell r="X13" t="e">
            <v>#VALUE!</v>
          </cell>
          <cell r="Y13">
            <v>7.7399999999999997E-2</v>
          </cell>
          <cell r="Z13">
            <v>3.6989999999999998</v>
          </cell>
          <cell r="AA13">
            <v>3.6215999999999999</v>
          </cell>
          <cell r="AB13" t="e">
            <v>#N/A</v>
          </cell>
          <cell r="AC13" t="e">
            <v>#N/A</v>
          </cell>
          <cell r="AD13" t="str">
            <v>0101-09</v>
          </cell>
          <cell r="AE1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">
          <cell r="A14" t="str">
            <v>102-09</v>
          </cell>
          <cell r="B14">
            <v>4017</v>
          </cell>
          <cell r="C14" t="str">
            <v>DE.1.0.7.0</v>
          </cell>
          <cell r="D14" t="str">
            <v>204:232646</v>
          </cell>
          <cell r="E14">
            <v>42591.169189814813</v>
          </cell>
          <cell r="F14">
            <v>42591.170104166667</v>
          </cell>
          <cell r="G14">
            <v>1</v>
          </cell>
          <cell r="H14" t="str">
            <v>204:149</v>
          </cell>
          <cell r="I14">
            <v>42591.201990740738</v>
          </cell>
          <cell r="J14">
            <v>0</v>
          </cell>
          <cell r="K14" t="str">
            <v>4017/4018</v>
          </cell>
          <cell r="L14" t="str">
            <v>KILLION</v>
          </cell>
          <cell r="M14">
            <v>3.1886574070085771E-2</v>
          </cell>
          <cell r="N14">
            <v>45.916666660923511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https://search-rtdc-monitor-bjffxe2xuh6vdkpspy63sjmuny.us-east-1.es.amazonaws.com/_plugin/kibana/#/discover/Steve-Slow-Train-Analysis-(2080s-and-2083s)?_g=(refreshInterval:(display:Off,section:0,value:0),time:(from:'2016-08-09 03:03:38-0600',mode:absolute,to:'2016-08-09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23.264600000000002</v>
          </cell>
          <cell r="Z14">
            <v>1.49E-2</v>
          </cell>
          <cell r="AA14">
            <v>23.249700000000001</v>
          </cell>
          <cell r="AB14" t="e">
            <v>#N/A</v>
          </cell>
          <cell r="AC14" t="e">
            <v>#N/A</v>
          </cell>
          <cell r="AD14" t="str">
            <v>0102-09</v>
          </cell>
          <cell r="AE1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5">
          <cell r="A15" t="str">
            <v>103-09</v>
          </cell>
          <cell r="B15">
            <v>4011</v>
          </cell>
          <cell r="C15" t="str">
            <v>DE.1.0.7.0</v>
          </cell>
          <cell r="D15" t="str">
            <v>204:650</v>
          </cell>
          <cell r="E15">
            <v>42591.151354166665</v>
          </cell>
          <cell r="F15">
            <v>42591.152361111112</v>
          </cell>
          <cell r="G15">
            <v>1</v>
          </cell>
          <cell r="H15" t="str">
            <v>204:233360</v>
          </cell>
          <cell r="I15">
            <v>42591.182314814818</v>
          </cell>
          <cell r="J15">
            <v>1</v>
          </cell>
          <cell r="K15" t="str">
            <v>4011/4012</v>
          </cell>
          <cell r="L15" t="str">
            <v>ACKERMAN</v>
          </cell>
          <cell r="M15">
            <v>2.9953703706269152E-2</v>
          </cell>
          <cell r="N15">
            <v>43.13333333702758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" t="str">
            <v>N</v>
          </cell>
          <cell r="X15">
            <v>1</v>
          </cell>
          <cell r="Y15">
            <v>6.5000000000000002E-2</v>
          </cell>
          <cell r="Z15">
            <v>23.335999999999999</v>
          </cell>
          <cell r="AA15">
            <v>23.270999999999997</v>
          </cell>
          <cell r="AB15" t="e">
            <v>#N/A</v>
          </cell>
          <cell r="AC15" t="e">
            <v>#N/A</v>
          </cell>
          <cell r="AD15" t="str">
            <v>0103-09</v>
          </cell>
          <cell r="AE1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6">
          <cell r="A16" t="str">
            <v>104-09</v>
          </cell>
          <cell r="B16">
            <v>4015</v>
          </cell>
          <cell r="C16" t="str">
            <v>DE.1.0.7.0</v>
          </cell>
          <cell r="D16" t="str">
            <v>204:232746</v>
          </cell>
          <cell r="E16">
            <v>42591.190381944441</v>
          </cell>
          <cell r="F16">
            <v>42591.191180555557</v>
          </cell>
          <cell r="G16">
            <v>1</v>
          </cell>
          <cell r="H16" t="str">
            <v>204:139</v>
          </cell>
          <cell r="I16">
            <v>42591.223668981482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3.2488425924384501E-2</v>
          </cell>
          <cell r="N16">
            <v>46.783333331113681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https://search-rtdc-monitor-bjffxe2xuh6vdkpspy63sjmuny.us-east-1.es.amazonaws.com/_plugin/kibana/#/discover/Steve-Slow-Train-Analysis-(2080s-and-2083s)?_g=(refreshInterval:(display:Off,section:0,value:0),time:(from:'2016-08-09 03:34:09-0600',mode:absolute,to:'2016-08-09 06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23.2746</v>
          </cell>
          <cell r="Z16">
            <v>1.3899999999999999E-2</v>
          </cell>
          <cell r="AA16">
            <v>23.2607</v>
          </cell>
          <cell r="AB16" t="e">
            <v>#N/A</v>
          </cell>
          <cell r="AC16" t="e">
            <v>#N/A</v>
          </cell>
          <cell r="AD16" t="str">
            <v>0104-09</v>
          </cell>
          <cell r="AE16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7">
          <cell r="A17" t="str">
            <v>105-09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T17" t="str">
            <v>NorthBound</v>
          </cell>
          <cell r="X17">
            <v>1</v>
          </cell>
          <cell r="AD17" t="str">
            <v>0105-09</v>
          </cell>
        </row>
        <row r="18">
          <cell r="A18" t="str">
            <v>106-09</v>
          </cell>
          <cell r="B18" t="str">
            <v>-</v>
          </cell>
          <cell r="C18" t="str">
            <v>-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P18">
            <v>1</v>
          </cell>
          <cell r="R18" t="str">
            <v>Did not initialize</v>
          </cell>
          <cell r="T18" t="str">
            <v>Southbound</v>
          </cell>
          <cell r="X18">
            <v>1</v>
          </cell>
          <cell r="AD18" t="str">
            <v>0106-09</v>
          </cell>
        </row>
        <row r="19">
          <cell r="A19" t="str">
            <v>107-09</v>
          </cell>
          <cell r="B19">
            <v>4031</v>
          </cell>
          <cell r="C19" t="str">
            <v>DE.1.0.7.0</v>
          </cell>
          <cell r="D19" t="str">
            <v>204:460</v>
          </cell>
          <cell r="E19">
            <v>42591.184930555559</v>
          </cell>
          <cell r="F19">
            <v>42591.185856481483</v>
          </cell>
          <cell r="G19">
            <v>1</v>
          </cell>
          <cell r="H19" t="str">
            <v>204:233312</v>
          </cell>
          <cell r="I19">
            <v>42591.215601851851</v>
          </cell>
          <cell r="J19">
            <v>0</v>
          </cell>
          <cell r="K19" t="str">
            <v>4031/4032</v>
          </cell>
          <cell r="L19" t="str">
            <v>SPECTOR</v>
          </cell>
          <cell r="M19">
            <v>2.9745370367891155E-2</v>
          </cell>
          <cell r="N19">
            <v>42.833333329763263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https://search-rtdc-monitor-bjffxe2xuh6vdkpspy63sjmuny.us-east-1.es.amazonaws.com/_plugin/kibana/#/discover/Steve-Slow-Train-Analysis-(2080s-and-2083s)?_g=(refreshInterval:(display:Off,section:0,value:0),time:(from:'2016-08-09 03:26:18-0600',mode:absolute,to:'2016-08-09 06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" t="str">
            <v>N</v>
          </cell>
          <cell r="X19">
            <v>1</v>
          </cell>
          <cell r="Y19">
            <v>4.5999999999999999E-2</v>
          </cell>
          <cell r="Z19">
            <v>23.331199999999999</v>
          </cell>
          <cell r="AA19">
            <v>23.2852</v>
          </cell>
          <cell r="AB19" t="e">
            <v>#N/A</v>
          </cell>
          <cell r="AC19" t="e">
            <v>#N/A</v>
          </cell>
          <cell r="AD19" t="str">
            <v>0107-09</v>
          </cell>
          <cell r="AE19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20">
          <cell r="A20" t="str">
            <v>108-09</v>
          </cell>
          <cell r="B20">
            <v>4032</v>
          </cell>
          <cell r="C20" t="str">
            <v>DE.1.0.7.0</v>
          </cell>
          <cell r="D20" t="str">
            <v>204:232994</v>
          </cell>
          <cell r="E20">
            <v>42591.22146990741</v>
          </cell>
          <cell r="F20">
            <v>42591.222650462965</v>
          </cell>
          <cell r="G20">
            <v>1</v>
          </cell>
          <cell r="H20" t="str">
            <v>204:130</v>
          </cell>
          <cell r="I20">
            <v>42591.253680555557</v>
          </cell>
          <cell r="J20">
            <v>0</v>
          </cell>
          <cell r="K20" t="str">
            <v>4031/4032</v>
          </cell>
          <cell r="L20" t="str">
            <v>SPECTOR</v>
          </cell>
          <cell r="M20">
            <v>3.1030092592118308E-2</v>
          </cell>
          <cell r="N20">
            <v>44.683333332650363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https://search-rtdc-monitor-bjffxe2xuh6vdkpspy63sjmuny.us-east-1.es.amazonaws.com/_plugin/kibana/#/discover/Steve-Slow-Train-Analysis-(2080s-and-2083s)?_g=(refreshInterval:(display:Off,section:0,value:0),time:(from:'2016-08-09 04:18:55-0600',mode:absolute,to:'2016-08-09 07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1.2999999999999999E-2</v>
          </cell>
          <cell r="AA20">
            <v>23.286399999999997</v>
          </cell>
          <cell r="AB20" t="e">
            <v>#N/A</v>
          </cell>
          <cell r="AC20" t="e">
            <v>#N/A</v>
          </cell>
          <cell r="AD20" t="str">
            <v>0108-09</v>
          </cell>
          <cell r="AE20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">
          <cell r="A21" t="str">
            <v>109-09</v>
          </cell>
          <cell r="B21">
            <v>4029</v>
          </cell>
          <cell r="C21" t="str">
            <v>DE.1.0.7.0</v>
          </cell>
          <cell r="D21" t="str">
            <v>204:471</v>
          </cell>
          <cell r="E21">
            <v>42591.193726851852</v>
          </cell>
          <cell r="F21">
            <v>42591.195</v>
          </cell>
          <cell r="G21">
            <v>1</v>
          </cell>
          <cell r="H21" t="str">
            <v>204:233291</v>
          </cell>
          <cell r="I21">
            <v>42591.223854166667</v>
          </cell>
          <cell r="J21">
            <v>0</v>
          </cell>
          <cell r="K21" t="str">
            <v>4029/4030</v>
          </cell>
          <cell r="L21" t="str">
            <v>DAVIS</v>
          </cell>
          <cell r="M21">
            <v>2.8854166666860692E-2</v>
          </cell>
          <cell r="N21">
            <v>41.550000000279397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https://search-rtdc-monitor-bjffxe2xuh6vdkpspy63sjmuny.us-east-1.es.amazonaws.com/_plugin/kibana/#/discover/Steve-Slow-Train-Analysis-(2080s-and-2083s)?_g=(refreshInterval:(display:Off,section:0,value:0),time:(from:'2016-08-09 03:38:58-0600',mode:absolute,to:'2016-08-09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4.7100000000000003E-2</v>
          </cell>
          <cell r="Z21">
            <v>23.3291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0109-09</v>
          </cell>
          <cell r="AE21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2">
          <cell r="A22" t="str">
            <v>110-09</v>
          </cell>
          <cell r="B22">
            <v>4030</v>
          </cell>
          <cell r="C22" t="str">
            <v>DE.1.0.7.0</v>
          </cell>
          <cell r="D22" t="str">
            <v>204:232967</v>
          </cell>
          <cell r="E22">
            <v>42591.232060185182</v>
          </cell>
          <cell r="F22">
            <v>42591.233124999999</v>
          </cell>
          <cell r="G22">
            <v>1</v>
          </cell>
          <cell r="H22" t="str">
            <v>204:180</v>
          </cell>
          <cell r="I22">
            <v>42591.264039351852</v>
          </cell>
          <cell r="J22">
            <v>1</v>
          </cell>
          <cell r="K22" t="str">
            <v>4029/4030</v>
          </cell>
          <cell r="L22" t="str">
            <v>DAVIS</v>
          </cell>
          <cell r="M22">
            <v>3.0914351853425615E-2</v>
          </cell>
          <cell r="N22">
            <v>44.516666668932885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N</v>
          </cell>
          <cell r="X22">
            <v>1</v>
          </cell>
          <cell r="Y22">
            <v>23.296700000000001</v>
          </cell>
          <cell r="Z22">
            <v>1.7999999999999999E-2</v>
          </cell>
          <cell r="AA22">
            <v>23.278700000000001</v>
          </cell>
          <cell r="AB22" t="e">
            <v>#N/A</v>
          </cell>
          <cell r="AC22" t="e">
            <v>#N/A</v>
          </cell>
          <cell r="AD22" t="str">
            <v>0110-09</v>
          </cell>
          <cell r="AE22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3">
          <cell r="A23" t="str">
            <v>111-09</v>
          </cell>
          <cell r="B23">
            <v>4040</v>
          </cell>
          <cell r="C23" t="str">
            <v>DE.1.0.7.0</v>
          </cell>
          <cell r="D23" t="str">
            <v>204:759</v>
          </cell>
          <cell r="E23">
            <v>42591.205555555556</v>
          </cell>
          <cell r="F23">
            <v>42591.206932870373</v>
          </cell>
          <cell r="G23">
            <v>1</v>
          </cell>
          <cell r="H23" t="str">
            <v>204:233263</v>
          </cell>
          <cell r="I23">
            <v>42591.233726851853</v>
          </cell>
          <cell r="J23">
            <v>0</v>
          </cell>
          <cell r="K23" t="str">
            <v>4039/4040</v>
          </cell>
          <cell r="L23" t="str">
            <v>OUN</v>
          </cell>
          <cell r="M23">
            <v>2.679398148029577E-2</v>
          </cell>
          <cell r="N23">
            <v>38.583333331625909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https://search-rtdc-monitor-bjffxe2xuh6vdkpspy63sjmuny.us-east-1.es.amazonaws.com/_plugin/kibana/#/discover/Steve-Slow-Train-Analysis-(2080s-and-2083s)?_g=(refreshInterval:(display:Off,section:0,value:0),time:(from:'2016-08-09 03:56:00-0600',mode:absolute,to:'2016-08-09 06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3" t="str">
            <v>N</v>
          </cell>
          <cell r="X23">
            <v>1</v>
          </cell>
          <cell r="Y23">
            <v>7.5899999999999995E-2</v>
          </cell>
          <cell r="Z23">
            <v>23.3263</v>
          </cell>
          <cell r="AA23">
            <v>23.250399999999999</v>
          </cell>
          <cell r="AB23" t="e">
            <v>#N/A</v>
          </cell>
          <cell r="AC23" t="e">
            <v>#N/A</v>
          </cell>
          <cell r="AD23" t="str">
            <v>0111-09</v>
          </cell>
          <cell r="AE2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24">
          <cell r="A24" t="str">
            <v>112-09</v>
          </cell>
          <cell r="B24">
            <v>4039</v>
          </cell>
          <cell r="C24" t="str">
            <v>DE.1.0.7.0</v>
          </cell>
          <cell r="D24" t="str">
            <v>204:232976</v>
          </cell>
          <cell r="E24">
            <v>42591.243923611109</v>
          </cell>
          <cell r="F24">
            <v>42591.24496527778</v>
          </cell>
          <cell r="G24">
            <v>1</v>
          </cell>
          <cell r="H24" t="str">
            <v>204:158</v>
          </cell>
          <cell r="I24">
            <v>42591.274444444447</v>
          </cell>
          <cell r="J24">
            <v>0</v>
          </cell>
          <cell r="K24" t="str">
            <v>4039/4040</v>
          </cell>
          <cell r="L24" t="str">
            <v>OUN</v>
          </cell>
          <cell r="M24">
            <v>2.9479166667442769E-2</v>
          </cell>
          <cell r="N24">
            <v>42.450000001117587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https://search-rtdc-monitor-bjffxe2xuh6vdkpspy63sjmuny.us-east-1.es.amazonaws.com/_plugin/kibana/#/discover/Steve-Slow-Train-Analysis-(2080s-and-2083s)?_g=(refreshInterval:(display:Off,section:0,value:0),time:(from:'2016-08-09 04:51:15-0600',mode:absolute,to:'2016-08-09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4" t="str">
            <v>N</v>
          </cell>
          <cell r="X24">
            <v>1</v>
          </cell>
          <cell r="Y24">
            <v>23.297599999999999</v>
          </cell>
          <cell r="Z24">
            <v>1.5800000000000002E-2</v>
          </cell>
          <cell r="AA24">
            <v>23.2818</v>
          </cell>
          <cell r="AB24" t="e">
            <v>#N/A</v>
          </cell>
          <cell r="AC24" t="e">
            <v>#N/A</v>
          </cell>
          <cell r="AD24" t="str">
            <v>0112-09</v>
          </cell>
          <cell r="AE24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25">
          <cell r="A25" t="str">
            <v>113-09</v>
          </cell>
          <cell r="B25">
            <v>4018</v>
          </cell>
          <cell r="C25" t="str">
            <v>DE.1.0.7.0</v>
          </cell>
          <cell r="D25" t="str">
            <v>204:458</v>
          </cell>
          <cell r="E25">
            <v>42591.211099537039</v>
          </cell>
          <cell r="F25">
            <v>42591.212314814817</v>
          </cell>
          <cell r="G25">
            <v>1</v>
          </cell>
          <cell r="H25" t="str">
            <v>204:233295</v>
          </cell>
          <cell r="I25">
            <v>42591.24422453704</v>
          </cell>
          <cell r="J25">
            <v>0</v>
          </cell>
          <cell r="K25" t="str">
            <v>4017/4018</v>
          </cell>
          <cell r="L25" t="str">
            <v>KILLION</v>
          </cell>
          <cell r="M25">
            <v>3.1909722223645076E-2</v>
          </cell>
          <cell r="N25">
            <v>45.95000000204891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https://search-rtdc-monitor-bjffxe2xuh6vdkpspy63sjmuny.us-east-1.es.amazonaws.com/_plugin/kibana/#/discover/Steve-Slow-Train-Analysis-(2080s-and-2083s)?_g=(refreshInterval:(display:Off,section:0,value:0),time:(from:'2016-08-09 04:03:59-0600',mode:absolute,to:'2016-08-09 06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4.58E-2</v>
          </cell>
          <cell r="Z25">
            <v>23.329499999999999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0113-09</v>
          </cell>
          <cell r="AE25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26">
          <cell r="A26" t="str">
            <v>114-09</v>
          </cell>
          <cell r="B26">
            <v>4017</v>
          </cell>
          <cell r="C26" t="str">
            <v>DE.1.0.7.0</v>
          </cell>
          <cell r="D26" t="str">
            <v>204:232969</v>
          </cell>
          <cell r="E26">
            <v>42591.24658564815</v>
          </cell>
          <cell r="F26">
            <v>42591.247453703705</v>
          </cell>
          <cell r="G26">
            <v>1</v>
          </cell>
          <cell r="H26" t="str">
            <v>204:149</v>
          </cell>
          <cell r="I26">
            <v>42591.286157407405</v>
          </cell>
          <cell r="J26">
            <v>0</v>
          </cell>
          <cell r="K26" t="str">
            <v>4017/4018</v>
          </cell>
          <cell r="L26" t="str">
            <v>KILLION</v>
          </cell>
          <cell r="M26">
            <v>3.870370369986631E-2</v>
          </cell>
          <cell r="N26">
            <v>55.733333327807486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https://search-rtdc-monitor-bjffxe2xuh6vdkpspy63sjmuny.us-east-1.es.amazonaws.com/_plugin/kibana/#/discover/Steve-Slow-Train-Analysis-(2080s-and-2083s)?_g=(refreshInterval:(display:Off,section:0,value:0),time:(from:'2016-08-09 04:55:05-0600',mode:absolute,to:'2016-08-09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23.296900000000001</v>
          </cell>
          <cell r="Z26">
            <v>1.49E-2</v>
          </cell>
          <cell r="AA26">
            <v>23.282</v>
          </cell>
          <cell r="AB26" t="e">
            <v>#N/A</v>
          </cell>
          <cell r="AC26" t="e">
            <v>#N/A</v>
          </cell>
          <cell r="AD26" t="str">
            <v>0114-09</v>
          </cell>
          <cell r="AE26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27">
          <cell r="A27" t="str">
            <v>115-09</v>
          </cell>
          <cell r="B27">
            <v>4011</v>
          </cell>
          <cell r="C27" t="str">
            <v>DE.1.0.7.0</v>
          </cell>
          <cell r="D27" t="str">
            <v>204:723</v>
          </cell>
          <cell r="E27">
            <v>42591.228726851848</v>
          </cell>
          <cell r="F27">
            <v>42591.229687500003</v>
          </cell>
          <cell r="G27">
            <v>1</v>
          </cell>
          <cell r="H27" t="str">
            <v>204:233300</v>
          </cell>
          <cell r="I27">
            <v>42591.253935185188</v>
          </cell>
          <cell r="J27">
            <v>0</v>
          </cell>
          <cell r="K27" t="str">
            <v>4011/4012</v>
          </cell>
          <cell r="L27" t="str">
            <v>ROCHA</v>
          </cell>
          <cell r="M27">
            <v>2.4247685185400769E-2</v>
          </cell>
          <cell r="N27">
            <v>34.916666666977108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https://search-rtdc-monitor-bjffxe2xuh6vdkpspy63sjmuny.us-east-1.es.amazonaws.com/_plugin/kibana/#/discover/Steve-Slow-Train-Analysis-(2080s-and-2083s)?_g=(refreshInterval:(display:Off,section:0,value:0),time:(from:'2016-08-09 04:29:22-0600',mode:absolute,to:'2016-08-09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</v>
          </cell>
          <cell r="AA27">
            <v>23.2577</v>
          </cell>
          <cell r="AB27" t="e">
            <v>#N/A</v>
          </cell>
          <cell r="AC27" t="e">
            <v>#N/A</v>
          </cell>
          <cell r="AD27" t="str">
            <v>0115-09</v>
          </cell>
          <cell r="AE27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28">
          <cell r="A28" t="str">
            <v>116-09</v>
          </cell>
          <cell r="B28">
            <v>4012</v>
          </cell>
          <cell r="C28" t="str">
            <v>DE.1.0.7.0</v>
          </cell>
          <cell r="D28" t="str">
            <v>204:232985</v>
          </cell>
          <cell r="E28">
            <v>42591.266203703701</v>
          </cell>
          <cell r="F28">
            <v>42591.268055555556</v>
          </cell>
          <cell r="G28">
            <v>2</v>
          </cell>
          <cell r="H28" t="str">
            <v>204:154</v>
          </cell>
          <cell r="I28">
            <v>42591.297256944446</v>
          </cell>
          <cell r="J28">
            <v>0</v>
          </cell>
          <cell r="K28" t="str">
            <v>4011/4012</v>
          </cell>
          <cell r="L28" t="str">
            <v>ROCHA</v>
          </cell>
          <cell r="M28">
            <v>2.920138889021473E-2</v>
          </cell>
          <cell r="N28">
            <v>42.050000001909211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https://search-rtdc-monitor-bjffxe2xuh6vdkpspy63sjmuny.us-east-1.es.amazonaws.com/_plugin/kibana/#/discover/Steve-Slow-Train-Analysis-(2080s-and-2083s)?_g=(refreshInterval:(display:Off,section:0,value:0),time:(from:'2016-08-09 05:23:20-0600',mode:absolute,to:'2016-08-09 08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8" t="str">
            <v>N</v>
          </cell>
          <cell r="X28">
            <v>1</v>
          </cell>
          <cell r="Y28">
            <v>23.298500000000001</v>
          </cell>
          <cell r="Z28">
            <v>1.54E-2</v>
          </cell>
          <cell r="AA28">
            <v>23.283100000000001</v>
          </cell>
          <cell r="AB28" t="e">
            <v>#N/A</v>
          </cell>
          <cell r="AC28" t="e">
            <v>#N/A</v>
          </cell>
          <cell r="AD28" t="str">
            <v>0116-09</v>
          </cell>
          <cell r="AE28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29">
          <cell r="A29" t="str">
            <v>117-09</v>
          </cell>
          <cell r="B29">
            <v>4016</v>
          </cell>
          <cell r="C29" t="str">
            <v>DE.1.0.7.0</v>
          </cell>
          <cell r="D29" t="str">
            <v>204:424</v>
          </cell>
          <cell r="E29">
            <v>42591.23296296296</v>
          </cell>
          <cell r="F29">
            <v>42591.234398148146</v>
          </cell>
          <cell r="G29">
            <v>2</v>
          </cell>
          <cell r="H29" t="str">
            <v>204:233312</v>
          </cell>
          <cell r="I29">
            <v>42591.264363425929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2.9965277783048805E-2</v>
          </cell>
          <cell r="N29">
            <v>43.150000007590279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https://search-rtdc-monitor-bjffxe2xuh6vdkpspy63sjmuny.us-east-1.es.amazonaws.com/_plugin/kibana/#/discover/Steve-Slow-Train-Analysis-(2080s-and-2083s)?_g=(refreshInterval:(display:Off,section:0,value:0),time:(from:'2016-08-09 04:35:28-0600',mode:absolute,to:'2016-08-09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23.331199999999999</v>
          </cell>
          <cell r="AA29">
            <v>23.288799999999998</v>
          </cell>
          <cell r="AB29" t="e">
            <v>#N/A</v>
          </cell>
          <cell r="AC29" t="e">
            <v>#N/A</v>
          </cell>
          <cell r="AD29" t="str">
            <v>0117-09</v>
          </cell>
          <cell r="AE29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30">
          <cell r="A30" t="str">
            <v>118-09</v>
          </cell>
          <cell r="B30">
            <v>4015</v>
          </cell>
          <cell r="C30" t="str">
            <v>DE.1.0.7.0</v>
          </cell>
          <cell r="D30" t="str">
            <v>204:233000</v>
          </cell>
          <cell r="E30">
            <v>42591.273159722223</v>
          </cell>
          <cell r="F30">
            <v>42591.273958333331</v>
          </cell>
          <cell r="G30">
            <v>1</v>
          </cell>
          <cell r="H30" t="str">
            <v>204:145</v>
          </cell>
          <cell r="I30">
            <v>42591.306921296295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3.2962962963210884E-2</v>
          </cell>
          <cell r="N30">
            <v>47.466666667023674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https://search-rtdc-monitor-bjffxe2xuh6vdkpspy63sjmuny.us-east-1.es.amazonaws.com/_plugin/kibana/#/discover/Steve-Slow-Train-Analysis-(2080s-and-2083s)?_g=(refreshInterval:(display:Off,section:0,value:0),time:(from:'2016-08-09 05:33:21-0600',mode:absolute,to:'2016-08-09 08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23.3</v>
          </cell>
          <cell r="Z30">
            <v>1.4500000000000001E-2</v>
          </cell>
          <cell r="AA30">
            <v>23.285499999999999</v>
          </cell>
          <cell r="AB30" t="e">
            <v>#N/A</v>
          </cell>
          <cell r="AC30" t="e">
            <v>#N/A</v>
          </cell>
          <cell r="AD30" t="str">
            <v>0118-09</v>
          </cell>
          <cell r="AE30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31">
          <cell r="A31" t="str">
            <v>119-09</v>
          </cell>
          <cell r="B31">
            <v>4025</v>
          </cell>
          <cell r="C31" t="str">
            <v>DE.1.0.7.0</v>
          </cell>
          <cell r="D31" t="str">
            <v>204:431</v>
          </cell>
          <cell r="E31">
            <v>42591.248912037037</v>
          </cell>
          <cell r="F31">
            <v>42591.249710648146</v>
          </cell>
          <cell r="G31">
            <v>1</v>
          </cell>
          <cell r="H31" t="str">
            <v>204:233272</v>
          </cell>
          <cell r="I31">
            <v>42591.280752314815</v>
          </cell>
          <cell r="J31">
            <v>0</v>
          </cell>
          <cell r="K31" t="str">
            <v>4025/4026</v>
          </cell>
          <cell r="L31" t="str">
            <v>BRANNON</v>
          </cell>
          <cell r="M31">
            <v>3.104166666889796E-2</v>
          </cell>
          <cell r="N31">
            <v>44.700000003213063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https://search-rtdc-monitor-bjffxe2xuh6vdkpspy63sjmuny.us-east-1.es.amazonaws.com/_plugin/kibana/#/discover/Steve-Slow-Train-Analysis-(2080s-and-2083s)?_g=(refreshInterval:(display:Off,section:0,value:0),time:(from:'2016-08-09 04:58:26-0600',mode:absolute,to:'2016-08-09 07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4.3099999999999999E-2</v>
          </cell>
          <cell r="Z31">
            <v>23.327200000000001</v>
          </cell>
          <cell r="AA31">
            <v>23.284100000000002</v>
          </cell>
          <cell r="AB31" t="e">
            <v>#N/A</v>
          </cell>
          <cell r="AC31" t="e">
            <v>#N/A</v>
          </cell>
          <cell r="AD31" t="str">
            <v>0119-09</v>
          </cell>
          <cell r="AE31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32">
          <cell r="A32" t="str">
            <v>120-09</v>
          </cell>
          <cell r="B32">
            <v>4026</v>
          </cell>
          <cell r="C32" t="str">
            <v>DE.1.0.7.0</v>
          </cell>
          <cell r="D32" t="str">
            <v>204:232993</v>
          </cell>
          <cell r="E32">
            <v>42591.280787037038</v>
          </cell>
          <cell r="F32">
            <v>42591.281875000001</v>
          </cell>
          <cell r="G32">
            <v>1</v>
          </cell>
          <cell r="H32" t="str">
            <v>204:212</v>
          </cell>
          <cell r="I32">
            <v>42591.316712962966</v>
          </cell>
          <cell r="J32">
            <v>1</v>
          </cell>
          <cell r="K32" t="str">
            <v>4025/4026</v>
          </cell>
          <cell r="L32" t="str">
            <v>BRANNON</v>
          </cell>
          <cell r="M32">
            <v>3.4837962964957114E-2</v>
          </cell>
          <cell r="N32">
            <v>50.166666669538245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23.299299999999999</v>
          </cell>
          <cell r="Z32">
            <v>2.12E-2</v>
          </cell>
          <cell r="AA32">
            <v>23.278099999999998</v>
          </cell>
          <cell r="AB32" t="e">
            <v>#N/A</v>
          </cell>
          <cell r="AC32" t="e">
            <v>#N/A</v>
          </cell>
          <cell r="AD32" t="str">
            <v>0120-09</v>
          </cell>
          <cell r="AE32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33">
          <cell r="A33" t="str">
            <v>121-09</v>
          </cell>
          <cell r="B33">
            <v>4031</v>
          </cell>
          <cell r="C33" t="str">
            <v>DE.1.0.7.0</v>
          </cell>
          <cell r="D33" t="str">
            <v>204:431</v>
          </cell>
          <cell r="E33">
            <v>42591.255682870367</v>
          </cell>
          <cell r="F33">
            <v>42591.256597222222</v>
          </cell>
          <cell r="G33">
            <v>1</v>
          </cell>
          <cell r="H33" t="str">
            <v>204:233215</v>
          </cell>
          <cell r="I33">
            <v>42591.287685185183</v>
          </cell>
          <cell r="J33">
            <v>1</v>
          </cell>
          <cell r="K33" t="str">
            <v>4031/4032</v>
          </cell>
          <cell r="L33" t="str">
            <v>SPECTOR</v>
          </cell>
          <cell r="M33">
            <v>3.1087962961464655E-2</v>
          </cell>
          <cell r="N33">
            <v>44.766666664509103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3" t="str">
            <v>N</v>
          </cell>
          <cell r="X33">
            <v>1</v>
          </cell>
          <cell r="Y33">
            <v>4.3099999999999999E-2</v>
          </cell>
          <cell r="Z33">
            <v>23.3215</v>
          </cell>
          <cell r="AA33">
            <v>23.278400000000001</v>
          </cell>
          <cell r="AB33" t="e">
            <v>#N/A</v>
          </cell>
          <cell r="AC33" t="e">
            <v>#N/A</v>
          </cell>
          <cell r="AD33" t="str">
            <v>0121-09</v>
          </cell>
          <cell r="AE33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34">
          <cell r="A34" t="str">
            <v>122-09</v>
          </cell>
          <cell r="B34">
            <v>4032</v>
          </cell>
          <cell r="C34" t="str">
            <v>DE.1.0.7.0</v>
          </cell>
          <cell r="D34" t="str">
            <v>204:232888</v>
          </cell>
          <cell r="E34">
            <v>42591.294641203705</v>
          </cell>
          <cell r="F34">
            <v>42591.295775462961</v>
          </cell>
          <cell r="G34">
            <v>1</v>
          </cell>
          <cell r="H34" t="str">
            <v>204:141</v>
          </cell>
          <cell r="I34">
            <v>42591.328958333332</v>
          </cell>
          <cell r="J34">
            <v>0</v>
          </cell>
          <cell r="K34" t="str">
            <v>4031/4032</v>
          </cell>
          <cell r="L34" t="str">
            <v>SPECTOR</v>
          </cell>
          <cell r="M34">
            <v>3.3182870371092577E-2</v>
          </cell>
          <cell r="N34">
            <v>47.78333333437331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https://search-rtdc-monitor-bjffxe2xuh6vdkpspy63sjmuny.us-east-1.es.amazonaws.com/_plugin/kibana/#/discover/Steve-Slow-Train-Analysis-(2080s-and-2083s)?_g=(refreshInterval:(display:Off,section:0,value:0),time:(from:'2016-08-09 06:04:17-0600',mode:absolute,to:'2016-08-09 08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4" t="str">
            <v>N</v>
          </cell>
          <cell r="X34">
            <v>1</v>
          </cell>
          <cell r="Y34">
            <v>23.288799999999998</v>
          </cell>
          <cell r="Z34">
            <v>1.41E-2</v>
          </cell>
          <cell r="AA34">
            <v>23.274699999999999</v>
          </cell>
          <cell r="AB34" t="e">
            <v>#N/A</v>
          </cell>
          <cell r="AC34" t="e">
            <v>#N/A</v>
          </cell>
          <cell r="AD34" t="str">
            <v>0122-09</v>
          </cell>
          <cell r="AE34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35">
          <cell r="A35" t="str">
            <v>123-09</v>
          </cell>
          <cell r="B35">
            <v>4029</v>
          </cell>
          <cell r="C35" t="str">
            <v>DE.1.0.7.0</v>
          </cell>
          <cell r="D35" t="str">
            <v>204:493</v>
          </cell>
          <cell r="E35">
            <v>42591.265613425923</v>
          </cell>
          <cell r="F35">
            <v>42591.266759259262</v>
          </cell>
          <cell r="G35">
            <v>1</v>
          </cell>
          <cell r="H35" t="str">
            <v>204:233298</v>
          </cell>
          <cell r="I35">
            <v>42591.29614583333</v>
          </cell>
          <cell r="J35">
            <v>0</v>
          </cell>
          <cell r="K35" t="str">
            <v>4029/4030</v>
          </cell>
          <cell r="L35" t="str">
            <v>DAVIS</v>
          </cell>
          <cell r="M35">
            <v>2.9386574067757465E-2</v>
          </cell>
          <cell r="N35">
            <v>42.31666665757075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https://search-rtdc-monitor-bjffxe2xuh6vdkpspy63sjmuny.us-east-1.es.amazonaws.com/_plugin/kibana/#/discover/Steve-Slow-Train-Analysis-(2080s-and-2083s)?_g=(refreshInterval:(display:Off,section:0,value:0),time:(from:'2016-08-09 05:22:29-0600',mode:absolute,to:'2016-08-09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5" t="str">
            <v>N</v>
          </cell>
          <cell r="X35">
            <v>1</v>
          </cell>
          <cell r="Y35">
            <v>4.9299999999999997E-2</v>
          </cell>
          <cell r="Z35">
            <v>23.329799999999999</v>
          </cell>
          <cell r="AA35">
            <v>23.2805</v>
          </cell>
          <cell r="AB35" t="e">
            <v>#N/A</v>
          </cell>
          <cell r="AC35" t="e">
            <v>#N/A</v>
          </cell>
          <cell r="AD35" t="str">
            <v>0123-09</v>
          </cell>
          <cell r="AE35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36">
          <cell r="A36" t="str">
            <v>124-09</v>
          </cell>
          <cell r="B36">
            <v>4030</v>
          </cell>
          <cell r="C36" t="str">
            <v>DE.1.0.7.0</v>
          </cell>
          <cell r="D36" t="str">
            <v>204:232977</v>
          </cell>
          <cell r="E36">
            <v>42591.303414351853</v>
          </cell>
          <cell r="F36">
            <v>42591.304293981484</v>
          </cell>
          <cell r="G36">
            <v>1</v>
          </cell>
          <cell r="H36" t="str">
            <v>204:158</v>
          </cell>
          <cell r="I36">
            <v>42591.338263888887</v>
          </cell>
          <cell r="J36">
            <v>0</v>
          </cell>
          <cell r="K36" t="str">
            <v>4029/4030</v>
          </cell>
          <cell r="L36" t="str">
            <v>DAVIS</v>
          </cell>
          <cell r="M36">
            <v>3.3969907402934041E-2</v>
          </cell>
          <cell r="N36">
            <v>48.916666660225019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https://search-rtdc-monitor-bjffxe2xuh6vdkpspy63sjmuny.us-east-1.es.amazonaws.com/_plugin/kibana/#/discover/Steve-Slow-Train-Analysis-(2080s-and-2083s)?_g=(refreshInterval:(display:Off,section:0,value:0),time:(from:'2016-08-09 06:16:55-0600',mode:absolute,to:'2016-08-09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23.297699999999999</v>
          </cell>
          <cell r="Z36">
            <v>1.5800000000000002E-2</v>
          </cell>
          <cell r="AA36">
            <v>23.2819</v>
          </cell>
          <cell r="AB36" t="e">
            <v>#N/A</v>
          </cell>
          <cell r="AC36" t="e">
            <v>#N/A</v>
          </cell>
          <cell r="AD36" t="str">
            <v>0124-09</v>
          </cell>
          <cell r="AE36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37">
          <cell r="A37" t="str">
            <v>125-09</v>
          </cell>
          <cell r="B37">
            <v>4040</v>
          </cell>
          <cell r="C37" t="str">
            <v>DE.1.0.7.0</v>
          </cell>
          <cell r="D37" t="str">
            <v>204:477</v>
          </cell>
          <cell r="E37">
            <v>42591.276504629626</v>
          </cell>
          <cell r="F37">
            <v>42591.277592592596</v>
          </cell>
          <cell r="G37">
            <v>1</v>
          </cell>
          <cell r="H37" t="str">
            <v>204:233289</v>
          </cell>
          <cell r="I37">
            <v>42591.307013888887</v>
          </cell>
          <cell r="J37">
            <v>0</v>
          </cell>
          <cell r="K37" t="str">
            <v>4039/4040</v>
          </cell>
          <cell r="L37" t="str">
            <v>OUN</v>
          </cell>
          <cell r="M37">
            <v>2.9421296290820464E-2</v>
          </cell>
          <cell r="N37">
            <v>42.366666658781469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https://search-rtdc-monitor-bjffxe2xuh6vdkpspy63sjmuny.us-east-1.es.amazonaws.com/_plugin/kibana/#/discover/Steve-Slow-Train-Analysis-(2080s-and-2083s)?_g=(refreshInterval:(display:Off,section:0,value:0),time:(from:'2016-08-09 05:38:10-0600',mode:absolute,to:'2016-08-09 08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7" t="str">
            <v>N</v>
          </cell>
          <cell r="X37">
            <v>1</v>
          </cell>
          <cell r="Y37">
            <v>4.7699999999999999E-2</v>
          </cell>
          <cell r="Z37">
            <v>23.328900000000001</v>
          </cell>
          <cell r="AA37">
            <v>23.281200000000002</v>
          </cell>
          <cell r="AB37" t="e">
            <v>#N/A</v>
          </cell>
          <cell r="AC37" t="e">
            <v>#N/A</v>
          </cell>
          <cell r="AD37" t="str">
            <v>0125-09</v>
          </cell>
          <cell r="AE37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38">
          <cell r="A38" t="str">
            <v>126-09</v>
          </cell>
          <cell r="B38">
            <v>4039</v>
          </cell>
          <cell r="C38" t="str">
            <v>DE.1.0.7.0</v>
          </cell>
          <cell r="D38" t="str">
            <v>204:232978</v>
          </cell>
          <cell r="E38">
            <v>42591.316030092596</v>
          </cell>
          <cell r="F38">
            <v>42591.316851851851</v>
          </cell>
          <cell r="G38">
            <v>1</v>
          </cell>
          <cell r="H38" t="str">
            <v>204:158</v>
          </cell>
          <cell r="I38">
            <v>42591.34752314815</v>
          </cell>
          <cell r="J38">
            <v>0</v>
          </cell>
          <cell r="K38" t="str">
            <v>4039/4040</v>
          </cell>
          <cell r="L38" t="str">
            <v>OUN</v>
          </cell>
          <cell r="M38">
            <v>3.0671296299260575E-2</v>
          </cell>
          <cell r="N38">
            <v>44.166666670935228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https://search-rtdc-monitor-bjffxe2xuh6vdkpspy63sjmuny.us-east-1.es.amazonaws.com/_plugin/kibana/#/discover/Steve-Slow-Train-Analysis-(2080s-and-2083s)?_g=(refreshInterval:(display:Off,section:0,value:0),time:(from:'2016-08-09 06:35:05-0600',mode:absolute,to:'2016-08-09 09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8" t="str">
            <v>N</v>
          </cell>
          <cell r="X38">
            <v>1</v>
          </cell>
          <cell r="Y38">
            <v>23.297799999999999</v>
          </cell>
          <cell r="Z38">
            <v>1.5800000000000002E-2</v>
          </cell>
          <cell r="AA38">
            <v>23.282</v>
          </cell>
          <cell r="AB38" t="e">
            <v>#N/A</v>
          </cell>
          <cell r="AC38" t="e">
            <v>#N/A</v>
          </cell>
          <cell r="AD38" t="str">
            <v>0126-09</v>
          </cell>
          <cell r="AE38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39">
          <cell r="A39" t="str">
            <v>127-09</v>
          </cell>
          <cell r="B39">
            <v>4018</v>
          </cell>
          <cell r="C39" t="str">
            <v>DE.1.0.7.0</v>
          </cell>
          <cell r="D39" t="str">
            <v>204:471</v>
          </cell>
          <cell r="E39">
            <v>42591.288159722222</v>
          </cell>
          <cell r="F39">
            <v>42591.289189814815</v>
          </cell>
          <cell r="G39">
            <v>1</v>
          </cell>
          <cell r="H39" t="str">
            <v>204:233287</v>
          </cell>
          <cell r="I39">
            <v>42591.320625</v>
          </cell>
          <cell r="J39">
            <v>0</v>
          </cell>
          <cell r="K39" t="str">
            <v>4017/4018</v>
          </cell>
          <cell r="L39" t="str">
            <v>KILLION</v>
          </cell>
          <cell r="M39">
            <v>3.1435185184818693E-2</v>
          </cell>
          <cell r="N39">
            <v>45.266666666138917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https://search-rtdc-monitor-bjffxe2xuh6vdkpspy63sjmuny.us-east-1.es.amazonaws.com/_plugin/kibana/#/discover/Steve-Slow-Train-Analysis-(2080s-and-2083s)?_g=(refreshInterval:(display:Off,section:0,value:0),time:(from:'2016-08-09 05:54:57-0600',mode:absolute,to:'2016-08-09 08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4.7100000000000003E-2</v>
          </cell>
          <cell r="Z39">
            <v>23.328700000000001</v>
          </cell>
          <cell r="AA39">
            <v>23.281600000000001</v>
          </cell>
          <cell r="AB39" t="e">
            <v>#N/A</v>
          </cell>
          <cell r="AC39" t="e">
            <v>#N/A</v>
          </cell>
          <cell r="AD39" t="str">
            <v>0127-09</v>
          </cell>
          <cell r="AE39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40">
          <cell r="A40" t="str">
            <v>128-09</v>
          </cell>
          <cell r="B40">
            <v>4017</v>
          </cell>
          <cell r="C40" t="str">
            <v>DE.1.0.7.0</v>
          </cell>
          <cell r="D40" t="str">
            <v>204:232987</v>
          </cell>
          <cell r="E40">
            <v>42591.327511574076</v>
          </cell>
          <cell r="F40">
            <v>42591.330879629626</v>
          </cell>
          <cell r="G40">
            <v>4</v>
          </cell>
          <cell r="H40" t="str">
            <v>204:152</v>
          </cell>
          <cell r="I40">
            <v>42591.358344907407</v>
          </cell>
          <cell r="J40">
            <v>0</v>
          </cell>
          <cell r="K40" t="str">
            <v>4017/4018</v>
          </cell>
          <cell r="L40" t="str">
            <v>KILLION</v>
          </cell>
          <cell r="M40">
            <v>2.7465277780720498E-2</v>
          </cell>
          <cell r="N40">
            <v>39.550000004237518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https://search-rtdc-monitor-bjffxe2xuh6vdkpspy63sjmuny.us-east-1.es.amazonaws.com/_plugin/kibana/#/discover/Steve-Slow-Train-Analysis-(2080s-and-2083s)?_g=(refreshInterval:(display:Off,section:0,value:0),time:(from:'2016-08-09 06:51:37-0600',mode:absolute,to:'2016-08-09 09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23.2987</v>
          </cell>
          <cell r="Z40">
            <v>1.52E-2</v>
          </cell>
          <cell r="AA40">
            <v>23.2835</v>
          </cell>
          <cell r="AB40" t="e">
            <v>#N/A</v>
          </cell>
          <cell r="AC40" t="e">
            <v>#N/A</v>
          </cell>
          <cell r="AD40" t="str">
            <v>0128-09</v>
          </cell>
          <cell r="AE40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41">
          <cell r="A41" t="str">
            <v>129-09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42591.29959490741</v>
          </cell>
          <cell r="F41">
            <v>42591.300682870373</v>
          </cell>
          <cell r="G41">
            <v>1</v>
          </cell>
          <cell r="H41" t="str">
            <v>204:233297</v>
          </cell>
          <cell r="I41">
            <v>42591.327025462961</v>
          </cell>
          <cell r="J41">
            <v>0</v>
          </cell>
          <cell r="K41" t="str">
            <v>4011/4012</v>
          </cell>
          <cell r="L41" t="str">
            <v>ROCHA</v>
          </cell>
          <cell r="M41">
            <v>2.6342592587752733E-2</v>
          </cell>
          <cell r="N41">
            <v>37.933333326363936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https://search-rtdc-monitor-bjffxe2xuh6vdkpspy63sjmuny.us-east-1.es.amazonaws.com/_plugin/kibana/#/discover/Steve-Slow-Train-Analysis-(2080s-and-2083s)?_g=(refreshInterval:(display:Off,section:0,value:0),time:(from:'2016-08-09 06:11:25-0600',mode:absolute,to:'2016-08-09 08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23.329699999999999</v>
          </cell>
          <cell r="AA41">
            <v>23.2837</v>
          </cell>
          <cell r="AB41" t="e">
            <v>#N/A</v>
          </cell>
          <cell r="AC41" t="e">
            <v>#N/A</v>
          </cell>
          <cell r="AD41" t="str">
            <v>0129-09</v>
          </cell>
          <cell r="AE41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42">
          <cell r="A42" t="str">
            <v>130-09</v>
          </cell>
          <cell r="B42">
            <v>4012</v>
          </cell>
          <cell r="C42" t="str">
            <v>DE.1.0.7.0</v>
          </cell>
          <cell r="D42" t="str">
            <v>204:232980</v>
          </cell>
          <cell r="E42">
            <v>42591.337465277778</v>
          </cell>
          <cell r="F42">
            <v>42591.338541666664</v>
          </cell>
          <cell r="G42">
            <v>1</v>
          </cell>
          <cell r="H42" t="str">
            <v>204:156</v>
          </cell>
          <cell r="I42">
            <v>42591.367245370369</v>
          </cell>
          <cell r="J42">
            <v>0</v>
          </cell>
          <cell r="K42" t="str">
            <v>4011/4012</v>
          </cell>
          <cell r="L42" t="str">
            <v>ROCHA</v>
          </cell>
          <cell r="M42">
            <v>2.8703703705104999E-2</v>
          </cell>
          <cell r="N42">
            <v>41.333333335351199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https://search-rtdc-monitor-bjffxe2xuh6vdkpspy63sjmuny.us-east-1.es.amazonaws.com/_plugin/kibana/#/discover/Steve-Slow-Train-Analysis-(2080s-and-2083s)?_g=(refreshInterval:(display:Off,section:0,value:0),time:(from:'2016-08-09 07:05:57-0600',mode:absolute,to:'2016-08-09 09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23.297999999999998</v>
          </cell>
          <cell r="Z42">
            <v>1.5599999999999999E-2</v>
          </cell>
          <cell r="AA42">
            <v>23.282399999999999</v>
          </cell>
          <cell r="AB42" t="e">
            <v>#N/A</v>
          </cell>
          <cell r="AC42" t="e">
            <v>#N/A</v>
          </cell>
          <cell r="AD42" t="str">
            <v>0130-09</v>
          </cell>
          <cell r="AE42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43">
          <cell r="A43" t="str">
            <v>131-09</v>
          </cell>
          <cell r="B43">
            <v>4016</v>
          </cell>
          <cell r="C43" t="str">
            <v>DE.1.0.7.0</v>
          </cell>
          <cell r="D43" t="str">
            <v>204:437</v>
          </cell>
          <cell r="E43">
            <v>42591.309502314813</v>
          </cell>
          <cell r="F43">
            <v>42591.310706018521</v>
          </cell>
          <cell r="G43">
            <v>1</v>
          </cell>
          <cell r="H43" t="str">
            <v>204:233329</v>
          </cell>
          <cell r="I43">
            <v>42591.338356481479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2.7650462958263233E-2</v>
          </cell>
          <cell r="N43">
            <v>39.816666659899056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https://search-rtdc-monitor-bjffxe2xuh6vdkpspy63sjmuny.us-east-1.es.amazonaws.com/_plugin/kibana/#/discover/Steve-Slow-Train-Analysis-(2080s-and-2083s)?_g=(refreshInterval:(display:Off,section:0,value:0),time:(from:'2016-08-09 06:25:41-0600',mode:absolute,to:'2016-08-09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4.3700000000000003E-2</v>
          </cell>
          <cell r="Z43">
            <v>23.332899999999999</v>
          </cell>
          <cell r="AA43">
            <v>23.289199999999997</v>
          </cell>
          <cell r="AB43" t="e">
            <v>#N/A</v>
          </cell>
          <cell r="AC43" t="e">
            <v>#N/A</v>
          </cell>
          <cell r="AD43" t="str">
            <v>0131-09</v>
          </cell>
          <cell r="AE43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44">
          <cell r="A44" t="str">
            <v>132-09</v>
          </cell>
          <cell r="B44">
            <v>4015</v>
          </cell>
          <cell r="C44" t="str">
            <v>DE.1.0.7.0</v>
          </cell>
          <cell r="D44" t="str">
            <v>204:233030</v>
          </cell>
          <cell r="E44">
            <v>42591.344375000001</v>
          </cell>
          <cell r="F44">
            <v>42591.345520833333</v>
          </cell>
          <cell r="G44">
            <v>1</v>
          </cell>
          <cell r="H44" t="str">
            <v>204:152</v>
          </cell>
          <cell r="I44">
            <v>42591.379571759258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3.4050925925839692E-2</v>
          </cell>
          <cell r="N44">
            <v>49.033333333209157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https://search-rtdc-monitor-bjffxe2xuh6vdkpspy63sjmuny.us-east-1.es.amazonaws.com/_plugin/kibana/#/discover/Steve-Slow-Train-Analysis-(2080s-and-2083s)?_g=(refreshInterval:(display:Off,section:0,value:0),time:(from:'2016-08-09 07:15:54-0600',mode:absolute,to:'2016-08-09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23.303000000000001</v>
          </cell>
          <cell r="Z44">
            <v>1.52E-2</v>
          </cell>
          <cell r="AA44">
            <v>23.287800000000001</v>
          </cell>
          <cell r="AB44" t="e">
            <v>#N/A</v>
          </cell>
          <cell r="AC44" t="e">
            <v>#N/A</v>
          </cell>
          <cell r="AD44" t="str">
            <v>0132-09</v>
          </cell>
          <cell r="AE44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45">
          <cell r="A45" t="str">
            <v>133-09</v>
          </cell>
          <cell r="B45">
            <v>4025</v>
          </cell>
          <cell r="C45" t="str">
            <v>DE.1.0.7.0</v>
          </cell>
          <cell r="D45" t="str">
            <v>204:528</v>
          </cell>
          <cell r="E45">
            <v>42591.318055555559</v>
          </cell>
          <cell r="F45">
            <v>42591.319131944445</v>
          </cell>
          <cell r="G45">
            <v>1</v>
          </cell>
          <cell r="H45" t="str">
            <v>204:233295</v>
          </cell>
          <cell r="I45">
            <v>42591.349236111113</v>
          </cell>
          <cell r="J45">
            <v>2</v>
          </cell>
          <cell r="K45" t="str">
            <v>4025/4026</v>
          </cell>
          <cell r="L45" t="str">
            <v>BRANNON</v>
          </cell>
          <cell r="M45">
            <v>3.0104166668024845E-2</v>
          </cell>
          <cell r="N45">
            <v>43.350000001955777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5.28E-2</v>
          </cell>
          <cell r="Z45">
            <v>23.329499999999999</v>
          </cell>
          <cell r="AA45">
            <v>23.276699999999998</v>
          </cell>
          <cell r="AB45">
            <v>20338</v>
          </cell>
          <cell r="AC45" t="str">
            <v>PERMANENT SPEED RESTRICTION</v>
          </cell>
          <cell r="AD45" t="str">
            <v>0133-09</v>
          </cell>
          <cell r="AE4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46">
          <cell r="A46" t="str">
            <v>134-09</v>
          </cell>
          <cell r="B46">
            <v>4026</v>
          </cell>
          <cell r="C46" t="str">
            <v>DE.1.0.7.0</v>
          </cell>
          <cell r="D46" t="str">
            <v>204:232978</v>
          </cell>
          <cell r="E46">
            <v>42591.355034722219</v>
          </cell>
          <cell r="F46">
            <v>42591.35659722222</v>
          </cell>
          <cell r="G46">
            <v>2</v>
          </cell>
          <cell r="H46" t="str">
            <v>204:172</v>
          </cell>
          <cell r="I46">
            <v>42591.389710648145</v>
          </cell>
          <cell r="J46">
            <v>1</v>
          </cell>
          <cell r="K46" t="str">
            <v>4025/4026</v>
          </cell>
          <cell r="L46" t="str">
            <v>BRANNON</v>
          </cell>
          <cell r="M46">
            <v>3.3113425924966577E-2</v>
          </cell>
          <cell r="N46">
            <v>47.683333331951872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23.297799999999999</v>
          </cell>
          <cell r="Z46">
            <v>1.72E-2</v>
          </cell>
          <cell r="AA46">
            <v>23.2806</v>
          </cell>
          <cell r="AB46" t="e">
            <v>#N/A</v>
          </cell>
          <cell r="AC46" t="e">
            <v>#N/A</v>
          </cell>
          <cell r="AD46" t="str">
            <v>0134-09</v>
          </cell>
          <cell r="AE46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47">
          <cell r="A47" t="str">
            <v>135-09</v>
          </cell>
          <cell r="B47">
            <v>4031</v>
          </cell>
          <cell r="C47" t="str">
            <v>DE.1.0.7.0</v>
          </cell>
          <cell r="D47" t="str">
            <v>204:469</v>
          </cell>
          <cell r="E47">
            <v>42591.331076388888</v>
          </cell>
          <cell r="F47">
            <v>42591.33184027778</v>
          </cell>
          <cell r="G47">
            <v>1</v>
          </cell>
          <cell r="H47" t="str">
            <v>204:233312</v>
          </cell>
          <cell r="I47">
            <v>42591.361898148149</v>
          </cell>
          <cell r="J47">
            <v>0</v>
          </cell>
          <cell r="K47" t="str">
            <v>4031/4032</v>
          </cell>
          <cell r="L47" t="str">
            <v>SPECTOR</v>
          </cell>
          <cell r="M47">
            <v>3.0057870368182193E-2</v>
          </cell>
          <cell r="N47">
            <v>43.283333330182359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https://search-rtdc-monitor-bjffxe2xuh6vdkpspy63sjmuny.us-east-1.es.amazonaws.com/_plugin/kibana/#/discover/Steve-Slow-Train-Analysis-(2080s-and-2083s)?_g=(refreshInterval:(display:Off,section:0,value:0),time:(from:'2016-08-09 06:56:45-0600',mode:absolute,to:'2016-08-09 09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7" t="str">
            <v>N</v>
          </cell>
          <cell r="X47">
            <v>1</v>
          </cell>
          <cell r="Y47">
            <v>4.6899999999999997E-2</v>
          </cell>
          <cell r="Z47">
            <v>23.331199999999999</v>
          </cell>
          <cell r="AA47">
            <v>23.284299999999998</v>
          </cell>
          <cell r="AB47" t="e">
            <v>#N/A</v>
          </cell>
          <cell r="AC47" t="e">
            <v>#N/A</v>
          </cell>
          <cell r="AD47" t="str">
            <v>0135-09</v>
          </cell>
          <cell r="AE47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48">
          <cell r="A48" t="str">
            <v>136-09</v>
          </cell>
          <cell r="B48">
            <v>4032</v>
          </cell>
          <cell r="C48" t="str">
            <v>DE.1.0.7.0</v>
          </cell>
          <cell r="D48" t="str">
            <v>204:233004</v>
          </cell>
          <cell r="E48">
            <v>42591.3675</v>
          </cell>
          <cell r="F48">
            <v>42591.368668981479</v>
          </cell>
          <cell r="G48">
            <v>1</v>
          </cell>
          <cell r="H48" t="str">
            <v>204:145</v>
          </cell>
          <cell r="I48">
            <v>42591.402314814812</v>
          </cell>
          <cell r="J48">
            <v>0</v>
          </cell>
          <cell r="K48" t="str">
            <v>4031/4032</v>
          </cell>
          <cell r="L48" t="str">
            <v>SPECTOR</v>
          </cell>
          <cell r="M48">
            <v>3.3645833333139308E-2</v>
          </cell>
          <cell r="N48">
            <v>48.449999999720603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https://search-rtdc-monitor-bjffxe2xuh6vdkpspy63sjmuny.us-east-1.es.amazonaws.com/_plugin/kibana/#/discover/Steve-Slow-Train-Analysis-(2080s-and-2083s)?_g=(refreshInterval:(display:Off,section:0,value:0),time:(from:'2016-08-09 07:49:12-0600',mode:absolute,to:'2016-08-09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8" t="str">
            <v>N</v>
          </cell>
          <cell r="X48">
            <v>1</v>
          </cell>
          <cell r="Y48">
            <v>23.3004</v>
          </cell>
          <cell r="Z48">
            <v>1.4500000000000001E-2</v>
          </cell>
          <cell r="AA48">
            <v>23.285899999999998</v>
          </cell>
          <cell r="AB48" t="e">
            <v>#N/A</v>
          </cell>
          <cell r="AC48" t="e">
            <v>#N/A</v>
          </cell>
          <cell r="AD48" t="str">
            <v>0136-09</v>
          </cell>
          <cell r="AE48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49">
          <cell r="A49" t="str">
            <v>137-09</v>
          </cell>
          <cell r="B49">
            <v>4029</v>
          </cell>
          <cell r="C49" t="str">
            <v>DE.1.0.7.0</v>
          </cell>
          <cell r="D49" t="str">
            <v>204:473</v>
          </cell>
          <cell r="E49">
            <v>42591.339641203704</v>
          </cell>
          <cell r="F49">
            <v>42591.340624999997</v>
          </cell>
          <cell r="G49">
            <v>1</v>
          </cell>
          <cell r="H49" t="str">
            <v>204:233359</v>
          </cell>
          <cell r="I49">
            <v>42591.369768518518</v>
          </cell>
          <cell r="J49">
            <v>0</v>
          </cell>
          <cell r="K49" t="str">
            <v>4029/4030</v>
          </cell>
          <cell r="L49" t="str">
            <v>DAVIS</v>
          </cell>
          <cell r="M49">
            <v>2.9143518520868383E-2</v>
          </cell>
          <cell r="N49">
            <v>41.966666670050472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https://search-rtdc-monitor-bjffxe2xuh6vdkpspy63sjmuny.us-east-1.es.amazonaws.com/_plugin/kibana/#/discover/Steve-Slow-Train-Analysis-(2080s-and-2083s)?_g=(refreshInterval:(display:Off,section:0,value:0),time:(from:'2016-08-09 07:09:05-0600',mode:absolute,to:'2016-08-09 09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9" t="str">
            <v>N</v>
          </cell>
          <cell r="X49">
            <v>1</v>
          </cell>
          <cell r="Y49">
            <v>4.7300000000000002E-2</v>
          </cell>
          <cell r="Z49">
            <v>23.335899999999999</v>
          </cell>
          <cell r="AA49">
            <v>23.288599999999999</v>
          </cell>
          <cell r="AB49" t="e">
            <v>#N/A</v>
          </cell>
          <cell r="AC49" t="e">
            <v>#N/A</v>
          </cell>
          <cell r="AD49" t="str">
            <v>0137-09</v>
          </cell>
          <cell r="AE49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50">
          <cell r="A50" t="str">
            <v>138-09</v>
          </cell>
          <cell r="B50">
            <v>4030</v>
          </cell>
          <cell r="C50" t="str">
            <v>DE.1.0.7.0</v>
          </cell>
          <cell r="D50" t="str">
            <v>204:232986</v>
          </cell>
          <cell r="E50">
            <v>42591.378321759257</v>
          </cell>
          <cell r="F50">
            <v>42591.379317129627</v>
          </cell>
          <cell r="G50">
            <v>1</v>
          </cell>
          <cell r="H50" t="str">
            <v>204:154</v>
          </cell>
          <cell r="I50">
            <v>42591.409849537034</v>
          </cell>
          <cell r="J50">
            <v>1</v>
          </cell>
          <cell r="K50" t="str">
            <v>4029/4030</v>
          </cell>
          <cell r="L50" t="str">
            <v>DAVIS</v>
          </cell>
          <cell r="M50">
            <v>3.0532407407008577E-2</v>
          </cell>
          <cell r="N50">
            <v>43.966666666092351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1.54E-2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0138-09</v>
          </cell>
          <cell r="AE50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51">
          <cell r="A51" t="str">
            <v>139-09</v>
          </cell>
          <cell r="B51">
            <v>4040</v>
          </cell>
          <cell r="C51" t="str">
            <v>DE.1.0.7.0</v>
          </cell>
          <cell r="D51" t="str">
            <v>204:462</v>
          </cell>
          <cell r="E51">
            <v>42591.349351851852</v>
          </cell>
          <cell r="F51">
            <v>42591.350682870368</v>
          </cell>
          <cell r="G51">
            <v>1</v>
          </cell>
          <cell r="H51" t="str">
            <v>204:233312</v>
          </cell>
          <cell r="I51">
            <v>42591.380127314813</v>
          </cell>
          <cell r="J51">
            <v>0</v>
          </cell>
          <cell r="K51" t="str">
            <v>4039/4040</v>
          </cell>
          <cell r="L51" t="str">
            <v>OUN</v>
          </cell>
          <cell r="M51">
            <v>2.9444444444379769E-2</v>
          </cell>
          <cell r="N51">
            <v>42.399999999906868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https://search-rtdc-monitor-bjffxe2xuh6vdkpspy63sjmuny.us-east-1.es.amazonaws.com/_plugin/kibana/#/discover/Steve-Slow-Train-Analysis-(2080s-and-2083s)?_g=(refreshInterval:(display:Off,section:0,value:0),time:(from:'2016-08-09 07:23:04-0600',mode:absolute,to:'2016-08-09 10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51" t="str">
            <v>N</v>
          </cell>
          <cell r="X51">
            <v>1</v>
          </cell>
          <cell r="Y51">
            <v>4.6199999999999998E-2</v>
          </cell>
          <cell r="Z51">
            <v>23.331199999999999</v>
          </cell>
          <cell r="AA51">
            <v>23.285</v>
          </cell>
          <cell r="AB51" t="e">
            <v>#N/A</v>
          </cell>
          <cell r="AC51" t="e">
            <v>#N/A</v>
          </cell>
          <cell r="AD51" t="str">
            <v>0139-09</v>
          </cell>
          <cell r="AE51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52">
          <cell r="A52" t="str">
            <v>140-09</v>
          </cell>
          <cell r="B52">
            <v>4039</v>
          </cell>
          <cell r="C52" t="str">
            <v>DE.1.0.7.0</v>
          </cell>
          <cell r="D52" t="str">
            <v>204:232994</v>
          </cell>
          <cell r="E52">
            <v>42591.389560185184</v>
          </cell>
          <cell r="F52">
            <v>42591.390381944446</v>
          </cell>
          <cell r="G52">
            <v>1</v>
          </cell>
          <cell r="H52" t="str">
            <v>204:161</v>
          </cell>
          <cell r="I52">
            <v>42591.419664351852</v>
          </cell>
          <cell r="J52">
            <v>0</v>
          </cell>
          <cell r="K52" t="str">
            <v>4039/4040</v>
          </cell>
          <cell r="L52" t="str">
            <v>OUN</v>
          </cell>
          <cell r="M52">
            <v>2.9282407405844424E-2</v>
          </cell>
          <cell r="N52">
            <v>42.16666666441597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https://search-rtdc-monitor-bjffxe2xuh6vdkpspy63sjmuny.us-east-1.es.amazonaws.com/_plugin/kibana/#/discover/Steve-Slow-Train-Analysis-(2080s-and-2083s)?_g=(refreshInterval:(display:Off,section:0,value:0),time:(from:'2016-08-09 08:20:58-0600',mode:absolute,to:'2016-08-09 11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2" t="str">
            <v>N</v>
          </cell>
          <cell r="X52">
            <v>1</v>
          </cell>
          <cell r="Y52">
            <v>23.299399999999999</v>
          </cell>
          <cell r="Z52">
            <v>1.61E-2</v>
          </cell>
          <cell r="AA52">
            <v>23.283299999999997</v>
          </cell>
          <cell r="AB52" t="e">
            <v>#N/A</v>
          </cell>
          <cell r="AC52" t="e">
            <v>#N/A</v>
          </cell>
          <cell r="AD52" t="str">
            <v>0140-09</v>
          </cell>
          <cell r="AE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53">
          <cell r="A53" t="str">
            <v>141-09</v>
          </cell>
          <cell r="B53">
            <v>4018</v>
          </cell>
          <cell r="C53" t="str">
            <v>DE.1.0.7.0</v>
          </cell>
          <cell r="D53" t="str">
            <v>204:466</v>
          </cell>
          <cell r="E53">
            <v>42591.362303240741</v>
          </cell>
          <cell r="F53">
            <v>42591.363368055558</v>
          </cell>
          <cell r="G53">
            <v>1</v>
          </cell>
          <cell r="H53" t="str">
            <v>204:233280</v>
          </cell>
          <cell r="I53">
            <v>42591.390104166669</v>
          </cell>
          <cell r="J53">
            <v>0</v>
          </cell>
          <cell r="K53" t="str">
            <v>4017/4018</v>
          </cell>
          <cell r="L53" t="str">
            <v>KILLION</v>
          </cell>
          <cell r="M53">
            <v>2.6736111110949423E-2</v>
          </cell>
          <cell r="N53">
            <v>38.499999999767169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https://search-rtdc-monitor-bjffxe2xuh6vdkpspy63sjmuny.us-east-1.es.amazonaws.com/_plugin/kibana/#/discover/Steve-Slow-Train-Analysis-(2080s-and-2083s)?_g=(refreshInterval:(display:Off,section:0,value:0),time:(from:'2016-08-09 07:41:43-0600',mode:absolute,to:'2016-08-09 10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4.6600000000000003E-2</v>
          </cell>
          <cell r="Z53">
            <v>23.327999999999999</v>
          </cell>
          <cell r="AA53">
            <v>23.281399999999998</v>
          </cell>
          <cell r="AB53" t="e">
            <v>#N/A</v>
          </cell>
          <cell r="AC53" t="e">
            <v>#N/A</v>
          </cell>
          <cell r="AD53" t="str">
            <v>0141-09</v>
          </cell>
          <cell r="AE53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54">
          <cell r="A54" t="str">
            <v>142-09</v>
          </cell>
          <cell r="B54">
            <v>4017</v>
          </cell>
          <cell r="C54" t="str">
            <v>DE.1.0.7.0</v>
          </cell>
          <cell r="D54" t="str">
            <v>204:232963</v>
          </cell>
          <cell r="E54">
            <v>42591.397326388891</v>
          </cell>
          <cell r="F54">
            <v>42591.398217592592</v>
          </cell>
          <cell r="G54">
            <v>1</v>
          </cell>
          <cell r="H54" t="str">
            <v>204:176</v>
          </cell>
          <cell r="I54">
            <v>42591.434641203705</v>
          </cell>
          <cell r="J54">
            <v>4</v>
          </cell>
          <cell r="K54" t="str">
            <v>4017/4018</v>
          </cell>
          <cell r="L54" t="str">
            <v>KILLION</v>
          </cell>
          <cell r="M54">
            <v>3.6423611112695653E-2</v>
          </cell>
          <cell r="N54">
            <v>52.45000000228174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1.7600000000000001E-2</v>
          </cell>
          <cell r="AA54">
            <v>23.278699999999997</v>
          </cell>
          <cell r="AB54">
            <v>21848</v>
          </cell>
          <cell r="AC54" t="str">
            <v>PERMANENT SPEED RESTRICTION</v>
          </cell>
          <cell r="AD54" t="str">
            <v>0142-09</v>
          </cell>
          <cell r="AE5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55">
          <cell r="A55" t="str">
            <v>143-09</v>
          </cell>
          <cell r="B55">
            <v>4011</v>
          </cell>
          <cell r="C55" t="str">
            <v>DE.1.0.7.0</v>
          </cell>
          <cell r="D55" t="str">
            <v>204:458</v>
          </cell>
          <cell r="E55">
            <v>42591.373148148145</v>
          </cell>
          <cell r="F55">
            <v>42591.374097222222</v>
          </cell>
          <cell r="G55">
            <v>1</v>
          </cell>
          <cell r="H55" t="str">
            <v>204:233295</v>
          </cell>
          <cell r="I55">
            <v>42591.399976851855</v>
          </cell>
          <cell r="J55">
            <v>0</v>
          </cell>
          <cell r="K55" t="str">
            <v>4011/4012</v>
          </cell>
          <cell r="L55" t="str">
            <v>ROCHA</v>
          </cell>
          <cell r="M55">
            <v>2.587962963298196E-2</v>
          </cell>
          <cell r="N55">
            <v>37.266666671494022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https://search-rtdc-monitor-bjffxe2xuh6vdkpspy63sjmuny.us-east-1.es.amazonaws.com/_plugin/kibana/#/discover/Steve-Slow-Train-Analysis-(2080s-and-2083s)?_g=(refreshInterval:(display:Off,section:0,value:0),time:(from:'2016-08-09 07:57:20-0600',mode:absolute,to:'2016-08-09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4.58E-2</v>
          </cell>
          <cell r="Z55">
            <v>23.329499999999999</v>
          </cell>
          <cell r="AA55">
            <v>23.2837</v>
          </cell>
          <cell r="AB55" t="e">
            <v>#N/A</v>
          </cell>
          <cell r="AC55" t="e">
            <v>#N/A</v>
          </cell>
          <cell r="AD55" t="str">
            <v>0143-09</v>
          </cell>
          <cell r="AE5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56">
          <cell r="A56" t="str">
            <v>144-09</v>
          </cell>
          <cell r="B56">
            <v>4012</v>
          </cell>
          <cell r="C56" t="str">
            <v>DE.1.0.7.0</v>
          </cell>
          <cell r="D56" t="str">
            <v>204:232970</v>
          </cell>
          <cell r="E56">
            <v>42591.410381944443</v>
          </cell>
          <cell r="F56">
            <v>42591.41134259259</v>
          </cell>
          <cell r="G56">
            <v>1</v>
          </cell>
          <cell r="H56" t="str">
            <v>204:156</v>
          </cell>
          <cell r="I56">
            <v>42591.442199074074</v>
          </cell>
          <cell r="J56">
            <v>0</v>
          </cell>
          <cell r="K56" t="str">
            <v>4011/4012</v>
          </cell>
          <cell r="L56" t="str">
            <v>ROCHA</v>
          </cell>
          <cell r="M56">
            <v>3.0856481484079268E-2</v>
          </cell>
          <cell r="N56">
            <v>44.433333337074146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https://search-rtdc-monitor-bjffxe2xuh6vdkpspy63sjmuny.us-east-1.es.amazonaws.com/_plugin/kibana/#/discover/Steve-Slow-Train-Analysis-(2080s-and-2083s)?_g=(refreshInterval:(display:Off,section:0,value:0),time:(from:'2016-08-09 08:50:57-0600',mode:absolute,to:'2016-08-09 11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23.297000000000001</v>
          </cell>
          <cell r="Z56">
            <v>1.5599999999999999E-2</v>
          </cell>
          <cell r="AA56">
            <v>23.281400000000001</v>
          </cell>
          <cell r="AB56" t="e">
            <v>#N/A</v>
          </cell>
          <cell r="AC56" t="e">
            <v>#N/A</v>
          </cell>
          <cell r="AD56" t="str">
            <v>0144-09</v>
          </cell>
          <cell r="AE56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57">
          <cell r="A57" t="str">
            <v>145-09</v>
          </cell>
          <cell r="B57">
            <v>4016</v>
          </cell>
          <cell r="C57" t="str">
            <v>DE.1.0.7.0</v>
          </cell>
          <cell r="D57" t="str">
            <v>204:451</v>
          </cell>
          <cell r="E57">
            <v>42591.381423611114</v>
          </cell>
          <cell r="F57">
            <v>42591.382581018515</v>
          </cell>
          <cell r="G57">
            <v>1</v>
          </cell>
          <cell r="H57" t="str">
            <v>204:233289</v>
          </cell>
          <cell r="I57">
            <v>42591.410162037035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2.7581018519413192E-2</v>
          </cell>
          <cell r="N57">
            <v>39.716666667954996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https://search-rtdc-monitor-bjffxe2xuh6vdkpspy63sjmuny.us-east-1.es.amazonaws.com/_plugin/kibana/#/discover/Steve-Slow-Train-Analysis-(2080s-and-2083s)?_g=(refreshInterval:(display:Off,section:0,value:0),time:(from:'2016-08-09 08:09:15-0600',mode:absolute,to:'2016-08-09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23.328900000000001</v>
          </cell>
          <cell r="AA57">
            <v>23.283799999999999</v>
          </cell>
          <cell r="AB57" t="e">
            <v>#N/A</v>
          </cell>
          <cell r="AC57" t="e">
            <v>#N/A</v>
          </cell>
          <cell r="AD57" t="str">
            <v>0145-09</v>
          </cell>
          <cell r="AE57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58">
          <cell r="A58" t="str">
            <v>146-09</v>
          </cell>
          <cell r="B58">
            <v>4015</v>
          </cell>
          <cell r="C58" t="str">
            <v>DE.1.0.7.0</v>
          </cell>
          <cell r="D58" t="str">
            <v>204:232984</v>
          </cell>
          <cell r="E58">
            <v>42591.417141203703</v>
          </cell>
          <cell r="F58">
            <v>42591.418298611112</v>
          </cell>
          <cell r="G58">
            <v>1</v>
          </cell>
          <cell r="H58" t="str">
            <v>204:136</v>
          </cell>
          <cell r="I58">
            <v>42591.451215277775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3.2916666663368233E-2</v>
          </cell>
          <cell r="N58">
            <v>47.399999995250255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https://search-rtdc-monitor-bjffxe2xuh6vdkpspy63sjmuny.us-east-1.es.amazonaws.com/_plugin/kibana/#/discover/Steve-Slow-Train-Analysis-(2080s-and-2083s)?_g=(refreshInterval:(display:Off,section:0,value:0),time:(from:'2016-08-09 09:00:41-0600',mode:absolute,to:'2016-08-09 11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23.298400000000001</v>
          </cell>
          <cell r="Z58">
            <v>1.3599999999999999E-2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0146-09</v>
          </cell>
          <cell r="AE58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59">
          <cell r="A59" t="str">
            <v>147-09</v>
          </cell>
          <cell r="B59">
            <v>4025</v>
          </cell>
          <cell r="C59" t="str">
            <v>DE.1.0.7.0</v>
          </cell>
          <cell r="D59" t="str">
            <v>204:451</v>
          </cell>
          <cell r="E59">
            <v>42591.391377314816</v>
          </cell>
          <cell r="F59">
            <v>42591.392638888887</v>
          </cell>
          <cell r="G59">
            <v>1</v>
          </cell>
          <cell r="H59" t="str">
            <v>204:36044</v>
          </cell>
          <cell r="I59">
            <v>42591.405439814815</v>
          </cell>
          <cell r="J59">
            <v>0</v>
          </cell>
          <cell r="K59" t="str">
            <v>4025/4026</v>
          </cell>
          <cell r="L59" t="str">
            <v>BRANNON</v>
          </cell>
          <cell r="M59">
            <v>1.280092592787696E-2</v>
          </cell>
          <cell r="N59">
            <v>18.433333336142823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https://search-rtdc-monitor-bjffxe2xuh6vdkpspy63sjmuny.us-east-1.es.amazonaws.com/_plugin/kibana/#/discover/Steve-Slow-Train-Analysis-(2080s-and-2083s)?_g=(refreshInterval:(display:Off,section:0,value:0),time:(from:'2016-08-09 08:23:35-0600',mode:absolute,to:'2016-08-09 10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</v>
          </cell>
          <cell r="AA59">
            <v>23.254899999999999</v>
          </cell>
          <cell r="AB59" t="e">
            <v>#N/A</v>
          </cell>
          <cell r="AC59" t="e">
            <v>#N/A</v>
          </cell>
          <cell r="AD59" t="str">
            <v>0147-09</v>
          </cell>
          <cell r="AE59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60">
          <cell r="A60" t="str">
            <v>148-09</v>
          </cell>
          <cell r="B60">
            <v>4026</v>
          </cell>
          <cell r="C60" t="str">
            <v>DE.1.0.7.0</v>
          </cell>
          <cell r="D60" t="str">
            <v>204:233015</v>
          </cell>
          <cell r="E60">
            <v>42591.432349537034</v>
          </cell>
          <cell r="F60">
            <v>42591.43340277778</v>
          </cell>
          <cell r="G60">
            <v>1</v>
          </cell>
          <cell r="H60" t="str">
            <v>204:160</v>
          </cell>
          <cell r="I60">
            <v>42591.464594907404</v>
          </cell>
          <cell r="J60">
            <v>2</v>
          </cell>
          <cell r="K60" t="str">
            <v>4025/4026</v>
          </cell>
          <cell r="L60" t="str">
            <v>BRANNON</v>
          </cell>
          <cell r="M60">
            <v>3.1192129623377696E-2</v>
          </cell>
          <cell r="N60">
            <v>44.916666657663882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23.301500000000001</v>
          </cell>
          <cell r="Z60">
            <v>1.6E-2</v>
          </cell>
          <cell r="AA60">
            <v>23.285500000000003</v>
          </cell>
          <cell r="AB60">
            <v>4677</v>
          </cell>
          <cell r="AC60" t="str">
            <v>PERMANENT SPEED RESTRICTION</v>
          </cell>
          <cell r="AD60" t="str">
            <v>0148-09</v>
          </cell>
          <cell r="AE60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61">
          <cell r="A61" t="str">
            <v>149-09</v>
          </cell>
          <cell r="B61">
            <v>4031</v>
          </cell>
          <cell r="C61" t="str">
            <v>DE.1.0.7.0</v>
          </cell>
          <cell r="D61" t="str">
            <v>204:429</v>
          </cell>
          <cell r="E61">
            <v>42591.404606481483</v>
          </cell>
          <cell r="F61">
            <v>42591.405659722222</v>
          </cell>
          <cell r="G61">
            <v>1</v>
          </cell>
          <cell r="H61" t="str">
            <v>204:37371</v>
          </cell>
          <cell r="I61">
            <v>42591.415208333332</v>
          </cell>
          <cell r="J61">
            <v>1</v>
          </cell>
          <cell r="K61" t="str">
            <v>4031/4032</v>
          </cell>
          <cell r="L61" t="str">
            <v>SPECTOR</v>
          </cell>
          <cell r="M61">
            <v>9.5486111094942316E-3</v>
          </cell>
          <cell r="P61">
            <v>41.749999994644895</v>
          </cell>
          <cell r="R61" t="str">
            <v>Wi-MAX outage</v>
          </cell>
          <cell r="S61">
            <v>0.5</v>
          </cell>
          <cell r="T61" t="str">
            <v>NorthBound</v>
          </cell>
          <cell r="U61">
            <v>3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1" t="str">
            <v>Y</v>
          </cell>
          <cell r="X61">
            <v>1</v>
          </cell>
          <cell r="Y61">
            <v>4.2900000000000001E-2</v>
          </cell>
          <cell r="Z61">
            <v>3.7370999999999999</v>
          </cell>
          <cell r="AA61">
            <v>3.6941999999999999</v>
          </cell>
          <cell r="AB61">
            <v>20338</v>
          </cell>
          <cell r="AC61" t="str">
            <v>PERMANENT SPEED RESTRICTION</v>
          </cell>
          <cell r="AD61" t="str">
            <v>0149-09</v>
          </cell>
          <cell r="AE61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2">
          <cell r="A62" t="str">
            <v>149-09</v>
          </cell>
          <cell r="B62">
            <v>4031</v>
          </cell>
          <cell r="C62" t="str">
            <v>DE.1.0.7.0</v>
          </cell>
          <cell r="D62" t="str">
            <v>204:64728</v>
          </cell>
          <cell r="E62">
            <v>42591.417939814812</v>
          </cell>
          <cell r="F62">
            <v>42591.418611111112</v>
          </cell>
          <cell r="G62">
            <v>0</v>
          </cell>
          <cell r="H62" t="str">
            <v>204:233303</v>
          </cell>
          <cell r="I62">
            <v>42591.438055555554</v>
          </cell>
          <cell r="J62">
            <v>0</v>
          </cell>
          <cell r="K62" t="str">
            <v>4031/4032</v>
          </cell>
          <cell r="L62" t="str">
            <v>SPECTOR</v>
          </cell>
          <cell r="M62">
            <v>1.9444444442342501E-2</v>
          </cell>
          <cell r="T62" t="str">
            <v>NorthBound</v>
          </cell>
          <cell r="U62">
            <v>3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https://search-rtdc-monitor-bjffxe2xuh6vdkpspy63sjmuny.us-east-1.es.amazonaws.com/_plugin/kibana/#/discover/Steve-Slow-Train-Analysis-(2080s-and-2083s)?_g=(refreshInterval:(display:Off,section:0,value:0),time:(from:'2016-08-09 09:01:50-0600',mode:absolute,to:'2016-08-09 11:30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2" t="str">
            <v>Y</v>
          </cell>
          <cell r="X62">
            <v>0</v>
          </cell>
          <cell r="Y62">
            <v>6.4728000000000003</v>
          </cell>
          <cell r="Z62">
            <v>23.330300000000001</v>
          </cell>
          <cell r="AA62">
            <v>16.857500000000002</v>
          </cell>
          <cell r="AB62">
            <v>20338</v>
          </cell>
          <cell r="AC62" t="str">
            <v>PERMANENT SPEED RESTRICTION</v>
          </cell>
          <cell r="AD62" t="str">
            <v>0149-09</v>
          </cell>
          <cell r="AE6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3">
          <cell r="A63" t="str">
            <v>150-09</v>
          </cell>
          <cell r="B63">
            <v>4032</v>
          </cell>
          <cell r="C63" t="str">
            <v>DE.1.0.7.0</v>
          </cell>
          <cell r="D63" t="str">
            <v>204:232982</v>
          </cell>
          <cell r="E63">
            <v>42591.440185185187</v>
          </cell>
          <cell r="F63">
            <v>42591.44122685185</v>
          </cell>
          <cell r="G63">
            <v>1</v>
          </cell>
          <cell r="H63" t="str">
            <v>204:139</v>
          </cell>
          <cell r="I63">
            <v>42591.475810185184</v>
          </cell>
          <cell r="J63">
            <v>1</v>
          </cell>
          <cell r="K63" t="str">
            <v>4031/4032</v>
          </cell>
          <cell r="L63" t="str">
            <v>SPECTOR</v>
          </cell>
          <cell r="M63">
            <v>3.4583333334012423E-2</v>
          </cell>
          <cell r="N63">
            <v>49.800000000977889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3" t="str">
            <v>N</v>
          </cell>
          <cell r="X63">
            <v>1</v>
          </cell>
          <cell r="Y63">
            <v>23.298200000000001</v>
          </cell>
          <cell r="Z63">
            <v>1.3899999999999999E-2</v>
          </cell>
          <cell r="AA63">
            <v>23.284300000000002</v>
          </cell>
          <cell r="AB63">
            <v>21848</v>
          </cell>
          <cell r="AC63" t="str">
            <v>PERMANENT SPEED RESTRICTION</v>
          </cell>
          <cell r="AD63" t="str">
            <v>0150-09</v>
          </cell>
          <cell r="AE6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64">
          <cell r="A64" t="str">
            <v>151-09</v>
          </cell>
          <cell r="B64">
            <v>4029</v>
          </cell>
          <cell r="C64" t="str">
            <v>DE.1.0.7.0</v>
          </cell>
          <cell r="D64" t="str">
            <v>204:453</v>
          </cell>
          <cell r="E64">
            <v>42591.411956018521</v>
          </cell>
          <cell r="F64">
            <v>42591.413287037038</v>
          </cell>
          <cell r="G64">
            <v>1</v>
          </cell>
          <cell r="H64" t="str">
            <v>204:233281</v>
          </cell>
          <cell r="I64">
            <v>42591.443032407406</v>
          </cell>
          <cell r="J64">
            <v>0</v>
          </cell>
          <cell r="K64" t="str">
            <v>4029/4030</v>
          </cell>
          <cell r="L64" t="str">
            <v>DAVIS</v>
          </cell>
          <cell r="M64">
            <v>2.9745370367891155E-2</v>
          </cell>
          <cell r="N64">
            <v>42.833333329763263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https://search-rtdc-monitor-bjffxe2xuh6vdkpspy63sjmuny.us-east-1.es.amazonaws.com/_plugin/kibana/#/discover/Steve-Slow-Train-Analysis-(2080s-and-2083s)?_g=(refreshInterval:(display:Off,section:0,value:0),time:(from:'2016-08-09 08:53:13-0600',mode:absolute,to:'2016-08-09 11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4.53E-2</v>
          </cell>
          <cell r="Z64">
            <v>23.328099999999999</v>
          </cell>
          <cell r="AA64">
            <v>23.282799999999998</v>
          </cell>
          <cell r="AB64" t="e">
            <v>#N/A</v>
          </cell>
          <cell r="AC64" t="e">
            <v>#N/A</v>
          </cell>
          <cell r="AD64" t="str">
            <v>0151-09</v>
          </cell>
          <cell r="AE64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65">
          <cell r="A65" t="str">
            <v>152-09</v>
          </cell>
          <cell r="B65">
            <v>4030</v>
          </cell>
          <cell r="C65" t="str">
            <v>DE.1.0.7.0</v>
          </cell>
          <cell r="D65" t="str">
            <v>204:232987</v>
          </cell>
          <cell r="E65">
            <v>42591.450752314813</v>
          </cell>
          <cell r="F65">
            <v>42591.451643518521</v>
          </cell>
          <cell r="G65">
            <v>1</v>
          </cell>
          <cell r="H65" t="str">
            <v>204:169</v>
          </cell>
          <cell r="I65">
            <v>42591.482569444444</v>
          </cell>
          <cell r="J65">
            <v>0</v>
          </cell>
          <cell r="K65" t="str">
            <v>4029/4030</v>
          </cell>
          <cell r="L65" t="str">
            <v>DAVIS</v>
          </cell>
          <cell r="M65">
            <v>3.0925925922929309E-2</v>
          </cell>
          <cell r="N65">
            <v>44.533333329018205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https://search-rtdc-monitor-bjffxe2xuh6vdkpspy63sjmuny.us-east-1.es.amazonaws.com/_plugin/kibana/#/discover/Steve-Slow-Train-Analysis-(2080s-and-2083s)?_g=(refreshInterval:(display:Off,section:0,value:0),time:(from:'2016-08-09 09:49:05-0600',mode:absolute,to:'2016-08-09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23.2987</v>
          </cell>
          <cell r="Z65">
            <v>1.6899999999999998E-2</v>
          </cell>
          <cell r="AA65">
            <v>23.2818</v>
          </cell>
          <cell r="AB65" t="e">
            <v>#N/A</v>
          </cell>
          <cell r="AC65" t="e">
            <v>#N/A</v>
          </cell>
          <cell r="AD65" t="str">
            <v>0152-09</v>
          </cell>
          <cell r="AE65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66">
          <cell r="A66" t="str">
            <v>153-09</v>
          </cell>
          <cell r="B66">
            <v>4040</v>
          </cell>
          <cell r="C66" t="str">
            <v>DE.1.0.7.0</v>
          </cell>
          <cell r="D66" t="str">
            <v>204:455</v>
          </cell>
          <cell r="E66">
            <v>42591.422002314815</v>
          </cell>
          <cell r="F66">
            <v>42591.422974537039</v>
          </cell>
          <cell r="G66">
            <v>1</v>
          </cell>
          <cell r="H66" t="str">
            <v>204:233289</v>
          </cell>
          <cell r="I66">
            <v>42591.451944444445</v>
          </cell>
          <cell r="J66">
            <v>0</v>
          </cell>
          <cell r="K66" t="str">
            <v>4039/4040</v>
          </cell>
          <cell r="L66" t="str">
            <v>OUN</v>
          </cell>
          <cell r="M66">
            <v>2.8969907405553386E-2</v>
          </cell>
          <cell r="N66">
            <v>41.716666663996875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https://search-rtdc-monitor-bjffxe2xuh6vdkpspy63sjmuny.us-east-1.es.amazonaws.com/_plugin/kibana/#/discover/Steve-Slow-Train-Analysis-(2080s-and-2083s)?_g=(refreshInterval:(display:Off,section:0,value:0),time:(from:'2016-08-09 09:07:41-0600',mode:absolute,to:'2016-08-09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6" t="str">
            <v>N</v>
          </cell>
          <cell r="X66">
            <v>1</v>
          </cell>
          <cell r="Y66">
            <v>4.5499999999999999E-2</v>
          </cell>
          <cell r="Z66">
            <v>23.328900000000001</v>
          </cell>
          <cell r="AA66">
            <v>23.2834</v>
          </cell>
          <cell r="AB66" t="e">
            <v>#N/A</v>
          </cell>
          <cell r="AC66" t="e">
            <v>#N/A</v>
          </cell>
          <cell r="AD66" t="str">
            <v>0153-09</v>
          </cell>
          <cell r="AE66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67">
          <cell r="A67" t="str">
            <v>154-09</v>
          </cell>
          <cell r="B67">
            <v>4039</v>
          </cell>
          <cell r="C67" t="str">
            <v>DE.1.0.7.0</v>
          </cell>
          <cell r="D67" t="str">
            <v>204:232965</v>
          </cell>
          <cell r="E67">
            <v>42591.461608796293</v>
          </cell>
          <cell r="F67">
            <v>42591.462453703702</v>
          </cell>
          <cell r="G67">
            <v>1</v>
          </cell>
          <cell r="H67" t="str">
            <v>204:147</v>
          </cell>
          <cell r="I67">
            <v>42591.497511574074</v>
          </cell>
          <cell r="J67">
            <v>0</v>
          </cell>
          <cell r="K67" t="str">
            <v>4039/4040</v>
          </cell>
          <cell r="L67" t="str">
            <v>OUN</v>
          </cell>
          <cell r="M67">
            <v>3.5057870372838806E-2</v>
          </cell>
          <cell r="N67">
            <v>50.483333336887881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https://search-rtdc-monitor-bjffxe2xuh6vdkpspy63sjmuny.us-east-1.es.amazonaws.com/_plugin/kibana/#/discover/Steve-Slow-Train-Analysis-(2080s-and-2083s)?_g=(refreshInterval:(display:Off,section:0,value:0),time:(from:'2016-08-09 10:04:43-0600',mode:absolute,to:'2016-08-09 12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7" t="str">
            <v>N</v>
          </cell>
          <cell r="X67">
            <v>1</v>
          </cell>
          <cell r="Y67">
            <v>23.296500000000002</v>
          </cell>
          <cell r="Z67">
            <v>1.47E-2</v>
          </cell>
          <cell r="AA67">
            <v>23.2818</v>
          </cell>
          <cell r="AB67" t="e">
            <v>#N/A</v>
          </cell>
          <cell r="AC67" t="e">
            <v>#N/A</v>
          </cell>
          <cell r="AD67" t="str">
            <v>0154-09</v>
          </cell>
          <cell r="AE67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68">
          <cell r="A68" t="str">
            <v>155-09</v>
          </cell>
          <cell r="B68">
            <v>4018</v>
          </cell>
          <cell r="C68" t="str">
            <v>DE.1.0.7.0</v>
          </cell>
          <cell r="D68" t="str">
            <v>204:484</v>
          </cell>
          <cell r="E68">
            <v>42591.435891203706</v>
          </cell>
          <cell r="F68">
            <v>42591.437141203707</v>
          </cell>
          <cell r="G68">
            <v>1</v>
          </cell>
          <cell r="H68" t="str">
            <v>204:233298</v>
          </cell>
          <cell r="I68">
            <v>42591.463194444441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2.6053240733745042E-2</v>
          </cell>
          <cell r="N68">
            <v>37.516666656592861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https://search-rtdc-monitor-bjffxe2xuh6vdkpspy63sjmuny.us-east-1.es.amazonaws.com/_plugin/kibana/#/discover/Steve-Slow-Train-Analysis-(2080s-and-2083s)?_g=(refreshInterval:(display:Off,section:0,value:0),time:(from:'2016-08-09 09:27:41-0600',mode:absolute,to:'2016-08-09 12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8" t="str">
            <v>N</v>
          </cell>
          <cell r="X68">
            <v>1</v>
          </cell>
          <cell r="Y68">
            <v>4.8399999999999999E-2</v>
          </cell>
          <cell r="Z68">
            <v>23.329799999999999</v>
          </cell>
          <cell r="AA68">
            <v>23.281399999999998</v>
          </cell>
          <cell r="AB68" t="e">
            <v>#N/A</v>
          </cell>
          <cell r="AC68" t="e">
            <v>#N/A</v>
          </cell>
          <cell r="AD68" t="str">
            <v>0155-09</v>
          </cell>
          <cell r="AE68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69">
          <cell r="A69" t="str">
            <v>156-09</v>
          </cell>
          <cell r="B69">
            <v>4017</v>
          </cell>
          <cell r="C69" t="str">
            <v>DE.1.0.7.0</v>
          </cell>
          <cell r="D69" t="str">
            <v>204:232972</v>
          </cell>
          <cell r="E69">
            <v>42591.474212962959</v>
          </cell>
          <cell r="F69">
            <v>42591.475439814814</v>
          </cell>
          <cell r="G69">
            <v>1</v>
          </cell>
          <cell r="H69" t="str">
            <v>204:156</v>
          </cell>
          <cell r="I69">
            <v>42591.50712962963</v>
          </cell>
          <cell r="J69">
            <v>0</v>
          </cell>
          <cell r="K69" t="str">
            <v>4017/4018</v>
          </cell>
          <cell r="L69" t="str">
            <v>STARKS</v>
          </cell>
          <cell r="M69">
            <v>3.1689814815763384E-2</v>
          </cell>
          <cell r="N69">
            <v>45.633333334699273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https://search-rtdc-monitor-bjffxe2xuh6vdkpspy63sjmuny.us-east-1.es.amazonaws.com/_plugin/kibana/#/discover/Steve-Slow-Train-Analysis-(2080s-and-2083s)?_g=(refreshInterval:(display:Off,section:0,value:0),time:(from:'2016-08-09 10:22:52-0600',mode:absolute,to:'2016-08-09 13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9" t="str">
            <v>N</v>
          </cell>
          <cell r="X69">
            <v>1</v>
          </cell>
          <cell r="Y69">
            <v>23.2972</v>
          </cell>
          <cell r="Z69">
            <v>1.5599999999999999E-2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0156-09</v>
          </cell>
          <cell r="AE69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70">
          <cell r="A70" t="str">
            <v>157-09</v>
          </cell>
          <cell r="B70">
            <v>4011</v>
          </cell>
          <cell r="C70" t="str">
            <v>DE.1.0.7.0</v>
          </cell>
          <cell r="D70" t="str">
            <v>204:466</v>
          </cell>
          <cell r="E70">
            <v>42591.446018518516</v>
          </cell>
          <cell r="F70">
            <v>42591.447118055556</v>
          </cell>
          <cell r="G70">
            <v>1</v>
          </cell>
          <cell r="H70" t="str">
            <v>204:233307</v>
          </cell>
          <cell r="I70">
            <v>42591.472314814811</v>
          </cell>
          <cell r="J70">
            <v>0</v>
          </cell>
          <cell r="K70" t="str">
            <v>4011/4012</v>
          </cell>
          <cell r="L70" t="str">
            <v>ROCHA</v>
          </cell>
          <cell r="M70">
            <v>2.5196759255777579E-2</v>
          </cell>
          <cell r="N70">
            <v>36.283333328319713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https://search-rtdc-monitor-bjffxe2xuh6vdkpspy63sjmuny.us-east-1.es.amazonaws.com/_plugin/kibana/#/discover/Steve-Slow-Train-Analysis-(2080s-and-2083s)?_g=(refreshInterval:(display:Off,section:0,value:0),time:(from:'2016-08-09 09:42:16-0600',mode:absolute,to:'2016-08-09 12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0" t="str">
            <v>N</v>
          </cell>
          <cell r="X70">
            <v>1</v>
          </cell>
          <cell r="Y70">
            <v>4.6600000000000003E-2</v>
          </cell>
          <cell r="Z70">
            <v>23.3307</v>
          </cell>
          <cell r="AA70">
            <v>23.284099999999999</v>
          </cell>
          <cell r="AB70" t="e">
            <v>#N/A</v>
          </cell>
          <cell r="AC70" t="e">
            <v>#N/A</v>
          </cell>
          <cell r="AD70" t="str">
            <v>0157-09</v>
          </cell>
          <cell r="AE70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71">
          <cell r="A71" t="str">
            <v>158-09</v>
          </cell>
          <cell r="B71">
            <v>4012</v>
          </cell>
          <cell r="C71" t="str">
            <v>DE.1.0.7.0</v>
          </cell>
          <cell r="D71" t="str">
            <v>204:232986</v>
          </cell>
          <cell r="E71">
            <v>42591.485150462962</v>
          </cell>
          <cell r="F71">
            <v>42591.486168981479</v>
          </cell>
          <cell r="G71">
            <v>1</v>
          </cell>
          <cell r="H71" t="str">
            <v>204:147</v>
          </cell>
          <cell r="I71">
            <v>42591.513252314813</v>
          </cell>
          <cell r="J71">
            <v>0</v>
          </cell>
          <cell r="K71" t="str">
            <v>4011/4012</v>
          </cell>
          <cell r="L71" t="str">
            <v>ROCHA</v>
          </cell>
          <cell r="M71">
            <v>2.7083333334303461E-2</v>
          </cell>
          <cell r="N71">
            <v>39.000000001396984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https://search-rtdc-monitor-bjffxe2xuh6vdkpspy63sjmuny.us-east-1.es.amazonaws.com/_plugin/kibana/#/discover/Steve-Slow-Train-Analysis-(2080s-and-2083s)?_g=(refreshInterval:(display:Off,section:0,value:0),time:(from:'2016-08-09 10:38:37-0600',mode:absolute,to:'2016-08-09 13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0158-09</v>
          </cell>
          <cell r="AE71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72">
          <cell r="A72" t="str">
            <v>159-09</v>
          </cell>
          <cell r="B72">
            <v>4016</v>
          </cell>
          <cell r="C72" t="str">
            <v>DE.1.0.7.0</v>
          </cell>
          <cell r="D72" t="str">
            <v>204:427</v>
          </cell>
          <cell r="E72">
            <v>42591.453900462962</v>
          </cell>
          <cell r="F72">
            <v>42591.455057870371</v>
          </cell>
          <cell r="G72">
            <v>1</v>
          </cell>
          <cell r="H72" t="str">
            <v>204:233295</v>
          </cell>
          <cell r="I72">
            <v>42591.487013888887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3.195601851621177E-2</v>
          </cell>
          <cell r="N72">
            <v>46.016666663344949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https://search-rtdc-monitor-bjffxe2xuh6vdkpspy63sjmuny.us-east-1.es.amazonaws.com/_plugin/kibana/#/discover/Steve-Slow-Train-Analysis-(2080s-and-2083s)?_g=(refreshInterval:(display:Off,section:0,value:0),time:(from:'2016-08-09 09:53:37-0600',mode:absolute,to:'2016-08-09 12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4.2700000000000002E-2</v>
          </cell>
          <cell r="Z72">
            <v>23.329499999999999</v>
          </cell>
          <cell r="AA72">
            <v>23.286799999999999</v>
          </cell>
          <cell r="AB72" t="e">
            <v>#N/A</v>
          </cell>
          <cell r="AC72" t="e">
            <v>#N/A</v>
          </cell>
          <cell r="AD72" t="str">
            <v>0159-09</v>
          </cell>
          <cell r="AE72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73">
          <cell r="A73" t="str">
            <v>160-09</v>
          </cell>
          <cell r="B73">
            <v>4015</v>
          </cell>
          <cell r="C73" t="str">
            <v>DE.1.0.7.0</v>
          </cell>
          <cell r="D73" t="str">
            <v>204:232977</v>
          </cell>
          <cell r="E73">
            <v>42591.489131944443</v>
          </cell>
          <cell r="F73">
            <v>42591.490081018521</v>
          </cell>
          <cell r="G73">
            <v>1</v>
          </cell>
          <cell r="H73" t="str">
            <v>204:160</v>
          </cell>
          <cell r="I73">
            <v>42591.524791666663</v>
          </cell>
          <cell r="J73">
            <v>0</v>
          </cell>
          <cell r="K73" t="str">
            <v>4015/4016</v>
          </cell>
          <cell r="L73" t="str">
            <v>BARTLETT</v>
          </cell>
          <cell r="M73">
            <v>3.4710648142208811E-2</v>
          </cell>
          <cell r="N73">
            <v>49.983333324780688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https://search-rtdc-monitor-bjffxe2xuh6vdkpspy63sjmuny.us-east-1.es.amazonaws.com/_plugin/kibana/#/discover/Steve-Slow-Train-Analysis-(2080s-and-2083s)?_g=(refreshInterval:(display:Off,section:0,value:0),time:(from:'2016-08-09 10:44:21-0600',mode:absolute,to:'2016-08-09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23.297699999999999</v>
          </cell>
          <cell r="Z73">
            <v>1.6E-2</v>
          </cell>
          <cell r="AA73">
            <v>23.281700000000001</v>
          </cell>
          <cell r="AB73" t="e">
            <v>#N/A</v>
          </cell>
          <cell r="AC73" t="e">
            <v>#N/A</v>
          </cell>
          <cell r="AD73" t="str">
            <v>0160-09</v>
          </cell>
          <cell r="AE73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74">
          <cell r="A74" t="str">
            <v>161-09</v>
          </cell>
          <cell r="B74">
            <v>4025</v>
          </cell>
          <cell r="C74" t="str">
            <v>DE.1.0.7.0</v>
          </cell>
          <cell r="D74" t="str">
            <v>204:491</v>
          </cell>
          <cell r="E74">
            <v>42591.468113425923</v>
          </cell>
          <cell r="F74">
            <v>42591.469560185185</v>
          </cell>
          <cell r="G74">
            <v>2</v>
          </cell>
          <cell r="H74" t="str">
            <v>204:233322</v>
          </cell>
          <cell r="I74">
            <v>42591.495266203703</v>
          </cell>
          <cell r="J74">
            <v>0</v>
          </cell>
          <cell r="K74" t="str">
            <v>4025/4026</v>
          </cell>
          <cell r="L74" t="str">
            <v>STORY</v>
          </cell>
          <cell r="M74">
            <v>2.5706018517666962E-2</v>
          </cell>
          <cell r="N74">
            <v>37.016666665440425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https://search-rtdc-monitor-bjffxe2xuh6vdkpspy63sjmuny.us-east-1.es.amazonaws.com/_plugin/kibana/#/discover/Steve-Slow-Train-Analysis-(2080s-and-2083s)?_g=(refreshInterval:(display:Off,section:0,value:0),time:(from:'2016-08-09 10:14:05-0600',mode:absolute,to:'2016-08-09 12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4" t="str">
            <v>N</v>
          </cell>
          <cell r="X74">
            <v>1</v>
          </cell>
          <cell r="Y74">
            <v>4.9099999999999998E-2</v>
          </cell>
          <cell r="Z74">
            <v>23.3322</v>
          </cell>
          <cell r="AA74">
            <v>23.283100000000001</v>
          </cell>
          <cell r="AB74" t="e">
            <v>#N/A</v>
          </cell>
          <cell r="AC74" t="e">
            <v>#N/A</v>
          </cell>
          <cell r="AD74" t="str">
            <v>0161-09</v>
          </cell>
          <cell r="AE74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75">
          <cell r="A75" t="str">
            <v>162-09</v>
          </cell>
          <cell r="B75">
            <v>4026</v>
          </cell>
          <cell r="C75" t="str">
            <v>DE.1.0.7.0</v>
          </cell>
          <cell r="D75" t="str">
            <v>204:232982</v>
          </cell>
          <cell r="E75">
            <v>42591.503599537034</v>
          </cell>
          <cell r="F75">
            <v>42591.50577546296</v>
          </cell>
          <cell r="G75">
            <v>3</v>
          </cell>
          <cell r="H75" t="str">
            <v>204:154</v>
          </cell>
          <cell r="I75">
            <v>42591.541273148148</v>
          </cell>
          <cell r="J75">
            <v>0</v>
          </cell>
          <cell r="K75" t="str">
            <v>4025/4026</v>
          </cell>
          <cell r="L75" t="str">
            <v>STORY</v>
          </cell>
          <cell r="M75">
            <v>3.549768518860219E-2</v>
          </cell>
          <cell r="N75">
            <v>51.116666671587154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https://search-rtdc-monitor-bjffxe2xuh6vdkpspy63sjmuny.us-east-1.es.amazonaws.com/_plugin/kibana/#/discover/Steve-Slow-Train-Analysis-(2080s-and-2083s)?_g=(refreshInterval:(display:Off,section:0,value:0),time:(from:'2016-08-09 11:05:11-0600',mode:absolute,to:'2016-08-09 13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5" t="str">
            <v>N</v>
          </cell>
          <cell r="X75">
            <v>1</v>
          </cell>
          <cell r="Y75">
            <v>23.298200000000001</v>
          </cell>
          <cell r="Z75">
            <v>1.54E-2</v>
          </cell>
          <cell r="AA75">
            <v>23.282800000000002</v>
          </cell>
          <cell r="AB75" t="e">
            <v>#N/A</v>
          </cell>
          <cell r="AC75" t="e">
            <v>#N/A</v>
          </cell>
          <cell r="AD75" t="str">
            <v>0162-09</v>
          </cell>
          <cell r="AE75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76">
          <cell r="A76" t="str">
            <v>163-09</v>
          </cell>
          <cell r="B76">
            <v>4031</v>
          </cell>
          <cell r="C76" t="str">
            <v>DE.1.0.7.0</v>
          </cell>
          <cell r="D76" t="str">
            <v>204:442</v>
          </cell>
          <cell r="E76">
            <v>42591.479675925926</v>
          </cell>
          <cell r="F76">
            <v>42591.481319444443</v>
          </cell>
          <cell r="G76">
            <v>2</v>
          </cell>
          <cell r="H76" t="str">
            <v>204:233295</v>
          </cell>
          <cell r="I76">
            <v>42591.513043981482</v>
          </cell>
          <cell r="J76">
            <v>2</v>
          </cell>
          <cell r="K76" t="str">
            <v>4031/4032</v>
          </cell>
          <cell r="L76" t="str">
            <v>HELVIE</v>
          </cell>
          <cell r="M76">
            <v>3.1724537038826384E-2</v>
          </cell>
          <cell r="N76">
            <v>45.683333335909992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6" t="str">
            <v>N</v>
          </cell>
          <cell r="X76">
            <v>1</v>
          </cell>
          <cell r="Y76">
            <v>4.4200000000000003E-2</v>
          </cell>
          <cell r="Z76">
            <v>23.329499999999999</v>
          </cell>
          <cell r="AA76">
            <v>23.285299999999999</v>
          </cell>
          <cell r="AB76">
            <v>42779</v>
          </cell>
          <cell r="AC76" t="str">
            <v>GRADE CROSSING</v>
          </cell>
          <cell r="AD76" t="str">
            <v>0163-09</v>
          </cell>
          <cell r="AE76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77">
          <cell r="A77" t="str">
            <v>164-09</v>
          </cell>
          <cell r="B77">
            <v>4032</v>
          </cell>
          <cell r="C77" t="str">
            <v>DE.1.0.7.0</v>
          </cell>
          <cell r="D77" t="str">
            <v>204:232991</v>
          </cell>
          <cell r="E77">
            <v>42591.515462962961</v>
          </cell>
          <cell r="F77">
            <v>42591.516909722224</v>
          </cell>
          <cell r="G77">
            <v>2</v>
          </cell>
          <cell r="H77" t="str">
            <v>204:145</v>
          </cell>
          <cell r="I77">
            <v>42591.550810185188</v>
          </cell>
          <cell r="J77">
            <v>1</v>
          </cell>
          <cell r="K77" t="str">
            <v>4031/4032</v>
          </cell>
          <cell r="L77" t="str">
            <v>HELVIE</v>
          </cell>
          <cell r="M77">
            <v>3.3900462964083999E-2</v>
          </cell>
          <cell r="N77">
            <v>48.816666668280959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7" t="str">
            <v>N</v>
          </cell>
          <cell r="X77">
            <v>1</v>
          </cell>
          <cell r="Y77">
            <v>23.299099999999999</v>
          </cell>
          <cell r="Z77">
            <v>1.4500000000000001E-2</v>
          </cell>
          <cell r="AA77">
            <v>23.284599999999998</v>
          </cell>
          <cell r="AB77">
            <v>30562</v>
          </cell>
          <cell r="AC77" t="str">
            <v>PERMANENT SPEED RESTRICTION</v>
          </cell>
          <cell r="AD77" t="str">
            <v>0164-09</v>
          </cell>
          <cell r="AE77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78">
          <cell r="A78" t="str">
            <v>165-09</v>
          </cell>
          <cell r="B78">
            <v>4029</v>
          </cell>
          <cell r="C78" t="str">
            <v>DE.1.0.7.0</v>
          </cell>
          <cell r="D78" t="str">
            <v>204:467</v>
          </cell>
          <cell r="E78">
            <v>42591.484236111108</v>
          </cell>
          <cell r="F78">
            <v>42591.485706018517</v>
          </cell>
          <cell r="G78">
            <v>2</v>
          </cell>
          <cell r="H78" t="str">
            <v>204:233332</v>
          </cell>
          <cell r="I78">
            <v>42591.520601851851</v>
          </cell>
          <cell r="J78">
            <v>1</v>
          </cell>
          <cell r="K78" t="str">
            <v>4029/4030</v>
          </cell>
          <cell r="L78" t="str">
            <v>STRICKLAND</v>
          </cell>
          <cell r="M78">
            <v>3.4895833334303461E-2</v>
          </cell>
          <cell r="N78">
            <v>50.250000001396984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4.6699999999999998E-2</v>
          </cell>
          <cell r="Z78">
            <v>23.333200000000001</v>
          </cell>
          <cell r="AA78">
            <v>23.2865</v>
          </cell>
          <cell r="AB78" t="e">
            <v>#N/A</v>
          </cell>
          <cell r="AC78" t="e">
            <v>#N/A</v>
          </cell>
          <cell r="AD78" t="str">
            <v>0165-09</v>
          </cell>
          <cell r="AE78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79">
          <cell r="A79" t="str">
            <v>166-09</v>
          </cell>
          <cell r="B79">
            <v>4030</v>
          </cell>
          <cell r="C79" t="str">
            <v>DE.1.0.7.0</v>
          </cell>
          <cell r="D79" t="str">
            <v>204:232996</v>
          </cell>
          <cell r="E79">
            <v>42591.524328703701</v>
          </cell>
          <cell r="F79">
            <v>42591.525833333333</v>
          </cell>
          <cell r="G79">
            <v>2</v>
          </cell>
          <cell r="H79" t="str">
            <v>204:152</v>
          </cell>
          <cell r="I79">
            <v>42591.556423611109</v>
          </cell>
          <cell r="J79">
            <v>0</v>
          </cell>
          <cell r="K79" t="str">
            <v>4029/4030</v>
          </cell>
          <cell r="L79" t="str">
            <v>STRICKLAND</v>
          </cell>
          <cell r="M79">
            <v>3.0590277776354924E-2</v>
          </cell>
          <cell r="N79">
            <v>44.04999999795109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https://search-rtdc-monitor-bjffxe2xuh6vdkpspy63sjmuny.us-east-1.es.amazonaws.com/_plugin/kibana/#/discover/Steve-Slow-Train-Analysis-(2080s-and-2083s)?_g=(refreshInterval:(display:Off,section:0,value:0),time:(from:'2016-08-09 11:35:02-0600',mode:absolute,to:'2016-08-09 14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23.299600000000002</v>
          </cell>
          <cell r="Z79">
            <v>1.52E-2</v>
          </cell>
          <cell r="AA79">
            <v>23.284400000000002</v>
          </cell>
          <cell r="AB79" t="e">
            <v>#N/A</v>
          </cell>
          <cell r="AC79" t="e">
            <v>#N/A</v>
          </cell>
          <cell r="AD79" t="str">
            <v>0166-09</v>
          </cell>
          <cell r="AE79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80">
          <cell r="A80" t="str">
            <v>167-09</v>
          </cell>
          <cell r="B80">
            <v>4040</v>
          </cell>
          <cell r="C80" t="str">
            <v>DE.1.0.7.0</v>
          </cell>
          <cell r="D80" t="str">
            <v>204:467</v>
          </cell>
          <cell r="E80">
            <v>42591.499016203707</v>
          </cell>
          <cell r="F80">
            <v>42591.5003125</v>
          </cell>
          <cell r="G80">
            <v>1</v>
          </cell>
          <cell r="H80" t="str">
            <v>204:233315</v>
          </cell>
          <cell r="I80">
            <v>42591.529942129629</v>
          </cell>
          <cell r="J80">
            <v>1</v>
          </cell>
          <cell r="K80" t="str">
            <v>4039/4040</v>
          </cell>
          <cell r="L80" t="str">
            <v>YOUNG</v>
          </cell>
          <cell r="M80">
            <v>2.9629629629198462E-2</v>
          </cell>
          <cell r="N80">
            <v>42.666666666045785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23.331499999999998</v>
          </cell>
          <cell r="AA80">
            <v>23.284799999999997</v>
          </cell>
          <cell r="AB80" t="e">
            <v>#N/A</v>
          </cell>
          <cell r="AC80" t="e">
            <v>#N/A</v>
          </cell>
          <cell r="AD80" t="str">
            <v>0167-09</v>
          </cell>
          <cell r="AE8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81">
          <cell r="A81" t="str">
            <v>168-09</v>
          </cell>
          <cell r="B81">
            <v>4039</v>
          </cell>
          <cell r="C81" t="str">
            <v>DE.1.0.7.0</v>
          </cell>
          <cell r="D81" t="str">
            <v>204:232998</v>
          </cell>
          <cell r="E81">
            <v>42591.537465277775</v>
          </cell>
          <cell r="F81">
            <v>42591.538912037038</v>
          </cell>
          <cell r="G81">
            <v>2</v>
          </cell>
          <cell r="H81" t="str">
            <v>204:167</v>
          </cell>
          <cell r="I81">
            <v>42591.569548611114</v>
          </cell>
          <cell r="J81">
            <v>0</v>
          </cell>
          <cell r="K81" t="str">
            <v>4039/4040</v>
          </cell>
          <cell r="L81" t="str">
            <v>YOUNG</v>
          </cell>
          <cell r="M81">
            <v>3.0636574076197576E-2</v>
          </cell>
          <cell r="N81">
            <v>44.116666669724509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https://search-rtdc-monitor-bjffxe2xuh6vdkpspy63sjmuny.us-east-1.es.amazonaws.com/_plugin/kibana/#/discover/Steve-Slow-Train-Analysis-(2080s-and-2083s)?_g=(refreshInterval:(display:Off,section:0,value:0),time:(from:'2016-08-09 11:53:57-0600',mode:absolute,to:'2016-08-09 14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81" t="str">
            <v>N</v>
          </cell>
          <cell r="X81">
            <v>1</v>
          </cell>
          <cell r="Y81">
            <v>23.299800000000001</v>
          </cell>
          <cell r="Z81">
            <v>1.67E-2</v>
          </cell>
          <cell r="AA81">
            <v>23.283100000000001</v>
          </cell>
          <cell r="AB81" t="e">
            <v>#N/A</v>
          </cell>
          <cell r="AC81" t="e">
            <v>#N/A</v>
          </cell>
          <cell r="AD81" t="str">
            <v>0168-09</v>
          </cell>
          <cell r="AE81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82">
          <cell r="A82" t="str">
            <v>169-09</v>
          </cell>
          <cell r="B82">
            <v>4018</v>
          </cell>
          <cell r="C82" t="str">
            <v>DE.1.0.7.0</v>
          </cell>
          <cell r="D82" t="str">
            <v>204:478</v>
          </cell>
          <cell r="E82">
            <v>42591.509236111109</v>
          </cell>
          <cell r="F82">
            <v>42591.510023148148</v>
          </cell>
          <cell r="G82">
            <v>1</v>
          </cell>
          <cell r="H82" t="str">
            <v>204:233286</v>
          </cell>
          <cell r="I82">
            <v>42591.536469907405</v>
          </cell>
          <cell r="J82">
            <v>0</v>
          </cell>
          <cell r="K82" t="str">
            <v>4017/4018</v>
          </cell>
          <cell r="L82" t="str">
            <v>SWANSON</v>
          </cell>
          <cell r="M82">
            <v>2.6446759256941732E-2</v>
          </cell>
          <cell r="N82">
            <v>38.083333329996094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https://search-rtdc-monitor-bjffxe2xuh6vdkpspy63sjmuny.us-east-1.es.amazonaws.com/_plugin/kibana/#/discover/Steve-Slow-Train-Analysis-(2080s-and-2083s)?_g=(refreshInterval:(display:Off,section:0,value:0),time:(from:'2016-08-09 11:13:18-0600',mode:absolute,to:'2016-08-09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2" t="str">
            <v>N</v>
          </cell>
          <cell r="X82">
            <v>1</v>
          </cell>
          <cell r="Y82">
            <v>4.7800000000000002E-2</v>
          </cell>
          <cell r="Z82">
            <v>23.328600000000002</v>
          </cell>
          <cell r="AA82">
            <v>23.280800000000003</v>
          </cell>
          <cell r="AB82" t="e">
            <v>#N/A</v>
          </cell>
          <cell r="AC82" t="e">
            <v>#N/A</v>
          </cell>
          <cell r="AD82" t="str">
            <v>0169-09</v>
          </cell>
          <cell r="AE82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83">
          <cell r="A83" t="str">
            <v>170-09</v>
          </cell>
          <cell r="B83">
            <v>4017</v>
          </cell>
          <cell r="C83" t="str">
            <v>DE.1.0.7.0</v>
          </cell>
          <cell r="D83" t="str">
            <v>204:232957</v>
          </cell>
          <cell r="E83">
            <v>42591.537974537037</v>
          </cell>
          <cell r="F83">
            <v>42591.538969907408</v>
          </cell>
          <cell r="G83">
            <v>1</v>
          </cell>
          <cell r="H83" t="str">
            <v>204:147</v>
          </cell>
          <cell r="I83">
            <v>42591.581423611111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4.2453703703358769E-2</v>
          </cell>
          <cell r="N83">
            <v>61.133333332836628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https://search-rtdc-monitor-bjffxe2xuh6vdkpspy63sjmuny.us-east-1.es.amazonaws.com/_plugin/kibana/#/discover/Steve-Slow-Train-Analysis-(2080s-and-2083s)?_g=(refreshInterval:(display:Off,section:0,value:0),time:(from:'2016-08-09 11:54:41-0600',mode:absolute,to:'2016-08-09 14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3" t="str">
            <v>N</v>
          </cell>
          <cell r="X83">
            <v>1</v>
          </cell>
          <cell r="Y83">
            <v>23.2957</v>
          </cell>
          <cell r="Z83">
            <v>1.47E-2</v>
          </cell>
          <cell r="AA83">
            <v>23.280999999999999</v>
          </cell>
          <cell r="AB83" t="e">
            <v>#N/A</v>
          </cell>
          <cell r="AC83" t="e">
            <v>#N/A</v>
          </cell>
          <cell r="AD83" t="str">
            <v>0170-09</v>
          </cell>
          <cell r="AE83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84">
          <cell r="A84" t="str">
            <v>171-09</v>
          </cell>
          <cell r="B84">
            <v>4011</v>
          </cell>
          <cell r="C84" t="str">
            <v>DE.1.0.7.0</v>
          </cell>
          <cell r="D84" t="str">
            <v>204:467</v>
          </cell>
          <cell r="E84">
            <v>42591.51699074074</v>
          </cell>
          <cell r="F84">
            <v>42591.521273148152</v>
          </cell>
          <cell r="G84">
            <v>6</v>
          </cell>
          <cell r="H84" t="str">
            <v>204:233302</v>
          </cell>
          <cell r="I84">
            <v>42591.547974537039</v>
          </cell>
          <cell r="J84">
            <v>1</v>
          </cell>
          <cell r="K84" t="str">
            <v>4011/4012</v>
          </cell>
          <cell r="L84" t="str">
            <v>HAITHCOX</v>
          </cell>
          <cell r="M84">
            <v>2.6701388887886424E-2</v>
          </cell>
          <cell r="N84">
            <v>38.44999999855645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4" t="str">
            <v>N</v>
          </cell>
          <cell r="X84">
            <v>1</v>
          </cell>
          <cell r="Y84">
            <v>4.6699999999999998E-2</v>
          </cell>
          <cell r="Z84">
            <v>23.330200000000001</v>
          </cell>
          <cell r="AA84">
            <v>23.2835</v>
          </cell>
          <cell r="AB84">
            <v>183829</v>
          </cell>
          <cell r="AC84" t="str">
            <v>PERMANENT SPEED RESTRICTION</v>
          </cell>
          <cell r="AD84" t="str">
            <v>0171-09</v>
          </cell>
          <cell r="AE8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85">
          <cell r="A85" t="str">
            <v>172-09</v>
          </cell>
          <cell r="B85">
            <v>4012</v>
          </cell>
          <cell r="C85" t="str">
            <v>DE.1.0.7.0</v>
          </cell>
          <cell r="D85" t="str">
            <v>204:232983</v>
          </cell>
          <cell r="E85">
            <v>42591.556574074071</v>
          </cell>
          <cell r="F85">
            <v>42591.559988425928</v>
          </cell>
          <cell r="G85">
            <v>4</v>
          </cell>
          <cell r="H85" t="str">
            <v>204:150</v>
          </cell>
          <cell r="I85">
            <v>42591.58792824074</v>
          </cell>
          <cell r="J85">
            <v>0</v>
          </cell>
          <cell r="K85" t="str">
            <v>4011/4012</v>
          </cell>
          <cell r="L85" t="str">
            <v>HAITHCOX</v>
          </cell>
          <cell r="M85">
            <v>2.7939814812270924E-2</v>
          </cell>
          <cell r="N85">
            <v>40.233333329670131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https://search-rtdc-monitor-bjffxe2xuh6vdkpspy63sjmuny.us-east-1.es.amazonaws.com/_plugin/kibana/#/discover/Steve-Slow-Train-Analysis-(2080s-and-2083s)?_g=(refreshInterval:(display:Off,section:0,value:0),time:(from:'2016-08-09 12:21:28-0600',mode:absolute,to:'2016-08-09 15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1.4999999999999999E-2</v>
          </cell>
          <cell r="AA85">
            <v>23.283300000000001</v>
          </cell>
          <cell r="AB85" t="e">
            <v>#N/A</v>
          </cell>
          <cell r="AC85" t="e">
            <v>#N/A</v>
          </cell>
          <cell r="AD85" t="str">
            <v>0172-09</v>
          </cell>
          <cell r="AE8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86">
          <cell r="A86" t="str">
            <v>173-09</v>
          </cell>
          <cell r="B86">
            <v>4016</v>
          </cell>
          <cell r="C86" t="str">
            <v>DE.1.0.7.0</v>
          </cell>
          <cell r="D86" t="str">
            <v>204:478</v>
          </cell>
          <cell r="E86">
            <v>42591.527789351851</v>
          </cell>
          <cell r="F86">
            <v>42591.529432870368</v>
          </cell>
          <cell r="G86">
            <v>2</v>
          </cell>
          <cell r="H86" t="str">
            <v>204:233318</v>
          </cell>
          <cell r="I86">
            <v>42591.557337962964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2.7905092596483883E-2</v>
          </cell>
          <cell r="N86">
            <v>40.183333338936791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https://search-rtdc-monitor-bjffxe2xuh6vdkpspy63sjmuny.us-east-1.es.amazonaws.com/_plugin/kibana/#/discover/Steve-Slow-Train-Analysis-(2080s-and-2083s)?_g=(refreshInterval:(display:Off,section:0,value:0),time:(from:'2016-08-09 11:40:01-0600',mode:absolute,to:'2016-08-09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4.7800000000000002E-2</v>
          </cell>
          <cell r="Z86">
            <v>23.331800000000001</v>
          </cell>
          <cell r="AA86">
            <v>23.284000000000002</v>
          </cell>
          <cell r="AB86" t="e">
            <v>#N/A</v>
          </cell>
          <cell r="AC86" t="e">
            <v>#N/A</v>
          </cell>
          <cell r="AD86" t="str">
            <v>0173-09</v>
          </cell>
          <cell r="AE86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87">
          <cell r="A87" t="str">
            <v>174-09</v>
          </cell>
          <cell r="B87">
            <v>4015</v>
          </cell>
          <cell r="C87" t="str">
            <v>DE.1.0.7.0</v>
          </cell>
          <cell r="D87" t="str">
            <v>204:232986</v>
          </cell>
          <cell r="E87">
            <v>42591.567511574074</v>
          </cell>
          <cell r="F87">
            <v>42591.568564814814</v>
          </cell>
          <cell r="G87">
            <v>1</v>
          </cell>
          <cell r="H87" t="str">
            <v>204:141</v>
          </cell>
          <cell r="I87">
            <v>42591.598483796297</v>
          </cell>
          <cell r="J87">
            <v>0</v>
          </cell>
          <cell r="K87" t="str">
            <v>4015/4016</v>
          </cell>
          <cell r="L87" t="str">
            <v>BARTLETT</v>
          </cell>
          <cell r="M87">
            <v>2.9918981483206153E-2</v>
          </cell>
          <cell r="N87">
            <v>43.08333333581686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https://search-rtdc-monitor-bjffxe2xuh6vdkpspy63sjmuny.us-east-1.es.amazonaws.com/_plugin/kibana/#/discover/Steve-Slow-Train-Analysis-(2080s-and-2083s)?_g=(refreshInterval:(display:Off,section:0,value:0),time:(from:'2016-08-09 12:37:13-0600',mode:absolute,to:'2016-08-09 15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23.2986</v>
          </cell>
          <cell r="Z87">
            <v>1.41E-2</v>
          </cell>
          <cell r="AA87">
            <v>23.284500000000001</v>
          </cell>
          <cell r="AB87" t="e">
            <v>#N/A</v>
          </cell>
          <cell r="AC87" t="e">
            <v>#N/A</v>
          </cell>
          <cell r="AD87" t="str">
            <v>0174-09</v>
          </cell>
          <cell r="AE8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88">
          <cell r="A88" t="str">
            <v>175-09</v>
          </cell>
          <cell r="B88">
            <v>4025</v>
          </cell>
          <cell r="C88" t="str">
            <v>DE.1.0.7.0</v>
          </cell>
          <cell r="D88" t="str">
            <v>204:460</v>
          </cell>
          <cell r="E88">
            <v>42591.545335648145</v>
          </cell>
          <cell r="F88">
            <v>42591.546377314815</v>
          </cell>
          <cell r="G88">
            <v>1</v>
          </cell>
          <cell r="H88" t="str">
            <v>204:233297</v>
          </cell>
          <cell r="I88">
            <v>42591.576018518521</v>
          </cell>
          <cell r="J88">
            <v>0</v>
          </cell>
          <cell r="K88" t="str">
            <v>4025/4026</v>
          </cell>
          <cell r="L88" t="str">
            <v>DE LA ROSA</v>
          </cell>
          <cell r="M88">
            <v>2.9641203705978114E-2</v>
          </cell>
          <cell r="N88">
            <v>42.683333336608484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https://search-rtdc-monitor-bjffxe2xuh6vdkpspy63sjmuny.us-east-1.es.amazonaws.com/_plugin/kibana/#/discover/Steve-Slow-Train-Analysis-(2080s-and-2083s)?_g=(refreshInterval:(display:Off,section:0,value:0),time:(from:'2016-08-09 12:05:17-0600',mode:absolute,to:'2016-08-09 14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8" t="str">
            <v>N</v>
          </cell>
          <cell r="X88">
            <v>1</v>
          </cell>
          <cell r="Y88">
            <v>4.5999999999999999E-2</v>
          </cell>
          <cell r="Z88">
            <v>23.329699999999999</v>
          </cell>
          <cell r="AA88">
            <v>23.2837</v>
          </cell>
          <cell r="AB88" t="e">
            <v>#N/A</v>
          </cell>
          <cell r="AC88" t="e">
            <v>#N/A</v>
          </cell>
          <cell r="AD88" t="str">
            <v>0175-09</v>
          </cell>
          <cell r="AE8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89">
          <cell r="A89" t="str">
            <v>176-09</v>
          </cell>
          <cell r="B89">
            <v>4026</v>
          </cell>
          <cell r="C89" t="str">
            <v>DE.1.0.7.0</v>
          </cell>
          <cell r="D89" t="str">
            <v>204:232996</v>
          </cell>
          <cell r="E89">
            <v>42591.578043981484</v>
          </cell>
          <cell r="F89">
            <v>42591.578958333332</v>
          </cell>
          <cell r="G89">
            <v>1</v>
          </cell>
          <cell r="H89" t="str">
            <v>204:160</v>
          </cell>
          <cell r="I89">
            <v>42591.61037037037</v>
          </cell>
          <cell r="J89">
            <v>1</v>
          </cell>
          <cell r="K89" t="str">
            <v>4025/4026</v>
          </cell>
          <cell r="L89" t="str">
            <v>DE LA ROSA</v>
          </cell>
          <cell r="M89">
            <v>3.1412037038535345E-2</v>
          </cell>
          <cell r="N89">
            <v>45.233333335490897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9" t="str">
            <v>N</v>
          </cell>
          <cell r="X89">
            <v>1</v>
          </cell>
          <cell r="Y89">
            <v>23.299600000000002</v>
          </cell>
          <cell r="Z89">
            <v>1.6E-2</v>
          </cell>
          <cell r="AA89">
            <v>23.283600000000003</v>
          </cell>
          <cell r="AB89">
            <v>63309</v>
          </cell>
          <cell r="AC89" t="str">
            <v>GRADE CROSSING</v>
          </cell>
          <cell r="AD89" t="str">
            <v>0176-09</v>
          </cell>
          <cell r="AE8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90">
          <cell r="A90" t="str">
            <v>177-09</v>
          </cell>
          <cell r="B90">
            <v>4031</v>
          </cell>
          <cell r="C90" t="str">
            <v>DE.1.0.7.0</v>
          </cell>
          <cell r="D90" t="str">
            <v>204:469</v>
          </cell>
          <cell r="E90">
            <v>42591.552974537037</v>
          </cell>
          <cell r="F90">
            <v>42591.555150462962</v>
          </cell>
          <cell r="G90">
            <v>3</v>
          </cell>
          <cell r="H90" t="str">
            <v>204:233261</v>
          </cell>
          <cell r="I90">
            <v>42591.586724537039</v>
          </cell>
          <cell r="J90">
            <v>1</v>
          </cell>
          <cell r="K90" t="str">
            <v>4031/4032</v>
          </cell>
          <cell r="L90" t="str">
            <v>HELVIE</v>
          </cell>
          <cell r="M90">
            <v>3.1574074077070691E-2</v>
          </cell>
          <cell r="N90">
            <v>45.466666670981795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0" t="str">
            <v>N</v>
          </cell>
          <cell r="X90">
            <v>1</v>
          </cell>
          <cell r="Y90">
            <v>4.6899999999999997E-2</v>
          </cell>
          <cell r="Z90">
            <v>23.3261</v>
          </cell>
          <cell r="AA90">
            <v>23.279199999999999</v>
          </cell>
          <cell r="AB90">
            <v>42779</v>
          </cell>
          <cell r="AC90" t="str">
            <v>GRADE CROSSING</v>
          </cell>
          <cell r="AD90" t="str">
            <v>0177-09</v>
          </cell>
          <cell r="AE9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91">
          <cell r="A91" t="str">
            <v>178-09</v>
          </cell>
          <cell r="B91">
            <v>4032</v>
          </cell>
          <cell r="C91" t="str">
            <v>DE.1.0.7.0</v>
          </cell>
          <cell r="D91" t="str">
            <v>204:232942</v>
          </cell>
          <cell r="E91">
            <v>42591.589965277781</v>
          </cell>
          <cell r="F91">
            <v>42591.591469907406</v>
          </cell>
          <cell r="G91">
            <v>2</v>
          </cell>
          <cell r="H91" t="str">
            <v>204:150</v>
          </cell>
          <cell r="I91">
            <v>42591.618055555555</v>
          </cell>
          <cell r="J91">
            <v>1</v>
          </cell>
          <cell r="K91" t="str">
            <v>4031/4032</v>
          </cell>
          <cell r="L91" t="str">
            <v>HELVIE</v>
          </cell>
          <cell r="M91">
            <v>2.658564814919373E-2</v>
          </cell>
          <cell r="N91">
            <v>38.283333334838971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1" t="str">
            <v>N</v>
          </cell>
          <cell r="X91">
            <v>1</v>
          </cell>
          <cell r="Y91">
            <v>23.2942</v>
          </cell>
          <cell r="Z91">
            <v>1.4999999999999999E-2</v>
          </cell>
          <cell r="AA91">
            <v>23.279199999999999</v>
          </cell>
          <cell r="AB91" t="e">
            <v>#N/A</v>
          </cell>
          <cell r="AC91" t="e">
            <v>#N/A</v>
          </cell>
          <cell r="AD91" t="str">
            <v>0178-09</v>
          </cell>
          <cell r="AE9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92">
          <cell r="A92" t="str">
            <v>179-09</v>
          </cell>
          <cell r="B92">
            <v>4029</v>
          </cell>
          <cell r="C92" t="str">
            <v>DE.1.0.7.0</v>
          </cell>
          <cell r="D92" t="str">
            <v>204:458</v>
          </cell>
          <cell r="E92">
            <v>42591.558333333334</v>
          </cell>
          <cell r="F92">
            <v>42591.559421296297</v>
          </cell>
          <cell r="G92">
            <v>1</v>
          </cell>
          <cell r="H92" t="str">
            <v>204:233283</v>
          </cell>
          <cell r="I92">
            <v>42591.59003472222</v>
          </cell>
          <cell r="J92">
            <v>0</v>
          </cell>
          <cell r="K92" t="str">
            <v>4029/4030</v>
          </cell>
          <cell r="L92" t="str">
            <v>STRICKLAND</v>
          </cell>
          <cell r="M92">
            <v>3.0613425922638271E-2</v>
          </cell>
          <cell r="N92">
            <v>44.08333332859911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https://search-rtdc-monitor-bjffxe2xuh6vdkpspy63sjmuny.us-east-1.es.amazonaws.com/_plugin/kibana/#/discover/Steve-Slow-Train-Analysis-(2080s-and-2083s)?_g=(refreshInterval:(display:Off,section:0,value:0),time:(from:'2016-08-09 12:24:00-0600',mode:absolute,to:'2016-08-09 15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N</v>
          </cell>
          <cell r="X92">
            <v>1</v>
          </cell>
          <cell r="Y92">
            <v>4.58E-2</v>
          </cell>
          <cell r="Z92">
            <v>23.328299999999999</v>
          </cell>
          <cell r="AA92">
            <v>23.282499999999999</v>
          </cell>
          <cell r="AB92" t="e">
            <v>#N/A</v>
          </cell>
          <cell r="AC92" t="e">
            <v>#N/A</v>
          </cell>
          <cell r="AD92" t="str">
            <v>0179-09</v>
          </cell>
          <cell r="AE92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93">
          <cell r="A93" t="str">
            <v>180-09</v>
          </cell>
          <cell r="B93">
            <v>4030</v>
          </cell>
          <cell r="C93" t="str">
            <v>DE.1.0.7.0</v>
          </cell>
          <cell r="D93" t="str">
            <v>204:232972</v>
          </cell>
          <cell r="E93">
            <v>42591.597905092596</v>
          </cell>
          <cell r="F93">
            <v>42591.598877314813</v>
          </cell>
          <cell r="G93">
            <v>1</v>
          </cell>
          <cell r="H93" t="str">
            <v>204:160</v>
          </cell>
          <cell r="I93">
            <v>42591.630520833336</v>
          </cell>
          <cell r="J93">
            <v>0</v>
          </cell>
          <cell r="K93" t="str">
            <v>4029/4030</v>
          </cell>
          <cell r="L93" t="str">
            <v>STRICKLAND</v>
          </cell>
          <cell r="M93">
            <v>3.164351852319669E-2</v>
          </cell>
          <cell r="N93">
            <v>45.566666673403233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https://search-rtdc-monitor-bjffxe2xuh6vdkpspy63sjmuny.us-east-1.es.amazonaws.com/_plugin/kibana/#/discover/Steve-Slow-Train-Analysis-(2080s-and-2083s)?_g=(refreshInterval:(display:Off,section:0,value:0),time:(from:'2016-08-09 13:20:59-0600',mode:absolute,to:'2016-08-09 16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23.2972</v>
          </cell>
          <cell r="Z93">
            <v>1.6E-2</v>
          </cell>
          <cell r="AA93">
            <v>23.281200000000002</v>
          </cell>
          <cell r="AB93" t="e">
            <v>#N/A</v>
          </cell>
          <cell r="AC93" t="e">
            <v>#N/A</v>
          </cell>
          <cell r="AD93" t="str">
            <v>0180-09</v>
          </cell>
          <cell r="AE93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94">
          <cell r="A94" t="str">
            <v>181-09</v>
          </cell>
          <cell r="B94">
            <v>4040</v>
          </cell>
          <cell r="C94" t="str">
            <v>DE.1.0.7.0</v>
          </cell>
          <cell r="D94" t="str">
            <v>204:488</v>
          </cell>
          <cell r="E94">
            <v>42591.571134259262</v>
          </cell>
          <cell r="F94">
            <v>42591.572002314817</v>
          </cell>
          <cell r="G94">
            <v>1</v>
          </cell>
          <cell r="H94" t="str">
            <v>204:233307</v>
          </cell>
          <cell r="I94">
            <v>42591.599791666667</v>
          </cell>
          <cell r="J94">
            <v>0</v>
          </cell>
          <cell r="K94" t="str">
            <v>4039/4040</v>
          </cell>
          <cell r="L94" t="str">
            <v>YOUNG</v>
          </cell>
          <cell r="M94">
            <v>2.7789351850515231E-2</v>
          </cell>
          <cell r="N94">
            <v>40.016666664741933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https://search-rtdc-monitor-bjffxe2xuh6vdkpspy63sjmuny.us-east-1.es.amazonaws.com/_plugin/kibana/#/discover/Steve-Slow-Train-Analysis-(2080s-and-2083s)?_g=(refreshInterval:(display:Off,section:0,value:0),time:(from:'2016-08-09 12:42:26-0600',mode:absolute,to:'2016-08-09 15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4" t="str">
            <v>N</v>
          </cell>
          <cell r="X94">
            <v>1</v>
          </cell>
          <cell r="Y94">
            <v>4.8800000000000003E-2</v>
          </cell>
          <cell r="Z94">
            <v>23.3307</v>
          </cell>
          <cell r="AA94">
            <v>23.2819</v>
          </cell>
          <cell r="AB94" t="e">
            <v>#N/A</v>
          </cell>
          <cell r="AC94" t="e">
            <v>#N/A</v>
          </cell>
          <cell r="AD94" t="str">
            <v>0181-09</v>
          </cell>
          <cell r="AE9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95">
          <cell r="A95" t="str">
            <v>182-09</v>
          </cell>
          <cell r="B95">
            <v>4039</v>
          </cell>
          <cell r="C95" t="str">
            <v>DE.1.0.7.0</v>
          </cell>
          <cell r="D95" t="str">
            <v>204:233001</v>
          </cell>
          <cell r="E95">
            <v>42591.604861111111</v>
          </cell>
          <cell r="F95">
            <v>42591.605671296296</v>
          </cell>
          <cell r="G95">
            <v>1</v>
          </cell>
          <cell r="H95" t="str">
            <v>204:196</v>
          </cell>
          <cell r="I95">
            <v>42591.642060185186</v>
          </cell>
          <cell r="J95">
            <v>0</v>
          </cell>
          <cell r="K95" t="str">
            <v>4039/4040</v>
          </cell>
          <cell r="L95" t="str">
            <v>YOUNG</v>
          </cell>
          <cell r="M95">
            <v>3.6388888889632653E-2</v>
          </cell>
          <cell r="N95">
            <v>52.400000001071021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https://search-rtdc-monitor-bjffxe2xuh6vdkpspy63sjmuny.us-east-1.es.amazonaws.com/_plugin/kibana/#/discover/Steve-Slow-Train-Analysis-(2080s-and-2083s)?_g=(refreshInterval:(display:Off,section:0,value:0),time:(from:'2016-08-09 13:31:00-0600',mode:absolute,to:'2016-08-09 16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5" t="str">
            <v>N</v>
          </cell>
          <cell r="X95">
            <v>1</v>
          </cell>
          <cell r="Y95">
            <v>23.3001</v>
          </cell>
          <cell r="Z95">
            <v>1.9599999999999999E-2</v>
          </cell>
          <cell r="AA95">
            <v>23.2805</v>
          </cell>
          <cell r="AB95" t="e">
            <v>#N/A</v>
          </cell>
          <cell r="AC95" t="e">
            <v>#N/A</v>
          </cell>
          <cell r="AD95" t="str">
            <v>0182-09</v>
          </cell>
          <cell r="AE9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96">
          <cell r="A96" t="str">
            <v>183-09</v>
          </cell>
          <cell r="B96">
            <v>4018</v>
          </cell>
          <cell r="C96" t="str">
            <v>DE.1.0.7.0</v>
          </cell>
          <cell r="D96" t="str">
            <v>204:437</v>
          </cell>
          <cell r="E96">
            <v>42591.582824074074</v>
          </cell>
          <cell r="F96">
            <v>42591.583518518521</v>
          </cell>
          <cell r="G96">
            <v>1</v>
          </cell>
          <cell r="H96" t="str">
            <v>204:233298</v>
          </cell>
          <cell r="I96">
            <v>42591.610763888886</v>
          </cell>
          <cell r="J96">
            <v>0</v>
          </cell>
          <cell r="K96" t="str">
            <v>4017/4018</v>
          </cell>
          <cell r="L96" t="str">
            <v>SWANSON</v>
          </cell>
          <cell r="M96">
            <v>2.7245370365562849E-2</v>
          </cell>
          <cell r="N96">
            <v>39.233333326410502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https://search-rtdc-monitor-bjffxe2xuh6vdkpspy63sjmuny.us-east-1.es.amazonaws.com/_plugin/kibana/#/discover/Steve-Slow-Train-Analysis-(2080s-and-2083s)?_g=(refreshInterval:(display:Off,section:0,value:0),time:(from:'2016-08-09 12:59:16-0600',mode:absolute,to:'2016-08-09 15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6" t="str">
            <v>N</v>
          </cell>
          <cell r="X96">
            <v>1</v>
          </cell>
          <cell r="Y96">
            <v>4.3700000000000003E-2</v>
          </cell>
          <cell r="Z96">
            <v>23.329799999999999</v>
          </cell>
          <cell r="AA96">
            <v>23.286099999999998</v>
          </cell>
          <cell r="AB96" t="e">
            <v>#N/A</v>
          </cell>
          <cell r="AC96" t="e">
            <v>#N/A</v>
          </cell>
          <cell r="AD96" t="str">
            <v>0183-09</v>
          </cell>
          <cell r="AE96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97">
          <cell r="A97" t="str">
            <v>184-09</v>
          </cell>
          <cell r="B97">
            <v>4017</v>
          </cell>
          <cell r="C97" t="str">
            <v>DE.1.0.7.0</v>
          </cell>
          <cell r="D97" t="str">
            <v>204:232991</v>
          </cell>
          <cell r="E97">
            <v>42591.612361111111</v>
          </cell>
          <cell r="F97">
            <v>42591.613206018519</v>
          </cell>
          <cell r="G97">
            <v>1</v>
          </cell>
          <cell r="H97" t="str">
            <v>204:161</v>
          </cell>
          <cell r="I97">
            <v>42591.649988425925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3.6782407405553386E-2</v>
          </cell>
          <cell r="N97">
            <v>52.966666663996875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https://search-rtdc-monitor-bjffxe2xuh6vdkpspy63sjmuny.us-east-1.es.amazonaws.com/_plugin/kibana/#/discover/Steve-Slow-Train-Analysis-(2080s-and-2083s)?_g=(refreshInterval:(display:Off,section:0,value:0),time:(from:'2016-08-09 13:41:48-0600',mode:absolute,to:'2016-08-09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7" t="str">
            <v>N</v>
          </cell>
          <cell r="X97">
            <v>1</v>
          </cell>
          <cell r="Y97">
            <v>23.299099999999999</v>
          </cell>
          <cell r="Z97">
            <v>1.61E-2</v>
          </cell>
          <cell r="AA97">
            <v>23.282999999999998</v>
          </cell>
          <cell r="AB97" t="e">
            <v>#N/A</v>
          </cell>
          <cell r="AC97" t="e">
            <v>#N/A</v>
          </cell>
          <cell r="AD97" t="str">
            <v>0184-09</v>
          </cell>
          <cell r="AE97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98">
          <cell r="A98" t="str">
            <v>185-09</v>
          </cell>
          <cell r="B98">
            <v>4011</v>
          </cell>
          <cell r="C98" t="str">
            <v>DE.1.0.7.0</v>
          </cell>
          <cell r="D98" t="str">
            <v>204:453</v>
          </cell>
          <cell r="E98">
            <v>42591.58935185185</v>
          </cell>
          <cell r="F98">
            <v>42591.590578703705</v>
          </cell>
          <cell r="G98">
            <v>1</v>
          </cell>
          <cell r="H98" t="str">
            <v>204:233297</v>
          </cell>
          <cell r="I98">
            <v>42591.61928240741</v>
          </cell>
          <cell r="J98">
            <v>0</v>
          </cell>
          <cell r="K98" t="str">
            <v>4011/4012</v>
          </cell>
          <cell r="L98" t="str">
            <v>HAITHCOX</v>
          </cell>
          <cell r="M98">
            <v>2.8703703705104999E-2</v>
          </cell>
          <cell r="N98">
            <v>41.333333335351199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https://search-rtdc-monitor-bjffxe2xuh6vdkpspy63sjmuny.us-east-1.es.amazonaws.com/_plugin/kibana/#/discover/Steve-Slow-Train-Analysis-(2080s-and-2083s)?_g=(refreshInterval:(display:Off,section:0,value:0),time:(from:'2016-08-09 13:08:40-0600',mode:absolute,to:'2016-08-09 15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8" t="str">
            <v>N</v>
          </cell>
          <cell r="X98">
            <v>1</v>
          </cell>
          <cell r="Y98">
            <v>4.53E-2</v>
          </cell>
          <cell r="Z98">
            <v>23.329699999999999</v>
          </cell>
          <cell r="AA98">
            <v>23.284399999999998</v>
          </cell>
          <cell r="AB98" t="e">
            <v>#N/A</v>
          </cell>
          <cell r="AC98" t="e">
            <v>#N/A</v>
          </cell>
          <cell r="AD98" t="str">
            <v>0185-09</v>
          </cell>
          <cell r="AE98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99">
          <cell r="A99" t="str">
            <v>186-09</v>
          </cell>
          <cell r="B99">
            <v>4012</v>
          </cell>
          <cell r="C99" t="str">
            <v>DE.1.0.7.0</v>
          </cell>
          <cell r="D99" t="str">
            <v>204:232984</v>
          </cell>
          <cell r="E99">
            <v>42591.626608796294</v>
          </cell>
          <cell r="F99">
            <v>42591.62771990741</v>
          </cell>
          <cell r="G99">
            <v>1</v>
          </cell>
          <cell r="H99" t="str">
            <v>204:136</v>
          </cell>
          <cell r="I99">
            <v>42591.660405092596</v>
          </cell>
          <cell r="J99">
            <v>0</v>
          </cell>
          <cell r="K99" t="str">
            <v>4011/4012</v>
          </cell>
          <cell r="L99" t="str">
            <v>HAITHCOX</v>
          </cell>
          <cell r="M99">
            <v>3.2685185185982846E-2</v>
          </cell>
          <cell r="N99">
            <v>47.066666667815298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https://search-rtdc-monitor-bjffxe2xuh6vdkpspy63sjmuny.us-east-1.es.amazonaws.com/_plugin/kibana/#/discover/Steve-Slow-Train-Analysis-(2080s-and-2083s)?_g=(refreshInterval:(display:Off,section:0,value:0),time:(from:'2016-08-09 14:02:19-0600',mode:absolute,to:'2016-08-09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9" t="str">
            <v>N</v>
          </cell>
          <cell r="X99">
            <v>1</v>
          </cell>
          <cell r="Y99">
            <v>23.298400000000001</v>
          </cell>
          <cell r="Z99">
            <v>1.3599999999999999E-2</v>
          </cell>
          <cell r="AA99">
            <v>23.284800000000001</v>
          </cell>
          <cell r="AB99" t="e">
            <v>#N/A</v>
          </cell>
          <cell r="AC99" t="e">
            <v>#N/A</v>
          </cell>
          <cell r="AD99" t="str">
            <v>0186-09</v>
          </cell>
          <cell r="AE99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00">
          <cell r="A100" t="str">
            <v>187-09</v>
          </cell>
          <cell r="B100">
            <v>4016</v>
          </cell>
          <cell r="C100" t="str">
            <v>DE.1.0.7.0</v>
          </cell>
          <cell r="D100" t="str">
            <v>204:478</v>
          </cell>
          <cell r="E100">
            <v>42591.599976851852</v>
          </cell>
          <cell r="F100">
            <v>42591.601145833331</v>
          </cell>
          <cell r="G100">
            <v>1</v>
          </cell>
          <cell r="H100" t="str">
            <v>204:233306</v>
          </cell>
          <cell r="I100">
            <v>42591.63008101852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2.8935185189766344E-2</v>
          </cell>
          <cell r="N100">
            <v>41.666666673263535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https://search-rtdc-monitor-bjffxe2xuh6vdkpspy63sjmuny.us-east-1.es.amazonaws.com/_plugin/kibana/#/discover/Steve-Slow-Train-Analysis-(2080s-and-2083s)?_g=(refreshInterval:(display:Off,section:0,value:0),time:(from:'2016-08-09 13:23:58-0600',mode:absolute,to:'2016-08-09 16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4.7800000000000002E-2</v>
          </cell>
          <cell r="Z100">
            <v>23.3306</v>
          </cell>
          <cell r="AA100">
            <v>23.282800000000002</v>
          </cell>
          <cell r="AB100" t="e">
            <v>#N/A</v>
          </cell>
          <cell r="AC100" t="e">
            <v>#N/A</v>
          </cell>
          <cell r="AD100" t="str">
            <v>0187-09</v>
          </cell>
          <cell r="AE100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01">
          <cell r="A101" t="str">
            <v>188-09</v>
          </cell>
          <cell r="B101">
            <v>4015</v>
          </cell>
          <cell r="C101" t="str">
            <v>DE.1.0.7.0</v>
          </cell>
          <cell r="D101" t="str">
            <v>204:232998</v>
          </cell>
          <cell r="E101">
            <v>42591.632118055553</v>
          </cell>
          <cell r="F101">
            <v>42591.632905092592</v>
          </cell>
          <cell r="G101">
            <v>1</v>
          </cell>
          <cell r="H101" t="str">
            <v>204:160</v>
          </cell>
          <cell r="I101">
            <v>42591.670081018521</v>
          </cell>
          <cell r="J101">
            <v>0</v>
          </cell>
          <cell r="K101" t="str">
            <v>4015/4016</v>
          </cell>
          <cell r="L101" t="str">
            <v>BARTLETT</v>
          </cell>
          <cell r="M101">
            <v>3.7175925928750075E-2</v>
          </cell>
          <cell r="N101">
            <v>53.533333337400109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https://search-rtdc-monitor-bjffxe2xuh6vdkpspy63sjmuny.us-east-1.es.amazonaws.com/_plugin/kibana/#/discover/Steve-Slow-Train-Analysis-(2080s-and-2083s)?_g=(refreshInterval:(display:Off,section:0,value:0),time:(from:'2016-08-09 14:10:15-0600',mode:absolute,to:'2016-08-09 17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N</v>
          </cell>
          <cell r="X101">
            <v>1</v>
          </cell>
          <cell r="Y101">
            <v>23.299800000000001</v>
          </cell>
          <cell r="Z101">
            <v>1.6E-2</v>
          </cell>
          <cell r="AA101">
            <v>23.283800000000003</v>
          </cell>
          <cell r="AB101" t="e">
            <v>#N/A</v>
          </cell>
          <cell r="AC101" t="e">
            <v>#N/A</v>
          </cell>
          <cell r="AD101" t="str">
            <v>0188-09</v>
          </cell>
          <cell r="AE101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02">
          <cell r="A102" t="str">
            <v>189-09</v>
          </cell>
          <cell r="B102">
            <v>4025</v>
          </cell>
          <cell r="C102" t="str">
            <v>DE.1.0.7.0</v>
          </cell>
          <cell r="D102" t="str">
            <v>204:469</v>
          </cell>
          <cell r="E102">
            <v>42591.612395833334</v>
          </cell>
          <cell r="F102">
            <v>42591.613715277781</v>
          </cell>
          <cell r="G102">
            <v>1</v>
          </cell>
          <cell r="H102" t="str">
            <v>204:233268</v>
          </cell>
          <cell r="I102">
            <v>42591.640393518515</v>
          </cell>
          <cell r="J102">
            <v>0</v>
          </cell>
          <cell r="K102" t="str">
            <v>4025/4026</v>
          </cell>
          <cell r="L102" t="str">
            <v>DE LA ROSA</v>
          </cell>
          <cell r="M102">
            <v>2.6678240734327119E-2</v>
          </cell>
          <cell r="N102">
            <v>38.416666657431051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https://search-rtdc-monitor-bjffxe2xuh6vdkpspy63sjmuny.us-east-1.es.amazonaws.com/_plugin/kibana/#/discover/Steve-Slow-Train-Analysis-(2080s-and-2083s)?_g=(refreshInterval:(display:Off,section:0,value:0),time:(from:'2016-08-09 13:41:51-0600',mode:absolute,to:'2016-08-09 16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2" t="str">
            <v>N</v>
          </cell>
          <cell r="X102">
            <v>1</v>
          </cell>
          <cell r="Y102">
            <v>4.6899999999999997E-2</v>
          </cell>
          <cell r="Z102">
            <v>23.326799999999999</v>
          </cell>
          <cell r="AA102">
            <v>23.279899999999998</v>
          </cell>
          <cell r="AB102" t="e">
            <v>#N/A</v>
          </cell>
          <cell r="AC102" t="e">
            <v>#N/A</v>
          </cell>
          <cell r="AD102" t="str">
            <v>0189-09</v>
          </cell>
          <cell r="AE102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03">
          <cell r="A103" t="str">
            <v>190-09</v>
          </cell>
          <cell r="B103">
            <v>4026</v>
          </cell>
          <cell r="C103" t="str">
            <v>DE.1.0.7.0</v>
          </cell>
          <cell r="D103" t="str">
            <v>204:232952</v>
          </cell>
          <cell r="E103">
            <v>42591.65</v>
          </cell>
          <cell r="F103">
            <v>42591.651388888888</v>
          </cell>
          <cell r="G103">
            <v>2</v>
          </cell>
          <cell r="H103" t="str">
            <v>204:147</v>
          </cell>
          <cell r="I103">
            <v>42591.754016203704</v>
          </cell>
          <cell r="J103">
            <v>0</v>
          </cell>
          <cell r="K103" t="str">
            <v>4025/4026</v>
          </cell>
          <cell r="L103" t="str">
            <v>DE LA ROSA</v>
          </cell>
          <cell r="M103">
            <v>0.10262731481634546</v>
          </cell>
          <cell r="N103">
            <v>147.78333333553746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https://search-rtdc-monitor-bjffxe2xuh6vdkpspy63sjmuny.us-east-1.es.amazonaws.com/_plugin/kibana/#/discover/Steve-Slow-Train-Analysis-(2080s-and-2083s)?_g=(refreshInterval:(display:Off,section:0,value:0),time:(from:'2016-08-09 14:36:00-0600',mode:absolute,to:'2016-08-09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3" t="str">
            <v>N</v>
          </cell>
          <cell r="X103">
            <v>1</v>
          </cell>
          <cell r="Y103">
            <v>23.295200000000001</v>
          </cell>
          <cell r="Z103">
            <v>1.47E-2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0190-09</v>
          </cell>
          <cell r="AE103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04">
          <cell r="A104" t="str">
            <v>191-09</v>
          </cell>
          <cell r="B104">
            <v>4031</v>
          </cell>
          <cell r="C104" t="str">
            <v>DE.1.0.7.0</v>
          </cell>
          <cell r="D104" t="str">
            <v>204:453</v>
          </cell>
          <cell r="E104">
            <v>42591.622685185182</v>
          </cell>
          <cell r="F104">
            <v>42591.623611111114</v>
          </cell>
          <cell r="G104">
            <v>1</v>
          </cell>
          <cell r="H104" t="str">
            <v>204:233311</v>
          </cell>
          <cell r="I104">
            <v>42591.725613425922</v>
          </cell>
          <cell r="J104">
            <v>1</v>
          </cell>
          <cell r="K104" t="str">
            <v>4031/4032</v>
          </cell>
          <cell r="L104" t="str">
            <v>HELVIE</v>
          </cell>
          <cell r="M104">
            <v>0.10200231480848743</v>
          </cell>
          <cell r="N104">
            <v>146.88333332422189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https://search-rtdc-monitor-bjffxe2xuh6vdkpspy63sjmuny.us-east-1.es.amazonaws.com/_plugin/kibana/#/discover/Steve-Slow-Train-Analysis-(2080s-and-2083s)?_g=(refreshInterval:(display:Off,section:0,value:0),time:(from:'2016-08-09 13:56:40-0600',mode:absolute,to:'2016-08-09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4" t="str">
            <v>N</v>
          </cell>
          <cell r="X104">
            <v>1</v>
          </cell>
          <cell r="Y104">
            <v>4.53E-2</v>
          </cell>
          <cell r="Z104">
            <v>23.331099999999999</v>
          </cell>
          <cell r="AA104">
            <v>23.285799999999998</v>
          </cell>
          <cell r="AB104" t="e">
            <v>#N/A</v>
          </cell>
          <cell r="AC104" t="e">
            <v>#N/A</v>
          </cell>
          <cell r="AD104" t="str">
            <v>0191-09</v>
          </cell>
          <cell r="AE104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05">
          <cell r="A105" t="str">
            <v>192-09</v>
          </cell>
          <cell r="B105">
            <v>4032</v>
          </cell>
          <cell r="C105" t="str">
            <v>DE.1.0.7.0</v>
          </cell>
          <cell r="D105" t="str">
            <v>204:232959</v>
          </cell>
          <cell r="E105">
            <v>42591.659467592595</v>
          </cell>
          <cell r="F105">
            <v>42591.660868055558</v>
          </cell>
          <cell r="G105">
            <v>2</v>
          </cell>
          <cell r="H105" t="str">
            <v>204:158</v>
          </cell>
          <cell r="I105">
            <v>42591.694479166668</v>
          </cell>
          <cell r="J105">
            <v>0</v>
          </cell>
          <cell r="K105" t="str">
            <v>4031/4032</v>
          </cell>
          <cell r="L105" t="str">
            <v>HELVIE</v>
          </cell>
          <cell r="M105">
            <v>3.3611111110076308E-2</v>
          </cell>
          <cell r="N105">
            <v>48.399999998509884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https://search-rtdc-monitor-bjffxe2xuh6vdkpspy63sjmuny.us-east-1.es.amazonaws.com/_plugin/kibana/#/discover/Steve-Slow-Train-Analysis-(2080s-and-2083s)?_g=(refreshInterval:(display:Off,section:0,value:0),time:(from:'2016-08-09 14:49:38-0600',mode:absolute,to:'2016-08-09 17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5" t="str">
            <v>N</v>
          </cell>
          <cell r="X105">
            <v>1</v>
          </cell>
          <cell r="Y105">
            <v>23.2959</v>
          </cell>
          <cell r="Z105">
            <v>1.5800000000000002E-2</v>
          </cell>
          <cell r="AA105">
            <v>23.280100000000001</v>
          </cell>
          <cell r="AB105" t="e">
            <v>#N/A</v>
          </cell>
          <cell r="AC105" t="e">
            <v>#N/A</v>
          </cell>
          <cell r="AD105" t="str">
            <v>0192-09</v>
          </cell>
          <cell r="AE105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06">
          <cell r="A106" t="str">
            <v>193-09</v>
          </cell>
          <cell r="B106">
            <v>4029</v>
          </cell>
          <cell r="C106" t="str">
            <v>DE.1.0.7.0</v>
          </cell>
          <cell r="D106" t="str">
            <v>204:449</v>
          </cell>
          <cell r="E106">
            <v>42591.631956018522</v>
          </cell>
          <cell r="F106">
            <v>42591.633020833331</v>
          </cell>
          <cell r="G106">
            <v>1</v>
          </cell>
          <cell r="H106" t="str">
            <v>204:233297</v>
          </cell>
          <cell r="I106">
            <v>42591.661574074074</v>
          </cell>
          <cell r="J106">
            <v>1</v>
          </cell>
          <cell r="K106" t="str">
            <v>4029/4030</v>
          </cell>
          <cell r="L106" t="str">
            <v>STRICKLAND</v>
          </cell>
          <cell r="M106">
            <v>2.8553240743349306E-2</v>
          </cell>
          <cell r="N106">
            <v>41.116666670423001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4.4900000000000002E-2</v>
          </cell>
          <cell r="Z106">
            <v>23.329699999999999</v>
          </cell>
          <cell r="AA106">
            <v>23.284800000000001</v>
          </cell>
          <cell r="AB106" t="e">
            <v>#N/A</v>
          </cell>
          <cell r="AC106" t="e">
            <v>#N/A</v>
          </cell>
          <cell r="AD106" t="str">
            <v>0193-09</v>
          </cell>
          <cell r="AE1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07">
          <cell r="A107" t="str">
            <v>194-09</v>
          </cell>
          <cell r="B107">
            <v>4030</v>
          </cell>
          <cell r="C107" t="str">
            <v>DE.1.0.7.0</v>
          </cell>
          <cell r="D107" t="str">
            <v>204:232967</v>
          </cell>
          <cell r="E107">
            <v>42591.669490740744</v>
          </cell>
          <cell r="F107">
            <v>42591.671759259261</v>
          </cell>
          <cell r="G107">
            <v>3</v>
          </cell>
          <cell r="H107" t="str">
            <v>204:139</v>
          </cell>
          <cell r="I107">
            <v>42591.70385416667</v>
          </cell>
          <cell r="J107">
            <v>0</v>
          </cell>
          <cell r="K107" t="str">
            <v>4029/4030</v>
          </cell>
          <cell r="L107" t="str">
            <v>STRICKLAND</v>
          </cell>
          <cell r="M107">
            <v>3.2094907408463769E-2</v>
          </cell>
          <cell r="N107">
            <v>46.216666668187827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https://search-rtdc-monitor-bjffxe2xuh6vdkpspy63sjmuny.us-east-1.es.amazonaws.com/_plugin/kibana/#/discover/Steve-Slow-Train-Analysis-(2080s-and-2083s)?_g=(refreshInterval:(display:Off,section:0,value:0),time:(from:'2016-08-09 15:04:04-0600',mode:absolute,to:'2016-08-09 17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23.296700000000001</v>
          </cell>
          <cell r="Z107">
            <v>1.3899999999999999E-2</v>
          </cell>
          <cell r="AA107">
            <v>23.282800000000002</v>
          </cell>
          <cell r="AB107" t="e">
            <v>#N/A</v>
          </cell>
          <cell r="AC107" t="e">
            <v>#N/A</v>
          </cell>
          <cell r="AD107" t="str">
            <v>0194-09</v>
          </cell>
          <cell r="AE107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08">
          <cell r="A108" t="str">
            <v>195-09</v>
          </cell>
          <cell r="B108">
            <v>4040</v>
          </cell>
          <cell r="C108" t="str">
            <v>DE.1.0.7.0</v>
          </cell>
          <cell r="D108" t="str">
            <v>204:498</v>
          </cell>
          <cell r="E108">
            <v>42591.644074074073</v>
          </cell>
          <cell r="F108">
            <v>42591.645208333335</v>
          </cell>
          <cell r="G108">
            <v>1</v>
          </cell>
          <cell r="H108" t="str">
            <v>204:233315</v>
          </cell>
          <cell r="I108">
            <v>42591.673877314817</v>
          </cell>
          <cell r="J108">
            <v>1</v>
          </cell>
          <cell r="K108" t="str">
            <v>4039/4040</v>
          </cell>
          <cell r="L108" t="str">
            <v>YOUNG</v>
          </cell>
          <cell r="M108">
            <v>2.8668981482042E-2</v>
          </cell>
          <cell r="N108">
            <v>41.28333333414048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8" t="str">
            <v>N</v>
          </cell>
          <cell r="X108">
            <v>1</v>
          </cell>
          <cell r="Y108">
            <v>4.9799999999999997E-2</v>
          </cell>
          <cell r="Z108">
            <v>23.331499999999998</v>
          </cell>
          <cell r="AA108">
            <v>23.281699999999997</v>
          </cell>
          <cell r="AB108">
            <v>5457</v>
          </cell>
          <cell r="AC108" t="str">
            <v>PERMANENT SPEED RESTRICTION</v>
          </cell>
          <cell r="AD108" t="str">
            <v>0195-09</v>
          </cell>
          <cell r="AE108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09">
          <cell r="A109" t="str">
            <v>196-09</v>
          </cell>
          <cell r="B109">
            <v>4039</v>
          </cell>
          <cell r="C109" t="str">
            <v>DE.1.0.7.0</v>
          </cell>
          <cell r="D109" t="str">
            <v>204:233015</v>
          </cell>
          <cell r="E109">
            <v>42591.679965277777</v>
          </cell>
          <cell r="F109">
            <v>42591.68074074074</v>
          </cell>
          <cell r="G109">
            <v>1</v>
          </cell>
          <cell r="H109" t="str">
            <v>204:263</v>
          </cell>
          <cell r="I109">
            <v>42591.713148148148</v>
          </cell>
          <cell r="J109">
            <v>0</v>
          </cell>
          <cell r="K109" t="str">
            <v>4039/4040</v>
          </cell>
          <cell r="L109" t="str">
            <v>YOUNG</v>
          </cell>
          <cell r="M109">
            <v>3.2407407408754807E-2</v>
          </cell>
          <cell r="N109">
            <v>46.666666668606922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https://search-rtdc-monitor-bjffxe2xuh6vdkpspy63sjmuny.us-east-1.es.amazonaws.com/_plugin/kibana/#/discover/Steve-Slow-Train-Analysis-(2080s-and-2083s)?_g=(refreshInterval:(display:Off,section:0,value:0),time:(from:'2016-08-09 15:19:09-0600',mode:absolute,to:'2016-08-09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2.63E-2</v>
          </cell>
          <cell r="AA109">
            <v>23.275200000000002</v>
          </cell>
          <cell r="AB109" t="e">
            <v>#N/A</v>
          </cell>
          <cell r="AC109" t="e">
            <v>#N/A</v>
          </cell>
          <cell r="AD109" t="str">
            <v>0196-09</v>
          </cell>
          <cell r="AE109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10">
          <cell r="A110" t="str">
            <v>197-09</v>
          </cell>
          <cell r="B110">
            <v>4018</v>
          </cell>
          <cell r="C110" t="str">
            <v>DE.1.0.7.0</v>
          </cell>
          <cell r="D110" t="str">
            <v>204:473</v>
          </cell>
          <cell r="E110">
            <v>42591.651296296295</v>
          </cell>
          <cell r="F110">
            <v>42591.652418981481</v>
          </cell>
          <cell r="G110">
            <v>1</v>
          </cell>
          <cell r="H110" t="str">
            <v>204:233301</v>
          </cell>
          <cell r="I110">
            <v>42591.682500000003</v>
          </cell>
          <cell r="J110">
            <v>0</v>
          </cell>
          <cell r="K110" t="str">
            <v>4017/4018</v>
          </cell>
          <cell r="L110" t="str">
            <v>SWANSON</v>
          </cell>
          <cell r="M110">
            <v>3.0081018521741498E-2</v>
          </cell>
          <cell r="N110">
            <v>43.316666671307757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https://search-rtdc-monitor-bjffxe2xuh6vdkpspy63sjmuny.us-east-1.es.amazonaws.com/_plugin/kibana/#/discover/Steve-Slow-Train-Analysis-(2080s-and-2083s)?_g=(refreshInterval:(display:Off,section:0,value:0),time:(from:'2016-08-09 14:37:52-0600',mode:absolute,to:'2016-08-09 17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23.330100000000002</v>
          </cell>
          <cell r="AA110">
            <v>23.282800000000002</v>
          </cell>
          <cell r="AB110" t="e">
            <v>#N/A</v>
          </cell>
          <cell r="AC110" t="e">
            <v>#N/A</v>
          </cell>
          <cell r="AD110" t="str">
            <v>0197-09</v>
          </cell>
          <cell r="AE110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11">
          <cell r="A111" t="str">
            <v>198-09</v>
          </cell>
          <cell r="B111">
            <v>4017</v>
          </cell>
          <cell r="C111" t="str">
            <v>DE.1.0.7.0</v>
          </cell>
          <cell r="D111" t="str">
            <v>204:232971</v>
          </cell>
          <cell r="E111">
            <v>42591.690370370372</v>
          </cell>
          <cell r="F111">
            <v>42591.691250000003</v>
          </cell>
          <cell r="G111">
            <v>1</v>
          </cell>
          <cell r="H111" t="str">
            <v>204:132</v>
          </cell>
          <cell r="I111">
            <v>42591.722708333335</v>
          </cell>
          <cell r="J111">
            <v>0</v>
          </cell>
          <cell r="K111" t="str">
            <v>4017/4018</v>
          </cell>
          <cell r="L111" t="str">
            <v>SWANSON</v>
          </cell>
          <cell r="M111">
            <v>3.145833333110204E-2</v>
          </cell>
          <cell r="N111">
            <v>45.299999996786937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https://search-rtdc-monitor-bjffxe2xuh6vdkpspy63sjmuny.us-east-1.es.amazonaws.com/_plugin/kibana/#/discover/Steve-Slow-Train-Analysis-(2080s-and-2083s)?_g=(refreshInterval:(display:Off,section:0,value:0),time:(from:'2016-08-09 15:34:08-0600',mode:absolute,to:'2016-08-09 18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23.2971</v>
          </cell>
          <cell r="Z111">
            <v>1.32E-2</v>
          </cell>
          <cell r="AA111">
            <v>23.283899999999999</v>
          </cell>
          <cell r="AB111" t="e">
            <v>#N/A</v>
          </cell>
          <cell r="AC111" t="e">
            <v>#N/A</v>
          </cell>
          <cell r="AD111" t="str">
            <v>0198-09</v>
          </cell>
          <cell r="AE111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12">
          <cell r="A112" t="str">
            <v>199-09</v>
          </cell>
          <cell r="B112">
            <v>4011</v>
          </cell>
          <cell r="C112" t="str">
            <v>DE.1.0.7.0</v>
          </cell>
          <cell r="D112" t="str">
            <v>204:449</v>
          </cell>
          <cell r="E112">
            <v>42591.663483796299</v>
          </cell>
          <cell r="F112">
            <v>42591.667013888888</v>
          </cell>
          <cell r="G112">
            <v>5</v>
          </cell>
          <cell r="H112" t="str">
            <v>204:233312</v>
          </cell>
          <cell r="I112">
            <v>42591.69190972222</v>
          </cell>
          <cell r="J112">
            <v>0</v>
          </cell>
          <cell r="K112" t="str">
            <v>4011/4012</v>
          </cell>
          <cell r="L112" t="str">
            <v>HAITHCOX</v>
          </cell>
          <cell r="M112">
            <v>2.4895833332266193E-2</v>
          </cell>
          <cell r="N112">
            <v>35.849999998463318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https://search-rtdc-monitor-bjffxe2xuh6vdkpspy63sjmuny.us-east-1.es.amazonaws.com/_plugin/kibana/#/discover/Steve-Slow-Train-Analysis-(2080s-and-2083s)?_g=(refreshInterval:(display:Off,section:0,value:0),time:(from:'2016-08-09 14:55:25-0600',mode:absolute,to:'2016-08-09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2" t="str">
            <v>N</v>
          </cell>
          <cell r="X112">
            <v>1</v>
          </cell>
          <cell r="Y112">
            <v>4.4900000000000002E-2</v>
          </cell>
          <cell r="Z112">
            <v>23.331199999999999</v>
          </cell>
          <cell r="AA112">
            <v>23.286300000000001</v>
          </cell>
          <cell r="AB112" t="e">
            <v>#N/A</v>
          </cell>
          <cell r="AC112" t="e">
            <v>#N/A</v>
          </cell>
          <cell r="AD112" t="str">
            <v>0199-09</v>
          </cell>
          <cell r="AE112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13">
          <cell r="A113" t="str">
            <v>200-09</v>
          </cell>
          <cell r="B113">
            <v>4012</v>
          </cell>
          <cell r="C113" t="str">
            <v>DE.1.0.7.0</v>
          </cell>
          <cell r="D113" t="str">
            <v>204:232985</v>
          </cell>
          <cell r="E113">
            <v>42591.700578703705</v>
          </cell>
          <cell r="F113">
            <v>42591.701539351852</v>
          </cell>
          <cell r="G113">
            <v>1</v>
          </cell>
          <cell r="H113" t="str">
            <v>204:141</v>
          </cell>
          <cell r="I113">
            <v>42591.734317129631</v>
          </cell>
          <cell r="J113">
            <v>0</v>
          </cell>
          <cell r="K113" t="str">
            <v>4011/4012</v>
          </cell>
          <cell r="L113" t="str">
            <v>HAITHCOX</v>
          </cell>
          <cell r="M113">
            <v>3.2777777778392192E-2</v>
          </cell>
          <cell r="N113">
            <v>47.200000000884756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https://search-rtdc-monitor-bjffxe2xuh6vdkpspy63sjmuny.us-east-1.es.amazonaws.com/_plugin/kibana/#/discover/Steve-Slow-Train-Analysis-(2080s-and-2083s)?_g=(refreshInterval:(display:Off,section:0,value:0),time:(from:'2016-08-09 15:48:50-0600',mode:absolute,to:'2016-08-09 18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3" t="str">
            <v>N</v>
          </cell>
          <cell r="X113">
            <v>1</v>
          </cell>
          <cell r="Y113">
            <v>23.298500000000001</v>
          </cell>
          <cell r="Z113">
            <v>1.41E-2</v>
          </cell>
          <cell r="AA113">
            <v>23.284400000000002</v>
          </cell>
          <cell r="AB113" t="e">
            <v>#N/A</v>
          </cell>
          <cell r="AC113" t="e">
            <v>#N/A</v>
          </cell>
          <cell r="AD113" t="str">
            <v>0200-09</v>
          </cell>
          <cell r="AE113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14">
          <cell r="A114" t="str">
            <v>201-09</v>
          </cell>
          <cell r="B114">
            <v>4016</v>
          </cell>
          <cell r="C114" t="str">
            <v>DE.1.0.7.0</v>
          </cell>
          <cell r="D114" t="str">
            <v>204:484</v>
          </cell>
          <cell r="E114">
            <v>42591.671655092592</v>
          </cell>
          <cell r="F114">
            <v>42591.672789351855</v>
          </cell>
          <cell r="G114">
            <v>1</v>
          </cell>
          <cell r="H114" t="str">
            <v>204:233312</v>
          </cell>
          <cell r="I114">
            <v>42591.703090277777</v>
          </cell>
          <cell r="J114">
            <v>1</v>
          </cell>
          <cell r="K114" t="str">
            <v>4015/4016</v>
          </cell>
          <cell r="L114" t="str">
            <v>BARTLETT</v>
          </cell>
          <cell r="M114">
            <v>3.0300925922347233E-2</v>
          </cell>
          <cell r="N114">
            <v>43.633333328180015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4.8399999999999999E-2</v>
          </cell>
          <cell r="Z114">
            <v>23.331199999999999</v>
          </cell>
          <cell r="AA114">
            <v>23.282799999999998</v>
          </cell>
          <cell r="AB114">
            <v>33137</v>
          </cell>
          <cell r="AC114" t="str">
            <v>GRADE CROSSING</v>
          </cell>
          <cell r="AD114" t="str">
            <v>0201-09</v>
          </cell>
          <cell r="AE114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15">
          <cell r="A115" t="str">
            <v>202-09</v>
          </cell>
          <cell r="B115">
            <v>4015</v>
          </cell>
          <cell r="C115" t="str">
            <v>DE.1.0.7.0</v>
          </cell>
          <cell r="D115" t="str">
            <v>204:232996</v>
          </cell>
          <cell r="E115">
            <v>42591.712685185186</v>
          </cell>
          <cell r="F115">
            <v>42591.713946759257</v>
          </cell>
          <cell r="G115">
            <v>1</v>
          </cell>
          <cell r="H115" t="str">
            <v>204:154</v>
          </cell>
          <cell r="I115">
            <v>42591.745439814818</v>
          </cell>
          <cell r="J115">
            <v>0</v>
          </cell>
          <cell r="K115" t="str">
            <v>4015/4016</v>
          </cell>
          <cell r="L115" t="str">
            <v>BARTLETT</v>
          </cell>
          <cell r="M115">
            <v>3.1493055561440997E-2</v>
          </cell>
          <cell r="N115">
            <v>45.350000008475035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https://search-rtdc-monitor-bjffxe2xuh6vdkpspy63sjmuny.us-east-1.es.amazonaws.com/_plugin/kibana/#/discover/Steve-Slow-Train-Analysis-(2080s-and-2083s)?_g=(refreshInterval:(display:Off,section:0,value:0),time:(from:'2016-08-09 16:06:16-0600',mode:absolute,to:'2016-08-09 18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23.299600000000002</v>
          </cell>
          <cell r="Z115">
            <v>1.54E-2</v>
          </cell>
          <cell r="AA115">
            <v>23.284200000000002</v>
          </cell>
          <cell r="AB115" t="e">
            <v>#N/A</v>
          </cell>
          <cell r="AC115" t="e">
            <v>#N/A</v>
          </cell>
          <cell r="AD115" t="str">
            <v>0202-09</v>
          </cell>
          <cell r="AE115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16">
          <cell r="A116" t="str">
            <v>203-09</v>
          </cell>
          <cell r="B116">
            <v>4025</v>
          </cell>
          <cell r="C116" t="str">
            <v>DE.1.0.7.0</v>
          </cell>
          <cell r="D116" t="str">
            <v>204:451</v>
          </cell>
          <cell r="E116">
            <v>42591.685023148151</v>
          </cell>
          <cell r="F116">
            <v>42591.686736111114</v>
          </cell>
          <cell r="G116">
            <v>2</v>
          </cell>
          <cell r="H116" t="str">
            <v>204:233308</v>
          </cell>
          <cell r="I116">
            <v>42591.713078703702</v>
          </cell>
          <cell r="J116">
            <v>0</v>
          </cell>
          <cell r="K116" t="str">
            <v>4025/4026</v>
          </cell>
          <cell r="L116" t="str">
            <v>DE LA ROSA</v>
          </cell>
          <cell r="M116">
            <v>2.6342592587752733E-2</v>
          </cell>
          <cell r="N116">
            <v>37.933333326363936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https://search-rtdc-monitor-bjffxe2xuh6vdkpspy63sjmuny.us-east-1.es.amazonaws.com/_plugin/kibana/#/discover/Steve-Slow-Train-Analysis-(2080s-and-2083s)?_g=(refreshInterval:(display:Off,section:0,value:0),time:(from:'2016-08-09 15:26:26-0600',mode:absolute,to:'2016-08-09 18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6" t="str">
            <v>N</v>
          </cell>
          <cell r="X116">
            <v>1</v>
          </cell>
          <cell r="Y116">
            <v>4.5100000000000001E-2</v>
          </cell>
          <cell r="Z116">
            <v>23.3308</v>
          </cell>
          <cell r="AA116">
            <v>23.285699999999999</v>
          </cell>
          <cell r="AB116" t="e">
            <v>#N/A</v>
          </cell>
          <cell r="AC116" t="e">
            <v>#N/A</v>
          </cell>
          <cell r="AD116" t="str">
            <v>0203-09</v>
          </cell>
          <cell r="AE11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17">
          <cell r="A117" t="str">
            <v>204-09</v>
          </cell>
          <cell r="B117">
            <v>4026</v>
          </cell>
          <cell r="C117" t="str">
            <v>DE.1.0.7.0</v>
          </cell>
          <cell r="D117" t="str">
            <v>204:232994</v>
          </cell>
          <cell r="E117">
            <v>42591.723090277781</v>
          </cell>
          <cell r="F117">
            <v>42591.724143518521</v>
          </cell>
          <cell r="G117">
            <v>1</v>
          </cell>
          <cell r="H117" t="str">
            <v>204:147</v>
          </cell>
          <cell r="I117">
            <v>42591.754016203704</v>
          </cell>
          <cell r="J117">
            <v>0</v>
          </cell>
          <cell r="K117" t="str">
            <v>4025/4026</v>
          </cell>
          <cell r="L117" t="str">
            <v>DE LA ROSA</v>
          </cell>
          <cell r="M117">
            <v>2.9872685183363501E-2</v>
          </cell>
          <cell r="N117">
            <v>43.016666664043441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https://search-rtdc-monitor-bjffxe2xuh6vdkpspy63sjmuny.us-east-1.es.amazonaws.com/_plugin/kibana/#/discover/Steve-Slow-Train-Analysis-(2080s-and-2083s)?_g=(refreshInterval:(display:Off,section:0,value:0),time:(from:'2016-08-09 16:21:15-0600',mode:absolute,to:'2016-08-09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7" t="str">
            <v>N</v>
          </cell>
          <cell r="X117">
            <v>1</v>
          </cell>
          <cell r="Y117">
            <v>23.299399999999999</v>
          </cell>
          <cell r="Z117">
            <v>1.47E-2</v>
          </cell>
          <cell r="AA117">
            <v>23.284699999999997</v>
          </cell>
          <cell r="AB117" t="e">
            <v>#N/A</v>
          </cell>
          <cell r="AC117" t="e">
            <v>#N/A</v>
          </cell>
          <cell r="AD117" t="str">
            <v>0204-09</v>
          </cell>
          <cell r="AE11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18">
          <cell r="A118" t="str">
            <v>205-09</v>
          </cell>
          <cell r="B118">
            <v>4031</v>
          </cell>
          <cell r="C118" t="str">
            <v>DE.1.0.7.0</v>
          </cell>
          <cell r="D118" t="str">
            <v>204:442</v>
          </cell>
          <cell r="E118">
            <v>42591.696643518517</v>
          </cell>
          <cell r="F118">
            <v>42591.698252314818</v>
          </cell>
          <cell r="G118">
            <v>2</v>
          </cell>
          <cell r="H118" t="str">
            <v>204:233311</v>
          </cell>
          <cell r="I118">
            <v>42591.725613425922</v>
          </cell>
          <cell r="J118">
            <v>1</v>
          </cell>
          <cell r="K118" t="str">
            <v>4031/4032</v>
          </cell>
          <cell r="L118" t="str">
            <v>HELVIE</v>
          </cell>
          <cell r="M118">
            <v>2.7361111104255542E-2</v>
          </cell>
          <cell r="N118">
            <v>39.399999990127981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8" t="str">
            <v>N</v>
          </cell>
          <cell r="X118">
            <v>1</v>
          </cell>
          <cell r="Y118">
            <v>4.4200000000000003E-2</v>
          </cell>
          <cell r="Z118">
            <v>23.331099999999999</v>
          </cell>
          <cell r="AA118">
            <v>23.286899999999999</v>
          </cell>
          <cell r="AB118">
            <v>33137</v>
          </cell>
          <cell r="AC118" t="str">
            <v>GRADE CROSSING</v>
          </cell>
          <cell r="AD118" t="str">
            <v>0205-09</v>
          </cell>
          <cell r="AE11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19">
          <cell r="A119" t="str">
            <v>206-09</v>
          </cell>
          <cell r="B119">
            <v>4032</v>
          </cell>
          <cell r="C119" t="str">
            <v>DE.1.0.7.0</v>
          </cell>
          <cell r="D119" t="str">
            <v>204:232977</v>
          </cell>
          <cell r="E119">
            <v>42591.733148148145</v>
          </cell>
          <cell r="F119">
            <v>42591.73400462963</v>
          </cell>
          <cell r="G119">
            <v>1</v>
          </cell>
          <cell r="H119" t="str">
            <v>204:165</v>
          </cell>
          <cell r="I119">
            <v>42591.764479166668</v>
          </cell>
          <cell r="J119">
            <v>1</v>
          </cell>
          <cell r="K119" t="str">
            <v>4031/4032</v>
          </cell>
          <cell r="L119" t="str">
            <v>HELVIE</v>
          </cell>
          <cell r="M119">
            <v>3.047453703766223E-2</v>
          </cell>
          <cell r="N119">
            <v>43.883333334233612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9" t="str">
            <v>N</v>
          </cell>
          <cell r="X119">
            <v>1</v>
          </cell>
          <cell r="Y119">
            <v>23.297699999999999</v>
          </cell>
          <cell r="Z119">
            <v>1.6500000000000001E-2</v>
          </cell>
          <cell r="AA119">
            <v>23.281199999999998</v>
          </cell>
          <cell r="AB119" t="e">
            <v>#N/A</v>
          </cell>
          <cell r="AC119" t="e">
            <v>#N/A</v>
          </cell>
          <cell r="AD119" t="str">
            <v>0206-09</v>
          </cell>
          <cell r="AE11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20">
          <cell r="A120" t="str">
            <v>207-09</v>
          </cell>
          <cell r="B120">
            <v>4029</v>
          </cell>
          <cell r="C120" t="str">
            <v>DE.1.0.7.0</v>
          </cell>
          <cell r="D120" t="str">
            <v>204:453</v>
          </cell>
          <cell r="E120">
            <v>42591.706087962964</v>
          </cell>
          <cell r="F120">
            <v>42591.707233796296</v>
          </cell>
          <cell r="G120">
            <v>1</v>
          </cell>
          <cell r="H120" t="str">
            <v>204:233297</v>
          </cell>
          <cell r="I120">
            <v>42591.734675925924</v>
          </cell>
          <cell r="J120">
            <v>0</v>
          </cell>
          <cell r="K120" t="str">
            <v>4029/4030</v>
          </cell>
          <cell r="L120" t="str">
            <v>STRICKLAND</v>
          </cell>
          <cell r="M120">
            <v>2.7442129627161194E-2</v>
          </cell>
          <cell r="N120">
            <v>39.516666663112119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https://search-rtdc-monitor-bjffxe2xuh6vdkpspy63sjmuny.us-east-1.es.amazonaws.com/_plugin/kibana/#/discover/Steve-Slow-Train-Analysis-(2080s-and-2083s)?_g=(refreshInterval:(display:Off,section:0,value:0),time:(from:'2016-08-09 15:56:46-0600',mode:absolute,to:'2016-08-09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4.53E-2</v>
          </cell>
          <cell r="Z120">
            <v>23.329699999999999</v>
          </cell>
          <cell r="AA120">
            <v>23.284399999999998</v>
          </cell>
          <cell r="AB120" t="e">
            <v>#N/A</v>
          </cell>
          <cell r="AC120" t="e">
            <v>#N/A</v>
          </cell>
          <cell r="AD120" t="str">
            <v>0207-09</v>
          </cell>
          <cell r="AE120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21">
          <cell r="A121" t="str">
            <v>208-09</v>
          </cell>
          <cell r="B121">
            <v>4030</v>
          </cell>
          <cell r="C121" t="str">
            <v>DE.1.0.7.0</v>
          </cell>
          <cell r="D121" t="str">
            <v>204:232989</v>
          </cell>
          <cell r="E121">
            <v>42591.743032407408</v>
          </cell>
          <cell r="F121">
            <v>42591.744189814817</v>
          </cell>
          <cell r="G121">
            <v>1</v>
          </cell>
          <cell r="H121" t="str">
            <v>204:161</v>
          </cell>
          <cell r="I121">
            <v>42591.776203703703</v>
          </cell>
          <cell r="J121">
            <v>0</v>
          </cell>
          <cell r="K121" t="str">
            <v>4029/4030</v>
          </cell>
          <cell r="L121" t="str">
            <v>STRICKLAND</v>
          </cell>
          <cell r="M121">
            <v>3.2013888885558117E-2</v>
          </cell>
          <cell r="N121">
            <v>46.099999995203689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https://search-rtdc-monitor-bjffxe2xuh6vdkpspy63sjmuny.us-east-1.es.amazonaws.com/_plugin/kibana/#/discover/Steve-Slow-Train-Analysis-(2080s-and-2083s)?_g=(refreshInterval:(display:Off,section:0,value:0),time:(from:'2016-08-09 16:49:58-0600',mode:absolute,to:'2016-08-09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23.2989</v>
          </cell>
          <cell r="Z121">
            <v>1.61E-2</v>
          </cell>
          <cell r="AA121">
            <v>23.282799999999998</v>
          </cell>
          <cell r="AB121" t="e">
            <v>#N/A</v>
          </cell>
          <cell r="AC121" t="e">
            <v>#N/A</v>
          </cell>
          <cell r="AD121" t="str">
            <v>0208-09</v>
          </cell>
          <cell r="AE12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22">
          <cell r="A122" t="str">
            <v>209-09</v>
          </cell>
          <cell r="B122">
            <v>4040</v>
          </cell>
          <cell r="C122" t="str">
            <v>DE.1.0.7.0</v>
          </cell>
          <cell r="D122" t="str">
            <v>204:560</v>
          </cell>
          <cell r="E122">
            <v>42591.715439814812</v>
          </cell>
          <cell r="F122">
            <v>42591.716527777775</v>
          </cell>
          <cell r="G122">
            <v>1</v>
          </cell>
          <cell r="H122" t="str">
            <v>204:233299</v>
          </cell>
          <cell r="I122">
            <v>42591.743854166663</v>
          </cell>
          <cell r="J122">
            <v>0</v>
          </cell>
          <cell r="K122" t="str">
            <v>4039/4040</v>
          </cell>
          <cell r="L122" t="str">
            <v>ISHMAEL</v>
          </cell>
          <cell r="M122">
            <v>2.73263888884685E-2</v>
          </cell>
          <cell r="N122">
            <v>39.34999999939464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https://search-rtdc-monitor-bjffxe2xuh6vdkpspy63sjmuny.us-east-1.es.amazonaws.com/_plugin/kibana/#/discover/Steve-Slow-Train-Analysis-(2080s-and-2083s)?_g=(refreshInterval:(display:Off,section:0,value:0),time:(from:'2016-08-09 16:10:14-0600',mode:absolute,to:'2016-08-09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2" t="str">
            <v>N</v>
          </cell>
          <cell r="X122">
            <v>1</v>
          </cell>
          <cell r="Y122">
            <v>5.6000000000000001E-2</v>
          </cell>
          <cell r="Z122">
            <v>23.329899999999999</v>
          </cell>
          <cell r="AA122">
            <v>23.273899999999998</v>
          </cell>
          <cell r="AB122" t="e">
            <v>#N/A</v>
          </cell>
          <cell r="AC122" t="e">
            <v>#N/A</v>
          </cell>
          <cell r="AD122" t="str">
            <v>0209-09</v>
          </cell>
          <cell r="AE12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23">
          <cell r="A123" t="str">
            <v>210-09</v>
          </cell>
          <cell r="B123">
            <v>4039</v>
          </cell>
          <cell r="C123" t="str">
            <v>DE.1.0.7.0</v>
          </cell>
          <cell r="D123" t="str">
            <v>204:232969</v>
          </cell>
          <cell r="E123">
            <v>42591.750763888886</v>
          </cell>
          <cell r="F123">
            <v>42591.75204861111</v>
          </cell>
          <cell r="G123">
            <v>1</v>
          </cell>
          <cell r="H123" t="str">
            <v>204:158</v>
          </cell>
          <cell r="I123">
            <v>42591.785451388889</v>
          </cell>
          <cell r="J123">
            <v>0</v>
          </cell>
          <cell r="K123" t="str">
            <v>4039/4040</v>
          </cell>
          <cell r="L123" t="str">
            <v>ISHMAEL</v>
          </cell>
          <cell r="M123">
            <v>3.3402777778974269E-2</v>
          </cell>
          <cell r="N123">
            <v>48.100000001722947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https://search-rtdc-monitor-bjffxe2xuh6vdkpspy63sjmuny.us-east-1.es.amazonaws.com/_plugin/kibana/#/discover/Steve-Slow-Train-Analysis-(2080s-and-2083s)?_g=(refreshInterval:(display:Off,section:0,value:0),time:(from:'2016-08-09 17:01:06-0600',mode:absolute,to:'2016-08-09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3" t="str">
            <v>N</v>
          </cell>
          <cell r="X123">
            <v>1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0210-09</v>
          </cell>
          <cell r="AE12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24">
          <cell r="A124" t="str">
            <v>211-09</v>
          </cell>
          <cell r="B124">
            <v>4018</v>
          </cell>
          <cell r="C124" t="str">
            <v>DE.1.0.7.0</v>
          </cell>
          <cell r="D124" t="str">
            <v>204:446</v>
          </cell>
          <cell r="E124">
            <v>42591.725416666668</v>
          </cell>
          <cell r="F124">
            <v>42591.726655092592</v>
          </cell>
          <cell r="G124">
            <v>1</v>
          </cell>
          <cell r="H124" t="str">
            <v>204:233325</v>
          </cell>
          <cell r="I124">
            <v>42591.756168981483</v>
          </cell>
          <cell r="J124">
            <v>0</v>
          </cell>
          <cell r="K124" t="str">
            <v>4017/4018</v>
          </cell>
          <cell r="L124" t="str">
            <v>YOUNG</v>
          </cell>
          <cell r="M124">
            <v>2.9513888890505768E-2</v>
          </cell>
          <cell r="N124">
            <v>42.500000002328306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https://search-rtdc-monitor-bjffxe2xuh6vdkpspy63sjmuny.us-east-1.es.amazonaws.com/_plugin/kibana/#/discover/Steve-Slow-Train-Analysis-(2080s-and-2083s)?_g=(refreshInterval:(display:Off,section:0,value:0),time:(from:'2016-08-09 16:24:36-0600',mode:absolute,to:'2016-08-09 19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4" t="str">
            <v>N</v>
          </cell>
          <cell r="X124">
            <v>1</v>
          </cell>
          <cell r="Y124">
            <v>4.4600000000000001E-2</v>
          </cell>
          <cell r="Z124">
            <v>23.3325</v>
          </cell>
          <cell r="AA124">
            <v>23.2879</v>
          </cell>
          <cell r="AB124" t="e">
            <v>#N/A</v>
          </cell>
          <cell r="AC124" t="e">
            <v>#N/A</v>
          </cell>
          <cell r="AD124" t="str">
            <v>0211-09</v>
          </cell>
          <cell r="AE124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25">
          <cell r="A125" t="str">
            <v>212-09</v>
          </cell>
          <cell r="B125">
            <v>4017</v>
          </cell>
          <cell r="C125" t="str">
            <v>DE.1.0.7.0</v>
          </cell>
          <cell r="D125" t="str">
            <v>204:233017</v>
          </cell>
          <cell r="E125">
            <v>42591.762384259258</v>
          </cell>
          <cell r="F125">
            <v>42591.76353009259</v>
          </cell>
          <cell r="G125">
            <v>1</v>
          </cell>
          <cell r="H125" t="str">
            <v>204:105</v>
          </cell>
          <cell r="I125">
            <v>42591.797662037039</v>
          </cell>
          <cell r="J125">
            <v>0</v>
          </cell>
          <cell r="K125" t="str">
            <v>4017/4018</v>
          </cell>
          <cell r="L125" t="str">
            <v>YOUNG</v>
          </cell>
          <cell r="M125">
            <v>3.4131944448745344E-2</v>
          </cell>
          <cell r="N125">
            <v>49.150000006193295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https://search-rtdc-monitor-bjffxe2xuh6vdkpspy63sjmuny.us-east-1.es.amazonaws.com/_plugin/kibana/#/discover/Steve-Slow-Train-Analysis-(2080s-and-2083s)?_g=(refreshInterval:(display:Off,section:0,value:0),time:(from:'2016-08-09 17:17:50-0600',mode:absolute,to:'2016-08-09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5" t="str">
            <v>N</v>
          </cell>
          <cell r="X125">
            <v>1</v>
          </cell>
          <cell r="Y125">
            <v>23.3017</v>
          </cell>
          <cell r="Z125">
            <v>1.0500000000000001E-2</v>
          </cell>
          <cell r="AA125">
            <v>23.2912</v>
          </cell>
          <cell r="AB125" t="e">
            <v>#N/A</v>
          </cell>
          <cell r="AC125" t="e">
            <v>#N/A</v>
          </cell>
          <cell r="AD125" t="str">
            <v>0212-09</v>
          </cell>
          <cell r="AE125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26">
          <cell r="A126" t="str">
            <v>213-09</v>
          </cell>
          <cell r="B126">
            <v>4011</v>
          </cell>
          <cell r="C126" t="str">
            <v>DE.1.0.7.0</v>
          </cell>
          <cell r="D126" t="str">
            <v>204:464</v>
          </cell>
          <cell r="E126">
            <v>42591.737939814811</v>
          </cell>
          <cell r="F126">
            <v>42591.738981481481</v>
          </cell>
          <cell r="G126">
            <v>1</v>
          </cell>
          <cell r="H126" t="str">
            <v>204:233334</v>
          </cell>
          <cell r="I126">
            <v>42591.764988425923</v>
          </cell>
          <cell r="J126">
            <v>0</v>
          </cell>
          <cell r="K126" t="str">
            <v>4011/4012</v>
          </cell>
          <cell r="L126" t="str">
            <v>COOLAHAN</v>
          </cell>
          <cell r="M126">
            <v>2.6006944441178348E-2</v>
          </cell>
          <cell r="N126">
            <v>37.449999995296821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https://search-rtdc-monitor-bjffxe2xuh6vdkpspy63sjmuny.us-east-1.es.amazonaws.com/_plugin/kibana/#/discover/Steve-Slow-Train-Analysis-(2080s-and-2083s)?_g=(refreshInterval:(display:Off,section:0,value:0),time:(from:'2016-08-09 16:42:38-0600',mode:absolute,to:'2016-08-09 19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6" t="str">
            <v>N</v>
          </cell>
          <cell r="X126">
            <v>1</v>
          </cell>
          <cell r="Y126">
            <v>4.6399999999999997E-2</v>
          </cell>
          <cell r="Z126">
            <v>23.333400000000001</v>
          </cell>
          <cell r="AA126">
            <v>23.287000000000003</v>
          </cell>
          <cell r="AB126" t="e">
            <v>#N/A</v>
          </cell>
          <cell r="AC126" t="e">
            <v>#N/A</v>
          </cell>
          <cell r="AD126" t="str">
            <v>0213-09</v>
          </cell>
          <cell r="AE12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27">
          <cell r="A127" t="str">
            <v>214-09</v>
          </cell>
          <cell r="B127">
            <v>4012</v>
          </cell>
          <cell r="C127" t="str">
            <v>DE.1.0.7.0</v>
          </cell>
          <cell r="D127" t="str">
            <v>204:233000</v>
          </cell>
          <cell r="E127">
            <v>42591.77412037037</v>
          </cell>
          <cell r="F127">
            <v>42591.778506944444</v>
          </cell>
          <cell r="G127">
            <v>6</v>
          </cell>
          <cell r="H127" t="str">
            <v>204:143</v>
          </cell>
          <cell r="I127">
            <v>42591.806574074071</v>
          </cell>
          <cell r="J127">
            <v>0</v>
          </cell>
          <cell r="K127" t="str">
            <v>4011/4012</v>
          </cell>
          <cell r="L127" t="str">
            <v>COOLAHAN</v>
          </cell>
          <cell r="M127">
            <v>2.806712962774327E-2</v>
          </cell>
          <cell r="N127">
            <v>40.416666663950309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https://search-rtdc-monitor-bjffxe2xuh6vdkpspy63sjmuny.us-east-1.es.amazonaws.com/_plugin/kibana/#/discover/Steve-Slow-Train-Analysis-(2080s-and-2083s)?_g=(refreshInterval:(display:Off,section:0,value:0),time:(from:'2016-08-09 17:34:44-0600',mode:absolute,to:'2016-08-09 20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7" t="str">
            <v>N</v>
          </cell>
          <cell r="X127">
            <v>1</v>
          </cell>
          <cell r="Y127">
            <v>23.3</v>
          </cell>
          <cell r="Z127">
            <v>1.43E-2</v>
          </cell>
          <cell r="AA127">
            <v>23.285700000000002</v>
          </cell>
          <cell r="AB127" t="e">
            <v>#N/A</v>
          </cell>
          <cell r="AC127" t="e">
            <v>#N/A</v>
          </cell>
          <cell r="AD127" t="str">
            <v>0214-09</v>
          </cell>
          <cell r="AE12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28">
          <cell r="A128" t="str">
            <v>215-09</v>
          </cell>
          <cell r="B128">
            <v>4016</v>
          </cell>
          <cell r="C128" t="str">
            <v>DE.1.0.7.0</v>
          </cell>
          <cell r="D128" t="str">
            <v>204:460</v>
          </cell>
          <cell r="E128">
            <v>42591.747037037036</v>
          </cell>
          <cell r="F128">
            <v>42591.750625000001</v>
          </cell>
          <cell r="G128">
            <v>5</v>
          </cell>
          <cell r="H128" t="str">
            <v>204:233302</v>
          </cell>
          <cell r="I128">
            <v>42591.776018518518</v>
          </cell>
          <cell r="J128">
            <v>0</v>
          </cell>
          <cell r="K128" t="str">
            <v>4015/4016</v>
          </cell>
          <cell r="L128" t="str">
            <v>HAITHCOX</v>
          </cell>
          <cell r="M128">
            <v>2.5393518517375924E-2</v>
          </cell>
          <cell r="N128">
            <v>36.56666666502133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https://search-rtdc-monitor-bjffxe2xuh6vdkpspy63sjmuny.us-east-1.es.amazonaws.com/_plugin/kibana/#/discover/Steve-Slow-Train-Analysis-(2080s-and-2083s)?_g=(refreshInterval:(display:Off,section:0,value:0),time:(from:'2016-08-09 16:55:44-0600',mode:absolute,to:'2016-08-09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4.5999999999999999E-2</v>
          </cell>
          <cell r="Z128">
            <v>23.330200000000001</v>
          </cell>
          <cell r="AA128">
            <v>23.284200000000002</v>
          </cell>
          <cell r="AB128" t="e">
            <v>#N/A</v>
          </cell>
          <cell r="AC128" t="e">
            <v>#N/A</v>
          </cell>
          <cell r="AD128" t="str">
            <v>0215-09</v>
          </cell>
          <cell r="AE12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29">
          <cell r="A129" t="str">
            <v>216-09</v>
          </cell>
          <cell r="B129">
            <v>4015</v>
          </cell>
          <cell r="C129" t="str">
            <v>DE.1.0.7.0</v>
          </cell>
          <cell r="D129" t="str">
            <v>204:232972</v>
          </cell>
          <cell r="E129">
            <v>42591.785775462966</v>
          </cell>
          <cell r="F129">
            <v>42591.786597222221</v>
          </cell>
          <cell r="G129">
            <v>1</v>
          </cell>
          <cell r="H129" t="str">
            <v>204:141</v>
          </cell>
          <cell r="I129">
            <v>42591.816377314812</v>
          </cell>
          <cell r="J129">
            <v>0</v>
          </cell>
          <cell r="K129" t="str">
            <v>4015/4016</v>
          </cell>
          <cell r="L129" t="str">
            <v>HAITHCOX</v>
          </cell>
          <cell r="M129">
            <v>2.9780092590954155E-2</v>
          </cell>
          <cell r="N129">
            <v>42.883333330973983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https://search-rtdc-monitor-bjffxe2xuh6vdkpspy63sjmuny.us-east-1.es.amazonaws.com/_plugin/kibana/#/discover/Steve-Slow-Train-Analysis-(2080s-and-2083s)?_g=(refreshInterval:(display:Off,section:0,value:0),time:(from:'2016-08-09 17:51:31-0600',mode:absolute,to:'2016-08-09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23.2972</v>
          </cell>
          <cell r="Z129">
            <v>1.41E-2</v>
          </cell>
          <cell r="AA129">
            <v>23.283100000000001</v>
          </cell>
          <cell r="AB129" t="e">
            <v>#N/A</v>
          </cell>
          <cell r="AC129" t="e">
            <v>#N/A</v>
          </cell>
          <cell r="AD129" t="str">
            <v>0216-09</v>
          </cell>
          <cell r="AE129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30">
          <cell r="A130" t="str">
            <v>217-09</v>
          </cell>
          <cell r="B130">
            <v>4025</v>
          </cell>
          <cell r="C130" t="str">
            <v>DE.1.0.7.0</v>
          </cell>
          <cell r="D130" t="str">
            <v>204:444</v>
          </cell>
          <cell r="E130">
            <v>42591.756863425922</v>
          </cell>
          <cell r="F130">
            <v>42591.758564814816</v>
          </cell>
          <cell r="G130">
            <v>2</v>
          </cell>
          <cell r="H130" t="str">
            <v>204:233259</v>
          </cell>
          <cell r="I130">
            <v>42591.786689814813</v>
          </cell>
          <cell r="J130">
            <v>0</v>
          </cell>
          <cell r="K130" t="str">
            <v>4025/4026</v>
          </cell>
          <cell r="L130" t="str">
            <v>ROBINSON</v>
          </cell>
          <cell r="M130">
            <v>2.8124999997089617E-2</v>
          </cell>
          <cell r="N130">
            <v>40.499999995809048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0" t="str">
            <v>N</v>
          </cell>
          <cell r="X130">
            <v>1</v>
          </cell>
          <cell r="Y130">
            <v>4.4400000000000002E-2</v>
          </cell>
          <cell r="Z130">
            <v>23.325900000000001</v>
          </cell>
          <cell r="AA130">
            <v>23.281500000000001</v>
          </cell>
          <cell r="AB130" t="e">
            <v>#N/A</v>
          </cell>
          <cell r="AC130" t="e">
            <v>#N/A</v>
          </cell>
          <cell r="AD130" t="str">
            <v>0217-09</v>
          </cell>
          <cell r="AE130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1">
          <cell r="A131" t="str">
            <v>218-09</v>
          </cell>
          <cell r="B131">
            <v>4026</v>
          </cell>
          <cell r="C131" t="str">
            <v>DE.1.0.7.0</v>
          </cell>
          <cell r="D131" t="str">
            <v>204:232927</v>
          </cell>
          <cell r="E131">
            <v>42591.791631944441</v>
          </cell>
          <cell r="F131">
            <v>42591.794733796298</v>
          </cell>
          <cell r="G131">
            <v>4</v>
          </cell>
          <cell r="H131" t="str">
            <v>204:154</v>
          </cell>
          <cell r="I131">
            <v>42591.826469907406</v>
          </cell>
          <cell r="J131">
            <v>0</v>
          </cell>
          <cell r="K131" t="str">
            <v>4025/4026</v>
          </cell>
          <cell r="L131" t="str">
            <v>ROBINSON</v>
          </cell>
          <cell r="M131">
            <v>3.1736111108330078E-2</v>
          </cell>
          <cell r="N131">
            <v>45.699999995995313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https://search-rtdc-monitor-bjffxe2xuh6vdkpspy63sjmuny.us-east-1.es.amazonaws.com/_plugin/kibana/#/discover/Steve-Slow-Train-Analysis-(2080s-and-2083s)?_g=(refreshInterval:(display:Off,section:0,value:0),time:(from:'2016-08-09 17:59:57-0600',mode:absolute,to:'2016-08-09 20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1" t="str">
            <v>N</v>
          </cell>
          <cell r="X131">
            <v>1</v>
          </cell>
          <cell r="Y131">
            <v>23.2927</v>
          </cell>
          <cell r="Z131">
            <v>1.54E-2</v>
          </cell>
          <cell r="AA131">
            <v>23.2773</v>
          </cell>
          <cell r="AB131" t="e">
            <v>#N/A</v>
          </cell>
          <cell r="AC131" t="e">
            <v>#N/A</v>
          </cell>
          <cell r="AD131" t="str">
            <v>0218-09</v>
          </cell>
          <cell r="AE131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32">
          <cell r="A132" t="str">
            <v>219-09</v>
          </cell>
          <cell r="B132">
            <v>4031</v>
          </cell>
          <cell r="C132" t="str">
            <v>DE.1.0.7.0</v>
          </cell>
          <cell r="D132" t="str">
            <v>204:466</v>
          </cell>
          <cell r="E132">
            <v>42591.77039351852</v>
          </cell>
          <cell r="F132">
            <v>42591.771284722221</v>
          </cell>
          <cell r="G132">
            <v>1</v>
          </cell>
          <cell r="H132" t="str">
            <v>204:233302</v>
          </cell>
          <cell r="I132">
            <v>42591.796446759261</v>
          </cell>
          <cell r="J132">
            <v>0</v>
          </cell>
          <cell r="K132" t="str">
            <v>4031/4032</v>
          </cell>
          <cell r="L132" t="str">
            <v>CHANDLER</v>
          </cell>
          <cell r="M132">
            <v>2.5162037039990537E-2</v>
          </cell>
          <cell r="N132">
            <v>36.233333337586373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https://search-rtdc-monitor-bjffxe2xuh6vdkpspy63sjmuny.us-east-1.es.amazonaws.com/_plugin/kibana/#/discover/Steve-Slow-Train-Analysis-(2080s-and-2083s)?_g=(refreshInterval:(display:Off,section:0,value:0),time:(from:'2016-08-09 17:29:22-0600',mode:absolute,to:'2016-08-09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4.6600000000000003E-2</v>
          </cell>
          <cell r="Z132">
            <v>23.330200000000001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0219-09</v>
          </cell>
          <cell r="AE13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33">
          <cell r="A133" t="str">
            <v>220-09</v>
          </cell>
          <cell r="B133">
            <v>4032</v>
          </cell>
          <cell r="C133" t="str">
            <v>DE.1.0.7.0</v>
          </cell>
          <cell r="D133" t="str">
            <v>204:232983</v>
          </cell>
          <cell r="E133">
            <v>42591.808229166665</v>
          </cell>
          <cell r="F133">
            <v>42591.809305555558</v>
          </cell>
          <cell r="G133">
            <v>1</v>
          </cell>
          <cell r="H133" t="str">
            <v>204:176</v>
          </cell>
          <cell r="I133">
            <v>42591.837453703702</v>
          </cell>
          <cell r="J133">
            <v>1</v>
          </cell>
          <cell r="K133" t="str">
            <v>4031/4032</v>
          </cell>
          <cell r="L133" t="str">
            <v>CHANDLER</v>
          </cell>
          <cell r="M133">
            <v>2.8148148143372964E-2</v>
          </cell>
          <cell r="N133">
            <v>40.533333326457068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23.298300000000001</v>
          </cell>
          <cell r="Z133">
            <v>1.7600000000000001E-2</v>
          </cell>
          <cell r="AA133">
            <v>23.2807</v>
          </cell>
          <cell r="AB133">
            <v>190834</v>
          </cell>
          <cell r="AC133" t="str">
            <v>PERMANENT SPEED RESTRICTION</v>
          </cell>
          <cell r="AD133" t="str">
            <v>0220-09</v>
          </cell>
          <cell r="AE13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34">
          <cell r="A134" t="str">
            <v>221-09</v>
          </cell>
          <cell r="B134">
            <v>4040</v>
          </cell>
          <cell r="C134" t="str">
            <v>DE.1.0.7.0</v>
          </cell>
          <cell r="D134" t="str">
            <v>204:442</v>
          </cell>
          <cell r="E134">
            <v>42591.787187499998</v>
          </cell>
          <cell r="F134">
            <v>42591.788217592592</v>
          </cell>
          <cell r="G134">
            <v>1</v>
          </cell>
          <cell r="H134" t="str">
            <v>204:233297</v>
          </cell>
          <cell r="I134">
            <v>42591.81759259259</v>
          </cell>
          <cell r="J134">
            <v>0</v>
          </cell>
          <cell r="K134" t="str">
            <v>4039/4040</v>
          </cell>
          <cell r="L134" t="str">
            <v>ISHMAEL</v>
          </cell>
          <cell r="M134">
            <v>2.937499999825377E-2</v>
          </cell>
          <cell r="N134">
            <v>42.299999997485429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https://search-rtdc-monitor-bjffxe2xuh6vdkpspy63sjmuny.us-east-1.es.amazonaws.com/_plugin/kibana/#/discover/Steve-Slow-Train-Analysis-(2080s-and-2083s)?_g=(refreshInterval:(display:Off,section:0,value:0),time:(from:'2016-08-09 17:53:33-0600',mode:absolute,to:'2016-08-09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4" t="str">
            <v>N</v>
          </cell>
          <cell r="X134">
            <v>1</v>
          </cell>
          <cell r="Y134">
            <v>4.4200000000000003E-2</v>
          </cell>
          <cell r="Z134">
            <v>23.329699999999999</v>
          </cell>
          <cell r="AA134">
            <v>23.285499999999999</v>
          </cell>
          <cell r="AB134" t="e">
            <v>#N/A</v>
          </cell>
          <cell r="AC134" t="e">
            <v>#N/A</v>
          </cell>
          <cell r="AD134" t="str">
            <v>0221-09</v>
          </cell>
          <cell r="AE13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35">
          <cell r="A135" t="str">
            <v>222-09</v>
          </cell>
          <cell r="B135">
            <v>4039</v>
          </cell>
          <cell r="C135" t="str">
            <v>DE.1.0.7.0</v>
          </cell>
          <cell r="D135" t="str">
            <v>204:232993</v>
          </cell>
          <cell r="E135">
            <v>42591.822581018518</v>
          </cell>
          <cell r="F135">
            <v>42591.824155092596</v>
          </cell>
          <cell r="G135">
            <v>2</v>
          </cell>
          <cell r="H135" t="str">
            <v>204:149</v>
          </cell>
          <cell r="I135">
            <v>42591.858090277776</v>
          </cell>
          <cell r="J135">
            <v>0</v>
          </cell>
          <cell r="K135" t="str">
            <v>4039/4040</v>
          </cell>
          <cell r="L135" t="str">
            <v>ISHMAEL</v>
          </cell>
          <cell r="M135">
            <v>3.3935185179871041E-2</v>
          </cell>
          <cell r="N135">
            <v>48.8666666590143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https://search-rtdc-monitor-bjffxe2xuh6vdkpspy63sjmuny.us-east-1.es.amazonaws.com/_plugin/kibana/#/discover/Steve-Slow-Train-Analysis-(2080s-and-2083s)?_g=(refreshInterval:(display:Off,section:0,value:0),time:(from:'2016-08-09 18:44:31-0600',mode:absolute,to:'2016-08-09 21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5" t="str">
            <v>N</v>
          </cell>
          <cell r="X135">
            <v>1</v>
          </cell>
          <cell r="Y135">
            <v>23.299299999999999</v>
          </cell>
          <cell r="Z135">
            <v>1.49E-2</v>
          </cell>
          <cell r="AA135">
            <v>23.284399999999998</v>
          </cell>
          <cell r="AB135" t="e">
            <v>#N/A</v>
          </cell>
          <cell r="AC135" t="e">
            <v>#N/A</v>
          </cell>
          <cell r="AD135" t="str">
            <v>0222-09</v>
          </cell>
          <cell r="AE13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36">
          <cell r="A136" t="str">
            <v>223-09</v>
          </cell>
          <cell r="B136">
            <v>4011</v>
          </cell>
          <cell r="C136" t="str">
            <v>DE.1.0.7.0</v>
          </cell>
          <cell r="D136" t="str">
            <v>204:467</v>
          </cell>
          <cell r="E136">
            <v>42591.808888888889</v>
          </cell>
          <cell r="F136">
            <v>42591.810208333336</v>
          </cell>
          <cell r="G136">
            <v>1</v>
          </cell>
          <cell r="H136" t="str">
            <v>204:233283</v>
          </cell>
          <cell r="I136">
            <v>42591.838530092595</v>
          </cell>
          <cell r="J136">
            <v>0</v>
          </cell>
          <cell r="K136" t="str">
            <v>4011/4012</v>
          </cell>
          <cell r="L136" t="str">
            <v>COOLAHAN</v>
          </cell>
          <cell r="M136">
            <v>2.8321759258687962E-2</v>
          </cell>
          <cell r="N136">
            <v>40.783333332510665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https://search-rtdc-monitor-bjffxe2xuh6vdkpspy63sjmuny.us-east-1.es.amazonaws.com/_plugin/kibana/#/discover/Steve-Slow-Train-Analysis-(2080s-and-2083s)?_g=(refreshInterval:(display:Off,section:0,value:0),time:(from:'2016-08-09 18:24:48-0600',mode:absolute,to:'2016-08-09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6" t="str">
            <v>N</v>
          </cell>
          <cell r="X136">
            <v>1</v>
          </cell>
          <cell r="Y136">
            <v>4.6699999999999998E-2</v>
          </cell>
          <cell r="Z136">
            <v>23.328299999999999</v>
          </cell>
          <cell r="AA136">
            <v>23.281599999999997</v>
          </cell>
          <cell r="AB136" t="e">
            <v>#N/A</v>
          </cell>
          <cell r="AC136" t="e">
            <v>#N/A</v>
          </cell>
          <cell r="AD136" t="str">
            <v>0223-09</v>
          </cell>
          <cell r="AE13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37">
          <cell r="A137" t="str">
            <v>224-09</v>
          </cell>
          <cell r="B137">
            <v>4012</v>
          </cell>
          <cell r="C137" t="str">
            <v>DE.1.0.7.0</v>
          </cell>
          <cell r="D137" t="str">
            <v>204:232976</v>
          </cell>
          <cell r="E137">
            <v>42591.847557870373</v>
          </cell>
          <cell r="F137">
            <v>42591.849166666667</v>
          </cell>
          <cell r="G137">
            <v>2</v>
          </cell>
          <cell r="H137" t="str">
            <v>204:147</v>
          </cell>
          <cell r="I137">
            <v>42591.879062499997</v>
          </cell>
          <cell r="J137">
            <v>1</v>
          </cell>
          <cell r="K137" t="str">
            <v>4011/4012</v>
          </cell>
          <cell r="L137" t="str">
            <v>COOLAHAN</v>
          </cell>
          <cell r="M137">
            <v>2.9895833329646848E-2</v>
          </cell>
          <cell r="N137">
            <v>43.049999994691461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7" t="str">
            <v>N</v>
          </cell>
          <cell r="X137">
            <v>1</v>
          </cell>
          <cell r="Y137">
            <v>23.297599999999999</v>
          </cell>
          <cell r="Z137">
            <v>1.47E-2</v>
          </cell>
          <cell r="AA137">
            <v>23.282899999999998</v>
          </cell>
          <cell r="AB137" t="e">
            <v>#N/A</v>
          </cell>
          <cell r="AC137" t="e">
            <v>#N/A</v>
          </cell>
          <cell r="AD137" t="str">
            <v>0224-09</v>
          </cell>
          <cell r="AE13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38">
          <cell r="A138" t="str">
            <v>225-09</v>
          </cell>
          <cell r="B138">
            <v>4025</v>
          </cell>
          <cell r="C138" t="str">
            <v>DE.1.0.7.0</v>
          </cell>
          <cell r="D138" t="str">
            <v>204:477</v>
          </cell>
          <cell r="E138">
            <v>42591.828634259262</v>
          </cell>
          <cell r="F138">
            <v>42591.829513888886</v>
          </cell>
          <cell r="G138">
            <v>1</v>
          </cell>
          <cell r="H138" t="str">
            <v>204:233283</v>
          </cell>
          <cell r="I138">
            <v>42591.859849537039</v>
          </cell>
          <cell r="J138">
            <v>0</v>
          </cell>
          <cell r="K138" t="str">
            <v>4025/4026</v>
          </cell>
          <cell r="L138" t="str">
            <v>ROBINSON</v>
          </cell>
          <cell r="M138">
            <v>3.033564815268619E-2</v>
          </cell>
          <cell r="N138">
            <v>43.683333339868113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https://search-rtdc-monitor-bjffxe2xuh6vdkpspy63sjmuny.us-east-1.es.amazonaws.com/_plugin/kibana/#/discover/Steve-Slow-Train-Analysis-(2080s-and-2083s)?_g=(refreshInterval:(display:Off,section:0,value:0),time:(from:'2016-08-09 18:53:14-0600',mode:absolute,to:'2016-08-09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8" t="str">
            <v>N</v>
          </cell>
          <cell r="X138">
            <v>1</v>
          </cell>
          <cell r="Y138">
            <v>4.7699999999999999E-2</v>
          </cell>
          <cell r="Z138">
            <v>23.328299999999999</v>
          </cell>
          <cell r="AA138">
            <v>23.2806</v>
          </cell>
          <cell r="AB138" t="e">
            <v>#N/A</v>
          </cell>
          <cell r="AC138" t="e">
            <v>#N/A</v>
          </cell>
          <cell r="AD138" t="str">
            <v>0225-09</v>
          </cell>
          <cell r="AE13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9">
          <cell r="A139" t="str">
            <v>226-09</v>
          </cell>
          <cell r="B139">
            <v>4026</v>
          </cell>
          <cell r="C139" t="str">
            <v>DE.1.0.7.0</v>
          </cell>
          <cell r="D139" t="str">
            <v>204:232972</v>
          </cell>
          <cell r="E139">
            <v>42591.864884259259</v>
          </cell>
          <cell r="F139">
            <v>42591.869363425925</v>
          </cell>
          <cell r="G139">
            <v>6</v>
          </cell>
          <cell r="H139" t="str">
            <v>204:139</v>
          </cell>
          <cell r="I139">
            <v>42591.900902777779</v>
          </cell>
          <cell r="J139">
            <v>0</v>
          </cell>
          <cell r="K139" t="str">
            <v>4025/4026</v>
          </cell>
          <cell r="L139" t="str">
            <v>ROBINSON</v>
          </cell>
          <cell r="M139">
            <v>3.1539351854007691E-2</v>
          </cell>
          <cell r="N139">
            <v>45.416666669771075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https://search-rtdc-monitor-bjffxe2xuh6vdkpspy63sjmuny.us-east-1.es.amazonaws.com/_plugin/kibana/#/discover/Steve-Slow-Train-Analysis-(2080s-and-2083s)?_g=(refreshInterval:(display:Off,section:0,value:0),time:(from:'2016-08-09 19:45:26-0600',mode:absolute,to:'2016-08-09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9" t="str">
            <v>N</v>
          </cell>
          <cell r="X139">
            <v>1</v>
          </cell>
          <cell r="Y139">
            <v>23.2972</v>
          </cell>
          <cell r="Z139">
            <v>1.3899999999999999E-2</v>
          </cell>
          <cell r="AA139">
            <v>23.283300000000001</v>
          </cell>
          <cell r="AB139" t="e">
            <v>#N/A</v>
          </cell>
          <cell r="AC139" t="e">
            <v>#N/A</v>
          </cell>
          <cell r="AD139" t="str">
            <v>0226-09</v>
          </cell>
          <cell r="AE13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0">
          <cell r="A140" t="str">
            <v>227-09</v>
          </cell>
          <cell r="B140">
            <v>4031</v>
          </cell>
          <cell r="C140" t="str">
            <v>DE.1.0.7.0</v>
          </cell>
          <cell r="D140" t="str">
            <v>204:480</v>
          </cell>
          <cell r="E140">
            <v>42591.851574074077</v>
          </cell>
          <cell r="F140">
            <v>42591.852777777778</v>
          </cell>
          <cell r="G140">
            <v>1</v>
          </cell>
          <cell r="H140" t="str">
            <v>204:233293</v>
          </cell>
          <cell r="I140">
            <v>42591.880474537036</v>
          </cell>
          <cell r="J140">
            <v>0</v>
          </cell>
          <cell r="K140" t="str">
            <v>4031/4032</v>
          </cell>
          <cell r="L140" t="str">
            <v>CHANDLER</v>
          </cell>
          <cell r="M140">
            <v>2.7696759258105885E-2</v>
          </cell>
          <cell r="N140">
            <v>39.883333331672475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https://search-rtdc-monitor-bjffxe2xuh6vdkpspy63sjmuny.us-east-1.es.amazonaws.com/_plugin/kibana/#/discover/Steve-Slow-Train-Analysis-(2080s-and-2083s)?_g=(refreshInterval:(display:Off,section:0,value:0),time:(from:'2016-08-09 19:26:16-0600',mode:absolute,to:'2016-08-09 22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4.8000000000000001E-2</v>
          </cell>
          <cell r="Z140">
            <v>23.3293</v>
          </cell>
          <cell r="AA140">
            <v>23.281300000000002</v>
          </cell>
          <cell r="AB140" t="e">
            <v>#N/A</v>
          </cell>
          <cell r="AC140" t="e">
            <v>#N/A</v>
          </cell>
          <cell r="AD140" t="str">
            <v>0227-09</v>
          </cell>
          <cell r="AE14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1">
          <cell r="A141" t="str">
            <v>228-09</v>
          </cell>
          <cell r="B141">
            <v>4032</v>
          </cell>
          <cell r="C141" t="str">
            <v>DE.1.0.7.0</v>
          </cell>
          <cell r="D141" t="str">
            <v>204:232966</v>
          </cell>
          <cell r="E141">
            <v>42591.892812500002</v>
          </cell>
          <cell r="F141">
            <v>42591.893680555557</v>
          </cell>
          <cell r="G141">
            <v>1</v>
          </cell>
          <cell r="H141" t="str">
            <v>204:170</v>
          </cell>
          <cell r="I141">
            <v>42591.920891203707</v>
          </cell>
          <cell r="J141">
            <v>1</v>
          </cell>
          <cell r="K141" t="str">
            <v>4031/4032</v>
          </cell>
          <cell r="L141" t="str">
            <v>CHANDLER</v>
          </cell>
          <cell r="M141">
            <v>2.7210648149775807E-2</v>
          </cell>
          <cell r="N141">
            <v>39.183333335677162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23.296600000000002</v>
          </cell>
          <cell r="Z141">
            <v>1.7000000000000001E-2</v>
          </cell>
          <cell r="AA141">
            <v>23.279600000000002</v>
          </cell>
          <cell r="AB141" t="e">
            <v>#N/A</v>
          </cell>
          <cell r="AC141" t="e">
            <v>#N/A</v>
          </cell>
          <cell r="AD141" t="str">
            <v>0228-09</v>
          </cell>
          <cell r="AE14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42">
          <cell r="A142" t="str">
            <v>229-09</v>
          </cell>
          <cell r="B142">
            <v>4040</v>
          </cell>
          <cell r="C142" t="str">
            <v>DE.1.0.7.0</v>
          </cell>
          <cell r="D142" t="str">
            <v>204:440</v>
          </cell>
          <cell r="E142">
            <v>42591.868020833332</v>
          </cell>
          <cell r="F142">
            <v>42591.869247685187</v>
          </cell>
          <cell r="G142">
            <v>1</v>
          </cell>
          <cell r="H142" t="str">
            <v>204:233304</v>
          </cell>
          <cell r="I142">
            <v>42591.901377314818</v>
          </cell>
          <cell r="J142">
            <v>0</v>
          </cell>
          <cell r="K142" t="str">
            <v>4039/4040</v>
          </cell>
          <cell r="L142" t="str">
            <v>ISHMAEL</v>
          </cell>
          <cell r="M142">
            <v>3.2129629631526768E-2</v>
          </cell>
          <cell r="N142">
            <v>46.266666669398546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https://search-rtdc-monitor-bjffxe2xuh6vdkpspy63sjmuny.us-east-1.es.amazonaws.com/_plugin/kibana/#/discover/Steve-Slow-Train-Analysis-(2080s-and-2083s)?_g=(refreshInterval:(display:Off,section:0,value:0),time:(from:'2016-08-09 19:49:57-0600',mode:absolute,to:'2016-08-09 22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2" t="str">
            <v>N</v>
          </cell>
          <cell r="X142">
            <v>1</v>
          </cell>
          <cell r="Y142">
            <v>4.3999999999999997E-2</v>
          </cell>
          <cell r="Z142">
            <v>23.330400000000001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0229-09</v>
          </cell>
          <cell r="AE14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3">
          <cell r="A143" t="str">
            <v>230-09</v>
          </cell>
          <cell r="B143">
            <v>4039</v>
          </cell>
          <cell r="C143" t="str">
            <v>DE.1.0.7.0</v>
          </cell>
          <cell r="D143" t="str">
            <v>204:232983</v>
          </cell>
          <cell r="E143">
            <v>42591.907118055555</v>
          </cell>
          <cell r="F143">
            <v>42591.908252314817</v>
          </cell>
          <cell r="G143">
            <v>1</v>
          </cell>
          <cell r="H143" t="str">
            <v>204:154</v>
          </cell>
          <cell r="I143">
            <v>42591.942557870374</v>
          </cell>
          <cell r="J143">
            <v>0</v>
          </cell>
          <cell r="K143" t="str">
            <v>4039/4040</v>
          </cell>
          <cell r="L143" t="str">
            <v>ISHMAEL</v>
          </cell>
          <cell r="M143">
            <v>3.4305555556784384E-2</v>
          </cell>
          <cell r="N143">
            <v>49.400000001769513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https://search-rtdc-monitor-bjffxe2xuh6vdkpspy63sjmuny.us-east-1.es.amazonaws.com/_plugin/kibana/#/discover/Steve-Slow-Train-Analysis-(2080s-and-2083s)?_g=(refreshInterval:(display:Off,section:0,value:0),time:(from:'2016-08-09 20:46:15-0600',mode:absolute,to:'2016-08-09 23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3" t="str">
            <v>N</v>
          </cell>
          <cell r="X143">
            <v>1</v>
          </cell>
          <cell r="Y143">
            <v>23.298300000000001</v>
          </cell>
          <cell r="Z143">
            <v>1.54E-2</v>
          </cell>
          <cell r="AA143">
            <v>23.282900000000001</v>
          </cell>
          <cell r="AB143" t="e">
            <v>#N/A</v>
          </cell>
          <cell r="AC143" t="e">
            <v>#N/A</v>
          </cell>
          <cell r="AD143" t="str">
            <v>0230-09</v>
          </cell>
          <cell r="AE14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44">
          <cell r="A144" t="str">
            <v>231-09</v>
          </cell>
          <cell r="B144">
            <v>4011</v>
          </cell>
          <cell r="C144" t="str">
            <v>DE.1.0.7.0</v>
          </cell>
          <cell r="D144" t="str">
            <v>204:440</v>
          </cell>
          <cell r="E144">
            <v>42591.892800925925</v>
          </cell>
          <cell r="F144">
            <v>42591.893912037034</v>
          </cell>
          <cell r="G144">
            <v>1</v>
          </cell>
          <cell r="H144" t="str">
            <v>204:233327</v>
          </cell>
          <cell r="I144">
            <v>42591.922523148147</v>
          </cell>
          <cell r="J144">
            <v>0</v>
          </cell>
          <cell r="K144" t="str">
            <v>4011/4012</v>
          </cell>
          <cell r="L144" t="str">
            <v>COOLAHAN</v>
          </cell>
          <cell r="M144">
            <v>2.8611111112695653E-2</v>
          </cell>
          <cell r="N144">
            <v>41.20000000228174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https://search-rtdc-monitor-bjffxe2xuh6vdkpspy63sjmuny.us-east-1.es.amazonaws.com/_plugin/kibana/#/discover/Steve-Slow-Train-Analysis-(2080s-and-2083s)?_g=(refreshInterval:(display:Off,section:0,value:0),time:(from:'2016-08-09 20:25:38-0600',mode:absolute,to:'2016-08-09 23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4" t="str">
            <v>N</v>
          </cell>
          <cell r="X144">
            <v>1</v>
          </cell>
          <cell r="Y144">
            <v>4.3999999999999997E-2</v>
          </cell>
          <cell r="Z144">
            <v>23.332699999999999</v>
          </cell>
          <cell r="AA144">
            <v>23.288699999999999</v>
          </cell>
          <cell r="AB144" t="e">
            <v>#N/A</v>
          </cell>
          <cell r="AC144" t="e">
            <v>#N/A</v>
          </cell>
          <cell r="AD144" t="str">
            <v>0231-09</v>
          </cell>
          <cell r="AE14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45">
          <cell r="A145" t="str">
            <v>232-09</v>
          </cell>
          <cell r="B145">
            <v>4012</v>
          </cell>
          <cell r="C145" t="str">
            <v>DE.1.0.7.0</v>
          </cell>
          <cell r="D145" t="str">
            <v>204:232981</v>
          </cell>
          <cell r="E145">
            <v>42591.931666666664</v>
          </cell>
          <cell r="F145">
            <v>42591.932870370372</v>
          </cell>
          <cell r="G145">
            <v>1</v>
          </cell>
          <cell r="H145" t="str">
            <v>204:150</v>
          </cell>
          <cell r="I145">
            <v>42591.962673611109</v>
          </cell>
          <cell r="J145">
            <v>0</v>
          </cell>
          <cell r="K145" t="str">
            <v>4011/4012</v>
          </cell>
          <cell r="L145" t="str">
            <v>COOLAHAN</v>
          </cell>
          <cell r="M145">
            <v>2.9803240737237502E-2</v>
          </cell>
          <cell r="N145">
            <v>42.916666661622003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https://search-rtdc-monitor-bjffxe2xuh6vdkpspy63sjmuny.us-east-1.es.amazonaws.com/_plugin/kibana/#/discover/Steve-Slow-Train-Analysis-(2080s-and-2083s)?_g=(refreshInterval:(display:Off,section:0,value:0),time:(from:'2016-08-09 21:21:36-0600',mode:absolute,to:'2016-08-10 00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5" t="str">
            <v>N</v>
          </cell>
          <cell r="X145">
            <v>1</v>
          </cell>
          <cell r="Y145">
            <v>23.298100000000002</v>
          </cell>
          <cell r="Z145">
            <v>1.4999999999999999E-2</v>
          </cell>
          <cell r="AA145">
            <v>23.283100000000001</v>
          </cell>
          <cell r="AB145" t="e">
            <v>#N/A</v>
          </cell>
          <cell r="AC145" t="e">
            <v>#N/A</v>
          </cell>
          <cell r="AD145" t="str">
            <v>0232-09</v>
          </cell>
          <cell r="AE14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46">
          <cell r="A146" t="str">
            <v>233-09</v>
          </cell>
          <cell r="B146">
            <v>4025</v>
          </cell>
          <cell r="C146" t="str">
            <v>DE.1.0.7.0</v>
          </cell>
          <cell r="D146" t="str">
            <v>204:458</v>
          </cell>
          <cell r="E146">
            <v>42591.910937499997</v>
          </cell>
          <cell r="F146">
            <v>42591.911874999998</v>
          </cell>
          <cell r="G146">
            <v>1</v>
          </cell>
          <cell r="H146" t="str">
            <v>204:233272</v>
          </cell>
          <cell r="I146">
            <v>42591.943287037036</v>
          </cell>
          <cell r="J146">
            <v>0</v>
          </cell>
          <cell r="K146" t="str">
            <v>4025/4026</v>
          </cell>
          <cell r="L146" t="str">
            <v>ROBINSON</v>
          </cell>
          <cell r="M146">
            <v>3.1412037038535345E-2</v>
          </cell>
          <cell r="N146">
            <v>45.233333335490897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https://search-rtdc-monitor-bjffxe2xuh6vdkpspy63sjmuny.us-east-1.es.amazonaws.com/_plugin/kibana/#/discover/Steve-Slow-Train-Analysis-(2080s-and-2083s)?_g=(refreshInterval:(display:Off,section:0,value:0),time:(from:'2016-08-09 20:51:45-0600',mode:absolute,to:'2016-08-09 23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6" t="str">
            <v>N</v>
          </cell>
          <cell r="X146">
            <v>1</v>
          </cell>
          <cell r="Y146">
            <v>4.58E-2</v>
          </cell>
          <cell r="Z146">
            <v>23.327200000000001</v>
          </cell>
          <cell r="AA146">
            <v>23.281400000000001</v>
          </cell>
          <cell r="AB146" t="e">
            <v>#N/A</v>
          </cell>
          <cell r="AC146" t="e">
            <v>#N/A</v>
          </cell>
          <cell r="AD146" t="str">
            <v>0233-09</v>
          </cell>
          <cell r="AE14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47">
          <cell r="A147" t="str">
            <v>234-09</v>
          </cell>
          <cell r="B147">
            <v>4026</v>
          </cell>
          <cell r="C147" t="str">
            <v>DE.1.0.7.0</v>
          </cell>
          <cell r="D147" t="str">
            <v>204:232959</v>
          </cell>
          <cell r="E147">
            <v>42591.94940972222</v>
          </cell>
          <cell r="F147">
            <v>42591.950335648151</v>
          </cell>
          <cell r="G147">
            <v>1</v>
          </cell>
          <cell r="H147" t="str">
            <v>204:158</v>
          </cell>
          <cell r="I147">
            <v>42591.9841087963</v>
          </cell>
          <cell r="J147">
            <v>1</v>
          </cell>
          <cell r="K147" t="str">
            <v>4025/4026</v>
          </cell>
          <cell r="L147" t="str">
            <v>ROBINSON</v>
          </cell>
          <cell r="M147">
            <v>3.3773148148611654E-2</v>
          </cell>
          <cell r="N147">
            <v>48.633333334000781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7" t="str">
            <v>N</v>
          </cell>
          <cell r="X147">
            <v>1</v>
          </cell>
          <cell r="Y147">
            <v>23.2959</v>
          </cell>
          <cell r="Z147">
            <v>1.5800000000000002E-2</v>
          </cell>
          <cell r="AA147">
            <v>23.280100000000001</v>
          </cell>
          <cell r="AB147">
            <v>229055</v>
          </cell>
          <cell r="AC147" t="str">
            <v>PERMANENT SPEED RESTRICTION</v>
          </cell>
          <cell r="AD147" t="str">
            <v>0234-09</v>
          </cell>
          <cell r="AE14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8">
          <cell r="A148" t="str">
            <v>235-09</v>
          </cell>
          <cell r="B148">
            <v>4031</v>
          </cell>
          <cell r="C148" t="str">
            <v>DE.1.0.7.0</v>
          </cell>
          <cell r="D148" t="str">
            <v>204:458</v>
          </cell>
          <cell r="E148">
            <v>42591.934803240743</v>
          </cell>
          <cell r="F148">
            <v>42591.93608796296</v>
          </cell>
          <cell r="G148">
            <v>1</v>
          </cell>
          <cell r="H148" t="str">
            <v>204:233289</v>
          </cell>
          <cell r="I148">
            <v>42591.962546296294</v>
          </cell>
          <cell r="J148">
            <v>0</v>
          </cell>
          <cell r="K148" t="str">
            <v>4031/4032</v>
          </cell>
          <cell r="L148" t="str">
            <v>CHANDLER</v>
          </cell>
          <cell r="M148">
            <v>2.6458333333721384E-2</v>
          </cell>
          <cell r="N148">
            <v>38.100000000558794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https://search-rtdc-monitor-bjffxe2xuh6vdkpspy63sjmuny.us-east-1.es.amazonaws.com/_plugin/kibana/#/discover/Steve-Slow-Train-Analysis-(2080s-and-2083s)?_g=(refreshInterval:(display:Off,section:0,value:0),time:(from:'2016-08-09 21:26:07-0600',mode:absolute,to:'2016-08-10 00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8" t="str">
            <v>N</v>
          </cell>
          <cell r="X148">
            <v>1</v>
          </cell>
          <cell r="Y148">
            <v>4.58E-2</v>
          </cell>
          <cell r="Z148">
            <v>23.328900000000001</v>
          </cell>
          <cell r="AA148">
            <v>23.283100000000001</v>
          </cell>
          <cell r="AB148" t="e">
            <v>#N/A</v>
          </cell>
          <cell r="AC148" t="e">
            <v>#N/A</v>
          </cell>
          <cell r="AD148" t="str">
            <v>0235-09</v>
          </cell>
          <cell r="AE14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9">
          <cell r="A149" t="str">
            <v>236-09</v>
          </cell>
          <cell r="B149">
            <v>4032</v>
          </cell>
          <cell r="C149" t="str">
            <v>DE.1.0.7.0</v>
          </cell>
          <cell r="D149" t="str">
            <v>204:232978</v>
          </cell>
          <cell r="E149">
            <v>42591.974398148152</v>
          </cell>
          <cell r="F149">
            <v>42591.975370370368</v>
          </cell>
          <cell r="G149">
            <v>1</v>
          </cell>
          <cell r="H149" t="str">
            <v>204:34666</v>
          </cell>
          <cell r="I149">
            <v>42591.997384259259</v>
          </cell>
          <cell r="J149">
            <v>0</v>
          </cell>
          <cell r="K149" t="str">
            <v>4031/4032</v>
          </cell>
          <cell r="L149" t="str">
            <v>CHANDLER</v>
          </cell>
          <cell r="M149">
            <v>2.2013888890796807E-2</v>
          </cell>
          <cell r="N149">
            <v>31.700000002747402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https://search-rtdc-monitor-bjffxe2xuh6vdkpspy63sjmuny.us-east-1.es.amazonaws.com/_plugin/kibana/#/discover/Steve-Slow-Train-Analysis-(2080s-and-2083s)?_g=(refreshInterval:(display:Off,section:0,value:0),time:(from:'2016-08-09 22:23:08-0600',mode:absolute,to:'2016-08-10 00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9" t="str">
            <v>N</v>
          </cell>
          <cell r="X149">
            <v>1</v>
          </cell>
          <cell r="Y149">
            <v>23.297799999999999</v>
          </cell>
          <cell r="Z149">
            <v>0.01</v>
          </cell>
          <cell r="AA149">
            <v>23.287799999999997</v>
          </cell>
          <cell r="AB149" t="e">
            <v>#N/A</v>
          </cell>
          <cell r="AC149" t="e">
            <v>#N/A</v>
          </cell>
          <cell r="AD149" t="str">
            <v>0236-09</v>
          </cell>
          <cell r="AE14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50">
          <cell r="A150" t="str">
            <v>237-09</v>
          </cell>
          <cell r="B150">
            <v>4040</v>
          </cell>
          <cell r="C150" t="str">
            <v>DE.1.0.7.0</v>
          </cell>
          <cell r="D150" t="str">
            <v>204:469</v>
          </cell>
          <cell r="E150">
            <v>42591.955462962964</v>
          </cell>
          <cell r="F150">
            <v>42591.956365740742</v>
          </cell>
          <cell r="G150">
            <v>1</v>
          </cell>
          <cell r="H150" t="str">
            <v>204:233322</v>
          </cell>
          <cell r="I150">
            <v>42591.984224537038</v>
          </cell>
          <cell r="J150">
            <v>0</v>
          </cell>
          <cell r="K150" t="str">
            <v>4039/4040</v>
          </cell>
          <cell r="L150" t="str">
            <v>ISHMAEL</v>
          </cell>
          <cell r="M150">
            <v>2.7858796296641231E-2</v>
          </cell>
          <cell r="N150">
            <v>40.116666667163372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https://search-rtdc-monitor-bjffxe2xuh6vdkpspy63sjmuny.us-east-1.es.amazonaws.com/_plugin/kibana/#/discover/Steve-Slow-Train-Analysis-(2080s-and-2083s)?_g=(refreshInterval:(display:Off,section:0,value:0),time:(from:'2016-08-09 21:55:52-0600',mode:absolute,to:'2016-08-10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0" t="str">
            <v>N</v>
          </cell>
          <cell r="X150">
            <v>1</v>
          </cell>
          <cell r="Y150">
            <v>4.6899999999999997E-2</v>
          </cell>
          <cell r="Z150">
            <v>23.3322</v>
          </cell>
          <cell r="AA150">
            <v>23.285299999999999</v>
          </cell>
          <cell r="AB150" t="e">
            <v>#N/A</v>
          </cell>
          <cell r="AC150" t="e">
            <v>#N/A</v>
          </cell>
          <cell r="AD150" t="str">
            <v>0237-09</v>
          </cell>
          <cell r="AE15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51">
          <cell r="A151" t="str">
            <v>238-09</v>
          </cell>
          <cell r="B151">
            <v>4039</v>
          </cell>
          <cell r="C151" t="str">
            <v>DE.1.0.7.0</v>
          </cell>
          <cell r="D151" t="str">
            <v>204:154001</v>
          </cell>
          <cell r="E151">
            <v>42592.006886574076</v>
          </cell>
          <cell r="F151">
            <v>42592.007638888892</v>
          </cell>
          <cell r="G151">
            <v>1</v>
          </cell>
          <cell r="H151" t="str">
            <v>204:154</v>
          </cell>
          <cell r="I151">
            <v>42592.028773148151</v>
          </cell>
          <cell r="J151">
            <v>0</v>
          </cell>
          <cell r="K151" t="str">
            <v>4039/4040</v>
          </cell>
          <cell r="L151" t="str">
            <v>ISHMAEL</v>
          </cell>
          <cell r="M151">
            <v>2.1134259259270038E-2</v>
          </cell>
          <cell r="P151">
            <v>38.31666667596437</v>
          </cell>
          <cell r="R151" t="str">
            <v>Poor GPS signal at DIA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https://search-rtdc-monitor-bjffxe2xuh6vdkpspy63sjmuny.us-east-1.es.amazonaws.com/_plugin/kibana/#/discover/Steve-Slow-Train-Analysis-(2080s-and-2083s)?_g=(refreshInterval:(display:Off,section:0,value:0),time:(from:'2016-08-09 23:09:55-0600',mode:absolute,to:'2016-08-10 01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1" t="str">
            <v>Y</v>
          </cell>
          <cell r="X151">
            <v>1</v>
          </cell>
          <cell r="Y151">
            <v>15.4001</v>
          </cell>
          <cell r="Z151">
            <v>1.54E-2</v>
          </cell>
          <cell r="AA151">
            <v>15.3847</v>
          </cell>
          <cell r="AB151" t="e">
            <v>#N/A</v>
          </cell>
          <cell r="AC151" t="e">
            <v>#N/A</v>
          </cell>
          <cell r="AD151" t="str">
            <v>0238-09</v>
          </cell>
          <cell r="AE151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152">
          <cell r="A152" t="str">
            <v>238-09</v>
          </cell>
          <cell r="B152">
            <v>4039</v>
          </cell>
          <cell r="C152" t="str">
            <v>DE.1.0.7.0</v>
          </cell>
          <cell r="D152" t="str">
            <v>204:232961</v>
          </cell>
          <cell r="E152">
            <v>42591.991064814814</v>
          </cell>
          <cell r="F152">
            <v>42591.9921412037</v>
          </cell>
          <cell r="G152">
            <v>1</v>
          </cell>
          <cell r="H152" t="str">
            <v>204:232687</v>
          </cell>
          <cell r="I152">
            <v>42591.997615740744</v>
          </cell>
          <cell r="J152">
            <v>0</v>
          </cell>
          <cell r="K152" t="str">
            <v>4039/4040</v>
          </cell>
          <cell r="L152" t="str">
            <v>ISHMAEL</v>
          </cell>
          <cell r="M152">
            <v>5.4745370434829965E-3</v>
          </cell>
          <cell r="T152" t="str">
            <v>Southbound</v>
          </cell>
          <cell r="U152">
            <v>0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https://search-rtdc-monitor-bjffxe2xuh6vdkpspy63sjmuny.us-east-1.es.amazonaws.com/_plugin/kibana/#/discover/Steve-Slow-Train-Analysis-(2080s-and-2083s)?_g=(refreshInterval:(display:Off,section:0,value:0),time:(from:'2016-08-09 22:47:08-0600',mode:absolute,to:'2016-08-10 00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Y</v>
          </cell>
          <cell r="X152">
            <v>0</v>
          </cell>
          <cell r="Y152">
            <v>23.296099999999999</v>
          </cell>
          <cell r="Z152">
            <v>23.268699999999999</v>
          </cell>
          <cell r="AA152">
            <v>2.7400000000000091E-2</v>
          </cell>
          <cell r="AB152" t="e">
            <v>#N/A</v>
          </cell>
          <cell r="AC152" t="e">
            <v>#N/A</v>
          </cell>
          <cell r="AD152" t="str">
            <v>0238-09</v>
          </cell>
          <cell r="AE1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53">
          <cell r="A153" t="str">
            <v>239-09</v>
          </cell>
          <cell r="B153">
            <v>4011</v>
          </cell>
          <cell r="C153" t="str">
            <v>DE.1.0.7.0</v>
          </cell>
          <cell r="D153" t="str">
            <v>204:460</v>
          </cell>
          <cell r="E153">
            <v>42591.977013888885</v>
          </cell>
          <cell r="F153">
            <v>42591.979270833333</v>
          </cell>
          <cell r="G153">
            <v>3</v>
          </cell>
          <cell r="H153" t="str">
            <v>204:233291</v>
          </cell>
          <cell r="I153">
            <v>42592.007453703707</v>
          </cell>
          <cell r="J153">
            <v>1</v>
          </cell>
          <cell r="K153" t="str">
            <v>4011/4012</v>
          </cell>
          <cell r="L153" t="str">
            <v>COOLAHAN</v>
          </cell>
          <cell r="M153">
            <v>2.8182870373711921E-2</v>
          </cell>
          <cell r="N153">
            <v>40.583333338145167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4.5999999999999999E-2</v>
          </cell>
          <cell r="Z153">
            <v>23.3291</v>
          </cell>
          <cell r="AA153">
            <v>23.283100000000001</v>
          </cell>
          <cell r="AB153">
            <v>58783</v>
          </cell>
          <cell r="AC153" t="str">
            <v>GRADE CROSSING</v>
          </cell>
          <cell r="AD153" t="str">
            <v>0239-09</v>
          </cell>
          <cell r="AE153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54">
          <cell r="A154" t="str">
            <v>240-09</v>
          </cell>
          <cell r="B154">
            <v>4012</v>
          </cell>
          <cell r="C154" t="str">
            <v>DE.1.0.7.0</v>
          </cell>
          <cell r="D154" t="str">
            <v>204:232952</v>
          </cell>
          <cell r="E154">
            <v>42592.014062499999</v>
          </cell>
          <cell r="F154">
            <v>42592.015289351853</v>
          </cell>
          <cell r="G154">
            <v>1</v>
          </cell>
          <cell r="H154" t="str">
            <v>204:139</v>
          </cell>
          <cell r="I154">
            <v>42592.046053240738</v>
          </cell>
          <cell r="J154">
            <v>0</v>
          </cell>
          <cell r="K154" t="str">
            <v>4011/4012</v>
          </cell>
          <cell r="L154" t="str">
            <v>COOLAHAN</v>
          </cell>
          <cell r="M154">
            <v>3.0763888884393964E-2</v>
          </cell>
          <cell r="N154">
            <v>44.299999993527308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https://search-rtdc-monitor-bjffxe2xuh6vdkpspy63sjmuny.us-east-1.es.amazonaws.com/_plugin/kibana/#/discover/Steve-Slow-Train-Analysis-(2080s-and-2083s)?_g=(refreshInterval:(display:Off,section:0,value:0),time:(from:'2016-08-09 23:20:15-0600',mode:absolute,to:'2016-08-10 02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23.295200000000001</v>
          </cell>
          <cell r="Z154">
            <v>1.3899999999999999E-2</v>
          </cell>
          <cell r="AA154">
            <v>23.281300000000002</v>
          </cell>
          <cell r="AB154" t="e">
            <v>#N/A</v>
          </cell>
          <cell r="AC154" t="e">
            <v>#N/A</v>
          </cell>
          <cell r="AD154" t="str">
            <v>0240-09</v>
          </cell>
          <cell r="AE154" t="str">
            <v>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 &amp; 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</v>
          </cell>
        </row>
        <row r="155">
          <cell r="A155" t="str">
            <v>241-09</v>
          </cell>
          <cell r="B155">
            <v>4025</v>
          </cell>
          <cell r="C155" t="str">
            <v>DE.1.0.7.0</v>
          </cell>
          <cell r="D155" t="str">
            <v>204:451</v>
          </cell>
          <cell r="E155">
            <v>42591.997233796297</v>
          </cell>
          <cell r="F155">
            <v>42591.998113425929</v>
          </cell>
          <cell r="G155">
            <v>1</v>
          </cell>
          <cell r="H155" t="str">
            <v>204:233311</v>
          </cell>
          <cell r="I155">
            <v>42592.025891203702</v>
          </cell>
          <cell r="J155">
            <v>0</v>
          </cell>
          <cell r="K155" t="str">
            <v>4025/4026</v>
          </cell>
          <cell r="L155" t="str">
            <v>STORY</v>
          </cell>
          <cell r="M155">
            <v>2.7777777773735579E-2</v>
          </cell>
          <cell r="N155">
            <v>39.999999994179234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https://search-rtdc-monitor-bjffxe2xuh6vdkpspy63sjmuny.us-east-1.es.amazonaws.com/_plugin/kibana/#/discover/Steve-Slow-Train-Analysis-(2080s-and-2083s)?_g=(refreshInterval:(display:Off,section:0,value:0),time:(from:'2016-08-09 22:56:01-0600',mode:absolute,to:'2016-08-10 01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5" t="str">
            <v>N</v>
          </cell>
          <cell r="X155">
            <v>1</v>
          </cell>
          <cell r="Y155">
            <v>4.5100000000000001E-2</v>
          </cell>
          <cell r="Z155">
            <v>23.331099999999999</v>
          </cell>
          <cell r="AA155">
            <v>23.285999999999998</v>
          </cell>
          <cell r="AB155" t="e">
            <v>#N/A</v>
          </cell>
          <cell r="AC155" t="e">
            <v>#N/A</v>
          </cell>
          <cell r="AD155" t="str">
            <v>0241-09</v>
          </cell>
          <cell r="AE15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56">
          <cell r="A156" t="str">
            <v>242-09</v>
          </cell>
          <cell r="B156">
            <v>4026</v>
          </cell>
          <cell r="C156" t="str">
            <v>DE.1.0.7.0</v>
          </cell>
          <cell r="D156" t="str">
            <v>204:232984</v>
          </cell>
          <cell r="E156">
            <v>42592.027557870373</v>
          </cell>
          <cell r="F156">
            <v>42592.028310185182</v>
          </cell>
          <cell r="G156">
            <v>1</v>
          </cell>
          <cell r="H156" t="str">
            <v>204:10082</v>
          </cell>
          <cell r="I156">
            <v>42592.063437500001</v>
          </cell>
          <cell r="J156">
            <v>1</v>
          </cell>
          <cell r="K156" t="str">
            <v>4025/4026</v>
          </cell>
          <cell r="L156" t="str">
            <v>STORY</v>
          </cell>
          <cell r="M156">
            <v>3.5127314818964805E-2</v>
          </cell>
          <cell r="P156">
            <v>50.58333333930932</v>
          </cell>
          <cell r="R156" t="str">
            <v>Wi-MAX outage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6" t="str">
            <v>Y</v>
          </cell>
          <cell r="X156">
            <v>1</v>
          </cell>
          <cell r="Y156">
            <v>23.298400000000001</v>
          </cell>
          <cell r="Z156">
            <v>1.0082</v>
          </cell>
          <cell r="AA156">
            <v>22.290200000000002</v>
          </cell>
          <cell r="AB156" t="e">
            <v>#N/A</v>
          </cell>
          <cell r="AC156" t="e">
            <v>#N/A</v>
          </cell>
          <cell r="AD156" t="str">
            <v>0242-09</v>
          </cell>
          <cell r="AE156" t="str">
    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    </cell>
        </row>
        <row r="157">
          <cell r="A157" t="str">
            <v>243-09</v>
          </cell>
          <cell r="B157">
            <v>4031</v>
          </cell>
          <cell r="C157" t="str">
            <v>DE.1.0.7.0</v>
          </cell>
          <cell r="D157" t="str">
            <v>204:489</v>
          </cell>
          <cell r="E157">
            <v>42592.015682870369</v>
          </cell>
          <cell r="F157">
            <v>42592.01666666667</v>
          </cell>
          <cell r="G157">
            <v>1</v>
          </cell>
          <cell r="H157" t="str">
            <v>204:233293</v>
          </cell>
          <cell r="I157">
            <v>42592.046435185184</v>
          </cell>
          <cell r="J157">
            <v>0</v>
          </cell>
          <cell r="K157" t="str">
            <v>4031/4032</v>
          </cell>
          <cell r="L157" t="str">
            <v>CHANDLER</v>
          </cell>
          <cell r="M157">
            <v>2.9768518514174502E-2</v>
          </cell>
          <cell r="N157">
            <v>42.866666660411283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https://search-rtdc-monitor-bjffxe2xuh6vdkpspy63sjmuny.us-east-1.es.amazonaws.com/_plugin/kibana/#/discover/Steve-Slow-Train-Analysis-(2080s-and-2083s)?_g=(refreshInterval:(display:Off,section:0,value:0),time:(from:'2016-08-09 23:22:35-0600',mode:absolute,to:'2016-08-10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7" t="str">
            <v>N</v>
          </cell>
          <cell r="X157">
            <v>1</v>
          </cell>
          <cell r="Y157">
            <v>4.8899999999999999E-2</v>
          </cell>
          <cell r="Z157">
            <v>23.3293</v>
          </cell>
          <cell r="AA157">
            <v>23.2804</v>
          </cell>
          <cell r="AB157" t="e">
            <v>#N/A</v>
          </cell>
          <cell r="AC157" t="e">
            <v>#N/A</v>
          </cell>
          <cell r="AD157" t="str">
            <v>0243-09</v>
          </cell>
          <cell r="AE157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158">
          <cell r="A158" t="str">
            <v>244-09</v>
          </cell>
          <cell r="B158">
            <v>4032</v>
          </cell>
          <cell r="C158" t="str">
            <v>DE.1.0.7.0</v>
          </cell>
          <cell r="D158" t="str">
            <v>204:232980</v>
          </cell>
          <cell r="E158">
            <v>42592.057673611111</v>
          </cell>
          <cell r="F158">
            <v>42592.058912037035</v>
          </cell>
          <cell r="G158">
            <v>1</v>
          </cell>
          <cell r="H158" t="str">
            <v>204:169</v>
          </cell>
          <cell r="I158">
            <v>42592.087361111109</v>
          </cell>
          <cell r="J158">
            <v>0</v>
          </cell>
          <cell r="K158" t="str">
            <v>4031/4032</v>
          </cell>
          <cell r="L158" t="str">
            <v>CHANDLER</v>
          </cell>
          <cell r="M158">
            <v>2.8449074074160308E-2</v>
          </cell>
          <cell r="N158">
            <v>40.966666666790843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00:23:03-0600',mode:absolute,to:'2016-08-10 03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1.6899999999999998E-2</v>
          </cell>
          <cell r="AA158">
            <v>23.281099999999999</v>
          </cell>
          <cell r="AB158" t="e">
            <v>#N/A</v>
          </cell>
          <cell r="AC158" t="e">
            <v>#N/A</v>
          </cell>
          <cell r="AD158" t="str">
            <v>0244-09</v>
          </cell>
          <cell r="AE158" t="str">
            <v>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 &amp; 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</v>
          </cell>
        </row>
        <row r="159">
          <cell r="A159" t="str">
            <v>800-09</v>
          </cell>
          <cell r="B159">
            <v>4013</v>
          </cell>
          <cell r="C159" t="str">
            <v>DE.1.0.7.0</v>
          </cell>
          <cell r="D159" t="str">
            <v>300:58695</v>
          </cell>
          <cell r="E159">
            <v>42591.205474537041</v>
          </cell>
          <cell r="F159">
            <v>42591.207418981481</v>
          </cell>
          <cell r="G159">
            <v>2</v>
          </cell>
          <cell r="H159" t="str">
            <v>204:680</v>
          </cell>
          <cell r="I159">
            <v>42591.225995370369</v>
          </cell>
          <cell r="J159">
            <v>0</v>
          </cell>
          <cell r="K159" t="str">
            <v>4013/4014</v>
          </cell>
          <cell r="L159" t="str">
            <v>SUR</v>
          </cell>
          <cell r="M159">
            <v>1.8576388887595385E-2</v>
          </cell>
          <cell r="N159">
            <v>26.749999998137355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https://search-rtdc-monitor-bjffxe2xuh6vdkpspy63sjmuny.us-east-1.es.amazonaws.com/_plugin/kibana/#/discover/Steve-Slow-Train-Analysis-(2080s-and-2083s)?_g=(refreshInterval:(display:Off,section:0,value:0),time:(from:'2016-08-09 03:55:53-0600',mode:absolute,to:'2016-08-09 06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9" t="str">
            <v>N</v>
          </cell>
          <cell r="X159">
            <v>556</v>
          </cell>
          <cell r="Y159">
            <v>5.8695000000000004</v>
          </cell>
          <cell r="Z159">
            <v>6.8000000000000005E-2</v>
          </cell>
          <cell r="AA159">
            <v>5.8015000000000008</v>
          </cell>
          <cell r="AB159" t="e">
            <v>#N/A</v>
          </cell>
          <cell r="AC159" t="e">
            <v>#N/A</v>
          </cell>
          <cell r="AD159" t="str">
            <v>0800-09</v>
          </cell>
          <cell r="AE15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0">
          <cell r="A160" t="str">
            <v>801-09</v>
          </cell>
          <cell r="B160">
            <v>4014</v>
          </cell>
          <cell r="C160" t="str">
            <v>DE.1.0.7.0</v>
          </cell>
          <cell r="D160" t="str">
            <v>204:971</v>
          </cell>
          <cell r="E160">
            <v>42591.228067129632</v>
          </cell>
          <cell r="F160">
            <v>42591.240497685183</v>
          </cell>
          <cell r="G160">
            <v>17</v>
          </cell>
          <cell r="H160" t="str">
            <v>300:58943</v>
          </cell>
          <cell r="I160">
            <v>42591.255428240744</v>
          </cell>
          <cell r="J160">
            <v>0</v>
          </cell>
          <cell r="K160" t="str">
            <v>4013/4014</v>
          </cell>
          <cell r="L160" t="str">
            <v>STARKS</v>
          </cell>
          <cell r="M160">
            <v>1.4930555560567882E-2</v>
          </cell>
          <cell r="N160">
            <v>21.50000000721775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https://search-rtdc-monitor-bjffxe2xuh6vdkpspy63sjmuny.us-east-1.es.amazonaws.com/_plugin/kibana/#/discover/Steve-Slow-Train-Analysis-(2080s-and-2083s)?_g=(refreshInterval:(display:Off,section:0,value:0),time:(from:'2016-08-09 04:28:25-0600',mode:absolute,to:'2016-08-09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0" t="str">
            <v>N</v>
          </cell>
          <cell r="X160">
            <v>1</v>
          </cell>
          <cell r="Y160">
            <v>9.7100000000000006E-2</v>
          </cell>
          <cell r="Z160">
            <v>5.8943000000000003</v>
          </cell>
          <cell r="AA160">
            <v>5.7972000000000001</v>
          </cell>
          <cell r="AB160" t="e">
            <v>#N/A</v>
          </cell>
          <cell r="AC160" t="e">
            <v>#N/A</v>
          </cell>
          <cell r="AD160" t="str">
            <v>0801-09</v>
          </cell>
          <cell r="AE16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1">
          <cell r="A161" t="str">
            <v>802-09</v>
          </cell>
          <cell r="B161">
            <v>4013</v>
          </cell>
          <cell r="C161" t="str">
            <v>DE.1.0.7.0</v>
          </cell>
          <cell r="D161" t="str">
            <v>300:58621</v>
          </cell>
          <cell r="E161">
            <v>42591.257719907408</v>
          </cell>
          <cell r="F161">
            <v>42591.258611111109</v>
          </cell>
          <cell r="G161">
            <v>1</v>
          </cell>
          <cell r="H161" t="str">
            <v>204:664</v>
          </cell>
          <cell r="I161">
            <v>42591.268530092595</v>
          </cell>
          <cell r="J161">
            <v>1</v>
          </cell>
          <cell r="K161" t="str">
            <v>4013/4014</v>
          </cell>
          <cell r="L161" t="str">
            <v>STARKS</v>
          </cell>
          <cell r="M161">
            <v>9.9189814864075743E-3</v>
          </cell>
          <cell r="N161">
            <v>14.283333340426907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1" t="str">
            <v>N</v>
          </cell>
          <cell r="X161">
            <v>1</v>
          </cell>
          <cell r="Y161">
            <v>5.8620999999999999</v>
          </cell>
          <cell r="Z161">
            <v>6.6400000000000001E-2</v>
          </cell>
          <cell r="AA161">
            <v>5.7957000000000001</v>
          </cell>
          <cell r="AB161" t="e">
            <v>#N/A</v>
          </cell>
          <cell r="AC161" t="e">
            <v>#N/A</v>
          </cell>
          <cell r="AD161" t="str">
            <v>0802-09</v>
          </cell>
          <cell r="AE16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2">
          <cell r="A162" t="str">
            <v>803-09</v>
          </cell>
          <cell r="B162">
            <v>4007</v>
          </cell>
          <cell r="C162" t="str">
            <v>DE.1.0.7.0</v>
          </cell>
          <cell r="D162" t="str">
            <v>204:428</v>
          </cell>
          <cell r="E162">
            <v>42591.261354166665</v>
          </cell>
          <cell r="F162">
            <v>42591.262303240743</v>
          </cell>
          <cell r="G162">
            <v>1</v>
          </cell>
          <cell r="H162" t="str">
            <v>300:58912</v>
          </cell>
          <cell r="I162">
            <v>42591.274421296293</v>
          </cell>
          <cell r="J162">
            <v>0</v>
          </cell>
          <cell r="K162" t="str">
            <v>4007/4008</v>
          </cell>
          <cell r="L162" t="str">
            <v>LEVIN</v>
          </cell>
          <cell r="M162">
            <v>1.211805555067258E-2</v>
          </cell>
          <cell r="N162">
            <v>17.449999992968515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https://search-rtdc-monitor-bjffxe2xuh6vdkpspy63sjmuny.us-east-1.es.amazonaws.com/_plugin/kibana/#/discover/Steve-Slow-Train-Analysis-(2080s-and-2083s)?_g=(refreshInterval:(display:Off,section:0,value:0),time:(from:'2016-08-09 05:16:21-0600',mode:absolute,to:'2016-08-09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2" t="str">
            <v>N</v>
          </cell>
          <cell r="X162">
            <v>1</v>
          </cell>
          <cell r="Y162">
            <v>4.2799999999999998E-2</v>
          </cell>
          <cell r="Z162">
            <v>5.8912000000000004</v>
          </cell>
          <cell r="AA162">
            <v>5.8484000000000007</v>
          </cell>
          <cell r="AB162" t="e">
            <v>#N/A</v>
          </cell>
          <cell r="AC162" t="e">
            <v>#N/A</v>
          </cell>
          <cell r="AD162" t="str">
            <v>0803-09</v>
          </cell>
          <cell r="AE16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3">
          <cell r="A163" t="str">
            <v>804-09</v>
          </cell>
          <cell r="B163">
            <v>4008</v>
          </cell>
          <cell r="C163" t="str">
            <v>DE.1.0.7.0</v>
          </cell>
          <cell r="D163" t="str">
            <v>300:58600</v>
          </cell>
          <cell r="E163">
            <v>42591.275543981479</v>
          </cell>
          <cell r="F163">
            <v>42591.276423611111</v>
          </cell>
          <cell r="G163">
            <v>1</v>
          </cell>
          <cell r="H163" t="str">
            <v>204:757</v>
          </cell>
          <cell r="I163">
            <v>42591.288159722222</v>
          </cell>
          <cell r="J163">
            <v>0</v>
          </cell>
          <cell r="K163" t="str">
            <v>4007/4008</v>
          </cell>
          <cell r="L163" t="str">
            <v>LEVIN</v>
          </cell>
          <cell r="M163">
            <v>1.17361111115315E-2</v>
          </cell>
          <cell r="N163">
            <v>16.90000000060536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https://search-rtdc-monitor-bjffxe2xuh6vdkpspy63sjmuny.us-east-1.es.amazonaws.com/_plugin/kibana/#/discover/Steve-Slow-Train-Analysis-(2080s-and-2083s)?_g=(refreshInterval:(display:Off,section:0,value:0),time:(from:'2016-08-09 05:36:47-0600',mode:absolute,to:'2016-08-09 07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3" t="str">
            <v>N</v>
          </cell>
          <cell r="X163">
            <v>1</v>
          </cell>
          <cell r="Y163">
            <v>5.86</v>
          </cell>
          <cell r="Z163">
            <v>7.5700000000000003E-2</v>
          </cell>
          <cell r="AA163">
            <v>5.7843</v>
          </cell>
          <cell r="AB163" t="e">
            <v>#N/A</v>
          </cell>
          <cell r="AC163" t="e">
            <v>#N/A</v>
          </cell>
          <cell r="AD163" t="str">
            <v>0804-09</v>
          </cell>
          <cell r="AE16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4">
          <cell r="A164" t="str">
            <v>805-09</v>
          </cell>
          <cell r="B164">
            <v>4014</v>
          </cell>
          <cell r="C164" t="str">
            <v>DE.1.0.7.0</v>
          </cell>
          <cell r="D164" t="str">
            <v>204:958</v>
          </cell>
          <cell r="E164">
            <v>42591.284456018519</v>
          </cell>
          <cell r="F164">
            <v>42591.285300925927</v>
          </cell>
          <cell r="G164">
            <v>1</v>
          </cell>
          <cell r="H164" t="str">
            <v>300:58933</v>
          </cell>
          <cell r="I164">
            <v>42591.295439814814</v>
          </cell>
          <cell r="J164">
            <v>0</v>
          </cell>
          <cell r="K164" t="str">
            <v>4013/4014</v>
          </cell>
          <cell r="L164" t="str">
            <v>STARKS</v>
          </cell>
          <cell r="M164">
            <v>1.0138888887013309E-2</v>
          </cell>
          <cell r="N164">
            <v>14.599999997299165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https://search-rtdc-monitor-bjffxe2xuh6vdkpspy63sjmuny.us-east-1.es.amazonaws.com/_plugin/kibana/#/discover/Steve-Slow-Train-Analysis-(2080s-and-2083s)?_g=(refreshInterval:(display:Off,section:0,value:0),time:(from:'2016-08-09 05:49:37-0600',mode:absolute,to:'2016-08-09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4" t="str">
            <v>N</v>
          </cell>
          <cell r="X164">
            <v>1</v>
          </cell>
          <cell r="Y164">
            <v>9.5799999999999996E-2</v>
          </cell>
          <cell r="Z164">
            <v>5.8933</v>
          </cell>
          <cell r="AA164">
            <v>5.7975000000000003</v>
          </cell>
          <cell r="AB164" t="e">
            <v>#N/A</v>
          </cell>
          <cell r="AC164" t="e">
            <v>#N/A</v>
          </cell>
          <cell r="AD164" t="str">
            <v>0805-09</v>
          </cell>
          <cell r="AE16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5">
          <cell r="A165" t="str">
            <v>806-09</v>
          </cell>
          <cell r="B165">
            <v>4013</v>
          </cell>
          <cell r="C165" t="str">
            <v>DE.1.0.7.0</v>
          </cell>
          <cell r="D165" t="str">
            <v>300:58608</v>
          </cell>
          <cell r="E165">
            <v>42591.296886574077</v>
          </cell>
          <cell r="F165">
            <v>42591.29787037037</v>
          </cell>
          <cell r="G165">
            <v>1</v>
          </cell>
          <cell r="H165" t="str">
            <v>204:682</v>
          </cell>
          <cell r="I165">
            <v>42591.309733796297</v>
          </cell>
          <cell r="J165">
            <v>0</v>
          </cell>
          <cell r="K165" t="str">
            <v>4013/4014</v>
          </cell>
          <cell r="L165" t="str">
            <v>STARKS</v>
          </cell>
          <cell r="M165">
            <v>1.1863425927003846E-2</v>
          </cell>
          <cell r="N165">
            <v>17.083333334885538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https://search-rtdc-monitor-bjffxe2xuh6vdkpspy63sjmuny.us-east-1.es.amazonaws.com/_plugin/kibana/#/discover/Steve-Slow-Train-Analysis-(2080s-and-2083s)?_g=(refreshInterval:(display:Off,section:0,value:0),time:(from:'2016-08-09 06:07:31-0600',mode:absolute,to:'2016-08-09 08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5" t="str">
            <v>N</v>
          </cell>
          <cell r="X165">
            <v>1</v>
          </cell>
          <cell r="Y165">
            <v>5.8608000000000002</v>
          </cell>
          <cell r="Z165">
            <v>6.8199999999999997E-2</v>
          </cell>
          <cell r="AA165">
            <v>5.7926000000000002</v>
          </cell>
          <cell r="AB165" t="e">
            <v>#N/A</v>
          </cell>
          <cell r="AC165" t="e">
            <v>#N/A</v>
          </cell>
          <cell r="AD165" t="str">
            <v>0806-09</v>
          </cell>
          <cell r="AE16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6">
          <cell r="A166" t="str">
            <v>807-09</v>
          </cell>
          <cell r="B166">
            <v>4007</v>
          </cell>
          <cell r="C166" t="str">
            <v>DE.1.0.7.0</v>
          </cell>
          <cell r="D166" t="str">
            <v>204:1049</v>
          </cell>
          <cell r="E166">
            <v>42591.299421296295</v>
          </cell>
          <cell r="F166">
            <v>42591.300104166665</v>
          </cell>
          <cell r="G166">
            <v>0</v>
          </cell>
          <cell r="H166" t="str">
            <v>300:58922</v>
          </cell>
          <cell r="I166">
            <v>42591.315752314818</v>
          </cell>
          <cell r="J166">
            <v>0</v>
          </cell>
          <cell r="K166" t="str">
            <v>4007/4008</v>
          </cell>
          <cell r="L166" t="str">
            <v>LEVIN</v>
          </cell>
          <cell r="M166">
            <v>1.5648148153559305E-2</v>
          </cell>
          <cell r="N166">
            <v>22.533333341125399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https://search-rtdc-monitor-bjffxe2xuh6vdkpspy63sjmuny.us-east-1.es.amazonaws.com/_plugin/kibana/#/discover/Steve-Slow-Train-Analysis-(2080s-and-2083s)?_g=(refreshInterval:(display:Off,section:0,value:0),time:(from:'2016-08-09 06:11:10-0600',mode:absolute,to:'2016-08-09 08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6" t="str">
            <v>N</v>
          </cell>
          <cell r="X166">
            <v>1</v>
          </cell>
          <cell r="Y166">
            <v>0.10489999999999999</v>
          </cell>
          <cell r="Z166">
            <v>5.8921999999999999</v>
          </cell>
          <cell r="AA166">
            <v>5.7873000000000001</v>
          </cell>
          <cell r="AB166" t="e">
            <v>#N/A</v>
          </cell>
          <cell r="AC166" t="e">
            <v>#N/A</v>
          </cell>
          <cell r="AD166" t="str">
            <v>0807-09</v>
          </cell>
          <cell r="AE16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7">
          <cell r="A167" t="str">
            <v>808-09</v>
          </cell>
          <cell r="B167">
            <v>4008</v>
          </cell>
          <cell r="C167" t="str">
            <v>DE.1.0.7.0</v>
          </cell>
          <cell r="D167" t="str">
            <v>300:58600</v>
          </cell>
          <cell r="E167">
            <v>42591.317060185182</v>
          </cell>
          <cell r="F167">
            <v>42591.318101851852</v>
          </cell>
          <cell r="G167">
            <v>1</v>
          </cell>
          <cell r="H167" t="str">
            <v>204:778</v>
          </cell>
          <cell r="I167">
            <v>42591.330243055556</v>
          </cell>
          <cell r="J167">
            <v>0</v>
          </cell>
          <cell r="K167" t="str">
            <v>4007/4008</v>
          </cell>
          <cell r="L167" t="str">
            <v>LEVIN</v>
          </cell>
          <cell r="M167">
            <v>1.2141203704231884E-2</v>
          </cell>
          <cell r="N167">
            <v>17.483333334093913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https://search-rtdc-monitor-bjffxe2xuh6vdkpspy63sjmuny.us-east-1.es.amazonaws.com/_plugin/kibana/#/discover/Steve-Slow-Train-Analysis-(2080s-and-2083s)?_g=(refreshInterval:(display:Off,section:0,value:0),time:(from:'2016-08-09 06:36:34-0600',mode:absolute,to:'2016-08-09 08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7.7799999999999994E-2</v>
          </cell>
          <cell r="AA167">
            <v>5.7822000000000005</v>
          </cell>
          <cell r="AB167" t="e">
            <v>#N/A</v>
          </cell>
          <cell r="AC167" t="e">
            <v>#N/A</v>
          </cell>
          <cell r="AD167" t="str">
            <v>0808-09</v>
          </cell>
          <cell r="AE16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8">
          <cell r="A168" t="str">
            <v>809-09</v>
          </cell>
          <cell r="B168">
            <v>4014</v>
          </cell>
          <cell r="C168" t="str">
            <v>DE.1.0.7.0</v>
          </cell>
          <cell r="D168" t="str">
            <v>204:951</v>
          </cell>
          <cell r="E168">
            <v>42591.324861111112</v>
          </cell>
          <cell r="F168">
            <v>42591.325740740744</v>
          </cell>
          <cell r="G168">
            <v>1</v>
          </cell>
          <cell r="H168" t="str">
            <v>300:58929</v>
          </cell>
          <cell r="I168">
            <v>42591.337789351855</v>
          </cell>
          <cell r="J168">
            <v>1</v>
          </cell>
          <cell r="K168" t="str">
            <v>4013/4014</v>
          </cell>
          <cell r="L168" t="str">
            <v>STARKS</v>
          </cell>
          <cell r="M168">
            <v>1.2048611111822538E-2</v>
          </cell>
          <cell r="N168">
            <v>17.350000001024455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5.8929</v>
          </cell>
          <cell r="AA168">
            <v>5.7977999999999996</v>
          </cell>
          <cell r="AB168" t="e">
            <v>#N/A</v>
          </cell>
          <cell r="AC168" t="e">
            <v>#N/A</v>
          </cell>
          <cell r="AD168" t="str">
            <v>0809-09</v>
          </cell>
          <cell r="AE16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9">
          <cell r="A169" t="str">
            <v>810-09</v>
          </cell>
          <cell r="B169">
            <v>4013</v>
          </cell>
          <cell r="C169" t="str">
            <v>DE.1.0.7.0</v>
          </cell>
          <cell r="D169" t="str">
            <v>300:58611</v>
          </cell>
          <cell r="E169">
            <v>42591.338923611111</v>
          </cell>
          <cell r="F169">
            <v>42591.339814814812</v>
          </cell>
          <cell r="G169">
            <v>1</v>
          </cell>
          <cell r="H169" t="str">
            <v>204:750</v>
          </cell>
          <cell r="I169">
            <v>42591.351261574076</v>
          </cell>
          <cell r="J169">
            <v>0</v>
          </cell>
          <cell r="K169" t="str">
            <v>4013/4014</v>
          </cell>
          <cell r="L169" t="str">
            <v>STARKS</v>
          </cell>
          <cell r="M169">
            <v>1.1446759264799766E-2</v>
          </cell>
          <cell r="N169">
            <v>16.483333341311663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https://search-rtdc-monitor-bjffxe2xuh6vdkpspy63sjmuny.us-east-1.es.amazonaws.com/_plugin/kibana/#/discover/Steve-Slow-Train-Analysis-(2080s-and-2083s)?_g=(refreshInterval:(display:Off,section:0,value:0),time:(from:'2016-08-09 07:08:03-0600',mode:absolute,to:'2016-08-09 09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9" t="str">
            <v>N</v>
          </cell>
          <cell r="X169">
            <v>1</v>
          </cell>
          <cell r="Y169">
            <v>5.8611000000000004</v>
          </cell>
          <cell r="Z169">
            <v>7.4999999999999997E-2</v>
          </cell>
          <cell r="AA169">
            <v>5.7861000000000002</v>
          </cell>
          <cell r="AB169" t="e">
            <v>#N/A</v>
          </cell>
          <cell r="AC169" t="e">
            <v>#N/A</v>
          </cell>
          <cell r="AD169" t="str">
            <v>0810-09</v>
          </cell>
          <cell r="AE16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70">
          <cell r="A170" t="str">
            <v>811-09</v>
          </cell>
          <cell r="B170">
            <v>4007</v>
          </cell>
          <cell r="C170" t="str">
            <v>DE.1.0.7.0</v>
          </cell>
          <cell r="D170" t="str">
            <v>204:1055</v>
          </cell>
          <cell r="E170">
            <v>42591.343645833331</v>
          </cell>
          <cell r="F170">
            <v>42591.344699074078</v>
          </cell>
          <cell r="G170">
            <v>1</v>
          </cell>
          <cell r="H170" t="str">
            <v>300:58924</v>
          </cell>
          <cell r="I170">
            <v>42591.357245370367</v>
          </cell>
          <cell r="J170">
            <v>0</v>
          </cell>
          <cell r="K170" t="str">
            <v>4007/4008</v>
          </cell>
          <cell r="L170" t="str">
            <v>LEVIN</v>
          </cell>
          <cell r="M170">
            <v>1.2546296289656311E-2</v>
          </cell>
          <cell r="N170">
            <v>18.066666657105088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https://search-rtdc-monitor-bjffxe2xuh6vdkpspy63sjmuny.us-east-1.es.amazonaws.com/_plugin/kibana/#/discover/Steve-Slow-Train-Analysis-(2080s-and-2083s)?_g=(refreshInterval:(display:Off,section:0,value:0),time:(from:'2016-08-09 07:14:51-0600',mode:absolute,to:'2016-08-09 09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0" t="str">
            <v>N</v>
          </cell>
          <cell r="X170">
            <v>1</v>
          </cell>
          <cell r="Y170">
            <v>0.1055</v>
          </cell>
          <cell r="Z170">
            <v>5.8924000000000003</v>
          </cell>
          <cell r="AA170">
            <v>5.7869000000000002</v>
          </cell>
          <cell r="AB170" t="e">
            <v>#N/A</v>
          </cell>
          <cell r="AC170" t="e">
            <v>#N/A</v>
          </cell>
          <cell r="AD170" t="str">
            <v>0811-09</v>
          </cell>
          <cell r="AE17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1">
          <cell r="A171" t="str">
            <v>812-09</v>
          </cell>
          <cell r="B171">
            <v>4008</v>
          </cell>
          <cell r="C171" t="str">
            <v>DE.1.0.7.0</v>
          </cell>
          <cell r="D171" t="str">
            <v>300:58600</v>
          </cell>
          <cell r="E171">
            <v>42591.358344907407</v>
          </cell>
          <cell r="F171">
            <v>42591.359305555554</v>
          </cell>
          <cell r="G171">
            <v>1</v>
          </cell>
          <cell r="H171" t="str">
            <v>204:762</v>
          </cell>
          <cell r="I171">
            <v>42591.370937500003</v>
          </cell>
          <cell r="J171">
            <v>0</v>
          </cell>
          <cell r="K171" t="str">
            <v>4007/4008</v>
          </cell>
          <cell r="L171" t="str">
            <v>LEVIN</v>
          </cell>
          <cell r="M171">
            <v>1.1631944449618459E-2</v>
          </cell>
          <cell r="N171">
            <v>16.750000007450581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https://search-rtdc-monitor-bjffxe2xuh6vdkpspy63sjmuny.us-east-1.es.amazonaws.com/_plugin/kibana/#/discover/Steve-Slow-Train-Analysis-(2080s-and-2083s)?_g=(refreshInterval:(display:Off,section:0,value:0),time:(from:'2016-08-09 07:36:01-0600',mode:absolute,to:'2016-08-09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1" t="str">
            <v>N</v>
          </cell>
          <cell r="X171">
            <v>1</v>
          </cell>
          <cell r="Y171">
            <v>5.86</v>
          </cell>
          <cell r="Z171">
            <v>7.6200000000000004E-2</v>
          </cell>
          <cell r="AA171">
            <v>5.7838000000000003</v>
          </cell>
          <cell r="AB171" t="e">
            <v>#N/A</v>
          </cell>
          <cell r="AC171" t="e">
            <v>#N/A</v>
          </cell>
          <cell r="AD171" t="str">
            <v>0812-09</v>
          </cell>
          <cell r="AE17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2">
          <cell r="A172" t="str">
            <v>813-09</v>
          </cell>
          <cell r="B172">
            <v>4007</v>
          </cell>
          <cell r="C172" t="str">
            <v>DE.1.0.7.0</v>
          </cell>
          <cell r="D172" t="str">
            <v>204:1058</v>
          </cell>
          <cell r="E172">
            <v>42591.387349537035</v>
          </cell>
          <cell r="F172">
            <v>42591.388275462959</v>
          </cell>
          <cell r="G172">
            <v>1</v>
          </cell>
          <cell r="H172" t="str">
            <v>300:58914</v>
          </cell>
          <cell r="I172">
            <v>42591.399108796293</v>
          </cell>
          <cell r="J172">
            <v>0</v>
          </cell>
          <cell r="K172" t="str">
            <v>4007/4008</v>
          </cell>
          <cell r="L172" t="str">
            <v>LEVIN</v>
          </cell>
          <cell r="M172">
            <v>1.0833333333721384E-2</v>
          </cell>
          <cell r="N172">
            <v>15.600000000558794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https://search-rtdc-monitor-bjffxe2xuh6vdkpspy63sjmuny.us-east-1.es.amazonaws.com/_plugin/kibana/#/discover/Steve-Slow-Train-Analysis-(2080s-and-2083s)?_g=(refreshInterval:(display:Off,section:0,value:0),time:(from:'2016-08-09 08:17:47-0600',mode:absolute,to:'2016-08-09 10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0.10580000000000001</v>
          </cell>
          <cell r="Z172">
            <v>5.8914</v>
          </cell>
          <cell r="AA172">
            <v>5.7855999999999996</v>
          </cell>
          <cell r="AB172" t="e">
            <v>#N/A</v>
          </cell>
          <cell r="AC172" t="e">
            <v>#N/A</v>
          </cell>
          <cell r="AD172" t="str">
            <v>0813-09</v>
          </cell>
          <cell r="AE17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3">
          <cell r="A173" t="str">
            <v>814-09</v>
          </cell>
          <cell r="B173">
            <v>4008</v>
          </cell>
          <cell r="C173" t="str">
            <v>DE.1.0.7.0</v>
          </cell>
          <cell r="D173" t="str">
            <v>300:58596</v>
          </cell>
          <cell r="E173">
            <v>42591.400289351855</v>
          </cell>
          <cell r="F173">
            <v>42591.401192129626</v>
          </cell>
          <cell r="G173">
            <v>1</v>
          </cell>
          <cell r="H173" t="str">
            <v>204:762</v>
          </cell>
          <cell r="I173">
            <v>42591.41300925926</v>
          </cell>
          <cell r="J173">
            <v>1</v>
          </cell>
          <cell r="K173" t="str">
            <v>4007/4008</v>
          </cell>
          <cell r="L173" t="str">
            <v>LEVIN</v>
          </cell>
          <cell r="M173">
            <v>1.1817129634437151E-2</v>
          </cell>
          <cell r="N173">
            <v>17.016666673589498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5.8596000000000004</v>
          </cell>
          <cell r="Z173">
            <v>7.6200000000000004E-2</v>
          </cell>
          <cell r="AA173">
            <v>5.7834000000000003</v>
          </cell>
          <cell r="AB173" t="e">
            <v>#N/A</v>
          </cell>
          <cell r="AC173" t="e">
            <v>#N/A</v>
          </cell>
          <cell r="AD173" t="str">
            <v>0814-09</v>
          </cell>
          <cell r="AE17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4">
          <cell r="A174" t="str">
            <v>815-09</v>
          </cell>
          <cell r="B174">
            <v>4007</v>
          </cell>
          <cell r="C174" t="str">
            <v>DE.1.0.7.0</v>
          </cell>
          <cell r="D174" t="str">
            <v>204:1053</v>
          </cell>
          <cell r="E174">
            <v>42591.427488425928</v>
          </cell>
          <cell r="F174">
            <v>42591.428368055553</v>
          </cell>
          <cell r="G174">
            <v>1</v>
          </cell>
          <cell r="H174" t="str">
            <v>300:58909</v>
          </cell>
          <cell r="I174">
            <v>42591.44153935185</v>
          </cell>
          <cell r="J174">
            <v>0</v>
          </cell>
          <cell r="K174" t="str">
            <v>4007/4008</v>
          </cell>
          <cell r="L174" t="str">
            <v>LEVIN</v>
          </cell>
          <cell r="M174">
            <v>1.3171296297514345E-2</v>
          </cell>
          <cell r="N174">
            <v>18.966666668420658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https://search-rtdc-monitor-bjffxe2xuh6vdkpspy63sjmuny.us-east-1.es.amazonaws.com/_plugin/kibana/#/discover/Steve-Slow-Train-Analysis-(2080s-and-2083s)?_g=(refreshInterval:(display:Off,section:0,value:0),time:(from:'2016-08-09 09:15:35-0600',mode:absolute,to:'2016-08-09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0.1053</v>
          </cell>
          <cell r="Z174">
            <v>5.8909000000000002</v>
          </cell>
          <cell r="AA174">
            <v>5.7856000000000005</v>
          </cell>
          <cell r="AB174" t="e">
            <v>#N/A</v>
          </cell>
          <cell r="AC174" t="e">
            <v>#N/A</v>
          </cell>
          <cell r="AD174" t="str">
            <v>0815-09</v>
          </cell>
          <cell r="AE17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5">
          <cell r="A175" t="str">
            <v>816-09</v>
          </cell>
          <cell r="B175">
            <v>4008</v>
          </cell>
          <cell r="C175" t="str">
            <v>DE.1.0.7.0</v>
          </cell>
          <cell r="D175" t="str">
            <v>300:58591</v>
          </cell>
          <cell r="E175">
            <v>42591.442685185182</v>
          </cell>
          <cell r="F175">
            <v>42591.443576388891</v>
          </cell>
          <cell r="G175">
            <v>1</v>
          </cell>
          <cell r="H175" t="str">
            <v>204:733</v>
          </cell>
          <cell r="I175">
            <v>42591.455092592594</v>
          </cell>
          <cell r="J175">
            <v>0</v>
          </cell>
          <cell r="K175" t="str">
            <v>4007/4008</v>
          </cell>
          <cell r="L175" t="str">
            <v>LEVIN</v>
          </cell>
          <cell r="M175">
            <v>1.1516203703649808E-2</v>
          </cell>
          <cell r="N175">
            <v>16.583333333255723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https://search-rtdc-monitor-bjffxe2xuh6vdkpspy63sjmuny.us-east-1.es.amazonaws.com/_plugin/kibana/#/discover/Steve-Slow-Train-Analysis-(2080s-and-2083s)?_g=(refreshInterval:(display:Off,section:0,value:0),time:(from:'2016-08-09 09:37:28-0600',mode:absolute,to:'2016-08-09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5.8590999999999998</v>
          </cell>
          <cell r="Z175">
            <v>7.3300000000000004E-2</v>
          </cell>
          <cell r="AA175">
            <v>5.7858000000000001</v>
          </cell>
          <cell r="AB175" t="e">
            <v>#N/A</v>
          </cell>
          <cell r="AC175" t="e">
            <v>#N/A</v>
          </cell>
          <cell r="AD175" t="str">
            <v>0816-09</v>
          </cell>
          <cell r="AE17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6">
          <cell r="A176" t="str">
            <v>817-09</v>
          </cell>
          <cell r="B176">
            <v>4007</v>
          </cell>
          <cell r="C176" t="str">
            <v>DE.1.0.7.0</v>
          </cell>
          <cell r="D176" t="str">
            <v>204:1030</v>
          </cell>
          <cell r="E176">
            <v>42591.467523148145</v>
          </cell>
          <cell r="F176">
            <v>42591.4684837963</v>
          </cell>
          <cell r="G176">
            <v>1</v>
          </cell>
          <cell r="H176" t="str">
            <v>300:58911</v>
          </cell>
          <cell r="I176">
            <v>42591.4844212963</v>
          </cell>
          <cell r="J176">
            <v>1</v>
          </cell>
          <cell r="K176" t="str">
            <v>4007/4008</v>
          </cell>
          <cell r="L176" t="str">
            <v>LEVIN</v>
          </cell>
          <cell r="M176">
            <v>1.5937500000291038E-2</v>
          </cell>
          <cell r="N176">
            <v>22.950000000419095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0.10299999999999999</v>
          </cell>
          <cell r="Z176">
            <v>5.8910999999999998</v>
          </cell>
          <cell r="AA176">
            <v>5.7881</v>
          </cell>
          <cell r="AB176" t="e">
            <v>#N/A</v>
          </cell>
          <cell r="AC176" t="e">
            <v>#N/A</v>
          </cell>
          <cell r="AD176" t="str">
            <v>0817-09</v>
          </cell>
          <cell r="AE17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7">
          <cell r="A177" t="str">
            <v>818-09</v>
          </cell>
          <cell r="B177">
            <v>4008</v>
          </cell>
          <cell r="C177" t="str">
            <v>DE.1.0.7.0</v>
          </cell>
          <cell r="D177" t="str">
            <v>300:58600</v>
          </cell>
          <cell r="E177">
            <v>42591.485335648147</v>
          </cell>
          <cell r="F177">
            <v>42591.486122685186</v>
          </cell>
          <cell r="G177">
            <v>1</v>
          </cell>
          <cell r="H177" t="str">
            <v>204:741</v>
          </cell>
          <cell r="I177">
            <v>42591.496215277781</v>
          </cell>
          <cell r="J177">
            <v>0</v>
          </cell>
          <cell r="K177" t="str">
            <v>4007/4008</v>
          </cell>
          <cell r="L177" t="str">
            <v>LEVIN</v>
          </cell>
          <cell r="M177">
            <v>1.0092592594446614E-2</v>
          </cell>
          <cell r="N177">
            <v>14.533333336003125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https://search-rtdc-monitor-bjffxe2xuh6vdkpspy63sjmuny.us-east-1.es.amazonaws.com/_plugin/kibana/#/discover/Steve-Slow-Train-Analysis-(2080s-and-2083s)?_g=(refreshInterval:(display:Off,section:0,value:0),time:(from:'2016-08-09 10:38:53-0600',mode:absolute,to:'2016-08-09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7.4099999999999999E-2</v>
          </cell>
          <cell r="AA177">
            <v>5.7859000000000007</v>
          </cell>
          <cell r="AB177" t="e">
            <v>#N/A</v>
          </cell>
          <cell r="AC177" t="e">
            <v>#N/A</v>
          </cell>
          <cell r="AD177" t="str">
            <v>0818-09</v>
          </cell>
          <cell r="AE17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8">
          <cell r="A178" t="str">
            <v>819-09</v>
          </cell>
          <cell r="B178">
            <v>4007</v>
          </cell>
          <cell r="C178" t="str">
            <v>DE.1.0.7.0</v>
          </cell>
          <cell r="D178" t="str">
            <v>204:1027</v>
          </cell>
          <cell r="E178">
            <v>42591.509560185186</v>
          </cell>
          <cell r="F178">
            <v>42591.510567129626</v>
          </cell>
          <cell r="G178">
            <v>1</v>
          </cell>
          <cell r="H178" t="str">
            <v>300:58924</v>
          </cell>
          <cell r="I178">
            <v>42591.523877314816</v>
          </cell>
          <cell r="J178">
            <v>0</v>
          </cell>
          <cell r="K178" t="str">
            <v>4007/4008</v>
          </cell>
          <cell r="L178" t="str">
            <v>LEVIN</v>
          </cell>
          <cell r="M178">
            <v>1.3310185189766344E-2</v>
          </cell>
          <cell r="N178">
            <v>19.166666673263535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https://search-rtdc-monitor-bjffxe2xuh6vdkpspy63sjmuny.us-east-1.es.amazonaws.com/_plugin/kibana/#/discover/Steve-Slow-Train-Analysis-(2080s-and-2083s)?_g=(refreshInterval:(display:Off,section:0,value:0),time:(from:'2016-08-09 11:13:46-0600',mode:absolute,to:'2016-08-09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0.1027</v>
          </cell>
          <cell r="Z178">
            <v>5.8924000000000003</v>
          </cell>
          <cell r="AA178">
            <v>5.7897000000000007</v>
          </cell>
          <cell r="AB178" t="e">
            <v>#N/A</v>
          </cell>
          <cell r="AC178" t="e">
            <v>#N/A</v>
          </cell>
          <cell r="AD178" t="str">
            <v>0819-09</v>
          </cell>
          <cell r="AE17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9">
          <cell r="A179" t="str">
            <v>820-09</v>
          </cell>
          <cell r="B179">
            <v>4008</v>
          </cell>
          <cell r="C179" t="str">
            <v>DE.1.0.7.0</v>
          </cell>
          <cell r="D179" t="str">
            <v>300:58596</v>
          </cell>
          <cell r="E179">
            <v>42591.524872685186</v>
          </cell>
          <cell r="F179">
            <v>42591.525613425925</v>
          </cell>
          <cell r="G179">
            <v>1</v>
          </cell>
          <cell r="H179" t="str">
            <v>204:769</v>
          </cell>
          <cell r="I179">
            <v>42591.537685185183</v>
          </cell>
          <cell r="J179">
            <v>0</v>
          </cell>
          <cell r="K179" t="str">
            <v>4007/4008</v>
          </cell>
          <cell r="L179" t="str">
            <v>LEVIN</v>
          </cell>
          <cell r="M179">
            <v>1.2071759258105885E-2</v>
          </cell>
          <cell r="N179">
            <v>17.383333331672475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https://search-rtdc-monitor-bjffxe2xuh6vdkpspy63sjmuny.us-east-1.es.amazonaws.com/_plugin/kibana/#/discover/Steve-Slow-Train-Analysis-(2080s-and-2083s)?_g=(refreshInterval:(display:Off,section:0,value:0),time:(from:'2016-08-09 11:35:49-0600',mode:absolute,to:'2016-08-09 13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5.8596000000000004</v>
          </cell>
          <cell r="Z179">
            <v>7.6899999999999996E-2</v>
          </cell>
          <cell r="AA179">
            <v>5.7827000000000002</v>
          </cell>
          <cell r="AB179" t="e">
            <v>#N/A</v>
          </cell>
          <cell r="AC179" t="e">
            <v>#N/A</v>
          </cell>
          <cell r="AD179" t="str">
            <v>0820-09</v>
          </cell>
          <cell r="AE17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0">
          <cell r="A180" t="str">
            <v>821-09</v>
          </cell>
          <cell r="B180">
            <v>4007</v>
          </cell>
          <cell r="C180" t="str">
            <v>DE.1.0.7.0</v>
          </cell>
          <cell r="D180" t="str">
            <v>204:1051</v>
          </cell>
          <cell r="E180">
            <v>42591.54991898148</v>
          </cell>
          <cell r="F180">
            <v>42591.550983796296</v>
          </cell>
          <cell r="G180">
            <v>1</v>
          </cell>
          <cell r="H180" t="str">
            <v>300:58924</v>
          </cell>
          <cell r="I180">
            <v>42591.565891203703</v>
          </cell>
          <cell r="J180">
            <v>0</v>
          </cell>
          <cell r="K180" t="str">
            <v>4007/4008</v>
          </cell>
          <cell r="L180" t="str">
            <v>BRUDER</v>
          </cell>
          <cell r="M180">
            <v>1.4907407407008577E-2</v>
          </cell>
          <cell r="N180">
            <v>21.466666666092351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https://search-rtdc-monitor-bjffxe2xuh6vdkpspy63sjmuny.us-east-1.es.amazonaws.com/_plugin/kibana/#/discover/Steve-Slow-Train-Analysis-(2080s-and-2083s)?_g=(refreshInterval:(display:Off,section:0,value:0),time:(from:'2016-08-09 12:11:53-0600',mode:absolute,to:'2016-08-09 14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0.1051</v>
          </cell>
          <cell r="Z180">
            <v>5.8924000000000003</v>
          </cell>
          <cell r="AA180">
            <v>5.7873000000000001</v>
          </cell>
          <cell r="AB180" t="e">
            <v>#N/A</v>
          </cell>
          <cell r="AC180" t="e">
            <v>#N/A</v>
          </cell>
          <cell r="AD180" t="str">
            <v>0821-09</v>
          </cell>
          <cell r="AE18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1">
          <cell r="A181" t="str">
            <v>822-09</v>
          </cell>
          <cell r="B181">
            <v>4008</v>
          </cell>
          <cell r="C181" t="str">
            <v>DE.1.0.7.0</v>
          </cell>
          <cell r="D181" t="str">
            <v>300:58611</v>
          </cell>
          <cell r="E181">
            <v>42591.567245370374</v>
          </cell>
          <cell r="F181">
            <v>42591.568402777775</v>
          </cell>
          <cell r="G181">
            <v>1</v>
          </cell>
          <cell r="H181" t="str">
            <v>300:15617</v>
          </cell>
          <cell r="I181">
            <v>42591.577210648145</v>
          </cell>
          <cell r="J181">
            <v>0</v>
          </cell>
          <cell r="K181" t="str">
            <v>4007/4008</v>
          </cell>
          <cell r="L181" t="str">
            <v>BRUDER</v>
          </cell>
          <cell r="M181">
            <v>8.8078703702194616E-3</v>
          </cell>
          <cell r="P181">
            <v>12.683333333116025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https://search-rtdc-monitor-bjffxe2xuh6vdkpspy63sjmuny.us-east-1.es.amazonaws.com/_plugin/kibana/#/discover/Steve-Slow-Train-Analysis-(2080s-and-2083s)?_g=(refreshInterval:(display:Off,section:0,value:0),time:(from:'2016-08-09 12:36:50-0600',mode:absolute,to:'2016-08-09 14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Y</v>
          </cell>
          <cell r="X181">
            <v>1</v>
          </cell>
          <cell r="Y181">
            <v>5.8611000000000004</v>
          </cell>
          <cell r="Z181">
            <v>1.5617000000000001</v>
          </cell>
          <cell r="AA181">
            <v>4.2994000000000003</v>
          </cell>
          <cell r="AB181" t="e">
            <v>#N/A</v>
          </cell>
          <cell r="AC181" t="e">
            <v>#N/A</v>
          </cell>
          <cell r="AD181" t="str">
            <v>0822-09</v>
          </cell>
          <cell r="AE18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2">
          <cell r="A182" t="str">
            <v>823-09</v>
          </cell>
          <cell r="B182">
            <v>4007</v>
          </cell>
          <cell r="C182" t="str">
            <v>DE.1.0.7.0</v>
          </cell>
          <cell r="D182" t="str">
            <v>204:965</v>
          </cell>
          <cell r="E182">
            <v>42591.594328703701</v>
          </cell>
          <cell r="F182">
            <v>42591.595324074071</v>
          </cell>
          <cell r="G182">
            <v>1</v>
          </cell>
          <cell r="H182" t="str">
            <v>300:58920</v>
          </cell>
          <cell r="I182">
            <v>42591.608622685184</v>
          </cell>
          <cell r="J182">
            <v>2</v>
          </cell>
          <cell r="K182" t="str">
            <v>4007/4008</v>
          </cell>
          <cell r="L182" t="str">
            <v>BRUDER</v>
          </cell>
          <cell r="M182">
            <v>1.3298611112986691E-2</v>
          </cell>
          <cell r="N182">
            <v>19.150000002700835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9.6500000000000002E-2</v>
          </cell>
          <cell r="Z182">
            <v>5.8920000000000003</v>
          </cell>
          <cell r="AA182">
            <v>5.7955000000000005</v>
          </cell>
          <cell r="AB182" t="e">
            <v>#N/A</v>
          </cell>
          <cell r="AC182" t="e">
            <v>#N/A</v>
          </cell>
          <cell r="AD182" t="str">
            <v>0823-09</v>
          </cell>
          <cell r="AE18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3">
          <cell r="A183" t="str">
            <v>824-09</v>
          </cell>
          <cell r="B183">
            <v>4008</v>
          </cell>
          <cell r="C183" t="str">
            <v>DE.1.0.7.0</v>
          </cell>
          <cell r="D183" t="str">
            <v>300:58604</v>
          </cell>
          <cell r="E183">
            <v>42591.610277777778</v>
          </cell>
          <cell r="F183">
            <v>42591.611840277779</v>
          </cell>
          <cell r="G183">
            <v>2</v>
          </cell>
          <cell r="H183" t="str">
            <v>204:668</v>
          </cell>
          <cell r="I183">
            <v>42591.621458333335</v>
          </cell>
          <cell r="J183">
            <v>0</v>
          </cell>
          <cell r="K183" t="str">
            <v>4007/4008</v>
          </cell>
          <cell r="L183" t="str">
            <v>BRUDER</v>
          </cell>
          <cell r="M183">
            <v>9.6180555556202307E-3</v>
          </cell>
          <cell r="N183">
            <v>13.850000000093132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https://search-rtdc-monitor-bjffxe2xuh6vdkpspy63sjmuny.us-east-1.es.amazonaws.com/_plugin/kibana/#/discover/Steve-Slow-Train-Analysis-(2080s-and-2083s)?_g=(refreshInterval:(display:Off,section:0,value:0),time:(from:'2016-08-09 13:38:48-0600',mode:absolute,to:'2016-08-09 15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5.8604000000000003</v>
          </cell>
          <cell r="Z183">
            <v>6.6799999999999998E-2</v>
          </cell>
          <cell r="AA183">
            <v>5.7936000000000005</v>
          </cell>
          <cell r="AB183" t="e">
            <v>#N/A</v>
          </cell>
          <cell r="AC183" t="e">
            <v>#N/A</v>
          </cell>
          <cell r="AD183" t="str">
            <v>0824-09</v>
          </cell>
          <cell r="AE18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4">
          <cell r="A184" t="str">
            <v>825-09</v>
          </cell>
          <cell r="B184">
            <v>4007</v>
          </cell>
          <cell r="C184" t="str">
            <v>DE.1.0.7.0</v>
          </cell>
          <cell r="D184" t="str">
            <v>204:976</v>
          </cell>
          <cell r="E184">
            <v>42591.634097222224</v>
          </cell>
          <cell r="F184">
            <v>42591.635231481479</v>
          </cell>
          <cell r="G184">
            <v>1</v>
          </cell>
          <cell r="H184" t="str">
            <v>300:58924</v>
          </cell>
          <cell r="I184">
            <v>42591.649907407409</v>
          </cell>
          <cell r="J184">
            <v>0</v>
          </cell>
          <cell r="K184" t="str">
            <v>4007/4008</v>
          </cell>
          <cell r="L184" t="str">
            <v>BRUDER</v>
          </cell>
          <cell r="M184">
            <v>1.467592592962319E-2</v>
          </cell>
          <cell r="N184">
            <v>21.133333338657394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https://search-rtdc-monitor-bjffxe2xuh6vdkpspy63sjmuny.us-east-1.es.amazonaws.com/_plugin/kibana/#/discover/Steve-Slow-Train-Analysis-(2080s-and-2083s)?_g=(refreshInterval:(display:Off,section:0,value:0),time:(from:'2016-08-09 14:13:06-0600',mode:absolute,to:'2016-08-09 16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N</v>
          </cell>
          <cell r="X184">
            <v>1</v>
          </cell>
          <cell r="Y184">
            <v>9.7600000000000006E-2</v>
          </cell>
          <cell r="Z184">
            <v>5.8924000000000003</v>
          </cell>
          <cell r="AA184">
            <v>5.7948000000000004</v>
          </cell>
          <cell r="AB184" t="e">
            <v>#N/A</v>
          </cell>
          <cell r="AC184" t="e">
            <v>#N/A</v>
          </cell>
          <cell r="AD184" t="str">
            <v>0825-09</v>
          </cell>
          <cell r="AE18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5">
          <cell r="A185" t="str">
            <v>826-09</v>
          </cell>
          <cell r="B185">
            <v>4008</v>
          </cell>
          <cell r="C185" t="str">
            <v>DE.1.0.7.0</v>
          </cell>
          <cell r="D185" t="str">
            <v>300:58604</v>
          </cell>
          <cell r="E185">
            <v>42591.651539351849</v>
          </cell>
          <cell r="F185">
            <v>42591.652407407404</v>
          </cell>
          <cell r="G185">
            <v>1</v>
          </cell>
          <cell r="H185" t="str">
            <v>204:657</v>
          </cell>
          <cell r="I185">
            <v>42591.663321759261</v>
          </cell>
          <cell r="J185">
            <v>0</v>
          </cell>
          <cell r="K185" t="str">
            <v>4007/4008</v>
          </cell>
          <cell r="L185" t="str">
            <v>BRUDER</v>
          </cell>
          <cell r="M185">
            <v>1.0914351856627036E-2</v>
          </cell>
          <cell r="N185">
            <v>15.716666673542932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https://search-rtdc-monitor-bjffxe2xuh6vdkpspy63sjmuny.us-east-1.es.amazonaws.com/_plugin/kibana/#/discover/Steve-Slow-Train-Analysis-(2080s-and-2083s)?_g=(refreshInterval:(display:Off,section:0,value:0),time:(from:'2016-08-09 14:38:13-0600',mode:absolute,to:'2016-08-09 16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5.8604000000000003</v>
          </cell>
          <cell r="Z185">
            <v>6.5699999999999995E-2</v>
          </cell>
          <cell r="AA185">
            <v>5.7947000000000006</v>
          </cell>
          <cell r="AB185" t="e">
            <v>#N/A</v>
          </cell>
          <cell r="AC185" t="e">
            <v>#N/A</v>
          </cell>
          <cell r="AD185" t="str">
            <v>0826-09</v>
          </cell>
          <cell r="AE18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6">
          <cell r="A186" t="str">
            <v>827-09</v>
          </cell>
          <cell r="B186">
            <v>4014</v>
          </cell>
          <cell r="C186" t="str">
            <v>DE.1.0.7.0</v>
          </cell>
          <cell r="D186" t="str">
            <v>204:1002</v>
          </cell>
          <cell r="E186">
            <v>42591.657025462962</v>
          </cell>
          <cell r="F186">
            <v>42591.657997685186</v>
          </cell>
          <cell r="G186">
            <v>1</v>
          </cell>
          <cell r="H186" t="str">
            <v>300:58918</v>
          </cell>
          <cell r="I186">
            <v>42591.672060185185</v>
          </cell>
          <cell r="J186">
            <v>0</v>
          </cell>
          <cell r="K186" t="str">
            <v>4013/4014</v>
          </cell>
          <cell r="L186" t="str">
            <v>STURGEON</v>
          </cell>
          <cell r="M186">
            <v>1.4062499998544808E-2</v>
          </cell>
          <cell r="N186">
            <v>20.249999997904524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https://search-rtdc-monitor-bjffxe2xuh6vdkpspy63sjmuny.us-east-1.es.amazonaws.com/_plugin/kibana/#/discover/Steve-Slow-Train-Analysis-(2080s-and-2083s)?_g=(refreshInterval:(display:Off,section:0,value:0),time:(from:'2016-08-09 14:46:07-0600',mode:absolute,to:'2016-08-09 17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6" t="str">
            <v>N</v>
          </cell>
          <cell r="X186">
            <v>1</v>
          </cell>
          <cell r="Y186">
            <v>0.1002</v>
          </cell>
          <cell r="Z186">
            <v>5.8917999999999999</v>
          </cell>
          <cell r="AA186">
            <v>5.7915999999999999</v>
          </cell>
          <cell r="AB186" t="e">
            <v>#N/A</v>
          </cell>
          <cell r="AC186" t="e">
            <v>#N/A</v>
          </cell>
          <cell r="AD186" t="str">
            <v>0827-09</v>
          </cell>
          <cell r="AE18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87">
          <cell r="A187" t="str">
            <v>828-09</v>
          </cell>
          <cell r="B187">
            <v>4013</v>
          </cell>
          <cell r="C187" t="str">
            <v>DE.1.0.7.0</v>
          </cell>
          <cell r="D187" t="str">
            <v>300:58609</v>
          </cell>
          <cell r="E187">
            <v>42591.67359953704</v>
          </cell>
          <cell r="F187">
            <v>42591.674363425926</v>
          </cell>
          <cell r="G187">
            <v>1</v>
          </cell>
          <cell r="H187" t="str">
            <v>204:717</v>
          </cell>
          <cell r="I187">
            <v>42591.686793981484</v>
          </cell>
          <cell r="J187">
            <v>0</v>
          </cell>
          <cell r="K187" t="str">
            <v>4013/4014</v>
          </cell>
          <cell r="L187" t="str">
            <v>STURGEON</v>
          </cell>
          <cell r="M187">
            <v>1.2430555558239575E-2</v>
          </cell>
          <cell r="N187">
            <v>17.900000003864989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https://search-rtdc-monitor-bjffxe2xuh6vdkpspy63sjmuny.us-east-1.es.amazonaws.com/_plugin/kibana/#/discover/Steve-Slow-Train-Analysis-(2080s-and-2083s)?_g=(refreshInterval:(display:Off,section:0,value:0),time:(from:'2016-08-09 15:09:59-0600',mode:absolute,to:'2016-08-09 17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7.17E-2</v>
          </cell>
          <cell r="AA187">
            <v>5.7892000000000001</v>
          </cell>
          <cell r="AB187" t="e">
            <v>#N/A</v>
          </cell>
          <cell r="AC187" t="e">
            <v>#N/A</v>
          </cell>
          <cell r="AD187" t="str">
            <v>0828-09</v>
          </cell>
          <cell r="AE18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88">
          <cell r="A188" t="str">
            <v>829-09</v>
          </cell>
          <cell r="B188">
            <v>4007</v>
          </cell>
          <cell r="C188" t="str">
            <v>DE.1.0.7.0</v>
          </cell>
          <cell r="D188" t="str">
            <v>204:971</v>
          </cell>
          <cell r="E188">
            <v>42591.674409722225</v>
          </cell>
          <cell r="F188">
            <v>42591.675208333334</v>
          </cell>
          <cell r="G188">
            <v>1</v>
          </cell>
          <cell r="H188" t="str">
            <v>300:58928</v>
          </cell>
          <cell r="I188">
            <v>42591.690960648149</v>
          </cell>
          <cell r="J188">
            <v>0</v>
          </cell>
          <cell r="K188" t="str">
            <v>4007/4008</v>
          </cell>
          <cell r="L188" t="str">
            <v>BRUDER</v>
          </cell>
          <cell r="M188">
            <v>1.5752314815472346E-2</v>
          </cell>
          <cell r="N188">
            <v>22.683333334280178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https://search-rtdc-monitor-bjffxe2xuh6vdkpspy63sjmuny.us-east-1.es.amazonaws.com/_plugin/kibana/#/discover/Steve-Slow-Train-Analysis-(2080s-and-2083s)?_g=(refreshInterval:(display:Off,section:0,value:0),time:(from:'2016-08-09 15:11:09-0600',mode:absolute,to:'2016-08-09 17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8" t="str">
            <v>N</v>
          </cell>
          <cell r="X188">
            <v>1</v>
          </cell>
          <cell r="Y188">
            <v>9.7100000000000006E-2</v>
          </cell>
          <cell r="Z188">
            <v>5.8928000000000003</v>
          </cell>
          <cell r="AA188">
            <v>5.7957000000000001</v>
          </cell>
          <cell r="AB188" t="e">
            <v>#N/A</v>
          </cell>
          <cell r="AC188" t="e">
            <v>#N/A</v>
          </cell>
          <cell r="AD188" t="str">
            <v>0829-09</v>
          </cell>
          <cell r="AE18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9">
          <cell r="A189" t="str">
            <v>830-09</v>
          </cell>
          <cell r="B189">
            <v>4008</v>
          </cell>
          <cell r="C189" t="str">
            <v>DE.1.0.7.0</v>
          </cell>
          <cell r="D189" t="str">
            <v>300:58613</v>
          </cell>
          <cell r="E189">
            <v>42591.693333333336</v>
          </cell>
          <cell r="F189">
            <v>42591.694409722222</v>
          </cell>
          <cell r="G189">
            <v>1</v>
          </cell>
          <cell r="H189" t="str">
            <v>204:684</v>
          </cell>
          <cell r="I189">
            <v>42591.706099537034</v>
          </cell>
          <cell r="J189">
            <v>1</v>
          </cell>
          <cell r="K189" t="str">
            <v>4007/4008</v>
          </cell>
          <cell r="L189" t="str">
            <v>BRUDER</v>
          </cell>
          <cell r="M189">
            <v>1.1689814811688848E-2</v>
          </cell>
          <cell r="N189">
            <v>16.833333328831941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9" t="str">
            <v>N</v>
          </cell>
          <cell r="X189">
            <v>1</v>
          </cell>
          <cell r="Y189">
            <v>5.8613</v>
          </cell>
          <cell r="Z189">
            <v>6.8400000000000002E-2</v>
          </cell>
          <cell r="AA189">
            <v>5.7929000000000004</v>
          </cell>
          <cell r="AB189" t="e">
            <v>#N/A</v>
          </cell>
          <cell r="AC189" t="e">
            <v>#N/A</v>
          </cell>
          <cell r="AD189" t="str">
            <v>0830-09</v>
          </cell>
          <cell r="AE18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0">
          <cell r="A190" t="str">
            <v>831-09</v>
          </cell>
          <cell r="B190">
            <v>4014</v>
          </cell>
          <cell r="C190" t="str">
            <v>DE.1.0.7.0</v>
          </cell>
          <cell r="D190" t="str">
            <v>204:1009</v>
          </cell>
          <cell r="E190">
            <v>42591.699004629627</v>
          </cell>
          <cell r="F190">
            <v>42591.699942129628</v>
          </cell>
          <cell r="G190">
            <v>1</v>
          </cell>
          <cell r="H190" t="str">
            <v>300:58918</v>
          </cell>
          <cell r="I190">
            <v>42591.714259259257</v>
          </cell>
          <cell r="J190">
            <v>0</v>
          </cell>
          <cell r="K190" t="str">
            <v>4013/4014</v>
          </cell>
          <cell r="L190" t="str">
            <v>STURGEON</v>
          </cell>
          <cell r="M190">
            <v>1.43171296294895E-2</v>
          </cell>
          <cell r="N190">
            <v>20.61666666646488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https://search-rtdc-monitor-bjffxe2xuh6vdkpspy63sjmuny.us-east-1.es.amazonaws.com/_plugin/kibana/#/discover/Steve-Slow-Train-Analysis-(2080s-and-2083s)?_g=(refreshInterval:(display:Off,section:0,value:0),time:(from:'2016-08-09 15:46:34-0600',mode:absolute,to:'2016-08-09 18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0" t="str">
            <v>N</v>
          </cell>
          <cell r="X190">
            <v>1</v>
          </cell>
          <cell r="Y190">
            <v>0.1009</v>
          </cell>
          <cell r="Z190">
            <v>5.8917999999999999</v>
          </cell>
          <cell r="AA190">
            <v>5.7908999999999997</v>
          </cell>
          <cell r="AB190" t="e">
            <v>#N/A</v>
          </cell>
          <cell r="AC190" t="e">
            <v>#N/A</v>
          </cell>
          <cell r="AD190" t="str">
            <v>0831-09</v>
          </cell>
          <cell r="AE19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1">
          <cell r="A191" t="str">
            <v>832-09</v>
          </cell>
          <cell r="B191">
            <v>4013</v>
          </cell>
          <cell r="C191" t="str">
            <v>DE.1.0.7.0</v>
          </cell>
          <cell r="D191" t="str">
            <v>300:58604</v>
          </cell>
          <cell r="E191">
            <v>42591.715671296297</v>
          </cell>
          <cell r="F191">
            <v>42591.716597222221</v>
          </cell>
          <cell r="G191">
            <v>1</v>
          </cell>
          <cell r="H191" t="str">
            <v>204:717</v>
          </cell>
          <cell r="I191">
            <v>42591.728506944448</v>
          </cell>
          <cell r="J191">
            <v>0</v>
          </cell>
          <cell r="K191" t="str">
            <v>4013/4014</v>
          </cell>
          <cell r="L191" t="str">
            <v>STURGEON</v>
          </cell>
          <cell r="M191">
            <v>1.1909722226846498E-2</v>
          </cell>
          <cell r="N191">
            <v>17.150000006658956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https://search-rtdc-monitor-bjffxe2xuh6vdkpspy63sjmuny.us-east-1.es.amazonaws.com/_plugin/kibana/#/discover/Steve-Slow-Train-Analysis-(2080s-and-2083s)?_g=(refreshInterval:(display:Off,section:0,value:0),time:(from:'2016-08-09 16:10:34-0600',mode:absolute,to:'2016-08-09 18:29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1" t="str">
            <v>N</v>
          </cell>
          <cell r="X191">
            <v>1</v>
          </cell>
          <cell r="Y191">
            <v>5.8604000000000003</v>
          </cell>
          <cell r="Z191">
            <v>7.17E-2</v>
          </cell>
          <cell r="AA191">
            <v>5.7887000000000004</v>
          </cell>
          <cell r="AB191" t="e">
            <v>#N/A</v>
          </cell>
          <cell r="AC191" t="e">
            <v>#N/A</v>
          </cell>
          <cell r="AD191" t="str">
            <v>0832-09</v>
          </cell>
          <cell r="AE19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2">
          <cell r="A192" t="str">
            <v>833-09</v>
          </cell>
          <cell r="B192">
            <v>4007</v>
          </cell>
          <cell r="C192" t="str">
            <v>DE.1.0.7.0</v>
          </cell>
          <cell r="D192" t="str">
            <v>204:979</v>
          </cell>
          <cell r="E192">
            <v>42591.720069444447</v>
          </cell>
          <cell r="F192">
            <v>42591.721192129633</v>
          </cell>
          <cell r="G192">
            <v>1</v>
          </cell>
          <cell r="H192" t="str">
            <v>300:58924</v>
          </cell>
          <cell r="I192">
            <v>42591.735034722224</v>
          </cell>
          <cell r="J192">
            <v>0</v>
          </cell>
          <cell r="K192" t="str">
            <v>4007/4008</v>
          </cell>
          <cell r="L192" t="str">
            <v>BRUDER</v>
          </cell>
          <cell r="M192">
            <v>1.3842592590663116E-2</v>
          </cell>
          <cell r="N192">
            <v>19.933333330554888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https://search-rtdc-monitor-bjffxe2xuh6vdkpspy63sjmuny.us-east-1.es.amazonaws.com/_plugin/kibana/#/discover/Steve-Slow-Train-Analysis-(2080s-and-2083s)?_g=(refreshInterval:(display:Off,section:0,value:0),time:(from:'2016-08-09 16:16:54-0600',mode:absolute,to:'2016-08-09 18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2" t="str">
            <v>N</v>
          </cell>
          <cell r="X192">
            <v>1</v>
          </cell>
          <cell r="Y192">
            <v>9.7900000000000001E-2</v>
          </cell>
          <cell r="Z192">
            <v>5.8924000000000003</v>
          </cell>
          <cell r="AA192">
            <v>5.7945000000000002</v>
          </cell>
          <cell r="AB192" t="e">
            <v>#N/A</v>
          </cell>
          <cell r="AC192" t="e">
            <v>#N/A</v>
          </cell>
          <cell r="AD192" t="str">
            <v>0833-09</v>
          </cell>
          <cell r="AE19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3">
          <cell r="A193" t="str">
            <v>834-09</v>
          </cell>
          <cell r="B193">
            <v>4008</v>
          </cell>
          <cell r="C193" t="str">
            <v>DE.1.0.7.0</v>
          </cell>
          <cell r="D193" t="str">
            <v>300:58608</v>
          </cell>
          <cell r="E193">
            <v>42591.735659722224</v>
          </cell>
          <cell r="F193">
            <v>42591.736446759256</v>
          </cell>
          <cell r="G193">
            <v>1</v>
          </cell>
          <cell r="H193" t="str">
            <v>204:691</v>
          </cell>
          <cell r="I193">
            <v>42591.746747685182</v>
          </cell>
          <cell r="J193">
            <v>0</v>
          </cell>
          <cell r="K193" t="str">
            <v>4007/4008</v>
          </cell>
          <cell r="L193" t="str">
            <v>BRUDER</v>
          </cell>
          <cell r="M193">
            <v>1.0300925925548654E-2</v>
          </cell>
          <cell r="N193">
            <v>14.833333332790062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https://search-rtdc-monitor-bjffxe2xuh6vdkpspy63sjmuny.us-east-1.es.amazonaws.com/_plugin/kibana/#/discover/Steve-Slow-Train-Analysis-(2080s-and-2083s)?_g=(refreshInterval:(display:Off,section:0,value:0),time:(from:'2016-08-09 16:39:21-0600',mode:absolute,to:'2016-08-09 18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3" t="str">
            <v>N</v>
          </cell>
          <cell r="X193">
            <v>1</v>
          </cell>
          <cell r="Y193">
            <v>5.8608000000000002</v>
          </cell>
          <cell r="Z193">
            <v>6.9099999999999995E-2</v>
          </cell>
          <cell r="AA193">
            <v>5.7917000000000005</v>
          </cell>
          <cell r="AB193" t="e">
            <v>#N/A</v>
          </cell>
          <cell r="AC193" t="e">
            <v>#N/A</v>
          </cell>
          <cell r="AD193" t="str">
            <v>0834-09</v>
          </cell>
          <cell r="AE19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4">
          <cell r="A194" t="str">
            <v>835-09</v>
          </cell>
          <cell r="B194">
            <v>4014</v>
          </cell>
          <cell r="C194" t="str">
            <v>DE.1.0.7.0</v>
          </cell>
          <cell r="D194" t="str">
            <v>204:1014</v>
          </cell>
          <cell r="E194">
            <v>42591.736956018518</v>
          </cell>
          <cell r="F194">
            <v>42591.739421296297</v>
          </cell>
          <cell r="G194">
            <v>3</v>
          </cell>
          <cell r="H194" t="str">
            <v>300:58924</v>
          </cell>
          <cell r="I194">
            <v>42591.755023148151</v>
          </cell>
          <cell r="J194">
            <v>0</v>
          </cell>
          <cell r="K194" t="str">
            <v>4013/4014</v>
          </cell>
          <cell r="L194" t="str">
            <v>STURGEON</v>
          </cell>
          <cell r="M194">
            <v>1.5601851853716653E-2</v>
          </cell>
          <cell r="N194">
            <v>22.46666666935198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https://search-rtdc-monitor-bjffxe2xuh6vdkpspy63sjmuny.us-east-1.es.amazonaws.com/_plugin/kibana/#/discover/Steve-Slow-Train-Analysis-(2080s-and-2083s)?_g=(refreshInterval:(display:Off,section:0,value:0),time:(from:'2016-08-09 16:41:13-0600',mode:absolute,to:'2016-08-09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4" t="str">
            <v>N</v>
          </cell>
          <cell r="X194">
            <v>1</v>
          </cell>
          <cell r="Y194">
            <v>0.1014</v>
          </cell>
          <cell r="Z194">
            <v>5.8924000000000003</v>
          </cell>
          <cell r="AA194">
            <v>5.7910000000000004</v>
          </cell>
          <cell r="AB194" t="e">
            <v>#N/A</v>
          </cell>
          <cell r="AC194" t="e">
            <v>#N/A</v>
          </cell>
          <cell r="AD194" t="str">
            <v>0835-09</v>
          </cell>
          <cell r="AE19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5">
          <cell r="A195" t="str">
            <v>836-09</v>
          </cell>
          <cell r="B195">
            <v>4013</v>
          </cell>
          <cell r="C195" t="str">
            <v>DE.1.0.7.0</v>
          </cell>
          <cell r="D195" t="str">
            <v>300:58604</v>
          </cell>
          <cell r="E195">
            <v>42591.756863425922</v>
          </cell>
          <cell r="F195">
            <v>42591.757824074077</v>
          </cell>
          <cell r="G195">
            <v>1</v>
          </cell>
          <cell r="H195" t="str">
            <v>204:705</v>
          </cell>
          <cell r="I195">
            <v>42591.769224537034</v>
          </cell>
          <cell r="J195">
            <v>0</v>
          </cell>
          <cell r="K195" t="str">
            <v>4013/4014</v>
          </cell>
          <cell r="L195" t="str">
            <v>STURGEON</v>
          </cell>
          <cell r="M195">
            <v>1.1400462957681157E-2</v>
          </cell>
          <cell r="N195">
            <v>16.416666659060866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5" t="str">
            <v>N</v>
          </cell>
          <cell r="X195">
            <v>1</v>
          </cell>
          <cell r="Y195">
            <v>5.8604000000000003</v>
          </cell>
          <cell r="Z195">
            <v>7.0499999999999993E-2</v>
          </cell>
          <cell r="AA195">
            <v>5.7899000000000003</v>
          </cell>
          <cell r="AB195" t="e">
            <v>#N/A</v>
          </cell>
          <cell r="AC195" t="e">
            <v>#N/A</v>
          </cell>
          <cell r="AD195" t="str">
            <v>0836-09</v>
          </cell>
          <cell r="AE19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6">
          <cell r="A196" t="str">
            <v>837-09</v>
          </cell>
          <cell r="B196">
            <v>4007</v>
          </cell>
          <cell r="C196" t="str">
            <v>DE.1.0.7.0</v>
          </cell>
          <cell r="D196" t="str">
            <v>204:976</v>
          </cell>
          <cell r="E196">
            <v>42591.761041666665</v>
          </cell>
          <cell r="F196">
            <v>42591.761874999997</v>
          </cell>
          <cell r="G196">
            <v>1</v>
          </cell>
          <cell r="H196" t="str">
            <v>300:58922</v>
          </cell>
          <cell r="I196">
            <v>42591.773900462962</v>
          </cell>
          <cell r="J196">
            <v>0</v>
          </cell>
          <cell r="K196" t="str">
            <v>4007/4008</v>
          </cell>
          <cell r="L196" t="str">
            <v>BRUDER</v>
          </cell>
          <cell r="M196">
            <v>1.2025462965539191E-2</v>
          </cell>
          <cell r="N196">
            <v>17.316666670376435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https://search-rtdc-monitor-bjffxe2xuh6vdkpspy63sjmuny.us-east-1.es.amazonaws.com/_plugin/kibana/#/discover/Steve-Slow-Train-Analysis-(2080s-and-2083s)?_g=(refreshInterval:(display:Off,section:0,value:0),time:(from:'2016-08-09 17:15:54-0600',mode:absolute,to:'2016-08-09 19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N</v>
          </cell>
          <cell r="X196">
            <v>1</v>
          </cell>
          <cell r="Y196">
            <v>9.7600000000000006E-2</v>
          </cell>
          <cell r="Z196">
            <v>5.8921999999999999</v>
          </cell>
          <cell r="AA196">
            <v>5.7946</v>
          </cell>
          <cell r="AB196" t="e">
            <v>#N/A</v>
          </cell>
          <cell r="AC196" t="e">
            <v>#N/A</v>
          </cell>
          <cell r="AD196" t="str">
            <v>0837-09</v>
          </cell>
          <cell r="AE19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7">
          <cell r="A197" t="str">
            <v>838-09</v>
          </cell>
          <cell r="B197">
            <v>4008</v>
          </cell>
          <cell r="C197" t="str">
            <v>DE.1.0.7.0</v>
          </cell>
          <cell r="D197" t="str">
            <v>300:58606</v>
          </cell>
          <cell r="E197">
            <v>42591.775138888886</v>
          </cell>
          <cell r="F197">
            <v>42591.776064814818</v>
          </cell>
          <cell r="G197">
            <v>1</v>
          </cell>
          <cell r="H197" t="str">
            <v>204:691</v>
          </cell>
          <cell r="I197">
            <v>42591.788124999999</v>
          </cell>
          <cell r="J197">
            <v>0</v>
          </cell>
          <cell r="K197" t="str">
            <v>4007/4008</v>
          </cell>
          <cell r="L197" t="str">
            <v>BRUDER</v>
          </cell>
          <cell r="M197">
            <v>1.2060185181326233E-2</v>
          </cell>
          <cell r="N197">
            <v>17.366666661109775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https://search-rtdc-monitor-bjffxe2xuh6vdkpspy63sjmuny.us-east-1.es.amazonaws.com/_plugin/kibana/#/discover/Steve-Slow-Train-Analysis-(2080s-and-2083s)?_g=(refreshInterval:(display:Off,section:0,value:0),time:(from:'2016-08-09 17:36:12-0600',mode:absolute,to:'2016-08-09 19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7" t="str">
            <v>N</v>
          </cell>
          <cell r="X197">
            <v>1</v>
          </cell>
          <cell r="Y197">
            <v>5.8605999999999998</v>
          </cell>
          <cell r="Z197">
            <v>6.9099999999999995E-2</v>
          </cell>
          <cell r="AA197">
            <v>5.7915000000000001</v>
          </cell>
          <cell r="AB197" t="e">
            <v>#N/A</v>
          </cell>
          <cell r="AC197" t="e">
            <v>#N/A</v>
          </cell>
          <cell r="AD197" t="str">
            <v>0838-09</v>
          </cell>
          <cell r="AE19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8">
          <cell r="A198" t="str">
            <v>839-09</v>
          </cell>
          <cell r="B198">
            <v>4014</v>
          </cell>
          <cell r="C198" t="str">
            <v>DE.1.0.7.0</v>
          </cell>
          <cell r="D198" t="str">
            <v>204:1004</v>
          </cell>
          <cell r="E198">
            <v>42591.777245370373</v>
          </cell>
          <cell r="F198">
            <v>42591.778368055559</v>
          </cell>
          <cell r="G198">
            <v>1</v>
          </cell>
          <cell r="H198" t="str">
            <v>300:58914</v>
          </cell>
          <cell r="I198">
            <v>42591.796620370369</v>
          </cell>
          <cell r="J198">
            <v>0</v>
          </cell>
          <cell r="K198" t="str">
            <v>4013/4014</v>
          </cell>
          <cell r="L198" t="str">
            <v>STURGEON</v>
          </cell>
          <cell r="M198">
            <v>1.8252314810524695E-2</v>
          </cell>
          <cell r="N198">
            <v>26.28333332715556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https://search-rtdc-monitor-bjffxe2xuh6vdkpspy63sjmuny.us-east-1.es.amazonaws.com/_plugin/kibana/#/discover/Steve-Slow-Train-Analysis-(2080s-and-2083s)?_g=(refreshInterval:(display:Off,section:0,value:0),time:(from:'2016-08-09 17:39:14-0600',mode:absolute,to:'2016-08-09 20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8" t="str">
            <v>N</v>
          </cell>
          <cell r="X198">
            <v>1</v>
          </cell>
          <cell r="Y198">
            <v>0.1004</v>
          </cell>
          <cell r="Z198">
            <v>5.8914</v>
          </cell>
          <cell r="AA198">
            <v>5.7910000000000004</v>
          </cell>
          <cell r="AB198" t="e">
            <v>#N/A</v>
          </cell>
          <cell r="AC198" t="e">
            <v>#N/A</v>
          </cell>
          <cell r="AD198" t="str">
            <v>0839-09</v>
          </cell>
          <cell r="AE19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9">
          <cell r="A199" t="str">
            <v>840-09</v>
          </cell>
          <cell r="B199">
            <v>4008</v>
          </cell>
          <cell r="C199" t="str">
            <v>DE.1.0.7.0</v>
          </cell>
          <cell r="D199" t="str">
            <v>300:58613</v>
          </cell>
          <cell r="E199">
            <v>42591.81659722222</v>
          </cell>
          <cell r="F199">
            <v>42591.817407407405</v>
          </cell>
          <cell r="G199">
            <v>1</v>
          </cell>
          <cell r="H199" t="str">
            <v>204:685</v>
          </cell>
          <cell r="I199">
            <v>42591.829629629632</v>
          </cell>
          <cell r="J199">
            <v>0</v>
          </cell>
          <cell r="K199" t="str">
            <v>4007/4008</v>
          </cell>
          <cell r="L199" t="str">
            <v>BRUDER</v>
          </cell>
          <cell r="M199">
            <v>1.2222222227137536E-2</v>
          </cell>
          <cell r="N199">
            <v>17.600000007078052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https://search-rtdc-monitor-bjffxe2xuh6vdkpspy63sjmuny.us-east-1.es.amazonaws.com/_plugin/kibana/#/discover/Steve-Slow-Train-Analysis-(2080s-and-2083s)?_g=(refreshInterval:(display:Off,section:0,value:0),time:(from:'2016-08-09 18:35:54-0600',mode:absolute,to:'2016-08-09 20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6.8500000000000005E-2</v>
          </cell>
          <cell r="AA199">
            <v>5.7927999999999997</v>
          </cell>
          <cell r="AB199" t="e">
            <v>#N/A</v>
          </cell>
          <cell r="AC199" t="e">
            <v>#N/A</v>
          </cell>
          <cell r="AD199" t="str">
            <v>0840-09</v>
          </cell>
          <cell r="AE19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0">
          <cell r="A200" t="str">
            <v>841-09</v>
          </cell>
          <cell r="B200">
            <v>4007</v>
          </cell>
          <cell r="C200" t="str">
            <v>DE.1.0.7.0</v>
          </cell>
          <cell r="D200" t="str">
            <v>204:972</v>
          </cell>
          <cell r="E200">
            <v>42591.802152777775</v>
          </cell>
          <cell r="F200">
            <v>42591.803217592591</v>
          </cell>
          <cell r="G200">
            <v>1</v>
          </cell>
          <cell r="H200" t="str">
            <v>300:58926</v>
          </cell>
          <cell r="I200">
            <v>42591.815486111111</v>
          </cell>
          <cell r="J200">
            <v>0</v>
          </cell>
          <cell r="K200" t="str">
            <v>4007/4008</v>
          </cell>
          <cell r="L200" t="str">
            <v>BRUDER</v>
          </cell>
          <cell r="M200">
            <v>1.226851851970423E-2</v>
          </cell>
          <cell r="N200">
            <v>17.666666668374091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https://search-rtdc-monitor-bjffxe2xuh6vdkpspy63sjmuny.us-east-1.es.amazonaws.com/_plugin/kibana/#/discover/Steve-Slow-Train-Analysis-(2080s-and-2083s)?_g=(refreshInterval:(display:Off,section:0,value:0),time:(from:'2016-08-09 18:15:06-0600',mode:absolute,to:'2016-08-09 20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0" t="str">
            <v>N</v>
          </cell>
          <cell r="X200">
            <v>1</v>
          </cell>
          <cell r="Y200">
            <v>9.7199999999999995E-2</v>
          </cell>
          <cell r="Z200">
            <v>5.8925999999999998</v>
          </cell>
          <cell r="AA200">
            <v>5.7953999999999999</v>
          </cell>
          <cell r="AB200" t="e">
            <v>#N/A</v>
          </cell>
          <cell r="AC200" t="e">
            <v>#N/A</v>
          </cell>
          <cell r="AD200" t="str">
            <v>0841-09</v>
          </cell>
          <cell r="AE20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1">
          <cell r="A201" t="str">
            <v>842-09</v>
          </cell>
          <cell r="B201">
            <v>4008</v>
          </cell>
          <cell r="C201" t="str">
            <v>DE.1.0.7.0</v>
          </cell>
          <cell r="D201" t="str">
            <v>300:58608</v>
          </cell>
          <cell r="E201">
            <v>42591.858356481483</v>
          </cell>
          <cell r="F201">
            <v>42591.859120370369</v>
          </cell>
          <cell r="G201">
            <v>1</v>
          </cell>
          <cell r="H201" t="str">
            <v>204:687</v>
          </cell>
          <cell r="I201">
            <v>42591.871087962965</v>
          </cell>
          <cell r="J201">
            <v>0</v>
          </cell>
          <cell r="K201" t="str">
            <v>4007/4008</v>
          </cell>
          <cell r="L201" t="str">
            <v>BRUDER</v>
          </cell>
          <cell r="M201">
            <v>1.1967592596192844E-2</v>
          </cell>
          <cell r="N201">
            <v>17.233333338517696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https://search-rtdc-monitor-bjffxe2xuh6vdkpspy63sjmuny.us-east-1.es.amazonaws.com/_plugin/kibana/#/discover/Steve-Slow-Train-Analysis-(2080s-and-2083s)?_g=(refreshInterval:(display:Off,section:0,value:0),time:(from:'2016-08-09 19:36:02-0600',mode:absolute,to:'2016-08-09 21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6.8699999999999997E-2</v>
          </cell>
          <cell r="AA201">
            <v>5.7921000000000005</v>
          </cell>
          <cell r="AB201" t="e">
            <v>#N/A</v>
          </cell>
          <cell r="AC201" t="e">
            <v>#N/A</v>
          </cell>
          <cell r="AD201" t="str">
            <v>0842-09</v>
          </cell>
          <cell r="AE20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2">
          <cell r="A202" t="str">
            <v>843-09</v>
          </cell>
          <cell r="B202">
            <v>4007</v>
          </cell>
          <cell r="C202" t="str">
            <v>DE.1.0.7.0</v>
          </cell>
          <cell r="D202" t="str">
            <v>204:967</v>
          </cell>
          <cell r="E202">
            <v>42591.8434375</v>
          </cell>
          <cell r="F202">
            <v>42591.844293981485</v>
          </cell>
          <cell r="G202">
            <v>1</v>
          </cell>
          <cell r="H202" t="str">
            <v>300:58918</v>
          </cell>
          <cell r="I202">
            <v>42591.857129629629</v>
          </cell>
          <cell r="J202">
            <v>0</v>
          </cell>
          <cell r="K202" t="str">
            <v>4007/4008</v>
          </cell>
          <cell r="L202" t="str">
            <v>BRUDER</v>
          </cell>
          <cell r="M202">
            <v>1.2835648143664002E-2</v>
          </cell>
          <cell r="N202">
            <v>18.483333326876163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https://search-rtdc-monitor-bjffxe2xuh6vdkpspy63sjmuny.us-east-1.es.amazonaws.com/_plugin/kibana/#/discover/Steve-Slow-Train-Analysis-(2080s-and-2083s)?_g=(refreshInterval:(display:Off,section:0,value:0),time:(from:'2016-08-09 19:14:33-0600',mode:absolute,to:'2016-08-09 21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2" t="str">
            <v>N</v>
          </cell>
          <cell r="X202">
            <v>1</v>
          </cell>
          <cell r="Y202">
            <v>9.6699999999999994E-2</v>
          </cell>
          <cell r="Z202">
            <v>5.8917999999999999</v>
          </cell>
          <cell r="AA202">
            <v>5.7950999999999997</v>
          </cell>
          <cell r="AB202" t="e">
            <v>#N/A</v>
          </cell>
          <cell r="AC202" t="e">
            <v>#N/A</v>
          </cell>
          <cell r="AD202" t="str">
            <v>0843-09</v>
          </cell>
          <cell r="AE20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3">
          <cell r="A203" t="str">
            <v>844-09</v>
          </cell>
          <cell r="B203">
            <v>4008</v>
          </cell>
          <cell r="C203" t="str">
            <v>DE.1.0.7.0</v>
          </cell>
          <cell r="D203" t="str">
            <v>300:58606</v>
          </cell>
          <cell r="E203">
            <v>42591.903946759259</v>
          </cell>
          <cell r="F203">
            <v>42591.905798611115</v>
          </cell>
          <cell r="G203">
            <v>2</v>
          </cell>
          <cell r="H203" t="str">
            <v>204:740</v>
          </cell>
          <cell r="I203">
            <v>42591.91778935185</v>
          </cell>
          <cell r="J203">
            <v>0</v>
          </cell>
          <cell r="K203" t="str">
            <v>4007/4008</v>
          </cell>
          <cell r="L203" t="str">
            <v>STURGEON</v>
          </cell>
          <cell r="M203">
            <v>1.1990740735200234E-2</v>
          </cell>
          <cell r="N203">
            <v>17.266666658688337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https://search-rtdc-monitor-bjffxe2xuh6vdkpspy63sjmuny.us-east-1.es.amazonaws.com/_plugin/kibana/#/discover/Steve-Slow-Train-Analysis-(2080s-and-2083s)?_g=(refreshInterval:(display:Off,section:0,value:0),time:(from:'2016-08-09 20:41:41-0600',mode:absolute,to:'2016-08-09 23:01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3" t="str">
            <v>N</v>
          </cell>
          <cell r="X203">
            <v>1</v>
          </cell>
          <cell r="Y203">
            <v>5.8605999999999998</v>
          </cell>
          <cell r="Z203">
            <v>7.3999999999999996E-2</v>
          </cell>
          <cell r="AA203">
            <v>5.7866</v>
          </cell>
          <cell r="AB203" t="e">
            <v>#N/A</v>
          </cell>
          <cell r="AC203" t="e">
            <v>#N/A</v>
          </cell>
          <cell r="AD203" t="str">
            <v>0844-09</v>
          </cell>
          <cell r="AE20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4">
          <cell r="A204" t="str">
            <v>845-09</v>
          </cell>
          <cell r="B204">
            <v>4007</v>
          </cell>
          <cell r="C204" t="str">
            <v>DE.1.0.7.0</v>
          </cell>
          <cell r="D204" t="str">
            <v>204:972</v>
          </cell>
          <cell r="E204">
            <v>42591.87840277778</v>
          </cell>
          <cell r="F204">
            <v>42591.879282407404</v>
          </cell>
          <cell r="G204">
            <v>1</v>
          </cell>
          <cell r="H204" t="str">
            <v>300:58914</v>
          </cell>
          <cell r="I204">
            <v>42591.902048611111</v>
          </cell>
          <cell r="J204">
            <v>0</v>
          </cell>
          <cell r="K204" t="str">
            <v>4007/4008</v>
          </cell>
          <cell r="L204" t="str">
            <v>STURGEON</v>
          </cell>
          <cell r="M204">
            <v>2.2766203706851229E-2</v>
          </cell>
          <cell r="N204">
            <v>32.78333333786577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https://search-rtdc-monitor-bjffxe2xuh6vdkpspy63sjmuny.us-east-1.es.amazonaws.com/_plugin/kibana/#/discover/Steve-Slow-Train-Analysis-(2080s-and-2083s)?_g=(refreshInterval:(display:Off,section:0,value:0),time:(from:'2016-08-09 20:04:54-0600',mode:absolute,to:'2016-08-09 22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4" t="str">
            <v>N</v>
          </cell>
          <cell r="X204">
            <v>1</v>
          </cell>
          <cell r="Y204">
            <v>9.7199999999999995E-2</v>
          </cell>
          <cell r="Z204">
            <v>5.8914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0845-09</v>
          </cell>
          <cell r="AE20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5">
          <cell r="A205" t="str">
            <v>847-09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P205">
            <v>1</v>
          </cell>
          <cell r="R205" t="str">
            <v>Did not initialize</v>
          </cell>
          <cell r="T205" t="str">
            <v>NorthBound</v>
          </cell>
          <cell r="AD205" t="str">
            <v>0847-09</v>
          </cell>
        </row>
        <row r="206">
          <cell r="A206" t="str">
            <v>303-09</v>
          </cell>
          <cell r="B206">
            <v>4029</v>
          </cell>
          <cell r="C206" t="str">
            <v>DE.1.0.7.0</v>
          </cell>
          <cell r="D206" t="str">
            <v>204:477</v>
          </cell>
          <cell r="E206">
            <v>42591.778854166667</v>
          </cell>
          <cell r="F206">
            <v>42591.780011574076</v>
          </cell>
          <cell r="G206">
            <v>1</v>
          </cell>
          <cell r="H206" t="str">
            <v>300:23299</v>
          </cell>
          <cell r="I206">
            <v>42591.787997685184</v>
          </cell>
          <cell r="J206">
            <v>0</v>
          </cell>
          <cell r="K206" t="str">
            <v>4029/4030</v>
          </cell>
          <cell r="L206" t="str">
            <v>STRICKLAND</v>
          </cell>
          <cell r="M206">
            <v>7.9861111080390401E-3</v>
          </cell>
          <cell r="N206">
            <v>11.499999995576218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https://search-rtdc-monitor-bjffxe2xuh6vdkpspy63sjmuny.us-east-1.es.amazonaws.com/_plugin/kibana/#/discover/Steve-Slow-Train-Analysis-(2080s-and-2083s)?_g=(refreshInterval:(display:Off,section:0,value:0),time:(from:'2016-08-09 17:41:33-0600',mode:absolute,to:'2016-08-09 19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6" t="str">
            <v>Y</v>
          </cell>
          <cell r="X206">
            <v>-542</v>
          </cell>
          <cell r="Y206">
            <v>4.7699999999999999E-2</v>
          </cell>
          <cell r="Z206">
            <v>2.3298999999999999</v>
          </cell>
          <cell r="AA206">
            <v>2.2822</v>
          </cell>
          <cell r="AB206" t="e">
            <v>#N/A</v>
          </cell>
          <cell r="AC206" t="e">
            <v>#N/A</v>
          </cell>
          <cell r="AD206" t="str">
            <v>0303-09</v>
          </cell>
          <cell r="AE2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7">
          <cell r="A207" t="str">
            <v>304-09</v>
          </cell>
          <cell r="B207">
            <v>4015</v>
          </cell>
          <cell r="C207" t="str">
            <v>DE.1.0.7.0</v>
          </cell>
          <cell r="D207" t="str">
            <v>300:24199</v>
          </cell>
          <cell r="E207">
            <v>42591.139618055553</v>
          </cell>
          <cell r="F207">
            <v>42591.141180555554</v>
          </cell>
          <cell r="G207">
            <v>2</v>
          </cell>
          <cell r="H207" t="str">
            <v>300:23273</v>
          </cell>
          <cell r="I207">
            <v>42591.142233796294</v>
          </cell>
          <cell r="J207">
            <v>1</v>
          </cell>
          <cell r="K207" t="str">
            <v>4015/4016</v>
          </cell>
          <cell r="L207" t="str">
            <v>ACKERMAN</v>
          </cell>
          <cell r="M207">
            <v>1.0532407395658083E-3</v>
          </cell>
          <cell r="N207">
            <v>1.516666664974764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https://search-rtdc-monitor-bjffxe2xuh6vdkpspy63sjmuny.us-east-1.es.amazonaws.com/_plugin/kibana/#/discover/Steve-Slow-Train-Analysis-(2080s-and-2083s)?_g=(refreshInterval:(display:Off,section:0,value:0),time:(from:'2016-08-09 02:21:03-0600',mode:absolute,to:'2016-08-09 04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Y</v>
          </cell>
          <cell r="X207">
            <v>1</v>
          </cell>
          <cell r="Y207">
            <v>2.4199000000000002</v>
          </cell>
          <cell r="Z207">
            <v>2.3273000000000001</v>
          </cell>
          <cell r="AA207">
            <v>9.2600000000000016E-2</v>
          </cell>
          <cell r="AB207" t="e">
            <v>#N/A</v>
          </cell>
          <cell r="AC207" t="e">
            <v>#N/A</v>
          </cell>
          <cell r="AD207" t="str">
            <v>0304-09</v>
          </cell>
          <cell r="AE20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208">
          <cell r="A208" t="str">
            <v>307-09</v>
          </cell>
          <cell r="B208">
            <v>4016</v>
          </cell>
          <cell r="C208" t="str">
            <v>DE.1.0.7.0</v>
          </cell>
          <cell r="D208" t="str">
            <v>204:466</v>
          </cell>
          <cell r="E208">
            <v>42591.818043981482</v>
          </cell>
          <cell r="F208">
            <v>42591.818981481483</v>
          </cell>
          <cell r="G208">
            <v>1</v>
          </cell>
          <cell r="H208" t="str">
            <v>300:23299</v>
          </cell>
          <cell r="I208">
            <v>42591.829826388886</v>
          </cell>
          <cell r="J208">
            <v>0</v>
          </cell>
          <cell r="K208" t="str">
            <v>4015/4016</v>
          </cell>
          <cell r="L208" t="str">
            <v>HAITHCOX</v>
          </cell>
          <cell r="M208">
            <v>1.0844907403225079E-2</v>
          </cell>
          <cell r="N208">
            <v>15.616666660644114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18:37:59-0600',mode:absolute,to:'2016-08-09 20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3</v>
          </cell>
          <cell r="Y208">
            <v>4.6600000000000003E-2</v>
          </cell>
          <cell r="Z208">
            <v>2.3298999999999999</v>
          </cell>
          <cell r="AA208">
            <v>2.2832999999999997</v>
          </cell>
          <cell r="AB208" t="e">
            <v>#N/A</v>
          </cell>
          <cell r="AC208" t="e">
            <v>#N/A</v>
          </cell>
          <cell r="AD208" t="str">
            <v>0307-09</v>
          </cell>
          <cell r="AE20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209">
          <cell r="A209" t="str">
            <v>308-09</v>
          </cell>
          <cell r="B209">
            <v>4032</v>
          </cell>
          <cell r="C209" t="str">
            <v>DE.1.0.7.0</v>
          </cell>
          <cell r="D209" t="str">
            <v>300:24830</v>
          </cell>
          <cell r="E209">
            <v>42591.173900462964</v>
          </cell>
          <cell r="F209">
            <v>42591.175057870372</v>
          </cell>
          <cell r="G209">
            <v>1</v>
          </cell>
          <cell r="H209" t="str">
            <v>300:24462</v>
          </cell>
          <cell r="I209">
            <v>42591.175949074073</v>
          </cell>
          <cell r="J209">
            <v>1</v>
          </cell>
          <cell r="K209" t="str">
            <v>4031/4032</v>
          </cell>
          <cell r="L209" t="str">
            <v>SPECTOR</v>
          </cell>
          <cell r="M209">
            <v>8.9120370103046298E-4</v>
          </cell>
          <cell r="N209">
            <v>1.2833333294838667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03:10:25-0600',mode:absolute,to:'2016-08-09 05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9" t="str">
            <v>Y</v>
          </cell>
          <cell r="X209">
            <v>1</v>
          </cell>
          <cell r="Y209">
            <v>2.4830000000000001</v>
          </cell>
          <cell r="Z209">
            <v>2.4462000000000002</v>
          </cell>
          <cell r="AA209">
            <v>3.6799999999999944E-2</v>
          </cell>
          <cell r="AB209" t="e">
            <v>#N/A</v>
          </cell>
          <cell r="AC209" t="e">
            <v>#N/A</v>
          </cell>
          <cell r="AD209" t="str">
            <v>0308-09</v>
          </cell>
          <cell r="AE20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0">
          <cell r="A210" t="str">
            <v>309-09</v>
          </cell>
          <cell r="B210">
            <v>4040</v>
          </cell>
          <cell r="C210" t="str">
            <v>DE.1.0.7.0</v>
          </cell>
          <cell r="D210" t="str">
            <v>204:446</v>
          </cell>
          <cell r="E210">
            <v>42592.032500000001</v>
          </cell>
          <cell r="F210">
            <v>42592.033229166664</v>
          </cell>
          <cell r="G210">
            <v>1</v>
          </cell>
          <cell r="H210" t="str">
            <v>300:23189</v>
          </cell>
          <cell r="I210">
            <v>42592.04378472222</v>
          </cell>
          <cell r="J210">
            <v>0</v>
          </cell>
          <cell r="K210" t="str">
            <v>4039/4040</v>
          </cell>
          <cell r="L210" t="str">
            <v>ISHMAEL</v>
          </cell>
          <cell r="M210">
            <v>1.0555555556493346E-2</v>
          </cell>
          <cell r="N210">
            <v>15.200000001350418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https://search-rtdc-monitor-bjffxe2xuh6vdkpspy63sjmuny.us-east-1.es.amazonaws.com/_plugin/kibana/#/discover/Steve-Slow-Train-Analysis-(2080s-and-2083s)?_g=(refreshInterval:(display:Off,section:0,value:0),time:(from:'2016-08-09 23:46:48-0600',mode:absolute,to:'2016-08-10 02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1</v>
          </cell>
          <cell r="Y210">
            <v>4.4600000000000001E-2</v>
          </cell>
          <cell r="Z210">
            <v>2.3189000000000002</v>
          </cell>
          <cell r="AA210">
            <v>2.2743000000000002</v>
          </cell>
          <cell r="AB210" t="e">
            <v>#N/A</v>
          </cell>
          <cell r="AC210" t="e">
            <v>#N/A</v>
          </cell>
          <cell r="AD210" t="str">
            <v>0309-09</v>
          </cell>
          <cell r="AE210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11">
          <cell r="A211" t="str">
            <v>310-09</v>
          </cell>
          <cell r="B211">
            <v>4030</v>
          </cell>
          <cell r="C211" t="str">
            <v>DE.1.0.7.0</v>
          </cell>
          <cell r="D211" t="str">
            <v>300:24449</v>
          </cell>
          <cell r="E211">
            <v>42591.181585648148</v>
          </cell>
          <cell r="F211">
            <v>42591.183182870373</v>
          </cell>
          <cell r="G211">
            <v>2</v>
          </cell>
          <cell r="H211" t="str">
            <v>300:24307</v>
          </cell>
          <cell r="I211">
            <v>42591.183900462966</v>
          </cell>
          <cell r="J211">
            <v>1</v>
          </cell>
          <cell r="K211" t="str">
            <v>4029/4030</v>
          </cell>
          <cell r="L211" t="str">
            <v>DAVIS</v>
          </cell>
          <cell r="M211">
            <v>7.1759259299142286E-4</v>
          </cell>
          <cell r="N211">
            <v>1.0333333339076489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03:21:29-0600',mode:absolute,to:'2016-08-09 05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11" t="str">
            <v>Y</v>
          </cell>
          <cell r="X211">
            <v>1</v>
          </cell>
          <cell r="Y211">
            <v>2.4449000000000001</v>
          </cell>
          <cell r="Z211">
            <v>2.4306999999999999</v>
          </cell>
          <cell r="AA211">
            <v>1.4200000000000212E-2</v>
          </cell>
          <cell r="AB211" t="e">
            <v>#N/A</v>
          </cell>
          <cell r="AC211" t="e">
            <v>#N/A</v>
          </cell>
          <cell r="AD211" t="str">
            <v>0310-09</v>
          </cell>
          <cell r="AE21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12">
          <cell r="A212" t="str">
            <v>311-09</v>
          </cell>
          <cell r="B212">
            <v>4011</v>
          </cell>
          <cell r="C212" t="str">
            <v>DE.1.0.7.0</v>
          </cell>
          <cell r="D212" t="str">
            <v>204:437</v>
          </cell>
          <cell r="E212">
            <v>42592.048715277779</v>
          </cell>
          <cell r="F212">
            <v>42592.049675925926</v>
          </cell>
          <cell r="G212">
            <v>1</v>
          </cell>
          <cell r="H212" t="str">
            <v>300:23306</v>
          </cell>
          <cell r="I212">
            <v>42592.059756944444</v>
          </cell>
          <cell r="J212">
            <v>0</v>
          </cell>
          <cell r="K212" t="str">
            <v>4011/4012</v>
          </cell>
          <cell r="L212" t="str">
            <v>COOLAHAN</v>
          </cell>
          <cell r="M212">
            <v>1.0081018517666962E-2</v>
          </cell>
          <cell r="N212">
            <v>14.516666665440425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https://search-rtdc-monitor-bjffxe2xuh6vdkpspy63sjmuny.us-east-1.es.amazonaws.com/_plugin/kibana/#/discover/Steve-Slow-Train-Analysis-(2080s-and-2083s)?_g=(refreshInterval:(display:Off,section:0,value:0),time:(from:'2016-08-10 00:10:09-0600',mode:absolute,to:'2016-08-10 02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2" t="str">
            <v>Y</v>
          </cell>
          <cell r="X212">
            <v>1</v>
          </cell>
          <cell r="Y212">
            <v>4.3700000000000003E-2</v>
          </cell>
          <cell r="Z212">
            <v>2.3306</v>
          </cell>
          <cell r="AA212">
            <v>2.2869000000000002</v>
          </cell>
          <cell r="AB212" t="e">
            <v>#N/A</v>
          </cell>
          <cell r="AC212" t="e">
            <v>#N/A</v>
          </cell>
          <cell r="AD212" t="str">
            <v>0311-09</v>
          </cell>
          <cell r="AE212" t="str">
            <v>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 &amp; 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</v>
          </cell>
        </row>
        <row r="213">
          <cell r="A213" t="str">
            <v>313-09</v>
          </cell>
          <cell r="B213">
            <v>4025</v>
          </cell>
          <cell r="C213" t="str">
            <v>DE.1.0.7.0</v>
          </cell>
          <cell r="D213" t="str">
            <v>204:475</v>
          </cell>
          <cell r="E213">
            <v>42592.068506944444</v>
          </cell>
          <cell r="F213">
            <v>42592.069212962961</v>
          </cell>
          <cell r="G213">
            <v>1</v>
          </cell>
          <cell r="H213" t="str">
            <v>300:23308</v>
          </cell>
          <cell r="I213">
            <v>42592.0778125</v>
          </cell>
          <cell r="J213">
            <v>0</v>
          </cell>
          <cell r="K213" t="str">
            <v>4025/4026</v>
          </cell>
          <cell r="L213" t="str">
            <v>STORY</v>
          </cell>
          <cell r="M213">
            <v>8.599537039117422E-3</v>
          </cell>
          <cell r="N213">
            <v>12.383333336329088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https://search-rtdc-monitor-bjffxe2xuh6vdkpspy63sjmuny.us-east-1.es.amazonaws.com/_plugin/kibana/#/discover/Steve-Slow-Train-Analysis-(2080s-and-2083s)?_g=(refreshInterval:(display:Off,section:0,value:0),time:(from:'2016-08-10 00:38:39-0600',mode:absolute,to:'2016-08-10 02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3" t="str">
            <v>Y</v>
          </cell>
          <cell r="X213">
            <v>2</v>
          </cell>
          <cell r="Y213">
            <v>4.7500000000000001E-2</v>
          </cell>
          <cell r="Z213">
            <v>2.3308</v>
          </cell>
          <cell r="AA213">
            <v>2.2833000000000001</v>
          </cell>
          <cell r="AB213" t="e">
            <v>#N/A</v>
          </cell>
          <cell r="AC213" t="e">
            <v>#N/A</v>
          </cell>
          <cell r="AD213" t="str">
            <v>0313-09</v>
          </cell>
          <cell r="AE213" t="str">
            <v>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 &amp; 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</v>
          </cell>
        </row>
        <row r="214">
          <cell r="A214" t="str">
            <v>315-08</v>
          </cell>
          <cell r="B214">
            <v>4027</v>
          </cell>
          <cell r="C214" t="str">
            <v>DE.1.0.7.0</v>
          </cell>
          <cell r="D214" t="str">
            <v>204:519</v>
          </cell>
          <cell r="E214">
            <v>42591.089328703703</v>
          </cell>
          <cell r="F214">
            <v>42591.090081018519</v>
          </cell>
          <cell r="G214">
            <v>1</v>
          </cell>
          <cell r="H214" t="str">
            <v>300:23049</v>
          </cell>
          <cell r="I214">
            <v>42591.096203703702</v>
          </cell>
          <cell r="J214">
            <v>0</v>
          </cell>
          <cell r="K214" t="str">
            <v>4027/4028</v>
          </cell>
          <cell r="L214" t="str">
            <v>STORY</v>
          </cell>
          <cell r="M214">
            <v>6.1226851830724627E-3</v>
          </cell>
          <cell r="N214">
            <v>8.8166666636243463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4" t="str">
            <v>Y</v>
          </cell>
          <cell r="X214">
            <v>2</v>
          </cell>
          <cell r="Y214">
            <v>5.1900000000000002E-2</v>
          </cell>
          <cell r="Z214">
            <v>2.3048999999999999</v>
          </cell>
          <cell r="AA214">
            <v>2.2530000000000001</v>
          </cell>
          <cell r="AB214" t="e">
            <v>#N/A</v>
          </cell>
          <cell r="AC214" t="e">
            <v>#N/A</v>
          </cell>
          <cell r="AD214" t="str">
            <v>0315-08</v>
          </cell>
          <cell r="AE214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5">
          <cell r="A215" t="str">
            <v>315-09</v>
          </cell>
          <cell r="B215">
            <v>4031</v>
          </cell>
          <cell r="C215" t="str">
            <v>DE.1.0.7.0</v>
          </cell>
          <cell r="D215" t="str">
            <v>204:480</v>
          </cell>
          <cell r="E215">
            <v>42592.090833333335</v>
          </cell>
          <cell r="F215">
            <v>42592.09170138889</v>
          </cell>
          <cell r="G215">
            <v>1</v>
          </cell>
          <cell r="H215" t="str">
            <v>300:23306</v>
          </cell>
          <cell r="I215">
            <v>42592.100902777776</v>
          </cell>
          <cell r="J215">
            <v>0</v>
          </cell>
          <cell r="K215" t="str">
            <v>4031/4032</v>
          </cell>
          <cell r="L215" t="str">
            <v>CHANDLER</v>
          </cell>
          <cell r="M215">
            <v>9.2013888861401938E-3</v>
          </cell>
          <cell r="N215">
            <v>13.249999996041879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5" t="str">
            <v>Y</v>
          </cell>
          <cell r="X215">
            <v>0</v>
          </cell>
          <cell r="Y215">
            <v>4.8000000000000001E-2</v>
          </cell>
          <cell r="Z215">
            <v>2.3306</v>
          </cell>
          <cell r="AA215">
            <v>2.2826</v>
          </cell>
          <cell r="AB215" t="e">
            <v>#N/A</v>
          </cell>
          <cell r="AC215" t="e">
            <v>#N/A</v>
          </cell>
          <cell r="AD215" t="str">
            <v>0315-09</v>
          </cell>
          <cell r="AE215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16">
          <cell r="A216" t="str">
            <v>903-09</v>
          </cell>
          <cell r="B216">
            <v>4014</v>
          </cell>
          <cell r="C216" t="str">
            <v>DE.1.0.7.0</v>
          </cell>
          <cell r="D216" t="str">
            <v>204:1042</v>
          </cell>
          <cell r="E216">
            <v>42591.354479166665</v>
          </cell>
          <cell r="F216">
            <v>42591.355208333334</v>
          </cell>
          <cell r="G216">
            <v>1</v>
          </cell>
          <cell r="H216" t="str">
            <v>300:24273</v>
          </cell>
          <cell r="I216">
            <v>42591.362916666665</v>
          </cell>
          <cell r="J216">
            <v>1</v>
          </cell>
          <cell r="K216" t="str">
            <v>4013/4014</v>
          </cell>
          <cell r="L216" t="str">
            <v>STARKS</v>
          </cell>
          <cell r="M216">
            <v>7.7083333308110014E-3</v>
          </cell>
          <cell r="N216">
            <v>11.099999996367842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https://search-rtdc-monitor-bjffxe2xuh6vdkpspy63sjmuny.us-east-1.es.amazonaws.com/_plugin/kibana/#/discover/Steve-Slow-Train-Analysis-(2080s-and-2083s)?_g=(refreshInterval:(display:Off,section:0,value:0),time:(from:'2016-08-09 07:30:27-0600',mode:absolute,to:'2016-08-09 09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6" t="str">
            <v>Y</v>
          </cell>
          <cell r="X216">
            <v>588</v>
          </cell>
          <cell r="Y216">
            <v>0.1042</v>
          </cell>
          <cell r="Z216">
            <v>2.4272999999999998</v>
          </cell>
          <cell r="AA216">
            <v>2.3230999999999997</v>
          </cell>
          <cell r="AB216" t="e">
            <v>#N/A</v>
          </cell>
          <cell r="AC216" t="e">
            <v>#N/A</v>
          </cell>
          <cell r="AD216" t="str">
            <v>0903-09</v>
          </cell>
          <cell r="AE21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217">
          <cell r="A217" t="str">
            <v>904-09</v>
          </cell>
          <cell r="B217">
            <v>4013</v>
          </cell>
          <cell r="C217" t="str">
            <v>DE.1.0.7.0</v>
          </cell>
          <cell r="D217" t="str">
            <v>300:24616</v>
          </cell>
          <cell r="E217">
            <v>42591.646249999998</v>
          </cell>
          <cell r="F217">
            <v>42591.647280092591</v>
          </cell>
          <cell r="G217">
            <v>1</v>
          </cell>
          <cell r="H217" t="str">
            <v>300:24254</v>
          </cell>
          <cell r="I217">
            <v>42591.64770833333</v>
          </cell>
          <cell r="J217">
            <v>1</v>
          </cell>
          <cell r="K217" t="str">
            <v>4013/4014</v>
          </cell>
          <cell r="L217" t="str">
            <v>STURGEON</v>
          </cell>
          <cell r="M217">
            <v>4.2824073898373172E-4</v>
          </cell>
          <cell r="N217">
            <v>0.61666666413657367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https://search-rtdc-monitor-bjffxe2xuh6vdkpspy63sjmuny.us-east-1.es.amazonaws.com/_plugin/kibana/#/discover/Steve-Slow-Train-Analysis-(2080s-and-2083s)?_g=(refreshInterval:(display:Off,section:0,value:0),time:(from:'2016-08-09 14:30:36-0600',mode:absolute,to:'2016-08-09 16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7" t="str">
            <v>Y</v>
          </cell>
          <cell r="X217">
            <v>1</v>
          </cell>
          <cell r="Y217">
            <v>2.4615999999999998</v>
          </cell>
          <cell r="Z217">
            <v>2.4253999999999998</v>
          </cell>
          <cell r="AA217">
            <v>3.620000000000001E-2</v>
          </cell>
          <cell r="AB217" t="e">
            <v>#N/A</v>
          </cell>
          <cell r="AC217" t="e">
            <v>#N/A</v>
          </cell>
          <cell r="AD217" t="str">
            <v>0904-09</v>
          </cell>
          <cell r="AE21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8">
          <cell r="A218" t="str">
            <v>906-09</v>
          </cell>
          <cell r="B218">
            <v>4013</v>
          </cell>
          <cell r="C218" t="str">
            <v>DE.1.0.7.0</v>
          </cell>
          <cell r="D218" t="str">
            <v>300:58600</v>
          </cell>
          <cell r="E218">
            <v>42591.797835648147</v>
          </cell>
          <cell r="F218">
            <v>42591.798993055556</v>
          </cell>
          <cell r="G218">
            <v>1</v>
          </cell>
          <cell r="H218" t="str">
            <v>300:28795</v>
          </cell>
          <cell r="I218">
            <v>42591.804664351854</v>
          </cell>
          <cell r="J218">
            <v>0</v>
          </cell>
          <cell r="K218" t="str">
            <v>4013/4014</v>
          </cell>
          <cell r="L218" t="str">
            <v>STURGEON</v>
          </cell>
          <cell r="M218">
            <v>5.6712962978053838E-3</v>
          </cell>
          <cell r="N218">
            <v>8.1666666688397527</v>
          </cell>
          <cell r="S218">
            <v>0</v>
          </cell>
          <cell r="T218" t="str">
            <v>Southbound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https://search-rtdc-monitor-bjffxe2xuh6vdkpspy63sjmuny.us-east-1.es.amazonaws.com/_plugin/kibana/#/discover/Steve-Slow-Train-Analysis-(2080s-and-2083s)?_g=(refreshInterval:(display:Off,section:0,value:0),time:(from:'2016-08-09 18:08:53-0600',mode:absolute,to:'2016-08-09 20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8" t="str">
            <v>Y</v>
          </cell>
          <cell r="X218">
            <v>2</v>
          </cell>
          <cell r="Y218">
            <v>5.86</v>
          </cell>
          <cell r="Z218">
            <v>2.8795000000000002</v>
          </cell>
          <cell r="AA218">
            <v>2.9805000000000001</v>
          </cell>
          <cell r="AB218" t="e">
            <v>#N/A</v>
          </cell>
          <cell r="AC218" t="e">
            <v>#N/A</v>
          </cell>
          <cell r="AD218" t="str">
            <v>0906-09</v>
          </cell>
          <cell r="AE218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9">
          <cell r="A219" t="str">
            <v>908-09</v>
          </cell>
          <cell r="B219">
            <v>4008</v>
          </cell>
          <cell r="C219" t="str">
            <v>DE.1.0.7.0</v>
          </cell>
          <cell r="D219" t="str">
            <v>300:58613</v>
          </cell>
          <cell r="E219">
            <v>42591.943865740737</v>
          </cell>
          <cell r="F219">
            <v>42591.945138888892</v>
          </cell>
          <cell r="G219">
            <v>1</v>
          </cell>
          <cell r="H219" t="str">
            <v>300:21759</v>
          </cell>
          <cell r="I219">
            <v>42591.95103009259</v>
          </cell>
          <cell r="J219">
            <v>0</v>
          </cell>
        </row>
      </sheetData>
      <sheetData sheetId="1" refreshError="1"/>
      <sheetData sheetId="2" refreshError="1"/>
      <sheetData sheetId="3">
        <row r="1">
          <cell r="C1" t="str">
            <v>242-08</v>
          </cell>
          <cell r="D1">
            <v>1800000</v>
          </cell>
          <cell r="E1" t="str">
            <v>CHANDLER</v>
          </cell>
        </row>
        <row r="2">
          <cell r="C2" t="str">
            <v>311-08</v>
          </cell>
          <cell r="D2">
            <v>1810000</v>
          </cell>
          <cell r="E2" t="str">
            <v>NEWELL</v>
          </cell>
        </row>
        <row r="3">
          <cell r="C3" t="str">
            <v>311-08</v>
          </cell>
          <cell r="D3">
            <v>1810000</v>
          </cell>
          <cell r="E3" t="str">
            <v>NEWELL</v>
          </cell>
        </row>
        <row r="4">
          <cell r="C4" t="str">
            <v>244-08</v>
          </cell>
          <cell r="D4">
            <v>1740000</v>
          </cell>
          <cell r="E4" t="str">
            <v>STORY</v>
          </cell>
        </row>
        <row r="5">
          <cell r="C5" t="str">
            <v>313-08</v>
          </cell>
          <cell r="D5">
            <v>1800000</v>
          </cell>
          <cell r="E5" t="str">
            <v>CHANDLER</v>
          </cell>
        </row>
        <row r="6">
          <cell r="C6" t="str">
            <v>315-08</v>
          </cell>
          <cell r="D6">
            <v>1740000</v>
          </cell>
          <cell r="E6" t="str">
            <v>STORY</v>
          </cell>
        </row>
        <row r="7">
          <cell r="C7" t="str">
            <v>315-08</v>
          </cell>
          <cell r="D7">
            <v>1740000</v>
          </cell>
          <cell r="E7" t="str">
            <v>STORY</v>
          </cell>
        </row>
        <row r="8">
          <cell r="C8" t="str">
            <v>302-09</v>
          </cell>
          <cell r="D8">
            <v>2030000</v>
          </cell>
          <cell r="E8" t="str">
            <v>KILLION</v>
          </cell>
        </row>
        <row r="9">
          <cell r="C9" t="str">
            <v>101-09</v>
          </cell>
          <cell r="D9">
            <v>2030000</v>
          </cell>
          <cell r="E9" t="str">
            <v>KILLION</v>
          </cell>
        </row>
        <row r="10">
          <cell r="C10" t="str">
            <v>304-09</v>
          </cell>
          <cell r="D10">
            <v>1260000</v>
          </cell>
          <cell r="E10" t="str">
            <v>ACKERMAN</v>
          </cell>
        </row>
        <row r="11">
          <cell r="C11" t="str">
            <v>103-09</v>
          </cell>
          <cell r="D11">
            <v>1260000</v>
          </cell>
          <cell r="E11" t="str">
            <v>ACKERMAN</v>
          </cell>
        </row>
        <row r="12">
          <cell r="C12" t="str">
            <v>102-09</v>
          </cell>
          <cell r="D12">
            <v>2030000</v>
          </cell>
          <cell r="E12" t="str">
            <v>KILLION</v>
          </cell>
        </row>
        <row r="13">
          <cell r="C13" t="str">
            <v>308-09</v>
          </cell>
          <cell r="D13">
            <v>1090000</v>
          </cell>
          <cell r="E13" t="str">
            <v>SPECTOR</v>
          </cell>
        </row>
        <row r="14">
          <cell r="C14" t="str">
            <v>310-09</v>
          </cell>
          <cell r="D14">
            <v>1990000</v>
          </cell>
          <cell r="E14" t="str">
            <v>DAVIS</v>
          </cell>
        </row>
        <row r="15">
          <cell r="C15" t="str">
            <v>107-09</v>
          </cell>
          <cell r="D15">
            <v>1090000</v>
          </cell>
          <cell r="E15" t="str">
            <v>SPECTOR</v>
          </cell>
        </row>
        <row r="16">
          <cell r="C16" t="str">
            <v>104-09</v>
          </cell>
          <cell r="D16">
            <v>1260000</v>
          </cell>
          <cell r="E16" t="str">
            <v>ACKERMAN</v>
          </cell>
        </row>
        <row r="17">
          <cell r="C17" t="str">
            <v>109-09</v>
          </cell>
          <cell r="D17">
            <v>1990000</v>
          </cell>
          <cell r="E17" t="str">
            <v>DAVIS</v>
          </cell>
        </row>
        <row r="18">
          <cell r="C18" t="str">
            <v>111-09</v>
          </cell>
          <cell r="D18">
            <v>2110000</v>
          </cell>
          <cell r="E18" t="str">
            <v>OUN</v>
          </cell>
        </row>
        <row r="19">
          <cell r="C19" t="str">
            <v>800-09</v>
          </cell>
          <cell r="D19">
            <v>910000</v>
          </cell>
          <cell r="E19" t="str">
            <v>SUR</v>
          </cell>
        </row>
        <row r="20">
          <cell r="C20" t="str">
            <v>113-09</v>
          </cell>
          <cell r="D20">
            <v>2030000</v>
          </cell>
          <cell r="E20" t="str">
            <v>KILLION</v>
          </cell>
        </row>
        <row r="21">
          <cell r="C21" t="str">
            <v>108-09</v>
          </cell>
          <cell r="D21">
            <v>1090000</v>
          </cell>
          <cell r="E21" t="str">
            <v>SPECTOR</v>
          </cell>
        </row>
        <row r="22">
          <cell r="C22" t="str">
            <v>115-09</v>
          </cell>
          <cell r="D22">
            <v>900000</v>
          </cell>
          <cell r="E22" t="str">
            <v>ROCHA</v>
          </cell>
        </row>
        <row r="23">
          <cell r="C23" t="str">
            <v>110-09</v>
          </cell>
          <cell r="D23">
            <v>1990000</v>
          </cell>
          <cell r="E23" t="str">
            <v>DAVIS</v>
          </cell>
        </row>
        <row r="24">
          <cell r="C24" t="str">
            <v>117-09</v>
          </cell>
          <cell r="D24">
            <v>1260000</v>
          </cell>
          <cell r="E24" t="str">
            <v>ACKERMAN</v>
          </cell>
        </row>
        <row r="25">
          <cell r="C25" t="str">
            <v>801-09</v>
          </cell>
          <cell r="D25">
            <v>1110000</v>
          </cell>
          <cell r="E25" t="str">
            <v>STARKS</v>
          </cell>
        </row>
        <row r="26">
          <cell r="C26" t="str">
            <v>112-09</v>
          </cell>
          <cell r="D26">
            <v>2110000</v>
          </cell>
          <cell r="E26" t="str">
            <v>OUN</v>
          </cell>
        </row>
        <row r="27">
          <cell r="C27" t="str">
            <v>114-09</v>
          </cell>
          <cell r="D27">
            <v>2030000</v>
          </cell>
          <cell r="E27" t="str">
            <v>KILLION</v>
          </cell>
        </row>
        <row r="28">
          <cell r="C28" t="str">
            <v>119-09</v>
          </cell>
          <cell r="D28">
            <v>1190000</v>
          </cell>
          <cell r="E28" t="str">
            <v>BRANNON</v>
          </cell>
        </row>
        <row r="29">
          <cell r="C29" t="str">
            <v>121-09</v>
          </cell>
          <cell r="D29">
            <v>1090000</v>
          </cell>
          <cell r="E29" t="str">
            <v>SPECTOR</v>
          </cell>
        </row>
        <row r="30">
          <cell r="C30" t="str">
            <v>802-09</v>
          </cell>
          <cell r="D30">
            <v>1110000</v>
          </cell>
          <cell r="E30" t="str">
            <v>STARKS</v>
          </cell>
        </row>
        <row r="31">
          <cell r="C31" t="str">
            <v>803-09</v>
          </cell>
          <cell r="D31">
            <v>1300000</v>
          </cell>
          <cell r="E31" t="str">
            <v>LEVIN</v>
          </cell>
        </row>
        <row r="32">
          <cell r="C32" t="str">
            <v>123-09</v>
          </cell>
          <cell r="D32">
            <v>1990000</v>
          </cell>
          <cell r="E32" t="str">
            <v>DAVIS</v>
          </cell>
        </row>
        <row r="33">
          <cell r="C33" t="str">
            <v>116-09</v>
          </cell>
          <cell r="D33">
            <v>900000</v>
          </cell>
          <cell r="E33" t="str">
            <v>ROCHA</v>
          </cell>
        </row>
        <row r="34">
          <cell r="C34" t="str">
            <v>118-09</v>
          </cell>
          <cell r="D34">
            <v>1260000</v>
          </cell>
          <cell r="E34" t="str">
            <v>ACKERMAN</v>
          </cell>
        </row>
        <row r="35">
          <cell r="C35" t="str">
            <v>804-09</v>
          </cell>
          <cell r="D35">
            <v>1300000</v>
          </cell>
          <cell r="E35" t="str">
            <v>LEVIN</v>
          </cell>
        </row>
        <row r="36">
          <cell r="C36" t="str">
            <v>125-09</v>
          </cell>
          <cell r="D36">
            <v>2110000</v>
          </cell>
          <cell r="E36" t="str">
            <v>OUN</v>
          </cell>
        </row>
        <row r="37">
          <cell r="C37" t="str">
            <v>120-09</v>
          </cell>
          <cell r="D37">
            <v>1190000</v>
          </cell>
          <cell r="E37" t="str">
            <v>BRANNON</v>
          </cell>
        </row>
        <row r="38">
          <cell r="C38" t="str">
            <v>802-09</v>
          </cell>
          <cell r="D38">
            <v>1110000</v>
          </cell>
          <cell r="E38" t="str">
            <v>STARKS</v>
          </cell>
        </row>
        <row r="39">
          <cell r="C39" t="str">
            <v>802-09</v>
          </cell>
          <cell r="D39">
            <v>1110000</v>
          </cell>
          <cell r="E39" t="str">
            <v>STARKS</v>
          </cell>
        </row>
        <row r="40">
          <cell r="C40" t="str">
            <v>805-09</v>
          </cell>
          <cell r="D40">
            <v>1110000</v>
          </cell>
          <cell r="E40" t="str">
            <v>STARKS</v>
          </cell>
        </row>
        <row r="41">
          <cell r="C41" t="str">
            <v>127-09</v>
          </cell>
          <cell r="D41">
            <v>2030000</v>
          </cell>
          <cell r="E41" t="str">
            <v>KILLION</v>
          </cell>
        </row>
        <row r="42">
          <cell r="C42" t="str">
            <v>122-09</v>
          </cell>
          <cell r="D42">
            <v>1090000</v>
          </cell>
          <cell r="E42" t="str">
            <v>SPECTOR</v>
          </cell>
        </row>
        <row r="43">
          <cell r="C43" t="str">
            <v>806-09</v>
          </cell>
          <cell r="D43">
            <v>1110000</v>
          </cell>
          <cell r="E43" t="str">
            <v>STARKS</v>
          </cell>
        </row>
        <row r="44">
          <cell r="C44" t="str">
            <v>807-09</v>
          </cell>
          <cell r="D44">
            <v>1300000</v>
          </cell>
          <cell r="E44" t="str">
            <v>LEVIN</v>
          </cell>
        </row>
        <row r="45">
          <cell r="C45" t="str">
            <v>129-09</v>
          </cell>
          <cell r="D45">
            <v>900000</v>
          </cell>
          <cell r="E45" t="str">
            <v>ROCHA</v>
          </cell>
        </row>
        <row r="46">
          <cell r="C46" t="str">
            <v>124-09</v>
          </cell>
          <cell r="D46">
            <v>1990000</v>
          </cell>
          <cell r="E46" t="str">
            <v>DAVIS</v>
          </cell>
        </row>
        <row r="47">
          <cell r="C47" t="str">
            <v>131-09</v>
          </cell>
          <cell r="D47">
            <v>1260000</v>
          </cell>
          <cell r="E47" t="str">
            <v>ACKERMAN</v>
          </cell>
        </row>
        <row r="48">
          <cell r="C48" t="str">
            <v>126-09</v>
          </cell>
          <cell r="D48">
            <v>2110000</v>
          </cell>
          <cell r="E48" t="str">
            <v>OUN</v>
          </cell>
        </row>
        <row r="49">
          <cell r="C49" t="str">
            <v>808-09</v>
          </cell>
          <cell r="D49">
            <v>1300000</v>
          </cell>
          <cell r="E49" t="str">
            <v>LEVIN</v>
          </cell>
        </row>
        <row r="50">
          <cell r="C50" t="str">
            <v>133-09</v>
          </cell>
          <cell r="D50">
            <v>1190000</v>
          </cell>
          <cell r="E50" t="str">
            <v>BRANNON</v>
          </cell>
        </row>
        <row r="51">
          <cell r="C51" t="str">
            <v>809-09</v>
          </cell>
          <cell r="D51">
            <v>1110000</v>
          </cell>
          <cell r="E51" t="str">
            <v>STARKS</v>
          </cell>
        </row>
        <row r="52">
          <cell r="C52" t="str">
            <v>128-09</v>
          </cell>
          <cell r="D52">
            <v>2030000</v>
          </cell>
          <cell r="E52" t="str">
            <v>KILLION</v>
          </cell>
        </row>
        <row r="53">
          <cell r="C53" t="str">
            <v>135-09</v>
          </cell>
          <cell r="D53">
            <v>1090000</v>
          </cell>
          <cell r="E53" t="str">
            <v>SPECTOR</v>
          </cell>
        </row>
        <row r="54">
          <cell r="C54" t="str">
            <v>130-09</v>
          </cell>
          <cell r="D54">
            <v>900000</v>
          </cell>
          <cell r="E54" t="str">
            <v>ROCHA</v>
          </cell>
        </row>
        <row r="55">
          <cell r="C55" t="str">
            <v>810-09</v>
          </cell>
          <cell r="D55">
            <v>1110000</v>
          </cell>
          <cell r="E55" t="str">
            <v>STARKS</v>
          </cell>
        </row>
        <row r="56">
          <cell r="C56" t="str">
            <v>137-09</v>
          </cell>
          <cell r="D56">
            <v>1990000</v>
          </cell>
          <cell r="E56" t="str">
            <v>DAVIS</v>
          </cell>
        </row>
        <row r="57">
          <cell r="C57" t="str">
            <v>811-09</v>
          </cell>
          <cell r="D57">
            <v>1300000</v>
          </cell>
          <cell r="E57" t="str">
            <v>LEVIN</v>
          </cell>
        </row>
        <row r="58">
          <cell r="C58" t="str">
            <v>132-09</v>
          </cell>
          <cell r="D58">
            <v>1260000</v>
          </cell>
          <cell r="E58" t="str">
            <v>ACKERMAN</v>
          </cell>
        </row>
        <row r="59">
          <cell r="C59" t="str">
            <v>139-09</v>
          </cell>
          <cell r="D59">
            <v>2110000</v>
          </cell>
          <cell r="E59" t="str">
            <v>OUN</v>
          </cell>
        </row>
        <row r="60">
          <cell r="C60" t="str">
            <v>903-09</v>
          </cell>
          <cell r="D60">
            <v>1110000</v>
          </cell>
          <cell r="E60" t="str">
            <v>STARKS</v>
          </cell>
        </row>
        <row r="61">
          <cell r="C61" t="str">
            <v>134-09</v>
          </cell>
          <cell r="D61">
            <v>1190000</v>
          </cell>
          <cell r="E61" t="str">
            <v>BRANNON</v>
          </cell>
        </row>
        <row r="62">
          <cell r="C62" t="str">
            <v>812-09</v>
          </cell>
          <cell r="D62">
            <v>1300000</v>
          </cell>
          <cell r="E62" t="str">
            <v>LEVIN</v>
          </cell>
        </row>
        <row r="63">
          <cell r="C63" t="str">
            <v>141-09</v>
          </cell>
          <cell r="D63">
            <v>2030000</v>
          </cell>
          <cell r="E63" t="str">
            <v>KILLION</v>
          </cell>
        </row>
        <row r="64">
          <cell r="C64" t="str">
            <v>136-09</v>
          </cell>
          <cell r="D64">
            <v>1090000</v>
          </cell>
          <cell r="E64" t="str">
            <v>SPECTOR</v>
          </cell>
        </row>
        <row r="65">
          <cell r="C65" t="str">
            <v>143-09</v>
          </cell>
          <cell r="D65">
            <v>900000</v>
          </cell>
          <cell r="E65" t="str">
            <v>ROCHA</v>
          </cell>
        </row>
        <row r="66">
          <cell r="C66" t="str">
            <v>138-09</v>
          </cell>
          <cell r="D66">
            <v>1990000</v>
          </cell>
          <cell r="E66" t="str">
            <v>DAVIS</v>
          </cell>
        </row>
        <row r="67">
          <cell r="C67" t="str">
            <v>145-09</v>
          </cell>
          <cell r="D67">
            <v>1260000</v>
          </cell>
          <cell r="E67" t="str">
            <v>ACKERMAN</v>
          </cell>
        </row>
        <row r="68">
          <cell r="C68" t="str">
            <v>813-09</v>
          </cell>
          <cell r="D68">
            <v>1300000</v>
          </cell>
          <cell r="E68" t="str">
            <v>LEVIN</v>
          </cell>
        </row>
        <row r="69">
          <cell r="C69" t="str">
            <v>140-09</v>
          </cell>
          <cell r="D69">
            <v>2110000</v>
          </cell>
          <cell r="E69" t="str">
            <v>OUN</v>
          </cell>
        </row>
        <row r="70">
          <cell r="C70" t="str">
            <v>147-09</v>
          </cell>
          <cell r="D70">
            <v>1190000</v>
          </cell>
          <cell r="E70" t="str">
            <v>BRANNON</v>
          </cell>
        </row>
        <row r="71">
          <cell r="C71" t="str">
            <v>142-09</v>
          </cell>
          <cell r="D71">
            <v>2030000</v>
          </cell>
          <cell r="E71" t="str">
            <v>KILLION</v>
          </cell>
        </row>
        <row r="72">
          <cell r="C72" t="str">
            <v>814-09</v>
          </cell>
          <cell r="D72">
            <v>1300000</v>
          </cell>
          <cell r="E72" t="str">
            <v>LEVIN</v>
          </cell>
        </row>
        <row r="73">
          <cell r="C73" t="str">
            <v>149-09</v>
          </cell>
          <cell r="D73">
            <v>1090000</v>
          </cell>
          <cell r="E73" t="str">
            <v>SPECTOR</v>
          </cell>
        </row>
        <row r="74">
          <cell r="C74" t="str">
            <v>144-09</v>
          </cell>
          <cell r="D74">
            <v>900000</v>
          </cell>
          <cell r="E74" t="str">
            <v>ROCHA</v>
          </cell>
        </row>
        <row r="75">
          <cell r="C75" t="str">
            <v>151-09</v>
          </cell>
          <cell r="D75">
            <v>1990000</v>
          </cell>
          <cell r="E75" t="str">
            <v>DAVIS</v>
          </cell>
        </row>
        <row r="76">
          <cell r="C76" t="str">
            <v>146-09</v>
          </cell>
          <cell r="D76">
            <v>1260000</v>
          </cell>
          <cell r="E76" t="str">
            <v>ACKERMAN</v>
          </cell>
        </row>
        <row r="77">
          <cell r="C77" t="str">
            <v>149-09</v>
          </cell>
          <cell r="D77">
            <v>1090000</v>
          </cell>
          <cell r="E77" t="str">
            <v>SPECTOR</v>
          </cell>
        </row>
        <row r="78">
          <cell r="C78" t="str">
            <v>153-09</v>
          </cell>
          <cell r="D78">
            <v>2110000</v>
          </cell>
          <cell r="E78" t="str">
            <v>OUN</v>
          </cell>
        </row>
        <row r="79">
          <cell r="C79" t="str">
            <v>815-09</v>
          </cell>
          <cell r="D79">
            <v>1300000</v>
          </cell>
          <cell r="E79" t="str">
            <v>LEVIN</v>
          </cell>
        </row>
        <row r="80">
          <cell r="C80" t="str">
            <v>148-09</v>
          </cell>
          <cell r="D80">
            <v>1190000</v>
          </cell>
          <cell r="E80" t="str">
            <v>BRANNON</v>
          </cell>
        </row>
        <row r="81">
          <cell r="C81" t="str">
            <v>155-09</v>
          </cell>
          <cell r="D81">
            <v>1110000</v>
          </cell>
          <cell r="E81" t="str">
            <v>STARKS</v>
          </cell>
        </row>
        <row r="82">
          <cell r="C82" t="str">
            <v>150-09</v>
          </cell>
          <cell r="D82">
            <v>1090000</v>
          </cell>
          <cell r="E82" t="str">
            <v>SPECTOR</v>
          </cell>
        </row>
        <row r="83">
          <cell r="C83" t="str">
            <v>816-09</v>
          </cell>
          <cell r="D83">
            <v>1300000</v>
          </cell>
          <cell r="E83" t="str">
            <v>LEVIN</v>
          </cell>
        </row>
        <row r="84">
          <cell r="C84" t="str">
            <v>157-09</v>
          </cell>
          <cell r="D84">
            <v>900000</v>
          </cell>
          <cell r="E84" t="str">
            <v>ROCHA</v>
          </cell>
        </row>
        <row r="85">
          <cell r="C85" t="str">
            <v>152-09</v>
          </cell>
          <cell r="D85">
            <v>1990000</v>
          </cell>
          <cell r="E85" t="str">
            <v>DAVIS</v>
          </cell>
        </row>
        <row r="86">
          <cell r="C86" t="str">
            <v>159-09</v>
          </cell>
          <cell r="D86">
            <v>1280000</v>
          </cell>
          <cell r="E86" t="str">
            <v>BARTLETT</v>
          </cell>
        </row>
        <row r="87">
          <cell r="C87" t="str">
            <v>154-09</v>
          </cell>
          <cell r="D87">
            <v>2110000</v>
          </cell>
          <cell r="E87" t="str">
            <v>OUN</v>
          </cell>
        </row>
        <row r="88">
          <cell r="C88" t="str">
            <v>817-09</v>
          </cell>
          <cell r="D88">
            <v>1300000</v>
          </cell>
          <cell r="E88" t="str">
            <v>LEVIN</v>
          </cell>
        </row>
        <row r="89">
          <cell r="C89" t="str">
            <v>161-09</v>
          </cell>
          <cell r="D89">
            <v>1740000</v>
          </cell>
          <cell r="E89" t="str">
            <v>STORY</v>
          </cell>
        </row>
        <row r="90">
          <cell r="C90" t="str">
            <v>156-09</v>
          </cell>
          <cell r="D90">
            <v>1110000</v>
          </cell>
          <cell r="E90" t="str">
            <v>STARKS</v>
          </cell>
        </row>
        <row r="91">
          <cell r="C91" t="str">
            <v>163-09</v>
          </cell>
          <cell r="D91">
            <v>1540000</v>
          </cell>
          <cell r="E91" t="str">
            <v>HELVIE</v>
          </cell>
        </row>
        <row r="92">
          <cell r="C92" t="str">
            <v>165-09</v>
          </cell>
          <cell r="D92">
            <v>1760000</v>
          </cell>
          <cell r="E92" t="str">
            <v>STRICKLAND</v>
          </cell>
        </row>
        <row r="93">
          <cell r="C93" t="str">
            <v>818-09</v>
          </cell>
          <cell r="D93">
            <v>1300000</v>
          </cell>
          <cell r="E93" t="str">
            <v>LEVIN</v>
          </cell>
        </row>
        <row r="94">
          <cell r="C94" t="str">
            <v>158-09</v>
          </cell>
          <cell r="D94">
            <v>900000</v>
          </cell>
          <cell r="E94" t="str">
            <v>ROCHA</v>
          </cell>
        </row>
        <row r="95">
          <cell r="C95" t="str">
            <v>160-09</v>
          </cell>
          <cell r="D95">
            <v>1280000</v>
          </cell>
          <cell r="E95" t="str">
            <v>BARTLETT</v>
          </cell>
        </row>
        <row r="96">
          <cell r="C96" t="str">
            <v>167-09</v>
          </cell>
          <cell r="D96">
            <v>1140000</v>
          </cell>
          <cell r="E96" t="str">
            <v>YOUNG</v>
          </cell>
        </row>
        <row r="97">
          <cell r="C97" t="str">
            <v>162-09</v>
          </cell>
          <cell r="D97">
            <v>1740000</v>
          </cell>
          <cell r="E97" t="str">
            <v>STORY</v>
          </cell>
        </row>
        <row r="98">
          <cell r="C98" t="str">
            <v>169-09</v>
          </cell>
          <cell r="D98">
            <v>2150000</v>
          </cell>
          <cell r="E98" t="str">
            <v>SWANSON</v>
          </cell>
        </row>
        <row r="99">
          <cell r="C99" t="str">
            <v>819-09</v>
          </cell>
          <cell r="D99">
            <v>1300000</v>
          </cell>
          <cell r="E99" t="str">
            <v>LEVIN</v>
          </cell>
        </row>
        <row r="100">
          <cell r="C100" t="str">
            <v>164-09</v>
          </cell>
          <cell r="D100">
            <v>1540000</v>
          </cell>
          <cell r="E100" t="str">
            <v>HELVIE</v>
          </cell>
        </row>
        <row r="101">
          <cell r="C101" t="str">
            <v>171-09</v>
          </cell>
          <cell r="D101">
            <v>2090000</v>
          </cell>
          <cell r="E101" t="str">
            <v>HAITHCOX</v>
          </cell>
        </row>
        <row r="102">
          <cell r="C102" t="str">
            <v>166-09</v>
          </cell>
          <cell r="D102">
            <v>1760000</v>
          </cell>
          <cell r="E102" t="str">
            <v>STRICKLAND</v>
          </cell>
        </row>
        <row r="103">
          <cell r="C103" t="str">
            <v>820-09</v>
          </cell>
          <cell r="D103">
            <v>1300000</v>
          </cell>
          <cell r="E103" t="str">
            <v>LEVIN</v>
          </cell>
        </row>
        <row r="104">
          <cell r="C104" t="str">
            <v>173-09</v>
          </cell>
          <cell r="D104">
            <v>1280000</v>
          </cell>
          <cell r="E104" t="str">
            <v>BARTLETT</v>
          </cell>
        </row>
        <row r="105">
          <cell r="C105" t="str">
            <v>168-09</v>
          </cell>
          <cell r="D105">
            <v>1140000</v>
          </cell>
          <cell r="E105" t="str">
            <v>YOUNG</v>
          </cell>
        </row>
        <row r="106">
          <cell r="C106" t="str">
            <v>170-09</v>
          </cell>
          <cell r="D106">
            <v>2150000</v>
          </cell>
          <cell r="E106" t="str">
            <v>SWANSON</v>
          </cell>
        </row>
        <row r="107">
          <cell r="C107" t="str">
            <v>175-09</v>
          </cell>
          <cell r="D107">
            <v>1780000</v>
          </cell>
          <cell r="E107" t="str">
            <v>DE LA ROSA</v>
          </cell>
        </row>
        <row r="108">
          <cell r="C108" t="str">
            <v>821-09</v>
          </cell>
          <cell r="D108">
            <v>1770000</v>
          </cell>
          <cell r="E108" t="str">
            <v>BRUDER</v>
          </cell>
        </row>
        <row r="109">
          <cell r="C109" t="str">
            <v>177-09</v>
          </cell>
          <cell r="D109">
            <v>1540000</v>
          </cell>
          <cell r="E109" t="str">
            <v>HELVIE</v>
          </cell>
        </row>
        <row r="110">
          <cell r="C110" t="str">
            <v>172-09</v>
          </cell>
          <cell r="D110">
            <v>2090000</v>
          </cell>
          <cell r="E110" t="str">
            <v>HAITHCOX</v>
          </cell>
        </row>
        <row r="111">
          <cell r="C111" t="str">
            <v>179-09</v>
          </cell>
          <cell r="D111">
            <v>1760000</v>
          </cell>
          <cell r="E111" t="str">
            <v>STRICKLAND</v>
          </cell>
        </row>
        <row r="112">
          <cell r="C112" t="str">
            <v>822-09</v>
          </cell>
          <cell r="D112">
            <v>1770000</v>
          </cell>
          <cell r="E112" t="str">
            <v>BRUDER</v>
          </cell>
        </row>
        <row r="113">
          <cell r="C113" t="str">
            <v>174-09</v>
          </cell>
          <cell r="D113">
            <v>1280000</v>
          </cell>
          <cell r="E113" t="str">
            <v>BARTLETT</v>
          </cell>
        </row>
        <row r="114">
          <cell r="C114" t="str">
            <v>181-09</v>
          </cell>
          <cell r="D114">
            <v>1140000</v>
          </cell>
          <cell r="E114" t="str">
            <v>YOUNG</v>
          </cell>
        </row>
        <row r="115">
          <cell r="C115" t="str">
            <v>176-09</v>
          </cell>
          <cell r="D115">
            <v>1780000</v>
          </cell>
          <cell r="E115" t="str">
            <v>DE LA ROSA</v>
          </cell>
        </row>
        <row r="116">
          <cell r="C116" t="str">
            <v>183-09</v>
          </cell>
          <cell r="D116">
            <v>2150000</v>
          </cell>
          <cell r="E116" t="str">
            <v>SWANSON</v>
          </cell>
        </row>
        <row r="117">
          <cell r="C117" t="str">
            <v>185-09</v>
          </cell>
          <cell r="D117">
            <v>2090000</v>
          </cell>
          <cell r="E117" t="str">
            <v>HAITHCOX</v>
          </cell>
        </row>
        <row r="118">
          <cell r="C118" t="str">
            <v>178-09</v>
          </cell>
          <cell r="D118">
            <v>1540000</v>
          </cell>
          <cell r="E118" t="str">
            <v>HELVIE</v>
          </cell>
        </row>
        <row r="119">
          <cell r="C119" t="str">
            <v>823-09</v>
          </cell>
          <cell r="D119">
            <v>1770000</v>
          </cell>
          <cell r="E119" t="str">
            <v>BRUDER</v>
          </cell>
        </row>
        <row r="120">
          <cell r="C120" t="str">
            <v>180-09</v>
          </cell>
          <cell r="D120">
            <v>1760000</v>
          </cell>
          <cell r="E120" t="str">
            <v>STRICKLAND</v>
          </cell>
        </row>
        <row r="121">
          <cell r="C121" t="str">
            <v>187-09</v>
          </cell>
          <cell r="D121">
            <v>1280000</v>
          </cell>
          <cell r="E121" t="str">
            <v>BARTLETT</v>
          </cell>
        </row>
        <row r="122">
          <cell r="C122" t="str">
            <v>182-09</v>
          </cell>
          <cell r="D122">
            <v>1140000</v>
          </cell>
          <cell r="E122" t="str">
            <v>YOUNG</v>
          </cell>
        </row>
        <row r="123">
          <cell r="C123" t="str">
            <v>824-09</v>
          </cell>
          <cell r="D123">
            <v>1770000</v>
          </cell>
          <cell r="E123" t="str">
            <v>BRUDER</v>
          </cell>
        </row>
        <row r="124">
          <cell r="C124" t="str">
            <v>184-09</v>
          </cell>
          <cell r="D124">
            <v>2150000</v>
          </cell>
          <cell r="E124" t="str">
            <v>SWANSON</v>
          </cell>
        </row>
        <row r="125">
          <cell r="C125" t="str">
            <v>189-09</v>
          </cell>
          <cell r="D125">
            <v>1780000</v>
          </cell>
          <cell r="E125" t="str">
            <v>DE LA ROSA</v>
          </cell>
        </row>
        <row r="126">
          <cell r="C126" t="str">
            <v>191-09</v>
          </cell>
          <cell r="D126">
            <v>1540000</v>
          </cell>
          <cell r="E126" t="str">
            <v>HELVIE</v>
          </cell>
        </row>
        <row r="127">
          <cell r="C127" t="str">
            <v>186-09</v>
          </cell>
          <cell r="D127">
            <v>2090000</v>
          </cell>
          <cell r="E127" t="str">
            <v>HAITHCOX</v>
          </cell>
        </row>
        <row r="128">
          <cell r="C128" t="str">
            <v>193-09</v>
          </cell>
          <cell r="D128">
            <v>1760000</v>
          </cell>
          <cell r="E128" t="str">
            <v>STRICKLAND</v>
          </cell>
        </row>
        <row r="129">
          <cell r="C129" t="str">
            <v>188-09</v>
          </cell>
          <cell r="D129">
            <v>1280000</v>
          </cell>
          <cell r="E129" t="str">
            <v>BARTLETT</v>
          </cell>
        </row>
        <row r="130">
          <cell r="C130" t="str">
            <v>825-09</v>
          </cell>
          <cell r="D130">
            <v>1770000</v>
          </cell>
          <cell r="E130" t="str">
            <v>BRUDER</v>
          </cell>
        </row>
        <row r="131">
          <cell r="C131" t="str">
            <v>195-09</v>
          </cell>
          <cell r="D131">
            <v>1140000</v>
          </cell>
          <cell r="E131" t="str">
            <v>YOUNG</v>
          </cell>
        </row>
        <row r="132">
          <cell r="C132" t="str">
            <v>904-09</v>
          </cell>
          <cell r="D132">
            <v>1480000</v>
          </cell>
          <cell r="E132" t="str">
            <v>STURGEON</v>
          </cell>
        </row>
        <row r="133">
          <cell r="C133" t="str">
            <v>190-09</v>
          </cell>
          <cell r="D133">
            <v>1780000</v>
          </cell>
          <cell r="E133" t="str">
            <v>DE LA ROSA</v>
          </cell>
        </row>
        <row r="134">
          <cell r="C134" t="str">
            <v>197-09</v>
          </cell>
          <cell r="D134">
            <v>2150000</v>
          </cell>
          <cell r="E134" t="str">
            <v>SWANSON</v>
          </cell>
        </row>
        <row r="135">
          <cell r="C135" t="str">
            <v>826-09</v>
          </cell>
          <cell r="D135">
            <v>1770000</v>
          </cell>
          <cell r="E135" t="str">
            <v>BRUDER</v>
          </cell>
        </row>
        <row r="136">
          <cell r="C136" t="str">
            <v>827-09</v>
          </cell>
          <cell r="D136">
            <v>1480000</v>
          </cell>
          <cell r="E136" t="str">
            <v>STURGEON</v>
          </cell>
        </row>
        <row r="137">
          <cell r="C137" t="str">
            <v>192-09</v>
          </cell>
          <cell r="D137">
            <v>1540000</v>
          </cell>
          <cell r="E137" t="str">
            <v>HELVIE</v>
          </cell>
        </row>
        <row r="138">
          <cell r="C138" t="str">
            <v>199-09</v>
          </cell>
          <cell r="D138">
            <v>2090000</v>
          </cell>
          <cell r="E138" t="str">
            <v>HAITHCOX</v>
          </cell>
        </row>
        <row r="139">
          <cell r="C139" t="str">
            <v>194-09</v>
          </cell>
          <cell r="D139">
            <v>1760000</v>
          </cell>
          <cell r="E139" t="str">
            <v>STRICKLAND</v>
          </cell>
        </row>
        <row r="140">
          <cell r="C140" t="str">
            <v>201-09</v>
          </cell>
          <cell r="D140">
            <v>1280000</v>
          </cell>
          <cell r="E140" t="str">
            <v>BARTLETT</v>
          </cell>
        </row>
        <row r="141">
          <cell r="C141" t="str">
            <v>828-09</v>
          </cell>
          <cell r="D141">
            <v>1480000</v>
          </cell>
          <cell r="E141" t="str">
            <v>STURGEON</v>
          </cell>
        </row>
        <row r="142">
          <cell r="C142" t="str">
            <v>829-09</v>
          </cell>
          <cell r="D142">
            <v>1770000</v>
          </cell>
          <cell r="E142" t="str">
            <v>BRUDER</v>
          </cell>
        </row>
        <row r="143">
          <cell r="C143" t="str">
            <v>196-09</v>
          </cell>
          <cell r="D143">
            <v>1140000</v>
          </cell>
          <cell r="E143" t="str">
            <v>YOUNG</v>
          </cell>
        </row>
        <row r="144">
          <cell r="C144" t="str">
            <v>203-09</v>
          </cell>
          <cell r="D144">
            <v>1780000</v>
          </cell>
          <cell r="E144" t="str">
            <v>DE LA ROSA</v>
          </cell>
        </row>
        <row r="145">
          <cell r="C145" t="str">
            <v>198-09</v>
          </cell>
          <cell r="D145">
            <v>2150000</v>
          </cell>
          <cell r="E145" t="str">
            <v>SWANSON</v>
          </cell>
        </row>
        <row r="146">
          <cell r="C146" t="str">
            <v>830-09</v>
          </cell>
          <cell r="D146">
            <v>1770000</v>
          </cell>
          <cell r="E146" t="str">
            <v>BRUDER</v>
          </cell>
        </row>
        <row r="147">
          <cell r="C147" t="str">
            <v>LEVERE-09</v>
          </cell>
          <cell r="D147">
            <v>1180000</v>
          </cell>
          <cell r="E147" t="str">
            <v>LEVERE</v>
          </cell>
        </row>
        <row r="148">
          <cell r="C148" t="str">
            <v>205-09</v>
          </cell>
          <cell r="D148">
            <v>1540000</v>
          </cell>
          <cell r="E148" t="str">
            <v>HELVIE</v>
          </cell>
        </row>
        <row r="149">
          <cell r="C149" t="str">
            <v>831-09</v>
          </cell>
          <cell r="D149">
            <v>1480000</v>
          </cell>
          <cell r="E149" t="str">
            <v>STURGEON</v>
          </cell>
        </row>
        <row r="150">
          <cell r="C150" t="str">
            <v>200-09</v>
          </cell>
          <cell r="D150">
            <v>2090000</v>
          </cell>
          <cell r="E150" t="str">
            <v>HAITHCOX</v>
          </cell>
        </row>
        <row r="151">
          <cell r="C151" t="str">
            <v>207-09</v>
          </cell>
          <cell r="D151">
            <v>1760000</v>
          </cell>
          <cell r="E151" t="str">
            <v>STRICKLAND</v>
          </cell>
        </row>
        <row r="152">
          <cell r="C152" t="str">
            <v>202-09</v>
          </cell>
          <cell r="D152">
            <v>1280000</v>
          </cell>
          <cell r="E152" t="str">
            <v>BARTLETT</v>
          </cell>
        </row>
        <row r="153">
          <cell r="C153" t="str">
            <v>209-09</v>
          </cell>
          <cell r="D153">
            <v>2100000</v>
          </cell>
          <cell r="E153" t="str">
            <v>ISHMAEL</v>
          </cell>
        </row>
        <row r="154">
          <cell r="C154" t="str">
            <v>832-09</v>
          </cell>
          <cell r="D154">
            <v>1480000</v>
          </cell>
          <cell r="E154" t="str">
            <v>STURGEON</v>
          </cell>
        </row>
        <row r="155">
          <cell r="C155" t="str">
            <v>COOLAHAN-09</v>
          </cell>
          <cell r="D155">
            <v>1290000</v>
          </cell>
          <cell r="E155" t="str">
            <v>COOLAHAN</v>
          </cell>
        </row>
        <row r="156">
          <cell r="C156" t="str">
            <v>833-09</v>
          </cell>
          <cell r="D156">
            <v>1770000</v>
          </cell>
          <cell r="E156" t="str">
            <v>BRUDER</v>
          </cell>
        </row>
        <row r="157">
          <cell r="C157" t="str">
            <v>204-09</v>
          </cell>
          <cell r="D157">
            <v>1780000</v>
          </cell>
          <cell r="E157" t="str">
            <v>DE LA ROSA</v>
          </cell>
        </row>
        <row r="158">
          <cell r="C158" t="str">
            <v>211-09</v>
          </cell>
          <cell r="D158">
            <v>1140000</v>
          </cell>
          <cell r="E158" t="str">
            <v>YOUNG</v>
          </cell>
        </row>
        <row r="159">
          <cell r="C159" t="str">
            <v>206-09</v>
          </cell>
          <cell r="D159">
            <v>1540000</v>
          </cell>
          <cell r="E159" t="str">
            <v>HELVIE</v>
          </cell>
        </row>
        <row r="160">
          <cell r="C160" t="str">
            <v>834-09</v>
          </cell>
          <cell r="D160">
            <v>1770000</v>
          </cell>
          <cell r="E160" t="str">
            <v>BRUDER</v>
          </cell>
        </row>
        <row r="161">
          <cell r="C161" t="str">
            <v>835-09</v>
          </cell>
          <cell r="D161">
            <v>1480000</v>
          </cell>
          <cell r="E161" t="str">
            <v>STURGEON</v>
          </cell>
        </row>
        <row r="162">
          <cell r="C162" t="str">
            <v>213-09</v>
          </cell>
          <cell r="D162">
            <v>1290000</v>
          </cell>
          <cell r="E162" t="str">
            <v>COOLAHAN</v>
          </cell>
        </row>
        <row r="163">
          <cell r="C163" t="str">
            <v>208-09</v>
          </cell>
          <cell r="D163">
            <v>1760000</v>
          </cell>
          <cell r="E163" t="str">
            <v>STRICKLAND</v>
          </cell>
        </row>
        <row r="164">
          <cell r="C164" t="str">
            <v>215-09</v>
          </cell>
          <cell r="D164">
            <v>2090000</v>
          </cell>
          <cell r="E164" t="str">
            <v>HAITHCOX</v>
          </cell>
        </row>
        <row r="165">
          <cell r="C165" t="str">
            <v>210-09</v>
          </cell>
          <cell r="D165">
            <v>2100000</v>
          </cell>
          <cell r="E165" t="str">
            <v>ISHMAEL</v>
          </cell>
        </row>
        <row r="166">
          <cell r="C166" t="str">
            <v>219-09</v>
          </cell>
          <cell r="D166">
            <v>1800000</v>
          </cell>
          <cell r="E166" t="str">
            <v>CHANDLER</v>
          </cell>
        </row>
        <row r="167">
          <cell r="C167" t="str">
            <v>836-09</v>
          </cell>
          <cell r="D167">
            <v>1480000</v>
          </cell>
          <cell r="E167" t="str">
            <v>STURGEON</v>
          </cell>
        </row>
        <row r="168">
          <cell r="C168" t="str">
            <v>217-09</v>
          </cell>
          <cell r="D168">
            <v>2140000</v>
          </cell>
          <cell r="E168" t="str">
            <v>ROBINSON</v>
          </cell>
        </row>
        <row r="169">
          <cell r="C169" t="str">
            <v>837-09</v>
          </cell>
          <cell r="D169">
            <v>1770000</v>
          </cell>
          <cell r="E169" t="str">
            <v>BRUDER</v>
          </cell>
        </row>
        <row r="170">
          <cell r="C170" t="str">
            <v>212-09</v>
          </cell>
          <cell r="D170">
            <v>1140000</v>
          </cell>
          <cell r="E170" t="str">
            <v>YOUNG</v>
          </cell>
        </row>
        <row r="171">
          <cell r="C171" t="str">
            <v>219-09</v>
          </cell>
          <cell r="D171">
            <v>1800000</v>
          </cell>
          <cell r="E171" t="str">
            <v>CHANDLER</v>
          </cell>
        </row>
        <row r="172">
          <cell r="C172" t="str">
            <v>HELVIE-09</v>
          </cell>
          <cell r="D172">
            <v>1540000</v>
          </cell>
          <cell r="E172" t="str">
            <v>HELVIE</v>
          </cell>
        </row>
        <row r="173">
          <cell r="C173" t="str">
            <v>214-09</v>
          </cell>
          <cell r="D173">
            <v>1290000</v>
          </cell>
          <cell r="E173" t="str">
            <v>COOLAHAN</v>
          </cell>
        </row>
        <row r="174">
          <cell r="C174" t="str">
            <v>838-09</v>
          </cell>
          <cell r="D174">
            <v>1770000</v>
          </cell>
          <cell r="E174" t="str">
            <v>BRUDER</v>
          </cell>
        </row>
        <row r="175">
          <cell r="C175" t="str">
            <v>839-09</v>
          </cell>
          <cell r="D175">
            <v>1480000</v>
          </cell>
          <cell r="E175" t="str">
            <v>STURGEON</v>
          </cell>
        </row>
        <row r="176">
          <cell r="C176" t="str">
            <v>303-09</v>
          </cell>
          <cell r="D176">
            <v>1760000</v>
          </cell>
          <cell r="E176" t="str">
            <v>STRICKLAND</v>
          </cell>
        </row>
        <row r="177">
          <cell r="C177" t="str">
            <v>216-09</v>
          </cell>
          <cell r="D177">
            <v>2090000</v>
          </cell>
          <cell r="E177" t="str">
            <v>HAITHCOX</v>
          </cell>
        </row>
        <row r="178">
          <cell r="C178" t="str">
            <v>221-09</v>
          </cell>
          <cell r="D178">
            <v>2100000</v>
          </cell>
          <cell r="E178" t="str">
            <v>ISHMAEL</v>
          </cell>
        </row>
        <row r="179">
          <cell r="C179" t="str">
            <v>218-09</v>
          </cell>
          <cell r="D179">
            <v>2140000</v>
          </cell>
          <cell r="E179" t="str">
            <v>ROBINSON</v>
          </cell>
        </row>
        <row r="180">
          <cell r="C180" t="str">
            <v>218-09</v>
          </cell>
          <cell r="D180">
            <v>2140000</v>
          </cell>
          <cell r="E180" t="str">
            <v>ROBINSON</v>
          </cell>
        </row>
        <row r="181">
          <cell r="C181" t="str">
            <v>906-09</v>
          </cell>
          <cell r="D181">
            <v>1480000</v>
          </cell>
          <cell r="E181" t="str">
            <v>STURGEON</v>
          </cell>
        </row>
        <row r="182">
          <cell r="C182" t="str">
            <v>841-09</v>
          </cell>
          <cell r="D182">
            <v>1770000</v>
          </cell>
          <cell r="E182" t="str">
            <v>BRUDER</v>
          </cell>
        </row>
        <row r="183">
          <cell r="C183" t="str">
            <v>220-09</v>
          </cell>
          <cell r="D183">
            <v>1800000</v>
          </cell>
          <cell r="E183" t="str">
            <v>CHANDLER</v>
          </cell>
        </row>
        <row r="184">
          <cell r="C184" t="str">
            <v>223-09</v>
          </cell>
          <cell r="D184">
            <v>1290000</v>
          </cell>
          <cell r="E184" t="str">
            <v>COOLAHAN</v>
          </cell>
        </row>
        <row r="185">
          <cell r="C185" t="str">
            <v>840-09</v>
          </cell>
          <cell r="D185">
            <v>1770000</v>
          </cell>
          <cell r="E185" t="str">
            <v>BRUDER</v>
          </cell>
        </row>
        <row r="186">
          <cell r="C186" t="str">
            <v>307-09</v>
          </cell>
          <cell r="D186">
            <v>2090000</v>
          </cell>
          <cell r="E186" t="str">
            <v>HAITHCOX</v>
          </cell>
        </row>
        <row r="187">
          <cell r="C187" t="str">
            <v>222-09</v>
          </cell>
          <cell r="D187">
            <v>2100000</v>
          </cell>
          <cell r="E187" t="str">
            <v>ISHMAEL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101-10</v>
          </cell>
          <cell r="B13">
            <v>4020</v>
          </cell>
          <cell r="C13" t="str">
            <v>DE.1.0.7.0</v>
          </cell>
          <cell r="D13" t="str">
            <v>204:704</v>
          </cell>
          <cell r="E13">
            <v>42592.129305555558</v>
          </cell>
          <cell r="F13">
            <v>42592.130277777775</v>
          </cell>
          <cell r="G13">
            <v>1</v>
          </cell>
          <cell r="H13" t="str">
            <v>204:233293</v>
          </cell>
          <cell r="I13">
            <v>42592.161585648151</v>
          </cell>
          <cell r="J13">
            <v>0</v>
          </cell>
          <cell r="K13" t="str">
            <v>4019/4020</v>
          </cell>
          <cell r="L13" t="str">
            <v>MAELZER</v>
          </cell>
          <cell r="M13">
            <v>3.1307870376622304E-2</v>
          </cell>
          <cell r="N13">
            <v>45.083333342336118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https://search-rtdc-monitor-bjffxe2xuh6vdkpspy63sjmuny.us-east-1.es.amazonaws.com/_plugin/kibana/#/discover/Steve-Slow-Train-Analysis-(2080s-and-2083s)?_g=(refreshInterval:(display:Off,section:0,value:0),time:(from:'2016-08-10 02:06:12-0600',mode:absolute,to:'2016-08-10 04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7.0400000000000004E-2</v>
          </cell>
          <cell r="Z13">
            <v>23.3293</v>
          </cell>
          <cell r="AA13">
            <v>23.258900000000001</v>
          </cell>
          <cell r="AB13" t="e">
            <v>#N/A</v>
          </cell>
          <cell r="AC13" t="e">
            <v>#N/A</v>
          </cell>
          <cell r="AD13" t="str">
            <v>0101-10</v>
          </cell>
          <cell r="AE1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14">
          <cell r="A14" t="str">
            <v>102-10</v>
          </cell>
          <cell r="B14">
            <v>4010</v>
          </cell>
          <cell r="C14" t="str">
            <v>DE.1.0.7.0</v>
          </cell>
          <cell r="D14" t="str">
            <v>204:232656</v>
          </cell>
          <cell r="E14">
            <v>42592.170729166668</v>
          </cell>
          <cell r="F14">
            <v>42592.171655092592</v>
          </cell>
          <cell r="G14">
            <v>1</v>
          </cell>
          <cell r="H14" t="str">
            <v>204:109</v>
          </cell>
          <cell r="I14">
            <v>42592.203194444446</v>
          </cell>
          <cell r="J14">
            <v>0</v>
          </cell>
          <cell r="K14" t="str">
            <v>4009/4010</v>
          </cell>
          <cell r="L14" t="str">
            <v>MAELZER</v>
          </cell>
          <cell r="M14">
            <v>3.1539351854007691E-2</v>
          </cell>
          <cell r="N14">
            <v>45.416666669771075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https://search-rtdc-monitor-bjffxe2xuh6vdkpspy63sjmuny.us-east-1.es.amazonaws.com/_plugin/kibana/#/discover/Steve-Slow-Train-Analysis-(2080s-and-2083s)?_g=(refreshInterval:(display:Off,section:0,value:0),time:(from:'2016-08-10 03:05:51-0600',mode:absolute,to:'2016-08-10 05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23.265599999999999</v>
          </cell>
          <cell r="Z14">
            <v>1.09E-2</v>
          </cell>
          <cell r="AA14">
            <v>23.2547</v>
          </cell>
          <cell r="AB14" t="e">
            <v>#N/A</v>
          </cell>
          <cell r="AC14" t="e">
            <v>#N/A</v>
          </cell>
          <cell r="AD14" t="str">
            <v>0102-10</v>
          </cell>
          <cell r="AE1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5">
          <cell r="A15" t="str">
            <v>103-10</v>
          </cell>
          <cell r="B15">
            <v>4016</v>
          </cell>
          <cell r="C15" t="str">
            <v>DE.1.0.7.0</v>
          </cell>
          <cell r="D15" t="str">
            <v>204:657</v>
          </cell>
          <cell r="E15">
            <v>42592.152314814812</v>
          </cell>
          <cell r="F15">
            <v>42592.153645833336</v>
          </cell>
          <cell r="G15">
            <v>1</v>
          </cell>
          <cell r="H15" t="str">
            <v>204:233345</v>
          </cell>
          <cell r="I15">
            <v>42592.182974537034</v>
          </cell>
          <cell r="J15">
            <v>1</v>
          </cell>
          <cell r="K15" t="str">
            <v>4015/4016</v>
          </cell>
          <cell r="L15" t="str">
            <v>ACKERMAN</v>
          </cell>
          <cell r="M15">
            <v>2.9328703698411118E-2</v>
          </cell>
          <cell r="N15">
            <v>42.23333332571201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5" t="str">
            <v>N</v>
          </cell>
          <cell r="X15">
            <v>1</v>
          </cell>
          <cell r="Y15">
            <v>6.5699999999999995E-2</v>
          </cell>
          <cell r="Z15">
            <v>23.334499999999998</v>
          </cell>
          <cell r="AA15">
            <v>23.268799999999999</v>
          </cell>
          <cell r="AB15" t="e">
            <v>#N/A</v>
          </cell>
          <cell r="AC15" t="e">
            <v>#N/A</v>
          </cell>
          <cell r="AD15" t="str">
            <v>0103-10</v>
          </cell>
          <cell r="AE1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6">
          <cell r="A16" t="str">
            <v>104-10</v>
          </cell>
          <cell r="B16">
            <v>4030</v>
          </cell>
          <cell r="C16" t="str">
            <v>DE.1.0.7.0</v>
          </cell>
          <cell r="D16" t="str">
            <v>204:232723</v>
          </cell>
          <cell r="E16">
            <v>42592.192569444444</v>
          </cell>
          <cell r="F16">
            <v>42592.193252314813</v>
          </cell>
          <cell r="G16">
            <v>0</v>
          </cell>
          <cell r="H16" t="str">
            <v>204:163</v>
          </cell>
          <cell r="I16">
            <v>42592.224444444444</v>
          </cell>
          <cell r="J16">
            <v>1</v>
          </cell>
          <cell r="K16" t="str">
            <v>4029/4030</v>
          </cell>
          <cell r="L16" t="str">
            <v>ACKERMAN</v>
          </cell>
          <cell r="M16">
            <v>3.1192129630653653E-2</v>
          </cell>
          <cell r="N16">
            <v>44.916666668141261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N</v>
          </cell>
          <cell r="X16">
            <v>1</v>
          </cell>
          <cell r="Y16">
            <v>23.272300000000001</v>
          </cell>
          <cell r="Z16">
            <v>1.6299999999999999E-2</v>
          </cell>
          <cell r="AA16">
            <v>23.256</v>
          </cell>
          <cell r="AB16">
            <v>1</v>
          </cell>
          <cell r="AC16" t="str">
            <v>TRACK WARRANT AUTHORITY</v>
          </cell>
          <cell r="AD16" t="str">
            <v>0104-10</v>
          </cell>
          <cell r="AE16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7">
          <cell r="A17" t="str">
            <v>105-10</v>
          </cell>
          <cell r="B17">
            <v>4018</v>
          </cell>
          <cell r="C17" t="str">
            <v>DE.1.0.7.0</v>
          </cell>
          <cell r="D17" t="str">
            <v>204:1737</v>
          </cell>
          <cell r="E17">
            <v>42592.177152777775</v>
          </cell>
          <cell r="F17">
            <v>42592.1796875</v>
          </cell>
          <cell r="G17">
            <v>3</v>
          </cell>
          <cell r="H17" t="str">
            <v>204:233307</v>
          </cell>
          <cell r="I17">
            <v>42592.204386574071</v>
          </cell>
          <cell r="J17">
            <v>0</v>
          </cell>
          <cell r="K17" t="str">
            <v>4017/4018</v>
          </cell>
          <cell r="L17" t="str">
            <v>STAMBAUGH</v>
          </cell>
          <cell r="M17">
            <v>2.4699074070667848E-2</v>
          </cell>
          <cell r="N17">
            <v>35.566666661761701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https://search-rtdc-monitor-bjffxe2xuh6vdkpspy63sjmuny.us-east-1.es.amazonaws.com/_plugin/kibana/#/discover/Steve-Slow-Train-Analysis-(2080s-and-2083s)?_g=(refreshInterval:(display:Off,section:0,value:0),time:(from:'2016-08-10 03:15:06-0600',mode:absolute,to:'2016-08-10 05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" t="str">
            <v>N</v>
          </cell>
          <cell r="X17">
            <v>1</v>
          </cell>
          <cell r="Y17">
            <v>0.17369999999999999</v>
          </cell>
          <cell r="Z17">
            <v>23.3307</v>
          </cell>
          <cell r="AA17">
            <v>23.157</v>
          </cell>
          <cell r="AB17" t="e">
            <v>#N/A</v>
          </cell>
          <cell r="AC17" t="e">
            <v>#N/A</v>
          </cell>
          <cell r="AD17" t="str">
            <v>0105-10</v>
          </cell>
          <cell r="AE17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8">
          <cell r="A18" t="str">
            <v>106-10</v>
          </cell>
          <cell r="B18">
            <v>4037</v>
          </cell>
          <cell r="C18" t="str">
            <v>DE.1.0.7.0</v>
          </cell>
          <cell r="D18" t="str">
            <v>204:232656</v>
          </cell>
          <cell r="E18">
            <v>42592.213055555556</v>
          </cell>
          <cell r="F18">
            <v>42592.214444444442</v>
          </cell>
          <cell r="G18">
            <v>1</v>
          </cell>
          <cell r="H18" t="str">
            <v>204:109</v>
          </cell>
          <cell r="I18">
            <v>42592.243217592593</v>
          </cell>
          <cell r="J18">
            <v>0</v>
          </cell>
          <cell r="K18" t="str">
            <v>4037/4038</v>
          </cell>
          <cell r="L18" t="str">
            <v>STAMBAUGH</v>
          </cell>
          <cell r="M18">
            <v>2.8773148151230998E-2</v>
          </cell>
          <cell r="N18">
            <v>41.433333337772638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https://search-rtdc-monitor-bjffxe2xuh6vdkpspy63sjmuny.us-east-1.es.amazonaws.com/_plugin/kibana/#/discover/Steve-Slow-Train-Analysis-(2080s-and-2083s)?_g=(refreshInterval:(display:Off,section:0,value:0),time:(from:'2016-08-10 04:06:48-0600',mode:absolute,to:'2016-08-10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1</v>
          </cell>
          <cell r="Y18">
            <v>23.265599999999999</v>
          </cell>
          <cell r="Z18">
            <v>1.09E-2</v>
          </cell>
          <cell r="AA18">
            <v>23.2547</v>
          </cell>
          <cell r="AB18" t="e">
            <v>#N/A</v>
          </cell>
          <cell r="AC18" t="e">
            <v>#N/A</v>
          </cell>
          <cell r="AD18" t="str">
            <v>0106-10</v>
          </cell>
          <cell r="AE18" t="str">
            <v>aws s3 cp s3://rtdc.mdm.uploadarchive/RTDC4037/2016-08-10/ "%USERPROFILE%\AppData\Local\Temp\OnboardLogs"\RTDC4037\2016-08-10 --recursive &amp; "%USERPROFILE%\Documents\GitHub\mrs-test-scripts\Headless Mode &amp; Sideloading\WalkAndUnGZ.bat" "%USERPROFILE%\AppData\Local\Temp\OnboardLogs"\RTDC4037\2016-08-10 &amp; 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</v>
          </cell>
        </row>
        <row r="19">
          <cell r="A19" t="str">
            <v>107-10</v>
          </cell>
          <cell r="B19">
            <v>4007</v>
          </cell>
          <cell r="C19" t="str">
            <v>DE.1.0.7.0</v>
          </cell>
          <cell r="D19" t="str">
            <v>204:467</v>
          </cell>
          <cell r="E19">
            <v>42592.184664351851</v>
          </cell>
          <cell r="F19">
            <v>42592.185567129629</v>
          </cell>
          <cell r="G19">
            <v>1</v>
          </cell>
          <cell r="H19" t="str">
            <v>204:233308</v>
          </cell>
          <cell r="I19">
            <v>42592.213402777779</v>
          </cell>
          <cell r="J19">
            <v>0</v>
          </cell>
          <cell r="K19" t="str">
            <v>4007/4008</v>
          </cell>
          <cell r="L19" t="str">
            <v>SPECTOR</v>
          </cell>
          <cell r="M19">
            <v>2.7835648150357883E-2</v>
          </cell>
          <cell r="N19">
            <v>40.083333336515352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https://search-rtdc-monitor-bjffxe2xuh6vdkpspy63sjmuny.us-east-1.es.amazonaws.com/_plugin/kibana/#/discover/Steve-Slow-Train-Analysis-(2080s-and-2083s)?_g=(refreshInterval:(display:Off,section:0,value:0),time:(from:'2016-08-10 03:25:55-0600',mode:absolute,to:'2016-08-10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4.6699999999999998E-2</v>
          </cell>
          <cell r="Z19">
            <v>23.3308</v>
          </cell>
          <cell r="AA19">
            <v>23.284099999999999</v>
          </cell>
          <cell r="AB19" t="e">
            <v>#N/A</v>
          </cell>
          <cell r="AC19" t="e">
            <v>#N/A</v>
          </cell>
          <cell r="AD19" t="str">
            <v>0107-10</v>
          </cell>
          <cell r="AE19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20">
          <cell r="A20" t="str">
            <v>108-10</v>
          </cell>
          <cell r="B20">
            <v>4008</v>
          </cell>
          <cell r="C20" t="str">
            <v>DE.1.0.7.0</v>
          </cell>
          <cell r="D20" t="str">
            <v>204:232989</v>
          </cell>
          <cell r="E20">
            <v>42592.219155092593</v>
          </cell>
          <cell r="F20">
            <v>42592.220138888886</v>
          </cell>
          <cell r="G20">
            <v>1</v>
          </cell>
          <cell r="H20" t="str">
            <v>204:150</v>
          </cell>
          <cell r="I20">
            <v>42592.252893518518</v>
          </cell>
          <cell r="J20">
            <v>0</v>
          </cell>
          <cell r="K20" t="str">
            <v>4007/4008</v>
          </cell>
          <cell r="L20" t="str">
            <v>SPECTOR</v>
          </cell>
          <cell r="M20">
            <v>3.2754629632108845E-2</v>
          </cell>
          <cell r="N20">
            <v>47.166666670236737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https://search-rtdc-monitor-bjffxe2xuh6vdkpspy63sjmuny.us-east-1.es.amazonaws.com/_plugin/kibana/#/discover/Steve-Slow-Train-Analysis-(2080s-and-2083s)?_g=(refreshInterval:(display:Off,section:0,value:0),time:(from:'2016-08-10 04:15:35-0600',mode:absolute,to:'2016-08-10 07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23.2989</v>
          </cell>
          <cell r="Z20">
            <v>1.4999999999999999E-2</v>
          </cell>
          <cell r="AA20">
            <v>23.283899999999999</v>
          </cell>
          <cell r="AB20" t="e">
            <v>#N/A</v>
          </cell>
          <cell r="AC20" t="e">
            <v>#N/A</v>
          </cell>
          <cell r="AD20" t="str">
            <v>0108-10</v>
          </cell>
          <cell r="AE20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21">
          <cell r="A21" t="str">
            <v>109-10</v>
          </cell>
          <cell r="B21">
            <v>4040</v>
          </cell>
          <cell r="C21" t="str">
            <v>DE.1.0.7.0</v>
          </cell>
          <cell r="D21" t="str">
            <v>204:491</v>
          </cell>
          <cell r="E21">
            <v>42592.191412037035</v>
          </cell>
          <cell r="F21">
            <v>42592.19258101852</v>
          </cell>
          <cell r="G21">
            <v>1</v>
          </cell>
          <cell r="H21" t="str">
            <v>204:233288</v>
          </cell>
          <cell r="I21">
            <v>42592.223310185182</v>
          </cell>
          <cell r="J21">
            <v>0</v>
          </cell>
          <cell r="K21" t="str">
            <v>4039/4040</v>
          </cell>
          <cell r="L21" t="str">
            <v>KILLION</v>
          </cell>
          <cell r="M21">
            <v>3.0729166661330964E-2</v>
          </cell>
          <cell r="N21">
            <v>44.249999992316589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https://search-rtdc-monitor-bjffxe2xuh6vdkpspy63sjmuny.us-east-1.es.amazonaws.com/_plugin/kibana/#/discover/Steve-Slow-Train-Analysis-(2080s-and-2083s)?_g=(refreshInterval:(display:Off,section:0,value:0),time:(from:'2016-08-10 03:35:38-0600',mode:absolute,to:'2016-08-10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" t="str">
            <v>N</v>
          </cell>
          <cell r="X21">
            <v>1</v>
          </cell>
          <cell r="Y21">
            <v>4.9099999999999998E-2</v>
          </cell>
          <cell r="Z21">
            <v>23.328800000000001</v>
          </cell>
          <cell r="AA21">
            <v>23.279700000000002</v>
          </cell>
          <cell r="AB21" t="e">
            <v>#N/A</v>
          </cell>
          <cell r="AC21" t="e">
            <v>#N/A</v>
          </cell>
          <cell r="AD21" t="str">
            <v>0109-10</v>
          </cell>
          <cell r="AE21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2">
          <cell r="A22" t="str">
            <v>110-10</v>
          </cell>
          <cell r="B22">
            <v>4039</v>
          </cell>
          <cell r="C22" t="str">
            <v>DE.1.0.7.0</v>
          </cell>
          <cell r="D22" t="str">
            <v>204:232952</v>
          </cell>
          <cell r="E22">
            <v>42592.230266203704</v>
          </cell>
          <cell r="F22">
            <v>42592.231377314813</v>
          </cell>
          <cell r="G22">
            <v>1</v>
          </cell>
          <cell r="H22" t="str">
            <v>204:154</v>
          </cell>
          <cell r="I22">
            <v>42592.264930555553</v>
          </cell>
          <cell r="J22">
            <v>0</v>
          </cell>
          <cell r="K22" t="str">
            <v>4039/4040</v>
          </cell>
          <cell r="L22" t="str">
            <v>KILLION</v>
          </cell>
          <cell r="M22">
            <v>3.3553240740729962E-2</v>
          </cell>
          <cell r="N22">
            <v>48.316666666651145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https://search-rtdc-monitor-bjffxe2xuh6vdkpspy63sjmuny.us-east-1.es.amazonaws.com/_plugin/kibana/#/discover/Steve-Slow-Train-Analysis-(2080s-and-2083s)?_g=(refreshInterval:(display:Off,section:0,value:0),time:(from:'2016-08-10 04:31:35-0600',mode:absolute,to:'2016-08-10 07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2" t="str">
            <v>N</v>
          </cell>
          <cell r="X22">
            <v>1</v>
          </cell>
          <cell r="Y22">
            <v>23.295200000000001</v>
          </cell>
          <cell r="Z22">
            <v>1.54E-2</v>
          </cell>
          <cell r="AA22">
            <v>23.279800000000002</v>
          </cell>
          <cell r="AB22" t="e">
            <v>#N/A</v>
          </cell>
          <cell r="AC22" t="e">
            <v>#N/A</v>
          </cell>
          <cell r="AD22" t="str">
            <v>0110-10</v>
          </cell>
          <cell r="AE22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23">
          <cell r="A23" t="str">
            <v>111-10</v>
          </cell>
          <cell r="B23">
            <v>4020</v>
          </cell>
          <cell r="C23" t="str">
            <v>DE.1.0.7.0</v>
          </cell>
          <cell r="D23" t="str">
            <v>204:737</v>
          </cell>
          <cell r="E23">
            <v>42592.20821759259</v>
          </cell>
          <cell r="F23">
            <v>42592.209143518521</v>
          </cell>
          <cell r="G23">
            <v>1</v>
          </cell>
          <cell r="H23" t="str">
            <v>204:233332</v>
          </cell>
          <cell r="I23">
            <v>42592.234791666669</v>
          </cell>
          <cell r="J23">
            <v>0</v>
          </cell>
          <cell r="K23" t="str">
            <v>4019/4020</v>
          </cell>
          <cell r="L23" t="str">
            <v>ROCHA</v>
          </cell>
          <cell r="M23">
            <v>2.5648148148320615E-2</v>
          </cell>
          <cell r="N23">
            <v>36.933333333581686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https://search-rtdc-monitor-bjffxe2xuh6vdkpspy63sjmuny.us-east-1.es.amazonaws.com/_plugin/kibana/#/discover/Steve-Slow-Train-Analysis-(2080s-and-2083s)?_g=(refreshInterval:(display:Off,section:0,value:0),time:(from:'2016-08-10 03:59:50-0600',mode:absolute,to:'2016-08-10 06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7.3700000000000002E-2</v>
          </cell>
          <cell r="Z23">
            <v>23.333200000000001</v>
          </cell>
          <cell r="AA23">
            <v>23.259500000000003</v>
          </cell>
          <cell r="AB23" t="e">
            <v>#N/A</v>
          </cell>
          <cell r="AC23" t="e">
            <v>#N/A</v>
          </cell>
          <cell r="AD23" t="str">
            <v>0111-10</v>
          </cell>
          <cell r="AE2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24">
          <cell r="A24" t="str">
            <v>112-10</v>
          </cell>
          <cell r="B24">
            <v>4019</v>
          </cell>
          <cell r="C24" t="str">
            <v>DE.1.0.7.0</v>
          </cell>
          <cell r="D24" t="str">
            <v>204:232985</v>
          </cell>
          <cell r="E24">
            <v>42592.244710648149</v>
          </cell>
          <cell r="F24">
            <v>42592.245636574073</v>
          </cell>
          <cell r="G24">
            <v>1</v>
          </cell>
          <cell r="H24" t="str">
            <v>204:154</v>
          </cell>
          <cell r="I24">
            <v>42592.274722222224</v>
          </cell>
          <cell r="J24">
            <v>0</v>
          </cell>
          <cell r="K24" t="str">
            <v>4019/4020</v>
          </cell>
          <cell r="L24" t="str">
            <v>ROCHA</v>
          </cell>
          <cell r="M24">
            <v>2.9085648151522037E-2</v>
          </cell>
          <cell r="N24">
            <v>41.883333338191733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https://search-rtdc-monitor-bjffxe2xuh6vdkpspy63sjmuny.us-east-1.es.amazonaws.com/_plugin/kibana/#/discover/Steve-Slow-Train-Analysis-(2080s-and-2083s)?_g=(refreshInterval:(display:Off,section:0,value:0),time:(from:'2016-08-10 04:52:23-0600',mode:absolute,to:'2016-08-10 07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23.298500000000001</v>
          </cell>
          <cell r="Z24">
            <v>1.54E-2</v>
          </cell>
          <cell r="AA24">
            <v>23.283100000000001</v>
          </cell>
          <cell r="AB24" t="e">
            <v>#N/A</v>
          </cell>
          <cell r="AC24" t="e">
            <v>#N/A</v>
          </cell>
          <cell r="AD24" t="str">
            <v>0112-10</v>
          </cell>
          <cell r="AE24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25">
          <cell r="A25" t="str">
            <v>113-10</v>
          </cell>
          <cell r="B25">
            <v>4009</v>
          </cell>
          <cell r="C25" t="str">
            <v>DE.1.0.7.0</v>
          </cell>
          <cell r="D25" t="str">
            <v>204:400</v>
          </cell>
          <cell r="E25">
            <v>42592.210625</v>
          </cell>
          <cell r="F25">
            <v>42592.211481481485</v>
          </cell>
          <cell r="G25">
            <v>1</v>
          </cell>
          <cell r="H25" t="str">
            <v>204:233299</v>
          </cell>
          <cell r="I25">
            <v>42592.244513888887</v>
          </cell>
          <cell r="J25">
            <v>0</v>
          </cell>
          <cell r="K25" t="str">
            <v>4009/4010</v>
          </cell>
          <cell r="L25" t="str">
            <v>MAELZER</v>
          </cell>
          <cell r="M25">
            <v>3.3032407402060926E-2</v>
          </cell>
          <cell r="N25">
            <v>47.566666658967733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https://search-rtdc-monitor-bjffxe2xuh6vdkpspy63sjmuny.us-east-1.es.amazonaws.com/_plugin/kibana/#/discover/Steve-Slow-Train-Analysis-(2080s-and-2083s)?_g=(refreshInterval:(display:Off,section:0,value:0),time:(from:'2016-08-10 04:03:18-0600',mode:absolute,to:'2016-08-10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0.04</v>
          </cell>
          <cell r="Z25">
            <v>23.329899999999999</v>
          </cell>
          <cell r="AA25">
            <v>23.289899999999999</v>
          </cell>
          <cell r="AB25" t="e">
            <v>#N/A</v>
          </cell>
          <cell r="AC25" t="e">
            <v>#N/A</v>
          </cell>
          <cell r="AD25" t="str">
            <v>0113-10</v>
          </cell>
          <cell r="AE25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26">
          <cell r="A26" t="str">
            <v>114-10</v>
          </cell>
          <cell r="B26">
            <v>4010</v>
          </cell>
          <cell r="C26" t="str">
            <v>DE.1.0.7.0</v>
          </cell>
          <cell r="D26" t="str">
            <v>204:232990</v>
          </cell>
          <cell r="E26">
            <v>42592.250277777777</v>
          </cell>
          <cell r="F26">
            <v>42592.251157407409</v>
          </cell>
          <cell r="G26">
            <v>1</v>
          </cell>
          <cell r="H26" t="str">
            <v>204:141</v>
          </cell>
          <cell r="I26">
            <v>42592.284571759257</v>
          </cell>
          <cell r="J26">
            <v>2</v>
          </cell>
          <cell r="K26" t="str">
            <v>4009/4010</v>
          </cell>
          <cell r="L26" t="str">
            <v>MAELZER</v>
          </cell>
          <cell r="M26">
            <v>3.3414351848477963E-2</v>
          </cell>
          <cell r="N26">
            <v>48.116666661808267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23.298999999999999</v>
          </cell>
          <cell r="Z26">
            <v>1.41E-2</v>
          </cell>
          <cell r="AA26">
            <v>23.2849</v>
          </cell>
          <cell r="AB26">
            <v>5457</v>
          </cell>
          <cell r="AC26" t="str">
            <v>PERMANENT SPEED RESTRICTION</v>
          </cell>
          <cell r="AD26" t="str">
            <v>0114-10</v>
          </cell>
          <cell r="AE26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27">
          <cell r="A27" t="str">
            <v>115-10</v>
          </cell>
          <cell r="B27">
            <v>4016</v>
          </cell>
          <cell r="C27" t="str">
            <v>DE.1.0.7.0</v>
          </cell>
          <cell r="D27" t="str">
            <v>204:748</v>
          </cell>
          <cell r="E27">
            <v>42592.229814814818</v>
          </cell>
          <cell r="F27">
            <v>42592.230891203704</v>
          </cell>
          <cell r="G27">
            <v>1</v>
          </cell>
          <cell r="H27" t="str">
            <v>204:233315</v>
          </cell>
          <cell r="I27">
            <v>42592.256689814814</v>
          </cell>
          <cell r="J27">
            <v>0</v>
          </cell>
          <cell r="K27" t="str">
            <v>4015/4016</v>
          </cell>
          <cell r="L27" t="str">
            <v>BRANNON</v>
          </cell>
          <cell r="M27">
            <v>2.5798611110076308E-2</v>
          </cell>
          <cell r="N27">
            <v>37.149999998509884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https://search-rtdc-monitor-bjffxe2xuh6vdkpspy63sjmuny.us-east-1.es.amazonaws.com/_plugin/kibana/#/discover/Steve-Slow-Train-Analysis-(2080s-and-2083s)?_g=(refreshInterval:(display:Off,section:0,value:0),time:(from:'2016-08-10 04:30:56-0600',mode:absolute,to:'2016-08-10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7" t="str">
            <v>N</v>
          </cell>
          <cell r="X27">
            <v>1</v>
          </cell>
          <cell r="Y27">
            <v>7.4800000000000005E-2</v>
          </cell>
          <cell r="Z27">
            <v>23.331499999999998</v>
          </cell>
          <cell r="AA27">
            <v>23.256699999999999</v>
          </cell>
          <cell r="AB27" t="e">
            <v>#N/A</v>
          </cell>
          <cell r="AC27" t="e">
            <v>#N/A</v>
          </cell>
          <cell r="AD27" t="str">
            <v>0115-10</v>
          </cell>
          <cell r="AE27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28">
          <cell r="A28" t="str">
            <v>116-10</v>
          </cell>
          <cell r="B28">
            <v>4015</v>
          </cell>
          <cell r="C28" t="str">
            <v>DE.1.0.7.0</v>
          </cell>
          <cell r="D28" t="str">
            <v>204:232996</v>
          </cell>
          <cell r="E28">
            <v>42592.264756944445</v>
          </cell>
          <cell r="F28">
            <v>42592.265740740739</v>
          </cell>
          <cell r="G28">
            <v>1</v>
          </cell>
          <cell r="H28" t="str">
            <v>204:158</v>
          </cell>
          <cell r="I28">
            <v>42592.296157407407</v>
          </cell>
          <cell r="J28">
            <v>0</v>
          </cell>
          <cell r="K28" t="str">
            <v>4015/4016</v>
          </cell>
          <cell r="L28" t="str">
            <v>BRANNON</v>
          </cell>
          <cell r="M28">
            <v>3.0416666668315884E-2</v>
          </cell>
          <cell r="N28">
            <v>43.800000002374873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https://search-rtdc-monitor-bjffxe2xuh6vdkpspy63sjmuny.us-east-1.es.amazonaws.com/_plugin/kibana/#/discover/Steve-Slow-Train-Analysis-(2080s-and-2083s)?_g=(refreshInterval:(display:Off,section:0,value:0),time:(from:'2016-08-10 05:21:15-0600',mode:absolute,to:'2016-08-10 08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8" t="str">
            <v>N</v>
          </cell>
          <cell r="X28">
            <v>1</v>
          </cell>
          <cell r="Y28">
            <v>23.299600000000002</v>
          </cell>
          <cell r="Z28">
            <v>1.5800000000000002E-2</v>
          </cell>
          <cell r="AA28">
            <v>23.283800000000003</v>
          </cell>
          <cell r="AB28" t="e">
            <v>#N/A</v>
          </cell>
          <cell r="AC28" t="e">
            <v>#N/A</v>
          </cell>
          <cell r="AD28" t="str">
            <v>0116-10</v>
          </cell>
          <cell r="AE28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29">
          <cell r="A29" t="str">
            <v>117-10</v>
          </cell>
          <cell r="B29">
            <v>4029</v>
          </cell>
          <cell r="C29" t="str">
            <v>DE.1.0.7.0</v>
          </cell>
          <cell r="D29" t="str">
            <v>204:457</v>
          </cell>
          <cell r="E29">
            <v>42592.233888888892</v>
          </cell>
          <cell r="F29">
            <v>42592.23505787037</v>
          </cell>
          <cell r="G29">
            <v>1</v>
          </cell>
          <cell r="H29" t="str">
            <v>204:233295</v>
          </cell>
          <cell r="I29">
            <v>42592.264675925922</v>
          </cell>
          <cell r="J29">
            <v>1</v>
          </cell>
          <cell r="K29" t="str">
            <v>4029/4030</v>
          </cell>
          <cell r="L29" t="str">
            <v>ACKERMAN</v>
          </cell>
          <cell r="M29">
            <v>2.9618055552418809E-2</v>
          </cell>
          <cell r="N29">
            <v>42.649999995483086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4.5699999999999998E-2</v>
          </cell>
          <cell r="Z29">
            <v>23.329499999999999</v>
          </cell>
          <cell r="AA29">
            <v>23.283799999999999</v>
          </cell>
          <cell r="AB29" t="e">
            <v>#N/A</v>
          </cell>
          <cell r="AC29" t="e">
            <v>#N/A</v>
          </cell>
          <cell r="AD29" t="str">
            <v>0117-10</v>
          </cell>
          <cell r="AE29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30">
          <cell r="A30" t="str">
            <v>118-10</v>
          </cell>
          <cell r="B30">
            <v>4030</v>
          </cell>
          <cell r="C30" t="str">
            <v>DE.1.0.7.0</v>
          </cell>
          <cell r="D30" t="str">
            <v>204:232959</v>
          </cell>
          <cell r="E30">
            <v>42592.272581018522</v>
          </cell>
          <cell r="F30">
            <v>42592.273587962962</v>
          </cell>
          <cell r="G30">
            <v>1</v>
          </cell>
          <cell r="H30" t="str">
            <v>204:132</v>
          </cell>
          <cell r="I30">
            <v>42592.307256944441</v>
          </cell>
          <cell r="J30">
            <v>0</v>
          </cell>
          <cell r="K30" t="str">
            <v>4029/4030</v>
          </cell>
          <cell r="L30" t="str">
            <v>ACKERMAN</v>
          </cell>
          <cell r="M30">
            <v>3.3668981479422655E-2</v>
          </cell>
          <cell r="N30">
            <v>48.483333330368623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https://search-rtdc-monitor-bjffxe2xuh6vdkpspy63sjmuny.us-east-1.es.amazonaws.com/_plugin/kibana/#/discover/Steve-Slow-Train-Analysis-(2080s-and-2083s)?_g=(refreshInterval:(display:Off,section:0,value:0),time:(from:'2016-08-10 05:32:31-0600',mode:absolute,to:'2016-08-10 08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23.2959</v>
          </cell>
          <cell r="Z30">
            <v>1.32E-2</v>
          </cell>
          <cell r="AA30">
            <v>23.282699999999998</v>
          </cell>
          <cell r="AB30" t="e">
            <v>#N/A</v>
          </cell>
          <cell r="AC30" t="e">
            <v>#N/A</v>
          </cell>
          <cell r="AD30" t="str">
            <v>0118-10</v>
          </cell>
          <cell r="AE30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31">
          <cell r="A31" t="str">
            <v>119-10</v>
          </cell>
          <cell r="B31">
            <v>4018</v>
          </cell>
          <cell r="C31" t="str">
            <v>DE.1.0.7.0</v>
          </cell>
          <cell r="D31" t="str">
            <v>204:779</v>
          </cell>
          <cell r="E31">
            <v>42592.246990740743</v>
          </cell>
          <cell r="F31">
            <v>42592.247986111113</v>
          </cell>
          <cell r="G31">
            <v>1</v>
          </cell>
          <cell r="H31" t="str">
            <v>204:233315</v>
          </cell>
          <cell r="I31">
            <v>42592.275150462963</v>
          </cell>
          <cell r="J31">
            <v>0</v>
          </cell>
          <cell r="K31" t="str">
            <v>4017/4018</v>
          </cell>
          <cell r="L31" t="str">
            <v>STAMBAUGH</v>
          </cell>
          <cell r="M31">
            <v>2.7164351849933155E-2</v>
          </cell>
          <cell r="N31">
            <v>39.116666663903743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https://search-rtdc-monitor-bjffxe2xuh6vdkpspy63sjmuny.us-east-1.es.amazonaws.com/_plugin/kibana/#/discover/Steve-Slow-Train-Analysis-(2080s-and-2083s)?_g=(refreshInterval:(display:Off,section:0,value:0),time:(from:'2016-08-10 04:55:40-0600',mode:absolute,to:'2016-08-10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1" t="str">
            <v>N</v>
          </cell>
          <cell r="X31">
            <v>1</v>
          </cell>
          <cell r="Y31">
            <v>7.7899999999999997E-2</v>
          </cell>
          <cell r="Z31">
            <v>23.331499999999998</v>
          </cell>
          <cell r="AA31">
            <v>23.253599999999999</v>
          </cell>
          <cell r="AB31" t="e">
            <v>#N/A</v>
          </cell>
          <cell r="AC31" t="e">
            <v>#N/A</v>
          </cell>
          <cell r="AD31" t="str">
            <v>0119-10</v>
          </cell>
          <cell r="AE31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32">
          <cell r="A32" t="str">
            <v>120-10</v>
          </cell>
          <cell r="B32">
            <v>4017</v>
          </cell>
          <cell r="C32" t="str">
            <v>DE.1.0.7.0</v>
          </cell>
          <cell r="D32" t="str">
            <v>204:233000</v>
          </cell>
          <cell r="E32">
            <v>42592.284687500003</v>
          </cell>
          <cell r="F32">
            <v>42592.285520833335</v>
          </cell>
          <cell r="G32">
            <v>1</v>
          </cell>
          <cell r="H32" t="str">
            <v>204:139</v>
          </cell>
          <cell r="I32">
            <v>42592.316493055558</v>
          </cell>
          <cell r="J32">
            <v>0</v>
          </cell>
          <cell r="K32" t="str">
            <v>4017/4018</v>
          </cell>
          <cell r="L32" t="str">
            <v>STAMBAUGH</v>
          </cell>
          <cell r="M32">
            <v>3.0972222222771961E-2</v>
          </cell>
          <cell r="N32">
            <v>44.600000000791624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https://search-rtdc-monitor-bjffxe2xuh6vdkpspy63sjmuny.us-east-1.es.amazonaws.com/_plugin/kibana/#/discover/Steve-Slow-Train-Analysis-(2080s-and-2083s)?_g=(refreshInterval:(display:Off,section:0,value:0),time:(from:'2016-08-10 05:49:57-0600',mode:absolute,to:'2016-08-10 08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2" t="str">
            <v>N</v>
          </cell>
          <cell r="X32">
            <v>1</v>
          </cell>
          <cell r="Y32">
            <v>23.3</v>
          </cell>
          <cell r="Z32">
            <v>1.3899999999999999E-2</v>
          </cell>
          <cell r="AA32">
            <v>23.286100000000001</v>
          </cell>
          <cell r="AB32" t="e">
            <v>#N/A</v>
          </cell>
          <cell r="AC32" t="e">
            <v>#N/A</v>
          </cell>
          <cell r="AD32" t="str">
            <v>0120-10</v>
          </cell>
          <cell r="AE32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33">
          <cell r="A33" t="str">
            <v>121-10</v>
          </cell>
          <cell r="B33">
            <v>4007</v>
          </cell>
          <cell r="C33" t="str">
            <v>DE.1.0.7.0</v>
          </cell>
          <cell r="D33" t="str">
            <v>204:449</v>
          </cell>
          <cell r="E33">
            <v>42592.255520833336</v>
          </cell>
          <cell r="F33">
            <v>42592.256412037037</v>
          </cell>
          <cell r="G33">
            <v>1</v>
          </cell>
          <cell r="H33" t="str">
            <v>204:233295</v>
          </cell>
          <cell r="I33">
            <v>42592.28769675926</v>
          </cell>
          <cell r="J33">
            <v>1</v>
          </cell>
          <cell r="K33" t="str">
            <v>4007/4008</v>
          </cell>
          <cell r="L33" t="str">
            <v>SPECTOR</v>
          </cell>
          <cell r="M33">
            <v>3.1284722223063E-2</v>
          </cell>
          <cell r="N33">
            <v>45.050000001210719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4.4900000000000002E-2</v>
          </cell>
          <cell r="Z33">
            <v>23.329499999999999</v>
          </cell>
          <cell r="AA33">
            <v>23.284600000000001</v>
          </cell>
          <cell r="AB33">
            <v>63069</v>
          </cell>
          <cell r="AC33" t="str">
            <v>GRADE CROSSING</v>
          </cell>
          <cell r="AD33" t="str">
            <v>0121-10</v>
          </cell>
          <cell r="AE33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34">
          <cell r="A34" t="str">
            <v>122-10</v>
          </cell>
          <cell r="B34">
            <v>4008</v>
          </cell>
          <cell r="C34" t="str">
            <v>DE.1.0.7.0</v>
          </cell>
          <cell r="D34" t="str">
            <v>204:232982</v>
          </cell>
          <cell r="E34">
            <v>42592.293263888889</v>
          </cell>
          <cell r="F34">
            <v>42592.294166666667</v>
          </cell>
          <cell r="G34">
            <v>1</v>
          </cell>
          <cell r="H34" t="str">
            <v>204:145</v>
          </cell>
          <cell r="I34">
            <v>42592.325740740744</v>
          </cell>
          <cell r="J34">
            <v>0</v>
          </cell>
          <cell r="K34" t="str">
            <v>4007/4008</v>
          </cell>
          <cell r="L34" t="str">
            <v>SPECTOR</v>
          </cell>
          <cell r="M34">
            <v>3.1574074077070691E-2</v>
          </cell>
          <cell r="N34">
            <v>45.466666670981795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https://search-rtdc-monitor-bjffxe2xuh6vdkpspy63sjmuny.us-east-1.es.amazonaws.com/_plugin/kibana/#/discover/Steve-Slow-Train-Analysis-(2080s-and-2083s)?_g=(refreshInterval:(display:Off,section:0,value:0),time:(from:'2016-08-10 06:02:18-0600',mode:absolute,to:'2016-08-10 08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23.298200000000001</v>
          </cell>
          <cell r="Z34">
            <v>1.4500000000000001E-2</v>
          </cell>
          <cell r="AA34">
            <v>23.2837</v>
          </cell>
          <cell r="AB34" t="e">
            <v>#N/A</v>
          </cell>
          <cell r="AC34" t="e">
            <v>#N/A</v>
          </cell>
          <cell r="AD34" t="str">
            <v>0122-10</v>
          </cell>
          <cell r="AE34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35">
          <cell r="A35" t="str">
            <v>123-10</v>
          </cell>
          <cell r="B35">
            <v>4040</v>
          </cell>
          <cell r="C35" t="str">
            <v>DE.1.0.7.0</v>
          </cell>
          <cell r="D35" t="str">
            <v>204:451</v>
          </cell>
          <cell r="E35">
            <v>42592.266238425924</v>
          </cell>
          <cell r="F35">
            <v>42592.267500000002</v>
          </cell>
          <cell r="G35">
            <v>1</v>
          </cell>
          <cell r="H35" t="str">
            <v>204:233306</v>
          </cell>
          <cell r="I35">
            <v>42592.296493055554</v>
          </cell>
          <cell r="J35">
            <v>0</v>
          </cell>
          <cell r="K35" t="str">
            <v>4039/4040</v>
          </cell>
          <cell r="L35" t="str">
            <v>KILLION</v>
          </cell>
          <cell r="M35">
            <v>2.8993055551836733E-2</v>
          </cell>
          <cell r="N35">
            <v>41.749999994644895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https://search-rtdc-monitor-bjffxe2xuh6vdkpspy63sjmuny.us-east-1.es.amazonaws.com/_plugin/kibana/#/discover/Steve-Slow-Train-Analysis-(2080s-and-2083s)?_g=(refreshInterval:(display:Off,section:0,value:0),time:(from:'2016-08-10 05:23:23-0600',mode:absolute,to:'2016-08-10 08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5" t="str">
            <v>N</v>
          </cell>
          <cell r="X35">
            <v>1</v>
          </cell>
          <cell r="Y35">
            <v>4.5100000000000001E-2</v>
          </cell>
          <cell r="Z35">
            <v>23.3306</v>
          </cell>
          <cell r="AA35">
            <v>23.285499999999999</v>
          </cell>
          <cell r="AB35" t="e">
            <v>#N/A</v>
          </cell>
          <cell r="AC35" t="e">
            <v>#N/A</v>
          </cell>
          <cell r="AD35" t="str">
            <v>0123-10</v>
          </cell>
          <cell r="AE35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36">
          <cell r="A36" t="str">
            <v>124-10</v>
          </cell>
          <cell r="B36">
            <v>4039</v>
          </cell>
          <cell r="C36" t="str">
            <v>DE.1.0.7.0</v>
          </cell>
          <cell r="D36" t="str">
            <v>204:232985</v>
          </cell>
          <cell r="E36">
            <v>42592.305219907408</v>
          </cell>
          <cell r="F36">
            <v>42592.306030092594</v>
          </cell>
          <cell r="G36">
            <v>1</v>
          </cell>
          <cell r="H36" t="str">
            <v>204:158</v>
          </cell>
          <cell r="I36">
            <v>42592.337453703702</v>
          </cell>
          <cell r="J36">
            <v>0</v>
          </cell>
          <cell r="K36" t="str">
            <v>4039/4040</v>
          </cell>
          <cell r="L36" t="str">
            <v>KILLION</v>
          </cell>
          <cell r="M36">
            <v>3.142361110803904E-2</v>
          </cell>
          <cell r="N36">
            <v>45.249999995576218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https://search-rtdc-monitor-bjffxe2xuh6vdkpspy63sjmuny.us-east-1.es.amazonaws.com/_plugin/kibana/#/discover/Steve-Slow-Train-Analysis-(2080s-and-2083s)?_g=(refreshInterval:(display:Off,section:0,value:0),time:(from:'2016-08-10 06:19:31-0600',mode:absolute,to:'2016-08-10 09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1.5800000000000002E-2</v>
          </cell>
          <cell r="AA36">
            <v>23.282700000000002</v>
          </cell>
          <cell r="AB36" t="e">
            <v>#N/A</v>
          </cell>
          <cell r="AC36" t="e">
            <v>#N/A</v>
          </cell>
          <cell r="AD36" t="str">
            <v>0124-10</v>
          </cell>
          <cell r="AE36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37">
          <cell r="A37" t="str">
            <v>125-10</v>
          </cell>
          <cell r="B37">
            <v>4020</v>
          </cell>
          <cell r="C37" t="str">
            <v>DE.1.0.7.0</v>
          </cell>
          <cell r="D37" t="str">
            <v>204:471</v>
          </cell>
          <cell r="E37">
            <v>42592.279699074075</v>
          </cell>
          <cell r="F37">
            <v>42592.280486111114</v>
          </cell>
          <cell r="G37">
            <v>1</v>
          </cell>
          <cell r="H37" t="str">
            <v>204:233299</v>
          </cell>
          <cell r="I37">
            <v>42592.306261574071</v>
          </cell>
          <cell r="J37">
            <v>0</v>
          </cell>
          <cell r="K37" t="str">
            <v>4019/4020</v>
          </cell>
          <cell r="L37" t="str">
            <v>ROCHA</v>
          </cell>
          <cell r="M37">
            <v>2.5775462956517003E-2</v>
          </cell>
          <cell r="N37">
            <v>37.116666657384485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https://search-rtdc-monitor-bjffxe2xuh6vdkpspy63sjmuny.us-east-1.es.amazonaws.com/_plugin/kibana/#/discover/Steve-Slow-Train-Analysis-(2080s-and-2083s)?_g=(refreshInterval:(display:Off,section:0,value:0),time:(from:'2016-08-10 05:42:46-0600',mode:absolute,to:'2016-08-10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4.7100000000000003E-2</v>
          </cell>
          <cell r="Z37">
            <v>23.329899999999999</v>
          </cell>
          <cell r="AA37">
            <v>23.282799999999998</v>
          </cell>
          <cell r="AB37" t="e">
            <v>#N/A</v>
          </cell>
          <cell r="AC37" t="e">
            <v>#N/A</v>
          </cell>
          <cell r="AD37" t="str">
            <v>0125-10</v>
          </cell>
          <cell r="AE37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38">
          <cell r="A38" t="str">
            <v>126-10</v>
          </cell>
          <cell r="B38">
            <v>4019</v>
          </cell>
          <cell r="C38" t="str">
            <v>DE.1.0.7.0</v>
          </cell>
          <cell r="D38" t="str">
            <v>204:232971</v>
          </cell>
          <cell r="E38">
            <v>42592.318680555552</v>
          </cell>
          <cell r="F38">
            <v>42592.320405092592</v>
          </cell>
          <cell r="G38">
            <v>2</v>
          </cell>
          <cell r="H38" t="str">
            <v>204:143</v>
          </cell>
          <cell r="I38">
            <v>42592.347812499997</v>
          </cell>
          <cell r="J38">
            <v>0</v>
          </cell>
          <cell r="K38" t="str">
            <v>4019/4020</v>
          </cell>
          <cell r="L38" t="str">
            <v>ROCHA</v>
          </cell>
          <cell r="M38">
            <v>2.7407407404098194E-2</v>
          </cell>
          <cell r="N38">
            <v>39.466666661901399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https://search-rtdc-monitor-bjffxe2xuh6vdkpspy63sjmuny.us-east-1.es.amazonaws.com/_plugin/kibana/#/discover/Steve-Slow-Train-Analysis-(2080s-and-2083s)?_g=(refreshInterval:(display:Off,section:0,value:0),time:(from:'2016-08-10 06:38:54-0600',mode:absolute,to:'2016-08-10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1.43E-2</v>
          </cell>
          <cell r="AA38">
            <v>23.282800000000002</v>
          </cell>
          <cell r="AB38" t="e">
            <v>#N/A</v>
          </cell>
          <cell r="AC38" t="e">
            <v>#N/A</v>
          </cell>
          <cell r="AD38" t="str">
            <v>0126-10</v>
          </cell>
          <cell r="AE38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39">
          <cell r="A39" t="str">
            <v>127-10</v>
          </cell>
          <cell r="B39">
            <v>4009</v>
          </cell>
          <cell r="C39" t="str">
            <v>DE.1.0.7.0</v>
          </cell>
          <cell r="D39" t="str">
            <v>204:447</v>
          </cell>
          <cell r="E39">
            <v>42592.286053240743</v>
          </cell>
          <cell r="F39">
            <v>42592.287175925929</v>
          </cell>
          <cell r="G39">
            <v>1</v>
          </cell>
          <cell r="H39" t="str">
            <v>204:233310</v>
          </cell>
          <cell r="I39">
            <v>42592.317696759259</v>
          </cell>
          <cell r="J39">
            <v>0</v>
          </cell>
          <cell r="K39" t="str">
            <v>4009/4010</v>
          </cell>
          <cell r="L39" t="str">
            <v>MAELZER</v>
          </cell>
          <cell r="M39">
            <v>3.0520833330228925E-2</v>
          </cell>
          <cell r="N39">
            <v>43.949999995529652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https://search-rtdc-monitor-bjffxe2xuh6vdkpspy63sjmuny.us-east-1.es.amazonaws.com/_plugin/kibana/#/discover/Steve-Slow-Train-Analysis-(2080s-and-2083s)?_g=(refreshInterval:(display:Off,section:0,value:0),time:(from:'2016-08-10 05:51:55-0600',mode:absolute,to:'2016-08-10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N</v>
          </cell>
          <cell r="X39">
            <v>1</v>
          </cell>
          <cell r="Y39">
            <v>4.4699999999999997E-2</v>
          </cell>
          <cell r="Z39">
            <v>23.331</v>
          </cell>
          <cell r="AA39">
            <v>23.286300000000001</v>
          </cell>
          <cell r="AB39" t="e">
            <v>#N/A</v>
          </cell>
          <cell r="AC39" t="e">
            <v>#N/A</v>
          </cell>
          <cell r="AD39" t="str">
            <v>0127-10</v>
          </cell>
          <cell r="AE39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40">
          <cell r="A40" t="str">
            <v>128-10</v>
          </cell>
          <cell r="B40">
            <v>4010</v>
          </cell>
          <cell r="C40" t="str">
            <v>DE.1.0.7.0</v>
          </cell>
          <cell r="D40" t="str">
            <v>204:232993</v>
          </cell>
          <cell r="E40">
            <v>42592.322696759256</v>
          </cell>
          <cell r="F40">
            <v>42592.323472222219</v>
          </cell>
          <cell r="G40">
            <v>1</v>
          </cell>
          <cell r="H40" t="str">
            <v>204:150</v>
          </cell>
          <cell r="I40">
            <v>42592.35800925926</v>
          </cell>
          <cell r="J40">
            <v>1</v>
          </cell>
          <cell r="K40" t="str">
            <v>4009/4010</v>
          </cell>
          <cell r="L40" t="str">
            <v>MAELZER</v>
          </cell>
          <cell r="M40">
            <v>3.4537037041445728E-2</v>
          </cell>
          <cell r="N40">
            <v>49.733333339681849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0" t="str">
            <v>N</v>
          </cell>
          <cell r="X40">
            <v>1</v>
          </cell>
          <cell r="Y40">
            <v>23.299299999999999</v>
          </cell>
          <cell r="Z40">
            <v>1.4999999999999999E-2</v>
          </cell>
          <cell r="AA40">
            <v>23.284299999999998</v>
          </cell>
          <cell r="AB40">
            <v>2822</v>
          </cell>
          <cell r="AC40" t="str">
            <v>SWITCH UNKNOWN</v>
          </cell>
          <cell r="AD40" t="str">
            <v>0128-10</v>
          </cell>
          <cell r="AE40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41">
          <cell r="A41" t="str">
            <v>129-10</v>
          </cell>
          <cell r="B41">
            <v>4016</v>
          </cell>
          <cell r="C41" t="str">
            <v>DE.1.0.7.0</v>
          </cell>
          <cell r="D41" t="str">
            <v>204:446</v>
          </cell>
          <cell r="E41">
            <v>42592.297418981485</v>
          </cell>
          <cell r="F41">
            <v>42592.298715277779</v>
          </cell>
          <cell r="G41">
            <v>1</v>
          </cell>
          <cell r="H41" t="str">
            <v>204:233314</v>
          </cell>
          <cell r="I41">
            <v>42592.329479166663</v>
          </cell>
          <cell r="J41">
            <v>1</v>
          </cell>
          <cell r="K41" t="str">
            <v>4015/4016</v>
          </cell>
          <cell r="L41" t="str">
            <v>BRANNON</v>
          </cell>
          <cell r="M41">
            <v>3.0763888884393964E-2</v>
          </cell>
          <cell r="N41">
            <v>44.299999993527308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1" t="str">
            <v>N</v>
          </cell>
          <cell r="X41">
            <v>1</v>
          </cell>
          <cell r="Y41">
            <v>4.4600000000000001E-2</v>
          </cell>
          <cell r="Z41">
            <v>23.331399999999999</v>
          </cell>
          <cell r="AA41">
            <v>23.286799999999999</v>
          </cell>
          <cell r="AB41">
            <v>33137</v>
          </cell>
          <cell r="AC41" t="str">
            <v>GRADE CROSSING</v>
          </cell>
          <cell r="AD41" t="str">
            <v>0129-10</v>
          </cell>
          <cell r="AE41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42">
          <cell r="A42" t="str">
            <v>130-10</v>
          </cell>
          <cell r="B42">
            <v>4015</v>
          </cell>
          <cell r="C42" t="str">
            <v>DE.1.0.7.0</v>
          </cell>
          <cell r="D42" t="str">
            <v>204:232982</v>
          </cell>
          <cell r="E42">
            <v>42592.338206018518</v>
          </cell>
          <cell r="F42">
            <v>42592.339270833334</v>
          </cell>
          <cell r="G42">
            <v>1</v>
          </cell>
          <cell r="H42" t="str">
            <v>204:147</v>
          </cell>
          <cell r="I42">
            <v>42592.369606481479</v>
          </cell>
          <cell r="J42">
            <v>0</v>
          </cell>
          <cell r="K42" t="str">
            <v>4015/4016</v>
          </cell>
          <cell r="L42" t="str">
            <v>BRANNON</v>
          </cell>
          <cell r="M42">
            <v>3.0335648145410232E-2</v>
          </cell>
          <cell r="N42">
            <v>43.683333329390734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https://search-rtdc-monitor-bjffxe2xuh6vdkpspy63sjmuny.us-east-1.es.amazonaws.com/_plugin/kibana/#/discover/Steve-Slow-Train-Analysis-(2080s-and-2083s)?_g=(refreshInterval:(display:Off,section:0,value:0),time:(from:'2016-08-10 07:07:01-0600',mode:absolute,to:'2016-08-10 09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2" t="str">
            <v>N</v>
          </cell>
          <cell r="X42">
            <v>1</v>
          </cell>
          <cell r="Y42">
            <v>23.298200000000001</v>
          </cell>
          <cell r="Z42">
            <v>1.47E-2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0130-10</v>
          </cell>
          <cell r="AE42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43">
          <cell r="A43" t="str">
            <v>131-10</v>
          </cell>
          <cell r="B43">
            <v>4029</v>
          </cell>
          <cell r="C43" t="str">
            <v>DE.1.0.7.0</v>
          </cell>
          <cell r="D43" t="str">
            <v>204:435</v>
          </cell>
          <cell r="E43">
            <v>42592.308807870373</v>
          </cell>
          <cell r="F43">
            <v>42592.309791666667</v>
          </cell>
          <cell r="G43">
            <v>1</v>
          </cell>
          <cell r="H43" t="str">
            <v>204:233293</v>
          </cell>
          <cell r="I43">
            <v>42592.337893518517</v>
          </cell>
          <cell r="J43">
            <v>0</v>
          </cell>
          <cell r="K43" t="str">
            <v>4029/4030</v>
          </cell>
          <cell r="L43" t="str">
            <v>ACKERMAN</v>
          </cell>
          <cell r="M43">
            <v>2.810185185080627E-2</v>
          </cell>
          <cell r="N43">
            <v>40.466666665161029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https://search-rtdc-monitor-bjffxe2xuh6vdkpspy63sjmuny.us-east-1.es.amazonaws.com/_plugin/kibana/#/discover/Steve-Slow-Train-Analysis-(2080s-and-2083s)?_g=(refreshInterval:(display:Off,section:0,value:0),time:(from:'2016-08-10 06:24:41-0600',mode:absolute,to:'2016-08-10 09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4.3499999999999997E-2</v>
          </cell>
          <cell r="Z43">
            <v>23.3293</v>
          </cell>
          <cell r="AA43">
            <v>23.285799999999998</v>
          </cell>
          <cell r="AB43" t="e">
            <v>#N/A</v>
          </cell>
          <cell r="AC43" t="e">
            <v>#N/A</v>
          </cell>
          <cell r="AD43" t="str">
            <v>0131-10</v>
          </cell>
          <cell r="AE43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44">
          <cell r="A44" t="str">
            <v>132-10</v>
          </cell>
          <cell r="B44">
            <v>4030</v>
          </cell>
          <cell r="C44" t="str">
            <v>DE.1.0.7.0</v>
          </cell>
          <cell r="D44" t="str">
            <v>204:232989</v>
          </cell>
          <cell r="E44">
            <v>42592.344502314816</v>
          </cell>
          <cell r="F44">
            <v>42592.345578703702</v>
          </cell>
          <cell r="G44">
            <v>1</v>
          </cell>
          <cell r="H44" t="str">
            <v>204:149</v>
          </cell>
          <cell r="I44">
            <v>42592.378148148149</v>
          </cell>
          <cell r="J44">
            <v>1</v>
          </cell>
          <cell r="K44" t="str">
            <v>4029/4030</v>
          </cell>
          <cell r="L44" t="str">
            <v>ACKERMAN</v>
          </cell>
          <cell r="M44">
            <v>3.2569444447290152E-2</v>
          </cell>
          <cell r="N44">
            <v>46.900000004097819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23.2989</v>
          </cell>
          <cell r="Z44">
            <v>1.49E-2</v>
          </cell>
          <cell r="AA44">
            <v>23.283999999999999</v>
          </cell>
          <cell r="AB44" t="e">
            <v>#N/A</v>
          </cell>
          <cell r="AC44" t="e">
            <v>#N/A</v>
          </cell>
          <cell r="AD44" t="str">
            <v>0132-10</v>
          </cell>
          <cell r="AE44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45">
          <cell r="A45" t="str">
            <v>133-10</v>
          </cell>
          <cell r="B45">
            <v>4018</v>
          </cell>
          <cell r="C45" t="str">
            <v>DE.1.0.7.0</v>
          </cell>
          <cell r="D45" t="str">
            <v>204:458</v>
          </cell>
          <cell r="E45">
            <v>42592.31821759259</v>
          </cell>
          <cell r="F45">
            <v>42592.319224537037</v>
          </cell>
          <cell r="G45">
            <v>1</v>
          </cell>
          <cell r="H45" t="str">
            <v>204:233286</v>
          </cell>
          <cell r="I45">
            <v>42592.348136574074</v>
          </cell>
          <cell r="J45">
            <v>0</v>
          </cell>
          <cell r="K45" t="str">
            <v>4017/4018</v>
          </cell>
          <cell r="L45" t="str">
            <v>STAMBAUGH</v>
          </cell>
          <cell r="M45">
            <v>2.8912037036207039E-2</v>
          </cell>
          <cell r="N45">
            <v>41.633333332138136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https://search-rtdc-monitor-bjffxe2xuh6vdkpspy63sjmuny.us-east-1.es.amazonaws.com/_plugin/kibana/#/discover/Steve-Slow-Train-Analysis-(2080s-and-2083s)?_g=(refreshInterval:(display:Off,section:0,value:0),time:(from:'2016-08-10 06:38:14-0600',mode:absolute,to:'2016-08-10 09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5" t="str">
            <v>N</v>
          </cell>
          <cell r="X45">
            <v>1</v>
          </cell>
          <cell r="Y45">
            <v>4.58E-2</v>
          </cell>
          <cell r="Z45">
            <v>23.328600000000002</v>
          </cell>
          <cell r="AA45">
            <v>23.282800000000002</v>
          </cell>
          <cell r="AB45" t="e">
            <v>#N/A</v>
          </cell>
          <cell r="AC45" t="e">
            <v>#N/A</v>
          </cell>
          <cell r="AD45" t="str">
            <v>0133-10</v>
          </cell>
          <cell r="AE45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46">
          <cell r="A46" t="str">
            <v>134-10</v>
          </cell>
          <cell r="B46">
            <v>4017</v>
          </cell>
          <cell r="C46" t="str">
            <v>DE.1.0.7.0</v>
          </cell>
          <cell r="D46" t="str">
            <v>204:232961</v>
          </cell>
          <cell r="E46">
            <v>42592.357870370368</v>
          </cell>
          <cell r="F46">
            <v>42592.358576388891</v>
          </cell>
          <cell r="G46">
            <v>1</v>
          </cell>
          <cell r="H46" t="str">
            <v>204:154</v>
          </cell>
          <cell r="I46">
            <v>42592.389027777775</v>
          </cell>
          <cell r="J46">
            <v>1</v>
          </cell>
          <cell r="K46" t="str">
            <v>4017/4018</v>
          </cell>
          <cell r="L46" t="str">
            <v>STAMBAUGH</v>
          </cell>
          <cell r="M46">
            <v>3.0451388884102926E-2</v>
          </cell>
          <cell r="N46">
            <v>43.849999993108213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6" t="str">
            <v>N</v>
          </cell>
          <cell r="X46">
            <v>1</v>
          </cell>
          <cell r="Y46">
            <v>23.296099999999999</v>
          </cell>
          <cell r="Z46">
            <v>1.54E-2</v>
          </cell>
          <cell r="AA46">
            <v>23.2807</v>
          </cell>
          <cell r="AB46" t="e">
            <v>#N/A</v>
          </cell>
          <cell r="AC46" t="e">
            <v>#N/A</v>
          </cell>
          <cell r="AD46" t="str">
            <v>0134-10</v>
          </cell>
          <cell r="AE46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47">
          <cell r="A47" t="str">
            <v>135-10</v>
          </cell>
          <cell r="B47">
            <v>4007</v>
          </cell>
          <cell r="C47" t="str">
            <v>DE.1.0.7.0</v>
          </cell>
          <cell r="D47" t="str">
            <v>204:447</v>
          </cell>
          <cell r="E47">
            <v>42592.327997685185</v>
          </cell>
          <cell r="F47">
            <v>42592.328923611109</v>
          </cell>
          <cell r="G47">
            <v>1</v>
          </cell>
          <cell r="H47" t="str">
            <v>204:233319</v>
          </cell>
          <cell r="I47">
            <v>42592.359039351853</v>
          </cell>
          <cell r="J47">
            <v>0</v>
          </cell>
          <cell r="K47" t="str">
            <v>4007/4008</v>
          </cell>
          <cell r="L47" t="str">
            <v>SPECTOR</v>
          </cell>
          <cell r="M47">
            <v>3.0115740744804498E-2</v>
          </cell>
          <cell r="N47">
            <v>43.366666672518477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https://search-rtdc-monitor-bjffxe2xuh6vdkpspy63sjmuny.us-east-1.es.amazonaws.com/_plugin/kibana/#/discover/Steve-Slow-Train-Analysis-(2080s-and-2083s)?_g=(refreshInterval:(display:Off,section:0,value:0),time:(from:'2016-08-10 06:52:19-0600',mode:absolute,to:'2016-08-10 09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23.331900000000001</v>
          </cell>
          <cell r="AA47">
            <v>23.287200000000002</v>
          </cell>
          <cell r="AB47" t="e">
            <v>#N/A</v>
          </cell>
          <cell r="AC47" t="e">
            <v>#N/A</v>
          </cell>
          <cell r="AD47" t="str">
            <v>0135-10</v>
          </cell>
          <cell r="AE47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48">
          <cell r="A48" t="str">
            <v>136-10</v>
          </cell>
          <cell r="B48">
            <v>4008</v>
          </cell>
          <cell r="C48" t="str">
            <v>DE.1.0.7.0</v>
          </cell>
          <cell r="D48" t="str">
            <v>204:233000</v>
          </cell>
          <cell r="E48">
            <v>42592.364976851852</v>
          </cell>
          <cell r="F48">
            <v>42592.366377314815</v>
          </cell>
          <cell r="G48">
            <v>2</v>
          </cell>
          <cell r="H48" t="str">
            <v>204:138</v>
          </cell>
          <cell r="I48">
            <v>42592.398819444446</v>
          </cell>
          <cell r="J48">
            <v>0</v>
          </cell>
          <cell r="K48" t="str">
            <v>4007/4008</v>
          </cell>
          <cell r="L48" t="str">
            <v>SPECTOR</v>
          </cell>
          <cell r="M48">
            <v>3.2442129631817807E-2</v>
          </cell>
          <cell r="N48">
            <v>46.716666669817641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https://search-rtdc-monitor-bjffxe2xuh6vdkpspy63sjmuny.us-east-1.es.amazonaws.com/_plugin/kibana/#/discover/Steve-Slow-Train-Analysis-(2080s-and-2083s)?_g=(refreshInterval:(display:Off,section:0,value:0),time:(from:'2016-08-10 07:45:34-0600',mode:absolute,to:'2016-08-10 10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23.3</v>
          </cell>
          <cell r="Z48">
            <v>1.38E-2</v>
          </cell>
          <cell r="AA48">
            <v>23.286200000000001</v>
          </cell>
          <cell r="AB48" t="e">
            <v>#N/A</v>
          </cell>
          <cell r="AC48" t="e">
            <v>#N/A</v>
          </cell>
          <cell r="AD48" t="str">
            <v>0136-10</v>
          </cell>
          <cell r="AE48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49">
          <cell r="A49" t="str">
            <v>137-10</v>
          </cell>
          <cell r="B49">
            <v>4040</v>
          </cell>
          <cell r="C49" t="str">
            <v>DE.1.0.7.0</v>
          </cell>
          <cell r="D49" t="str">
            <v>204:462</v>
          </cell>
          <cell r="E49">
            <v>42592.341354166667</v>
          </cell>
          <cell r="F49">
            <v>42592.342407407406</v>
          </cell>
          <cell r="G49">
            <v>1</v>
          </cell>
          <cell r="H49" t="str">
            <v>204:233286</v>
          </cell>
          <cell r="I49">
            <v>42592.368796296294</v>
          </cell>
          <cell r="J49">
            <v>0</v>
          </cell>
          <cell r="K49" t="str">
            <v>4039/4040</v>
          </cell>
          <cell r="L49" t="str">
            <v>KILLION</v>
          </cell>
          <cell r="M49">
            <v>2.6388888887595385E-2</v>
          </cell>
          <cell r="N49">
            <v>37.999999998137355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https://search-rtdc-monitor-bjffxe2xuh6vdkpspy63sjmuny.us-east-1.es.amazonaws.com/_plugin/kibana/#/discover/Steve-Slow-Train-Analysis-(2080s-and-2083s)?_g=(refreshInterval:(display:Off,section:0,value:0),time:(from:'2016-08-10 07:11:33-0600',mode:absolute,to:'2016-08-10 09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9" t="str">
            <v>N</v>
          </cell>
          <cell r="X49">
            <v>1</v>
          </cell>
          <cell r="Y49">
            <v>4.6199999999999998E-2</v>
          </cell>
          <cell r="Z49">
            <v>23.328600000000002</v>
          </cell>
          <cell r="AA49">
            <v>23.282400000000003</v>
          </cell>
          <cell r="AB49" t="e">
            <v>#N/A</v>
          </cell>
          <cell r="AC49" t="e">
            <v>#N/A</v>
          </cell>
          <cell r="AD49" t="str">
            <v>0137-10</v>
          </cell>
          <cell r="AE49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50">
          <cell r="A50" t="str">
            <v>138-10</v>
          </cell>
          <cell r="B50">
            <v>4039</v>
          </cell>
          <cell r="C50" t="str">
            <v>DE.1.0.7.0</v>
          </cell>
          <cell r="D50" t="str">
            <v>204:232969</v>
          </cell>
          <cell r="E50">
            <v>42592.376701388886</v>
          </cell>
          <cell r="F50">
            <v>42592.377650462964</v>
          </cell>
          <cell r="G50">
            <v>1</v>
          </cell>
          <cell r="H50" t="str">
            <v>204:141</v>
          </cell>
          <cell r="I50">
            <v>42592.409733796296</v>
          </cell>
          <cell r="J50">
            <v>0</v>
          </cell>
          <cell r="K50" t="str">
            <v>4039/4040</v>
          </cell>
          <cell r="L50" t="str">
            <v>KILLION</v>
          </cell>
          <cell r="M50">
            <v>3.2083333331684116E-2</v>
          </cell>
          <cell r="N50">
            <v>46.199999997625127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https://search-rtdc-monitor-bjffxe2xuh6vdkpspy63sjmuny.us-east-1.es.amazonaws.com/_plugin/kibana/#/discover/Steve-Slow-Train-Analysis-(2080s-and-2083s)?_g=(refreshInterval:(display:Off,section:0,value:0),time:(from:'2016-08-10 08:02:27-0600',mode:absolute,to:'2016-08-10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0" t="str">
            <v>N</v>
          </cell>
          <cell r="X50">
            <v>1</v>
          </cell>
          <cell r="Y50">
            <v>23.296900000000001</v>
          </cell>
          <cell r="Z50">
            <v>1.41E-2</v>
          </cell>
          <cell r="AA50">
            <v>23.282800000000002</v>
          </cell>
          <cell r="AB50" t="e">
            <v>#N/A</v>
          </cell>
          <cell r="AC50" t="e">
            <v>#N/A</v>
          </cell>
          <cell r="AD50" t="str">
            <v>0138-10</v>
          </cell>
          <cell r="AE50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51">
          <cell r="A51" t="str">
            <v>139-10</v>
          </cell>
          <cell r="B51">
            <v>4020</v>
          </cell>
          <cell r="C51" t="str">
            <v>DE.1.0.7.0</v>
          </cell>
          <cell r="D51" t="str">
            <v>204:471</v>
          </cell>
          <cell r="E51">
            <v>42592.353182870371</v>
          </cell>
          <cell r="F51">
            <v>42592.354247685187</v>
          </cell>
          <cell r="G51">
            <v>1</v>
          </cell>
          <cell r="H51" t="str">
            <v>204:233319</v>
          </cell>
          <cell r="I51">
            <v>42592.37939814815</v>
          </cell>
          <cell r="J51">
            <v>0</v>
          </cell>
          <cell r="K51" t="str">
            <v>4019/4020</v>
          </cell>
          <cell r="L51" t="str">
            <v>ROCHA</v>
          </cell>
          <cell r="M51">
            <v>2.5150462963210884E-2</v>
          </cell>
          <cell r="N51">
            <v>36.216666667023674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https://search-rtdc-monitor-bjffxe2xuh6vdkpspy63sjmuny.us-east-1.es.amazonaws.com/_plugin/kibana/#/discover/Steve-Slow-Train-Analysis-(2080s-and-2083s)?_g=(refreshInterval:(display:Off,section:0,value:0),time:(from:'2016-08-10 07:28:35-0600',mode:absolute,to:'2016-08-10 10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1" t="str">
            <v>N</v>
          </cell>
          <cell r="X51">
            <v>1</v>
          </cell>
          <cell r="Y51">
            <v>4.7100000000000003E-2</v>
          </cell>
          <cell r="Z51">
            <v>23.331900000000001</v>
          </cell>
          <cell r="AA51">
            <v>23.284800000000001</v>
          </cell>
          <cell r="AB51" t="e">
            <v>#N/A</v>
          </cell>
          <cell r="AC51" t="e">
            <v>#N/A</v>
          </cell>
          <cell r="AD51" t="str">
            <v>0139-10</v>
          </cell>
          <cell r="AE51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52">
          <cell r="A52" t="str">
            <v>140-10</v>
          </cell>
          <cell r="B52">
            <v>4019</v>
          </cell>
          <cell r="C52" t="str">
            <v>DE.1.0.7.0</v>
          </cell>
          <cell r="D52" t="str">
            <v>204:232985</v>
          </cell>
          <cell r="E52">
            <v>42592.387060185189</v>
          </cell>
          <cell r="F52">
            <v>42592.387928240743</v>
          </cell>
          <cell r="G52">
            <v>1</v>
          </cell>
          <cell r="H52" t="str">
            <v>204:136</v>
          </cell>
          <cell r="I52">
            <v>42592.420300925929</v>
          </cell>
          <cell r="J52">
            <v>0</v>
          </cell>
          <cell r="K52" t="str">
            <v>4019/4020</v>
          </cell>
          <cell r="L52" t="str">
            <v>ROCHA</v>
          </cell>
          <cell r="M52">
            <v>3.2372685185691807E-2</v>
          </cell>
          <cell r="N52">
            <v>46.616666667396203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https://search-rtdc-monitor-bjffxe2xuh6vdkpspy63sjmuny.us-east-1.es.amazonaws.com/_plugin/kibana/#/discover/Steve-Slow-Train-Analysis-(2080s-and-2083s)?_g=(refreshInterval:(display:Off,section:0,value:0),time:(from:'2016-08-10 08:17:22-0600',mode:absolute,to:'2016-08-10 11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2" t="str">
            <v>N</v>
          </cell>
          <cell r="X52">
            <v>1</v>
          </cell>
          <cell r="Y52">
            <v>23.298500000000001</v>
          </cell>
          <cell r="Z52">
            <v>1.3599999999999999E-2</v>
          </cell>
          <cell r="AA52">
            <v>23.2849</v>
          </cell>
          <cell r="AB52" t="e">
            <v>#N/A</v>
          </cell>
          <cell r="AC52" t="e">
            <v>#N/A</v>
          </cell>
          <cell r="AD52" t="str">
            <v>0140-10</v>
          </cell>
          <cell r="AE52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53">
          <cell r="A53" t="str">
            <v>141-10</v>
          </cell>
          <cell r="B53">
            <v>4009</v>
          </cell>
          <cell r="C53" t="str">
            <v>DE.1.0.7.0</v>
          </cell>
          <cell r="D53" t="str">
            <v>204:438</v>
          </cell>
          <cell r="E53">
            <v>42592.361215277779</v>
          </cell>
          <cell r="F53">
            <v>42592.362881944442</v>
          </cell>
          <cell r="G53">
            <v>2</v>
          </cell>
          <cell r="H53" t="str">
            <v>204:233288</v>
          </cell>
          <cell r="I53">
            <v>42592.389965277776</v>
          </cell>
          <cell r="J53">
            <v>0</v>
          </cell>
          <cell r="K53" t="str">
            <v>4009/4010</v>
          </cell>
          <cell r="L53" t="str">
            <v>MAELZER</v>
          </cell>
          <cell r="M53">
            <v>2.7083333334303461E-2</v>
          </cell>
          <cell r="N53">
            <v>39.000000001396984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https://search-rtdc-monitor-bjffxe2xuh6vdkpspy63sjmuny.us-east-1.es.amazonaws.com/_plugin/kibana/#/discover/Steve-Slow-Train-Analysis-(2080s-and-2083s)?_g=(refreshInterval:(display:Off,section:0,value:0),time:(from:'2016-08-10 07:40:09-0600',mode:absolute,to:'2016-08-10 10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3" t="str">
            <v>N</v>
          </cell>
          <cell r="X53">
            <v>1</v>
          </cell>
          <cell r="Y53">
            <v>4.3799999999999999E-2</v>
          </cell>
          <cell r="Z53">
            <v>23.328800000000001</v>
          </cell>
          <cell r="AA53">
            <v>23.285</v>
          </cell>
          <cell r="AB53" t="e">
            <v>#N/A</v>
          </cell>
          <cell r="AC53" t="e">
            <v>#N/A</v>
          </cell>
          <cell r="AD53" t="str">
            <v>0141-10</v>
          </cell>
          <cell r="AE53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54">
          <cell r="A54" t="str">
            <v>142-10</v>
          </cell>
          <cell r="B54">
            <v>4010</v>
          </cell>
          <cell r="C54" t="str">
            <v>DE.1.0.7.0</v>
          </cell>
          <cell r="D54" t="str">
            <v>204:232963</v>
          </cell>
          <cell r="E54">
            <v>42592.39439814815</v>
          </cell>
          <cell r="F54">
            <v>42592.395219907405</v>
          </cell>
          <cell r="G54">
            <v>1</v>
          </cell>
          <cell r="H54" t="str">
            <v>204:152</v>
          </cell>
          <cell r="I54">
            <v>42592.43</v>
          </cell>
          <cell r="J54">
            <v>0</v>
          </cell>
          <cell r="K54" t="str">
            <v>4009/4010</v>
          </cell>
          <cell r="L54" t="str">
            <v>MAELZER</v>
          </cell>
          <cell r="M54">
            <v>3.4780092595610768E-2</v>
          </cell>
          <cell r="N54">
            <v>50.083333337679505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https://search-rtdc-monitor-bjffxe2xuh6vdkpspy63sjmuny.us-east-1.es.amazonaws.com/_plugin/kibana/#/discover/Steve-Slow-Train-Analysis-(2080s-and-2083s)?_g=(refreshInterval:(display:Off,section:0,value:0),time:(from:'2016-08-10 08:27:56-0600',mode:absolute,to:'2016-08-10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1.52E-2</v>
          </cell>
          <cell r="AA54">
            <v>23.281099999999999</v>
          </cell>
          <cell r="AB54" t="e">
            <v>#N/A</v>
          </cell>
          <cell r="AC54" t="e">
            <v>#N/A</v>
          </cell>
          <cell r="AD54" t="str">
            <v>0142-10</v>
          </cell>
          <cell r="AE5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55">
          <cell r="A55" t="str">
            <v>143-10</v>
          </cell>
          <cell r="B55">
            <v>4016</v>
          </cell>
          <cell r="C55" t="str">
            <v>DE.1.0.7.0</v>
          </cell>
          <cell r="D55" t="str">
            <v>204:469</v>
          </cell>
          <cell r="E55">
            <v>42592.370891203704</v>
          </cell>
          <cell r="F55">
            <v>42592.371886574074</v>
          </cell>
          <cell r="G55">
            <v>1</v>
          </cell>
          <cell r="H55" t="str">
            <v>204:233287</v>
          </cell>
          <cell r="I55">
            <v>42592.402002314811</v>
          </cell>
          <cell r="J55">
            <v>0</v>
          </cell>
          <cell r="K55" t="str">
            <v>4015/4016</v>
          </cell>
          <cell r="L55" t="str">
            <v>BRANNON</v>
          </cell>
          <cell r="M55">
            <v>3.011574073752854E-2</v>
          </cell>
          <cell r="N55">
            <v>43.366666662041098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https://search-rtdc-monitor-bjffxe2xuh6vdkpspy63sjmuny.us-east-1.es.amazonaws.com/_plugin/kibana/#/discover/Steve-Slow-Train-Analysis-(2080s-and-2083s)?_g=(refreshInterval:(display:Off,section:0,value:0),time:(from:'2016-08-10 07:54:05-0600',mode:absolute,to:'2016-08-10 10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5" t="str">
            <v>N</v>
          </cell>
          <cell r="X55">
            <v>1</v>
          </cell>
          <cell r="Y55">
            <v>4.6899999999999997E-2</v>
          </cell>
          <cell r="Z55">
            <v>23.328700000000001</v>
          </cell>
          <cell r="AA55">
            <v>23.2818</v>
          </cell>
          <cell r="AB55" t="e">
            <v>#N/A</v>
          </cell>
          <cell r="AC55" t="e">
            <v>#N/A</v>
          </cell>
          <cell r="AD55" t="str">
            <v>0143-10</v>
          </cell>
          <cell r="AE5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56">
          <cell r="A56" t="str">
            <v>144-10</v>
          </cell>
          <cell r="B56">
            <v>4015</v>
          </cell>
          <cell r="C56" t="str">
            <v>DE.1.0.7.0</v>
          </cell>
          <cell r="D56" t="str">
            <v>204:232987</v>
          </cell>
          <cell r="E56">
            <v>42592.409062500003</v>
          </cell>
          <cell r="F56">
            <v>42592.410937499997</v>
          </cell>
          <cell r="G56">
            <v>2</v>
          </cell>
          <cell r="H56" t="str">
            <v>204:156</v>
          </cell>
          <cell r="I56">
            <v>42592.442881944444</v>
          </cell>
          <cell r="J56">
            <v>1</v>
          </cell>
          <cell r="K56" t="str">
            <v>4015/4016</v>
          </cell>
          <cell r="L56" t="str">
            <v>BRANNON</v>
          </cell>
          <cell r="M56">
            <v>3.1944444446708076E-2</v>
          </cell>
          <cell r="N56">
            <v>46.000000003259629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6" t="str">
            <v>N</v>
          </cell>
          <cell r="X56">
            <v>1</v>
          </cell>
          <cell r="Y56">
            <v>23.2987</v>
          </cell>
          <cell r="Z56">
            <v>1.5599999999999999E-2</v>
          </cell>
          <cell r="AA56">
            <v>23.283100000000001</v>
          </cell>
          <cell r="AB56">
            <v>42961</v>
          </cell>
          <cell r="AC56" t="str">
            <v>GRADE CROSSING</v>
          </cell>
          <cell r="AD56" t="str">
            <v>0144-10</v>
          </cell>
          <cell r="AE56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57">
          <cell r="A57" t="str">
            <v>145-10</v>
          </cell>
          <cell r="B57">
            <v>4029</v>
          </cell>
          <cell r="C57" t="str">
            <v>DE.1.0.7.0</v>
          </cell>
          <cell r="D57" t="str">
            <v>204:437</v>
          </cell>
          <cell r="E57">
            <v>42592.380393518521</v>
          </cell>
          <cell r="F57">
            <v>42592.381608796299</v>
          </cell>
          <cell r="G57">
            <v>1</v>
          </cell>
          <cell r="H57" t="str">
            <v>204:233297</v>
          </cell>
          <cell r="I57">
            <v>42592.410196759258</v>
          </cell>
          <cell r="J57">
            <v>0</v>
          </cell>
          <cell r="K57" t="str">
            <v>4029/4030</v>
          </cell>
          <cell r="L57" t="str">
            <v>ACKERMAN</v>
          </cell>
          <cell r="M57">
            <v>2.8587962959136348E-2</v>
          </cell>
          <cell r="N57">
            <v>41.166666661156341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https://search-rtdc-monitor-bjffxe2xuh6vdkpspy63sjmuny.us-east-1.es.amazonaws.com/_plugin/kibana/#/discover/Steve-Slow-Train-Analysis-(2080s-and-2083s)?_g=(refreshInterval:(display:Off,section:0,value:0),time:(from:'2016-08-10 08:07:46-0600',mode:absolute,to:'2016-08-10 10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4.3700000000000003E-2</v>
          </cell>
          <cell r="Z57">
            <v>23.329699999999999</v>
          </cell>
          <cell r="AA57">
            <v>23.285999999999998</v>
          </cell>
          <cell r="AB57" t="e">
            <v>#N/A</v>
          </cell>
          <cell r="AC57" t="e">
            <v>#N/A</v>
          </cell>
          <cell r="AD57" t="str">
            <v>0145-10</v>
          </cell>
          <cell r="AE57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58">
          <cell r="A58" t="str">
            <v>146-10</v>
          </cell>
          <cell r="B58">
            <v>4030</v>
          </cell>
          <cell r="C58" t="str">
            <v>DE.1.0.7.0</v>
          </cell>
          <cell r="D58" t="str">
            <v>204:232977</v>
          </cell>
          <cell r="E58">
            <v>42592.417372685188</v>
          </cell>
          <cell r="F58">
            <v>42592.41883101852</v>
          </cell>
          <cell r="G58">
            <v>2</v>
          </cell>
          <cell r="H58" t="str">
            <v>204:125</v>
          </cell>
          <cell r="I58">
            <v>42592.451331018521</v>
          </cell>
          <cell r="J58">
            <v>0</v>
          </cell>
          <cell r="K58" t="str">
            <v>4029/4030</v>
          </cell>
          <cell r="L58" t="str">
            <v>ACKERMAN</v>
          </cell>
          <cell r="M58">
            <v>3.2500000001164153E-2</v>
          </cell>
          <cell r="N58">
            <v>46.800000001676381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https://search-rtdc-monitor-bjffxe2xuh6vdkpspy63sjmuny.us-east-1.es.amazonaws.com/_plugin/kibana/#/discover/Steve-Slow-Train-Analysis-(2080s-and-2083s)?_g=(refreshInterval:(display:Off,section:0,value:0),time:(from:'2016-08-10 09:01:01-0600',mode:absolute,to:'2016-08-10 11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23.297699999999999</v>
          </cell>
          <cell r="Z58">
            <v>1.2500000000000001E-2</v>
          </cell>
          <cell r="AA58">
            <v>23.2852</v>
          </cell>
          <cell r="AB58" t="e">
            <v>#N/A</v>
          </cell>
          <cell r="AC58" t="e">
            <v>#N/A</v>
          </cell>
          <cell r="AD58" t="str">
            <v>0146-10</v>
          </cell>
          <cell r="AE58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59">
          <cell r="A59" t="str">
            <v>147-10</v>
          </cell>
          <cell r="B59">
            <v>4018</v>
          </cell>
          <cell r="C59" t="str">
            <v>DE.1.0.7.0</v>
          </cell>
          <cell r="D59" t="str">
            <v>204:451</v>
          </cell>
          <cell r="E59">
            <v>42592.390983796293</v>
          </cell>
          <cell r="F59">
            <v>42592.391863425924</v>
          </cell>
          <cell r="G59">
            <v>1</v>
          </cell>
          <cell r="H59" t="str">
            <v>204:233334</v>
          </cell>
          <cell r="I59">
            <v>42592.421099537038</v>
          </cell>
          <cell r="J59">
            <v>0</v>
          </cell>
          <cell r="K59" t="str">
            <v>4017/4018</v>
          </cell>
          <cell r="L59" t="str">
            <v>STAMBAUGH</v>
          </cell>
          <cell r="M59">
            <v>2.923611111327773E-2</v>
          </cell>
          <cell r="N59">
            <v>42.100000003119931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https://search-rtdc-monitor-bjffxe2xuh6vdkpspy63sjmuny.us-east-1.es.amazonaws.com/_plugin/kibana/#/discover/Steve-Slow-Train-Analysis-(2080s-and-2083s)?_g=(refreshInterval:(display:Off,section:0,value:0),time:(from:'2016-08-10 08:23:01-0600',mode:absolute,to:'2016-08-10 11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23.333400000000001</v>
          </cell>
          <cell r="AA59">
            <v>23.2883</v>
          </cell>
          <cell r="AB59" t="e">
            <v>#N/A</v>
          </cell>
          <cell r="AC59" t="e">
            <v>#N/A</v>
          </cell>
          <cell r="AD59" t="str">
            <v>0147-10</v>
          </cell>
          <cell r="AE59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60">
          <cell r="A60" t="str">
            <v>148-10</v>
          </cell>
          <cell r="B60">
            <v>4017</v>
          </cell>
          <cell r="C60" t="str">
            <v>DE.1.0.7.0</v>
          </cell>
          <cell r="D60" t="str">
            <v>204:233021</v>
          </cell>
          <cell r="E60">
            <v>42592.429097222222</v>
          </cell>
          <cell r="F60">
            <v>42592.429918981485</v>
          </cell>
          <cell r="G60">
            <v>1</v>
          </cell>
          <cell r="H60" t="str">
            <v>204:141</v>
          </cell>
          <cell r="I60">
            <v>42592.461655092593</v>
          </cell>
          <cell r="J60">
            <v>0</v>
          </cell>
          <cell r="K60" t="str">
            <v>4017/4018</v>
          </cell>
          <cell r="L60" t="str">
            <v>STAMBAUGH</v>
          </cell>
          <cell r="M60">
            <v>3.1736111108330078E-2</v>
          </cell>
          <cell r="N60">
            <v>45.699999995995313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https://search-rtdc-monitor-bjffxe2xuh6vdkpspy63sjmuny.us-east-1.es.amazonaws.com/_plugin/kibana/#/discover/Steve-Slow-Train-Analysis-(2080s-and-2083s)?_g=(refreshInterval:(display:Off,section:0,value:0),time:(from:'2016-08-10 09:17:54-0600',mode:absolute,to:'2016-08-10 12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0" t="str">
            <v>N</v>
          </cell>
          <cell r="X60">
            <v>1</v>
          </cell>
          <cell r="Y60">
            <v>23.302099999999999</v>
          </cell>
          <cell r="Z60">
            <v>1.41E-2</v>
          </cell>
          <cell r="AA60">
            <v>23.288</v>
          </cell>
          <cell r="AB60" t="e">
            <v>#N/A</v>
          </cell>
          <cell r="AC60" t="e">
            <v>#N/A</v>
          </cell>
          <cell r="AD60" t="str">
            <v>0148-10</v>
          </cell>
          <cell r="AE60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61">
          <cell r="A61" t="str">
            <v>149-10</v>
          </cell>
          <cell r="B61">
            <v>4007</v>
          </cell>
          <cell r="C61" t="str">
            <v>DE.1.0.7.0</v>
          </cell>
          <cell r="D61" t="str">
            <v>204:440</v>
          </cell>
          <cell r="E61">
            <v>42592.401030092595</v>
          </cell>
          <cell r="F61">
            <v>42592.402060185188</v>
          </cell>
          <cell r="G61">
            <v>1</v>
          </cell>
          <cell r="H61" t="str">
            <v>204:233320</v>
          </cell>
          <cell r="I61">
            <v>42592.431030092594</v>
          </cell>
          <cell r="J61">
            <v>0</v>
          </cell>
          <cell r="K61" t="str">
            <v>4007/4008</v>
          </cell>
          <cell r="L61" t="str">
            <v>SPECTOR</v>
          </cell>
          <cell r="M61">
            <v>2.8969907405553386E-2</v>
          </cell>
          <cell r="N61">
            <v>41.716666663996875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https://search-rtdc-monitor-bjffxe2xuh6vdkpspy63sjmuny.us-east-1.es.amazonaws.com/_plugin/kibana/#/discover/Steve-Slow-Train-Analysis-(2080s-and-2083s)?_g=(refreshInterval:(display:Off,section:0,value:0),time:(from:'2016-08-10 08:37:29-0600',mode:absolute,to:'2016-08-10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4.3999999999999997E-2</v>
          </cell>
          <cell r="Z61">
            <v>23.332000000000001</v>
          </cell>
          <cell r="AA61">
            <v>23.288</v>
          </cell>
          <cell r="AB61" t="e">
            <v>#N/A</v>
          </cell>
          <cell r="AC61" t="e">
            <v>#N/A</v>
          </cell>
          <cell r="AD61" t="str">
            <v>0149-10</v>
          </cell>
          <cell r="AE61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62">
          <cell r="A62" t="str">
            <v>150-10</v>
          </cell>
          <cell r="B62">
            <v>4008</v>
          </cell>
          <cell r="C62" t="str">
            <v>DE.1.0.7.0</v>
          </cell>
          <cell r="D62" t="str">
            <v>204:233013</v>
          </cell>
          <cell r="E62">
            <v>42592.437002314815</v>
          </cell>
          <cell r="F62">
            <v>42592.437974537039</v>
          </cell>
          <cell r="G62">
            <v>1</v>
          </cell>
          <cell r="H62" t="str">
            <v>204:158</v>
          </cell>
          <cell r="I62">
            <v>42592.473252314812</v>
          </cell>
          <cell r="J62">
            <v>0</v>
          </cell>
          <cell r="K62" t="str">
            <v>4007/4008</v>
          </cell>
          <cell r="L62" t="str">
            <v>SPECTOR</v>
          </cell>
          <cell r="M62">
            <v>3.5277777773444541E-2</v>
          </cell>
          <cell r="N62">
            <v>50.799999993760139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https://search-rtdc-monitor-bjffxe2xuh6vdkpspy63sjmuny.us-east-1.es.amazonaws.com/_plugin/kibana/#/discover/Steve-Slow-Train-Analysis-(2080s-and-2083s)?_g=(refreshInterval:(display:Off,section:0,value:0),time:(from:'2016-08-10 09:29:17-0600',mode:absolute,to:'2016-08-10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23.301300000000001</v>
          </cell>
          <cell r="Z62">
            <v>1.5800000000000002E-2</v>
          </cell>
          <cell r="AA62">
            <v>23.285500000000003</v>
          </cell>
          <cell r="AB62" t="e">
            <v>#N/A</v>
          </cell>
          <cell r="AC62" t="e">
            <v>#N/A</v>
          </cell>
          <cell r="AD62" t="str">
            <v>0150-10</v>
          </cell>
          <cell r="AE62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63">
          <cell r="A63" t="str">
            <v>151-10</v>
          </cell>
          <cell r="B63">
            <v>4040</v>
          </cell>
          <cell r="C63" t="str">
            <v>DE.1.0.7.0</v>
          </cell>
          <cell r="D63" t="str">
            <v>204:449</v>
          </cell>
          <cell r="E63">
            <v>42592.411261574074</v>
          </cell>
          <cell r="F63">
            <v>42592.412280092591</v>
          </cell>
          <cell r="G63">
            <v>1</v>
          </cell>
          <cell r="H63" t="str">
            <v>204:233287</v>
          </cell>
          <cell r="I63">
            <v>42592.442152777781</v>
          </cell>
          <cell r="J63">
            <v>0</v>
          </cell>
          <cell r="K63" t="str">
            <v>4039/4040</v>
          </cell>
          <cell r="L63" t="str">
            <v>KILLION</v>
          </cell>
          <cell r="M63">
            <v>2.9872685190639459E-2</v>
          </cell>
          <cell r="N63">
            <v>43.01666667452082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https://search-rtdc-monitor-bjffxe2xuh6vdkpspy63sjmuny.us-east-1.es.amazonaws.com/_plugin/kibana/#/discover/Steve-Slow-Train-Analysis-(2080s-and-2083s)?_g=(refreshInterval:(display:Off,section:0,value:0),time:(from:'2016-08-10 08:52:13-0600',mode:absolute,to:'2016-08-10 11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3" t="str">
            <v>N</v>
          </cell>
          <cell r="X63">
            <v>1</v>
          </cell>
          <cell r="Y63">
            <v>4.4900000000000002E-2</v>
          </cell>
          <cell r="Z63">
            <v>23.328700000000001</v>
          </cell>
          <cell r="AA63">
            <v>23.283800000000003</v>
          </cell>
          <cell r="AB63" t="e">
            <v>#N/A</v>
          </cell>
          <cell r="AC63" t="e">
            <v>#N/A</v>
          </cell>
          <cell r="AD63" t="str">
            <v>0151-10</v>
          </cell>
          <cell r="AE63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64">
          <cell r="A64" t="str">
            <v>152-10</v>
          </cell>
          <cell r="B64">
            <v>4039</v>
          </cell>
          <cell r="C64" t="str">
            <v>DE.1.0.7.0</v>
          </cell>
          <cell r="D64" t="str">
            <v>204:232981</v>
          </cell>
          <cell r="E64">
            <v>42592.449467592596</v>
          </cell>
          <cell r="F64">
            <v>42592.450370370374</v>
          </cell>
          <cell r="G64">
            <v>1</v>
          </cell>
          <cell r="H64" t="str">
            <v>204:156</v>
          </cell>
          <cell r="I64">
            <v>42592.484513888892</v>
          </cell>
          <cell r="J64">
            <v>0</v>
          </cell>
          <cell r="K64" t="str">
            <v>4039/4040</v>
          </cell>
          <cell r="L64" t="str">
            <v>KILLION</v>
          </cell>
          <cell r="M64">
            <v>3.4143518518249039E-2</v>
          </cell>
          <cell r="N64">
            <v>49.166666666278616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https://search-rtdc-monitor-bjffxe2xuh6vdkpspy63sjmuny.us-east-1.es.amazonaws.com/_plugin/kibana/#/discover/Steve-Slow-Train-Analysis-(2080s-and-2083s)?_g=(refreshInterval:(display:Off,section:0,value:0),time:(from:'2016-08-10 09:47:14-0600',mode:absolute,to:'2016-08-10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4" t="str">
            <v>N</v>
          </cell>
          <cell r="X64">
            <v>1</v>
          </cell>
          <cell r="Y64">
            <v>23.298100000000002</v>
          </cell>
          <cell r="Z64">
            <v>1.5599999999999999E-2</v>
          </cell>
          <cell r="AA64">
            <v>23.282500000000002</v>
          </cell>
          <cell r="AB64" t="e">
            <v>#N/A</v>
          </cell>
          <cell r="AC64" t="e">
            <v>#N/A</v>
          </cell>
          <cell r="AD64" t="str">
            <v>0152-10</v>
          </cell>
          <cell r="AE64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65">
          <cell r="A65" t="str">
            <v>153-10</v>
          </cell>
          <cell r="B65">
            <v>4020</v>
          </cell>
          <cell r="C65" t="str">
            <v>DE.1.0.7.0</v>
          </cell>
          <cell r="D65" t="str">
            <v>204:447</v>
          </cell>
          <cell r="E65">
            <v>42592.421122685184</v>
          </cell>
          <cell r="F65">
            <v>42592.422210648147</v>
          </cell>
          <cell r="G65">
            <v>1</v>
          </cell>
          <cell r="H65" t="str">
            <v>204:233289</v>
          </cell>
          <cell r="I65">
            <v>42592.451527777775</v>
          </cell>
          <cell r="J65">
            <v>0</v>
          </cell>
          <cell r="K65" t="str">
            <v>4019/4020</v>
          </cell>
          <cell r="L65" t="str">
            <v>ROCHA</v>
          </cell>
          <cell r="M65">
            <v>2.9317129628907423E-2</v>
          </cell>
          <cell r="N65">
            <v>42.21666666562669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https://search-rtdc-monitor-bjffxe2xuh6vdkpspy63sjmuny.us-east-1.es.amazonaws.com/_plugin/kibana/#/discover/Steve-Slow-Train-Analysis-(2080s-and-2083s)?_g=(refreshInterval:(display:Off,section:0,value:0),time:(from:'2016-08-10 09:06:25-0600',mode:absolute,to:'2016-08-10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5" t="str">
            <v>N</v>
          </cell>
          <cell r="X65">
            <v>1</v>
          </cell>
          <cell r="Y65">
            <v>4.4699999999999997E-2</v>
          </cell>
          <cell r="Z65">
            <v>23.328900000000001</v>
          </cell>
          <cell r="AA65">
            <v>23.284200000000002</v>
          </cell>
          <cell r="AB65" t="e">
            <v>#N/A</v>
          </cell>
          <cell r="AC65" t="e">
            <v>#N/A</v>
          </cell>
          <cell r="AD65" t="str">
            <v>0153-10</v>
          </cell>
          <cell r="AE65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66">
          <cell r="A66" t="str">
            <v>154-10</v>
          </cell>
          <cell r="B66">
            <v>4019</v>
          </cell>
          <cell r="C66" t="str">
            <v>DE.1.0.7.0</v>
          </cell>
          <cell r="D66" t="str">
            <v>204:231005</v>
          </cell>
          <cell r="E66">
            <v>42592.465613425928</v>
          </cell>
          <cell r="F66">
            <v>42592.467361111114</v>
          </cell>
          <cell r="G66">
            <v>2</v>
          </cell>
          <cell r="H66" t="str">
            <v>204:152</v>
          </cell>
          <cell r="I66">
            <v>42592.492743055554</v>
          </cell>
          <cell r="J66">
            <v>0</v>
          </cell>
          <cell r="K66" t="str">
            <v>4019/4020</v>
          </cell>
          <cell r="L66" t="str">
            <v>ROCHA</v>
          </cell>
          <cell r="M66">
            <v>2.5381944440596271E-2</v>
          </cell>
          <cell r="N66">
            <v>36.549999994458631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https://search-rtdc-monitor-bjffxe2xuh6vdkpspy63sjmuny.us-east-1.es.amazonaws.com/_plugin/kibana/#/discover/Steve-Slow-Train-Analysis-(2080s-and-2083s)?_g=(refreshInterval:(display:Off,section:0,value:0),time:(from:'2016-08-10 10:10:29-0600',mode:absolute,to:'2016-08-10 12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6" t="str">
            <v>N</v>
          </cell>
          <cell r="X66">
            <v>1</v>
          </cell>
          <cell r="Y66">
            <v>23.1005</v>
          </cell>
          <cell r="Z66">
            <v>1.52E-2</v>
          </cell>
          <cell r="AA66">
            <v>23.0853</v>
          </cell>
          <cell r="AB66" t="e">
            <v>#N/A</v>
          </cell>
          <cell r="AC66" t="e">
            <v>#N/A</v>
          </cell>
          <cell r="AD66" t="str">
            <v>0154-10</v>
          </cell>
          <cell r="AE66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67">
          <cell r="A67" t="str">
            <v>155-10</v>
          </cell>
          <cell r="B67">
            <v>4009</v>
          </cell>
          <cell r="C67" t="str">
            <v>DE.1.0.7.0</v>
          </cell>
          <cell r="D67" t="str">
            <v>204:19128</v>
          </cell>
          <cell r="E67">
            <v>42592.442187499997</v>
          </cell>
          <cell r="F67">
            <v>42592.442997685182</v>
          </cell>
          <cell r="G67">
            <v>1</v>
          </cell>
          <cell r="H67" t="str">
            <v>204:233298</v>
          </cell>
          <cell r="I67">
            <v>42592.465451388889</v>
          </cell>
          <cell r="J67">
            <v>0</v>
          </cell>
          <cell r="K67" t="str">
            <v>4009/4010</v>
          </cell>
          <cell r="L67" t="str">
            <v>GRASTON</v>
          </cell>
          <cell r="M67">
            <v>2.2453703706560191E-2</v>
          </cell>
          <cell r="P67">
            <v>32.333333337446675</v>
          </cell>
          <cell r="R67" t="str">
            <v>Dispatcher error - trip wasn't available until 38th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https://search-rtdc-monitor-bjffxe2xuh6vdkpspy63sjmuny.us-east-1.es.amazonaws.com/_plugin/kibana/#/discover/Steve-Slow-Train-Analysis-(2080s-and-2083s)?_g=(refreshInterval:(display:Off,section:0,value:0),time:(from:'2016-08-10 09:36:45-0600',mode:absolute,to:'2016-08-10 12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7" t="str">
            <v>Y</v>
          </cell>
          <cell r="X67">
            <v>1</v>
          </cell>
          <cell r="Y67">
            <v>1.9128000000000001</v>
          </cell>
          <cell r="Z67">
            <v>23.329799999999999</v>
          </cell>
          <cell r="AA67">
            <v>21.416999999999998</v>
          </cell>
          <cell r="AB67" t="e">
            <v>#N/A</v>
          </cell>
          <cell r="AC67" t="e">
            <v>#N/A</v>
          </cell>
          <cell r="AD67" t="str">
            <v>0155-10</v>
          </cell>
          <cell r="AE67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68">
          <cell r="A68" t="str">
            <v>156-10</v>
          </cell>
          <cell r="B68">
            <v>4010</v>
          </cell>
          <cell r="C68" t="str">
            <v>DE.1.0.7.0</v>
          </cell>
          <cell r="D68" t="str">
            <v>204:232974</v>
          </cell>
          <cell r="E68">
            <v>42592.472662037035</v>
          </cell>
          <cell r="F68">
            <v>42592.473483796297</v>
          </cell>
          <cell r="G68">
            <v>1</v>
          </cell>
          <cell r="H68" t="str">
            <v>204:154</v>
          </cell>
          <cell r="I68">
            <v>42592.502430555556</v>
          </cell>
          <cell r="J68">
            <v>0</v>
          </cell>
          <cell r="K68" t="str">
            <v>4009/4010</v>
          </cell>
          <cell r="L68" t="str">
            <v>GRASTON</v>
          </cell>
          <cell r="M68">
            <v>2.8946759259270038E-2</v>
          </cell>
          <cell r="N68">
            <v>41.683333333348855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https://search-rtdc-monitor-bjffxe2xuh6vdkpspy63sjmuny.us-east-1.es.amazonaws.com/_plugin/kibana/#/discover/Steve-Slow-Train-Analysis-(2080s-and-2083s)?_g=(refreshInterval:(display:Off,section:0,value:0),time:(from:'2016-08-10 10:20:38-0600',mode:absolute,to:'2016-08-10 13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8" t="str">
            <v>N</v>
          </cell>
          <cell r="X68">
            <v>1</v>
          </cell>
          <cell r="Y68">
            <v>23.2974</v>
          </cell>
          <cell r="Z68">
            <v>1.54E-2</v>
          </cell>
          <cell r="AA68">
            <v>23.282</v>
          </cell>
          <cell r="AB68" t="e">
            <v>#N/A</v>
          </cell>
          <cell r="AC68" t="e">
            <v>#N/A</v>
          </cell>
          <cell r="AD68" t="str">
            <v>0156-10</v>
          </cell>
          <cell r="AE68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69">
          <cell r="A69" t="str">
            <v>157-10</v>
          </cell>
          <cell r="B69">
            <v>4016</v>
          </cell>
          <cell r="C69" t="str">
            <v>DE.1.0.7.0</v>
          </cell>
          <cell r="D69" t="str">
            <v>204:477</v>
          </cell>
          <cell r="E69">
            <v>42592.444618055553</v>
          </cell>
          <cell r="F69">
            <v>42592.44804398148</v>
          </cell>
          <cell r="G69">
            <v>4</v>
          </cell>
          <cell r="H69" t="str">
            <v>204:233293</v>
          </cell>
          <cell r="I69">
            <v>42592.474502314813</v>
          </cell>
          <cell r="J69">
            <v>0</v>
          </cell>
          <cell r="K69" t="str">
            <v>4015/4016</v>
          </cell>
          <cell r="L69" t="str">
            <v>BRANNON</v>
          </cell>
          <cell r="M69">
            <v>2.6458333333721384E-2</v>
          </cell>
          <cell r="N69">
            <v>38.100000000558794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https://search-rtdc-monitor-bjffxe2xuh6vdkpspy63sjmuny.us-east-1.es.amazonaws.com/_plugin/kibana/#/discover/Steve-Slow-Train-Analysis-(2080s-and-2083s)?_g=(refreshInterval:(display:Off,section:0,value:0),time:(from:'2016-08-10 09:40:15-0600',mode:absolute,to:'2016-08-10 12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69" t="str">
            <v>N</v>
          </cell>
          <cell r="X69">
            <v>1</v>
          </cell>
          <cell r="Y69">
            <v>4.7699999999999999E-2</v>
          </cell>
          <cell r="Z69">
            <v>23.3293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0157-10</v>
          </cell>
          <cell r="AE69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70">
          <cell r="A70" t="str">
            <v>158-10</v>
          </cell>
          <cell r="B70">
            <v>4015</v>
          </cell>
          <cell r="C70" t="str">
            <v>DE.1.0.7.0</v>
          </cell>
          <cell r="D70" t="str">
            <v>204:232978</v>
          </cell>
          <cell r="E70">
            <v>42592.482592592591</v>
          </cell>
          <cell r="F70">
            <v>42592.483599537038</v>
          </cell>
          <cell r="G70">
            <v>1</v>
          </cell>
          <cell r="H70" t="str">
            <v>204:86793</v>
          </cell>
          <cell r="I70">
            <v>42592.501793981479</v>
          </cell>
          <cell r="J70">
            <v>1</v>
          </cell>
          <cell r="K70" t="str">
            <v>4015/4016</v>
          </cell>
          <cell r="L70" t="str">
            <v>BRANNON</v>
          </cell>
          <cell r="M70">
            <v>1.8194444441178348E-2</v>
          </cell>
          <cell r="P70">
            <v>42.066666661994532</v>
          </cell>
          <cell r="R70" t="str">
            <v>Wi-MAX outage</v>
          </cell>
          <cell r="S70">
            <v>0.91666666666666663</v>
          </cell>
          <cell r="T70" t="str">
            <v>Southbound</v>
          </cell>
          <cell r="U70">
            <v>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0" t="str">
            <v>Y</v>
          </cell>
          <cell r="X70">
            <v>1</v>
          </cell>
          <cell r="Y70">
            <v>23.297799999999999</v>
          </cell>
          <cell r="Z70">
            <v>8.6792999999999996</v>
          </cell>
          <cell r="AA70">
            <v>14.618499999999999</v>
          </cell>
          <cell r="AB70">
            <v>87902</v>
          </cell>
          <cell r="AC70" t="str">
            <v>SIGNAL</v>
          </cell>
          <cell r="AD70" t="str">
            <v>0158-10</v>
          </cell>
          <cell r="AE70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1">
          <cell r="A71" t="str">
            <v>158-10</v>
          </cell>
          <cell r="B71">
            <v>4015</v>
          </cell>
          <cell r="C71" t="str">
            <v>DE.1.0.7.0</v>
          </cell>
          <cell r="D71" t="str">
            <v>204:64157</v>
          </cell>
          <cell r="E71">
            <v>42592.506192129629</v>
          </cell>
          <cell r="F71">
            <v>42592.506921296299</v>
          </cell>
          <cell r="G71">
            <v>1</v>
          </cell>
          <cell r="H71" t="str">
            <v>204:178</v>
          </cell>
          <cell r="I71">
            <v>42592.517939814818</v>
          </cell>
          <cell r="J71">
            <v>0</v>
          </cell>
          <cell r="K71" t="str">
            <v>4015/4016</v>
          </cell>
          <cell r="L71" t="str">
            <v>BRANNON</v>
          </cell>
          <cell r="M71">
            <v>1.1018518518540077E-2</v>
          </cell>
          <cell r="T71" t="str">
            <v>Southbound</v>
          </cell>
          <cell r="U71">
            <v>9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https://search-rtdc-monitor-bjffxe2xuh6vdkpspy63sjmuny.us-east-1.es.amazonaws.com/_plugin/kibana/#/discover/Steve-Slow-Train-Analysis-(2080s-and-2083s)?_g=(refreshInterval:(display:Off,section:0,value:0),time:(from:'2016-08-10 11:08:55-0600',mode:absolute,to:'2016-08-10 13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1" t="str">
            <v>Y</v>
          </cell>
          <cell r="X71">
            <v>0</v>
          </cell>
          <cell r="Y71">
            <v>6.4157000000000002</v>
          </cell>
          <cell r="Z71">
            <v>1.78E-2</v>
          </cell>
          <cell r="AA71">
            <v>6.3978999999999999</v>
          </cell>
          <cell r="AB71">
            <v>87902</v>
          </cell>
          <cell r="AC71" t="str">
            <v>SIGNAL</v>
          </cell>
          <cell r="AD71" t="str">
            <v>0158-10</v>
          </cell>
          <cell r="AE7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2">
          <cell r="A72" t="str">
            <v>159-10</v>
          </cell>
          <cell r="B72">
            <v>4029</v>
          </cell>
          <cell r="C72" t="str">
            <v>DE.1.0.7.0</v>
          </cell>
          <cell r="D72" t="str">
            <v>204:440</v>
          </cell>
          <cell r="E72">
            <v>42592.454039351855</v>
          </cell>
          <cell r="F72">
            <v>42592.455335648148</v>
          </cell>
          <cell r="G72">
            <v>1</v>
          </cell>
          <cell r="H72" t="str">
            <v>204:233340</v>
          </cell>
          <cell r="I72">
            <v>42592.482812499999</v>
          </cell>
          <cell r="J72">
            <v>0</v>
          </cell>
          <cell r="K72" t="str">
            <v>4029/4030</v>
          </cell>
          <cell r="L72" t="str">
            <v>SWANSON</v>
          </cell>
          <cell r="M72">
            <v>2.7476851850224193E-2</v>
          </cell>
          <cell r="N72">
            <v>39.566666664322838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https://search-rtdc-monitor-bjffxe2xuh6vdkpspy63sjmuny.us-east-1.es.amazonaws.com/_plugin/kibana/#/discover/Steve-Slow-Train-Analysis-(2080s-and-2083s)?_g=(refreshInterval:(display:Off,section:0,value:0),time:(from:'2016-08-10 09:53:49-0600',mode:absolute,to:'2016-08-10 12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2" t="str">
            <v>N</v>
          </cell>
          <cell r="X72">
            <v>1</v>
          </cell>
          <cell r="Y72">
            <v>4.3999999999999997E-2</v>
          </cell>
          <cell r="Z72">
            <v>23.334</v>
          </cell>
          <cell r="AA72">
            <v>23.29</v>
          </cell>
          <cell r="AB72" t="e">
            <v>#N/A</v>
          </cell>
          <cell r="AC72" t="e">
            <v>#N/A</v>
          </cell>
          <cell r="AD72" t="str">
            <v>0159-10</v>
          </cell>
          <cell r="AE72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73">
          <cell r="A73" t="str">
            <v>160-10</v>
          </cell>
          <cell r="B73">
            <v>4030</v>
          </cell>
          <cell r="C73" t="str">
            <v>DE.1.0.7.0</v>
          </cell>
          <cell r="D73" t="str">
            <v>204:233019</v>
          </cell>
          <cell r="E73">
            <v>42592.495636574073</v>
          </cell>
          <cell r="F73">
            <v>42592.496840277781</v>
          </cell>
          <cell r="G73">
            <v>1</v>
          </cell>
          <cell r="H73" t="str">
            <v>204:167</v>
          </cell>
          <cell r="I73">
            <v>42592.526574074072</v>
          </cell>
          <cell r="J73">
            <v>1</v>
          </cell>
          <cell r="K73" t="str">
            <v>4029/4030</v>
          </cell>
          <cell r="L73" t="str">
            <v>SWANSON</v>
          </cell>
          <cell r="M73">
            <v>2.9733796291111503E-2</v>
          </cell>
          <cell r="N73">
            <v>42.816666659200564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3" t="str">
            <v>N</v>
          </cell>
          <cell r="X73">
            <v>1</v>
          </cell>
          <cell r="Y73">
            <v>23.3019</v>
          </cell>
          <cell r="Z73">
            <v>1.67E-2</v>
          </cell>
          <cell r="AA73">
            <v>23.2852</v>
          </cell>
          <cell r="AB73">
            <v>21848</v>
          </cell>
          <cell r="AC73" t="str">
            <v>PERMANENT SPEED RESTRICTION</v>
          </cell>
          <cell r="AD73" t="str">
            <v>0160-10</v>
          </cell>
          <cell r="AE73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74">
          <cell r="A74" t="str">
            <v>161-10</v>
          </cell>
          <cell r="B74">
            <v>4018</v>
          </cell>
          <cell r="C74" t="str">
            <v>DE.1.0.7.0</v>
          </cell>
          <cell r="D74" t="str">
            <v>204:455</v>
          </cell>
          <cell r="E74">
            <v>42592.463229166664</v>
          </cell>
          <cell r="F74">
            <v>42592.464050925926</v>
          </cell>
          <cell r="G74">
            <v>1</v>
          </cell>
          <cell r="H74" t="str">
            <v>204:233337</v>
          </cell>
          <cell r="I74">
            <v>42592.494421296295</v>
          </cell>
          <cell r="J74">
            <v>0</v>
          </cell>
          <cell r="K74" t="str">
            <v>4017/4018</v>
          </cell>
          <cell r="L74" t="str">
            <v>BARTLETT</v>
          </cell>
          <cell r="M74">
            <v>3.0370370368473232E-2</v>
          </cell>
          <cell r="N74">
            <v>43.733333330601454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https://search-rtdc-monitor-bjffxe2xuh6vdkpspy63sjmuny.us-east-1.es.amazonaws.com/_plugin/kibana/#/discover/Steve-Slow-Train-Analysis-(2080s-and-2083s)?_g=(refreshInterval:(display:Off,section:0,value:0),time:(from:'2016-08-10 10:07:03-0600',mode:absolute,to:'2016-08-10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4" t="str">
            <v>N</v>
          </cell>
          <cell r="X74">
            <v>1</v>
          </cell>
          <cell r="Y74">
            <v>4.5499999999999999E-2</v>
          </cell>
          <cell r="Z74">
            <v>23.3337</v>
          </cell>
          <cell r="AA74">
            <v>23.2882</v>
          </cell>
          <cell r="AB74" t="e">
            <v>#N/A</v>
          </cell>
          <cell r="AC74" t="e">
            <v>#N/A</v>
          </cell>
          <cell r="AD74" t="str">
            <v>0161-10</v>
          </cell>
          <cell r="AE74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75">
          <cell r="A75" t="str">
            <v>162-10</v>
          </cell>
          <cell r="B75">
            <v>4017</v>
          </cell>
          <cell r="C75" t="str">
            <v>DE.1.0.7.0</v>
          </cell>
          <cell r="D75" t="str">
            <v>204:232998</v>
          </cell>
          <cell r="E75">
            <v>42592.49664351852</v>
          </cell>
          <cell r="F75">
            <v>42592.497847222221</v>
          </cell>
          <cell r="G75">
            <v>1</v>
          </cell>
          <cell r="H75" t="str">
            <v>204:143</v>
          </cell>
          <cell r="I75">
            <v>42592.535185185188</v>
          </cell>
          <cell r="J75">
            <v>0</v>
          </cell>
          <cell r="K75" t="str">
            <v>4017/4018</v>
          </cell>
          <cell r="L75" t="str">
            <v>BARTLETT</v>
          </cell>
          <cell r="M75">
            <v>3.7337962967285421E-2</v>
          </cell>
          <cell r="N75">
            <v>53.766666672891006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https://search-rtdc-monitor-bjffxe2xuh6vdkpspy63sjmuny.us-east-1.es.amazonaws.com/_plugin/kibana/#/discover/Steve-Slow-Train-Analysis-(2080s-and-2083s)?_g=(refreshInterval:(display:Off,section:0,value:0),time:(from:'2016-08-10 10:55:10-0600',mode:absolute,to:'2016-08-10 13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5" t="str">
            <v>N</v>
          </cell>
          <cell r="X75">
            <v>1</v>
          </cell>
          <cell r="Y75">
            <v>23.299800000000001</v>
          </cell>
          <cell r="Z75">
            <v>1.43E-2</v>
          </cell>
          <cell r="AA75">
            <v>23.285500000000003</v>
          </cell>
          <cell r="AB75" t="e">
            <v>#N/A</v>
          </cell>
          <cell r="AC75" t="e">
            <v>#N/A</v>
          </cell>
          <cell r="AD75" t="str">
            <v>0162-10</v>
          </cell>
          <cell r="AE75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76">
          <cell r="A76" t="str">
            <v>163-10</v>
          </cell>
          <cell r="B76">
            <v>4007</v>
          </cell>
          <cell r="C76" t="str">
            <v>DE.1.0.7.0</v>
          </cell>
          <cell r="D76" t="str">
            <v>204:440</v>
          </cell>
          <cell r="E76">
            <v>42592.476782407408</v>
          </cell>
          <cell r="F76">
            <v>42592.478078703702</v>
          </cell>
          <cell r="G76">
            <v>1</v>
          </cell>
          <cell r="H76" t="str">
            <v>204:233293</v>
          </cell>
          <cell r="I76">
            <v>42592.508298611108</v>
          </cell>
          <cell r="J76">
            <v>0</v>
          </cell>
          <cell r="K76" t="str">
            <v>4007/4008</v>
          </cell>
          <cell r="L76" t="str">
            <v>HELVIE</v>
          </cell>
          <cell r="M76">
            <v>3.0219907406717539E-2</v>
          </cell>
          <cell r="N76">
            <v>43.516666665673256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https://search-rtdc-monitor-bjffxe2xuh6vdkpspy63sjmuny.us-east-1.es.amazonaws.com/_plugin/kibana/#/discover/Steve-Slow-Train-Analysis-(2080s-and-2083s)?_g=(refreshInterval:(display:Off,section:0,value:0),time:(from:'2016-08-10 10:26:34-0600',mode:absolute,to:'2016-08-10 13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6" t="str">
            <v>N</v>
          </cell>
          <cell r="X76">
            <v>1</v>
          </cell>
          <cell r="Y76">
            <v>4.3999999999999997E-2</v>
          </cell>
          <cell r="Z76">
            <v>23.3293</v>
          </cell>
          <cell r="AA76">
            <v>23.285299999999999</v>
          </cell>
          <cell r="AB76" t="e">
            <v>#N/A</v>
          </cell>
          <cell r="AC76" t="e">
            <v>#N/A</v>
          </cell>
          <cell r="AD76" t="str">
            <v>0163-10</v>
          </cell>
          <cell r="AE76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77">
          <cell r="A77" t="str">
            <v>164-10</v>
          </cell>
          <cell r="B77">
            <v>4008</v>
          </cell>
          <cell r="C77" t="str">
            <v>DE.1.0.7.0</v>
          </cell>
          <cell r="D77" t="str">
            <v>204:232983</v>
          </cell>
          <cell r="E77">
            <v>42592.514641203707</v>
          </cell>
          <cell r="F77">
            <v>42592.515960648147</v>
          </cell>
          <cell r="G77">
            <v>1</v>
          </cell>
          <cell r="H77" t="str">
            <v>204:127</v>
          </cell>
          <cell r="I77">
            <v>42592.548055555555</v>
          </cell>
          <cell r="J77">
            <v>1</v>
          </cell>
          <cell r="K77" t="str">
            <v>4007/4008</v>
          </cell>
          <cell r="L77" t="str">
            <v>HELVIE</v>
          </cell>
          <cell r="M77">
            <v>3.2094907408463769E-2</v>
          </cell>
          <cell r="N77">
            <v>46.216666668187827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7" t="str">
            <v>N</v>
          </cell>
          <cell r="X77">
            <v>1</v>
          </cell>
          <cell r="Y77">
            <v>23.298300000000001</v>
          </cell>
          <cell r="Z77">
            <v>1.2699999999999999E-2</v>
          </cell>
          <cell r="AA77">
            <v>23.285600000000002</v>
          </cell>
          <cell r="AB77">
            <v>183829</v>
          </cell>
          <cell r="AC77" t="str">
            <v>PERMANENT SPEED RESTRICTION</v>
          </cell>
          <cell r="AD77" t="str">
            <v>0164-10</v>
          </cell>
          <cell r="AE77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78">
          <cell r="A78" t="str">
            <v>165-10</v>
          </cell>
          <cell r="B78">
            <v>4040</v>
          </cell>
          <cell r="C78" t="str">
            <v>DE.1.0.7.0</v>
          </cell>
          <cell r="D78" t="str">
            <v>204:462</v>
          </cell>
          <cell r="E78">
            <v>42592.486655092594</v>
          </cell>
          <cell r="F78">
            <v>42592.487893518519</v>
          </cell>
          <cell r="G78">
            <v>1</v>
          </cell>
          <cell r="H78" t="str">
            <v>204:233264</v>
          </cell>
          <cell r="I78">
            <v>42592.514687499999</v>
          </cell>
          <cell r="J78">
            <v>0</v>
          </cell>
          <cell r="K78" t="str">
            <v>4039/4040</v>
          </cell>
          <cell r="L78" t="str">
            <v>DE LA ROSA</v>
          </cell>
          <cell r="M78">
            <v>2.679398148029577E-2</v>
          </cell>
          <cell r="N78">
            <v>38.583333331625909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https://search-rtdc-monitor-bjffxe2xuh6vdkpspy63sjmuny.us-east-1.es.amazonaws.com/_plugin/kibana/#/discover/Steve-Slow-Train-Analysis-(2080s-and-2083s)?_g=(refreshInterval:(display:Off,section:0,value:0),time:(from:'2016-08-10 10:40:47-0600',mode:absolute,to:'2016-08-10 13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23.3264</v>
          </cell>
          <cell r="AA78">
            <v>23.280200000000001</v>
          </cell>
          <cell r="AB78" t="e">
            <v>#N/A</v>
          </cell>
          <cell r="AC78" t="e">
            <v>#N/A</v>
          </cell>
          <cell r="AD78" t="str">
            <v>0165-10</v>
          </cell>
          <cell r="AE78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79">
          <cell r="A79" t="str">
            <v>166-10</v>
          </cell>
          <cell r="B79">
            <v>4039</v>
          </cell>
          <cell r="C79" t="str">
            <v>DE.1.0.7.0</v>
          </cell>
          <cell r="D79" t="str">
            <v>204:232978</v>
          </cell>
          <cell r="E79">
            <v>42592.524675925924</v>
          </cell>
          <cell r="F79">
            <v>42592.525763888887</v>
          </cell>
          <cell r="G79">
            <v>1</v>
          </cell>
          <cell r="H79" t="str">
            <v>204:138</v>
          </cell>
          <cell r="I79">
            <v>42592.557060185187</v>
          </cell>
          <cell r="J79">
            <v>1</v>
          </cell>
          <cell r="K79" t="str">
            <v>4039/4040</v>
          </cell>
          <cell r="L79" t="str">
            <v>DE LA ROSA</v>
          </cell>
          <cell r="M79">
            <v>3.1296296299842652E-2</v>
          </cell>
          <cell r="N79">
            <v>45.066666671773419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9" t="str">
            <v>N</v>
          </cell>
          <cell r="X79">
            <v>1</v>
          </cell>
          <cell r="Y79">
            <v>23.297799999999999</v>
          </cell>
          <cell r="Z79">
            <v>1.38E-2</v>
          </cell>
          <cell r="AA79">
            <v>23.283999999999999</v>
          </cell>
          <cell r="AB79" t="e">
            <v>#N/A</v>
          </cell>
          <cell r="AC79" t="e">
            <v>#N/A</v>
          </cell>
          <cell r="AD79" t="str">
            <v>0166-10</v>
          </cell>
          <cell r="AE79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80">
          <cell r="A80" t="str">
            <v>167-10</v>
          </cell>
          <cell r="B80">
            <v>4020</v>
          </cell>
          <cell r="C80" t="str">
            <v>DE.1.0.7.0</v>
          </cell>
          <cell r="D80" t="str">
            <v>204:467</v>
          </cell>
          <cell r="E80">
            <v>42592.496157407404</v>
          </cell>
          <cell r="F80">
            <v>42592.497696759259</v>
          </cell>
          <cell r="G80">
            <v>2</v>
          </cell>
          <cell r="H80" t="str">
            <v>204:233312</v>
          </cell>
          <cell r="I80">
            <v>42592.527754629627</v>
          </cell>
          <cell r="J80">
            <v>0</v>
          </cell>
          <cell r="K80" t="str">
            <v>4019/4020</v>
          </cell>
          <cell r="L80" t="str">
            <v>YOUNG</v>
          </cell>
          <cell r="M80">
            <v>3.0057870368182193E-2</v>
          </cell>
          <cell r="N80">
            <v>43.283333330182359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https://search-rtdc-monitor-bjffxe2xuh6vdkpspy63sjmuny.us-east-1.es.amazonaws.com/_plugin/kibana/#/discover/Steve-Slow-Train-Analysis-(2080s-and-2083s)?_g=(refreshInterval:(display:Off,section:0,value:0),time:(from:'2016-08-10 10:54:28-0600',mode:absolute,to:'2016-08-10 13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23.331199999999999</v>
          </cell>
          <cell r="AA80">
            <v>23.284499999999998</v>
          </cell>
          <cell r="AB80" t="e">
            <v>#N/A</v>
          </cell>
          <cell r="AC80" t="e">
            <v>#N/A</v>
          </cell>
          <cell r="AD80" t="str">
            <v>0167-10</v>
          </cell>
          <cell r="AE80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81">
          <cell r="A81" t="str">
            <v>168-10</v>
          </cell>
          <cell r="B81">
            <v>4019</v>
          </cell>
          <cell r="C81" t="str">
            <v>DE.1.0.7.0</v>
          </cell>
          <cell r="D81" t="str">
            <v>204:233008</v>
          </cell>
          <cell r="E81">
            <v>42592.530092592591</v>
          </cell>
          <cell r="F81">
            <v>42592.531597222223</v>
          </cell>
          <cell r="G81">
            <v>2</v>
          </cell>
          <cell r="H81" t="str">
            <v>204:189</v>
          </cell>
          <cell r="I81">
            <v>42592.569363425922</v>
          </cell>
          <cell r="J81">
            <v>0</v>
          </cell>
          <cell r="K81" t="str">
            <v>4019/4020</v>
          </cell>
          <cell r="L81" t="str">
            <v>YOUNG</v>
          </cell>
          <cell r="M81">
            <v>3.7766203698993195E-2</v>
          </cell>
          <cell r="N81">
            <v>54.383333326550201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https://search-rtdc-monitor-bjffxe2xuh6vdkpspy63sjmuny.us-east-1.es.amazonaws.com/_plugin/kibana/#/discover/Steve-Slow-Train-Analysis-(2080s-and-2083s)?_g=(refreshInterval:(display:Off,section:0,value:0),time:(from:'2016-08-10 11:43:20-0600',mode:absolute,to:'2016-08-10 14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1" t="str">
            <v>N</v>
          </cell>
          <cell r="X81">
            <v>1</v>
          </cell>
          <cell r="Y81">
            <v>23.300799999999999</v>
          </cell>
          <cell r="Z81">
            <v>1.89E-2</v>
          </cell>
          <cell r="AA81">
            <v>23.2819</v>
          </cell>
          <cell r="AB81" t="e">
            <v>#N/A</v>
          </cell>
          <cell r="AC81" t="e">
            <v>#N/A</v>
          </cell>
          <cell r="AD81" t="str">
            <v>0168-10</v>
          </cell>
          <cell r="AE81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82">
          <cell r="A82" t="str">
            <v>169-10</v>
          </cell>
          <cell r="B82">
            <v>4009</v>
          </cell>
          <cell r="C82" t="str">
            <v>DE.1.0.7.0</v>
          </cell>
          <cell r="D82" t="str">
            <v>204:457</v>
          </cell>
          <cell r="E82">
            <v>42592.507291666669</v>
          </cell>
          <cell r="F82">
            <v>42592.508831018517</v>
          </cell>
          <cell r="G82">
            <v>2</v>
          </cell>
          <cell r="H82" t="str">
            <v>204:233268</v>
          </cell>
          <cell r="I82">
            <v>42592.536539351851</v>
          </cell>
          <cell r="J82">
            <v>0</v>
          </cell>
          <cell r="K82" t="str">
            <v>4009/4010</v>
          </cell>
          <cell r="L82" t="str">
            <v>BRUDER</v>
          </cell>
          <cell r="M82">
            <v>2.7708333334885538E-2</v>
          </cell>
          <cell r="N82">
            <v>39.900000002235174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https://search-rtdc-monitor-bjffxe2xuh6vdkpspy63sjmuny.us-east-1.es.amazonaws.com/_plugin/kibana/#/discover/Steve-Slow-Train-Analysis-(2080s-and-2083s)?_g=(refreshInterval:(display:Off,section:0,value:0),time:(from:'2016-08-10 11:10:30-0600',mode:absolute,to:'2016-08-10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23.326799999999999</v>
          </cell>
          <cell r="AA82">
            <v>23.281099999999999</v>
          </cell>
          <cell r="AB82" t="e">
            <v>#N/A</v>
          </cell>
          <cell r="AC82" t="e">
            <v>#N/A</v>
          </cell>
          <cell r="AD82" t="str">
            <v>0169-10</v>
          </cell>
          <cell r="AE82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83">
          <cell r="A83" t="str">
            <v>170-10</v>
          </cell>
          <cell r="B83">
            <v>4010</v>
          </cell>
          <cell r="C83" t="str">
            <v>DE.1.0.7.0</v>
          </cell>
          <cell r="D83" t="str">
            <v>204:232980</v>
          </cell>
          <cell r="E83">
            <v>42592.544108796297</v>
          </cell>
          <cell r="F83">
            <v>42592.545543981483</v>
          </cell>
          <cell r="G83">
            <v>2</v>
          </cell>
          <cell r="H83" t="str">
            <v>204:143</v>
          </cell>
          <cell r="I83">
            <v>42592.577743055554</v>
          </cell>
          <cell r="J83">
            <v>0</v>
          </cell>
          <cell r="K83" t="str">
            <v>4009/4010</v>
          </cell>
          <cell r="L83" t="str">
            <v>BRUDER</v>
          </cell>
          <cell r="M83">
            <v>3.219907407037681E-2</v>
          </cell>
          <cell r="N83">
            <v>46.366666661342606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https://search-rtdc-monitor-bjffxe2xuh6vdkpspy63sjmuny.us-east-1.es.amazonaws.com/_plugin/kibana/#/discover/Steve-Slow-Train-Analysis-(2080s-and-2083s)?_g=(refreshInterval:(display:Off,section:0,value:0),time:(from:'2016-08-10 12:03:31-0600',mode:absolute,to:'2016-08-10 14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23.297999999999998</v>
          </cell>
          <cell r="Z83">
            <v>1.43E-2</v>
          </cell>
          <cell r="AA83">
            <v>23.2837</v>
          </cell>
          <cell r="AB83" t="e">
            <v>#N/A</v>
          </cell>
          <cell r="AC83" t="e">
            <v>#N/A</v>
          </cell>
          <cell r="AD83" t="str">
            <v>0170-10</v>
          </cell>
          <cell r="AE8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84">
          <cell r="A84" t="str">
            <v>171-10</v>
          </cell>
          <cell r="B84">
            <v>4016</v>
          </cell>
          <cell r="C84" t="str">
            <v>DE.1.0.7.0</v>
          </cell>
          <cell r="D84" t="str">
            <v>204:484</v>
          </cell>
          <cell r="E84">
            <v>42592.520069444443</v>
          </cell>
          <cell r="F84">
            <v>42592.522118055553</v>
          </cell>
          <cell r="G84">
            <v>2</v>
          </cell>
          <cell r="H84" t="str">
            <v>204:233293</v>
          </cell>
          <cell r="I84">
            <v>42592.548182870371</v>
          </cell>
          <cell r="J84">
            <v>0</v>
          </cell>
          <cell r="K84" t="str">
            <v>4015/4016</v>
          </cell>
          <cell r="L84" t="str">
            <v>HAITHCOX</v>
          </cell>
          <cell r="M84">
            <v>2.6064814817800652E-2</v>
          </cell>
          <cell r="N84">
            <v>37.533333337632939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https://search-rtdc-monitor-bjffxe2xuh6vdkpspy63sjmuny.us-east-1.es.amazonaws.com/_plugin/kibana/#/discover/Steve-Slow-Train-Analysis-(2080s-and-2083s)?_g=(refreshInterval:(display:Off,section:0,value:0),time:(from:'2016-08-10 11:28:54-0600',mode:absolute,to:'2016-08-10 14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4" t="str">
            <v>N</v>
          </cell>
          <cell r="X84">
            <v>1</v>
          </cell>
          <cell r="Y84">
            <v>4.8399999999999999E-2</v>
          </cell>
          <cell r="Z84">
            <v>23.3293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0171-10</v>
          </cell>
          <cell r="AE8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85">
          <cell r="A85" t="str">
            <v>172-10</v>
          </cell>
          <cell r="B85">
            <v>4015</v>
          </cell>
          <cell r="C85" t="str">
            <v>DE.1.0.7.0</v>
          </cell>
          <cell r="D85" t="str">
            <v>204:232983</v>
          </cell>
          <cell r="E85">
            <v>42592.558356481481</v>
          </cell>
          <cell r="F85">
            <v>42592.559629629628</v>
          </cell>
          <cell r="G85">
            <v>1</v>
          </cell>
          <cell r="H85" t="str">
            <v>204:152</v>
          </cell>
          <cell r="I85">
            <v>42592.590289351851</v>
          </cell>
          <cell r="J85">
            <v>2</v>
          </cell>
          <cell r="K85" t="str">
            <v>4015/4016</v>
          </cell>
          <cell r="L85" t="str">
            <v>HAITHCOX</v>
          </cell>
          <cell r="M85">
            <v>3.0659722222480923E-2</v>
          </cell>
          <cell r="N85">
            <v>44.150000000372529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1.52E-2</v>
          </cell>
          <cell r="AA85">
            <v>23.283100000000001</v>
          </cell>
          <cell r="AB85">
            <v>156300</v>
          </cell>
          <cell r="AC85" t="str">
            <v>PERMANENT SPEED RESTRICTION</v>
          </cell>
          <cell r="AD85" t="str">
            <v>0172-10</v>
          </cell>
          <cell r="AE85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86">
          <cell r="A86" t="str">
            <v>173-10</v>
          </cell>
          <cell r="B86">
            <v>4029</v>
          </cell>
          <cell r="C86" t="str">
            <v>DE.1.0.7.0</v>
          </cell>
          <cell r="D86" t="str">
            <v>204:473</v>
          </cell>
          <cell r="E86">
            <v>42592.528171296297</v>
          </cell>
          <cell r="F86">
            <v>42592.529247685183</v>
          </cell>
          <cell r="G86">
            <v>1</v>
          </cell>
          <cell r="H86" t="str">
            <v>204:233299</v>
          </cell>
          <cell r="I86">
            <v>42592.556840277779</v>
          </cell>
          <cell r="J86">
            <v>0</v>
          </cell>
          <cell r="K86" t="str">
            <v>4029/4030</v>
          </cell>
          <cell r="L86" t="str">
            <v>SWANSON</v>
          </cell>
          <cell r="M86">
            <v>2.7592592596192844E-2</v>
          </cell>
          <cell r="N86">
            <v>39.733333338517696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https://search-rtdc-monitor-bjffxe2xuh6vdkpspy63sjmuny.us-east-1.es.amazonaws.com/_plugin/kibana/#/discover/Steve-Slow-Train-Analysis-(2080s-and-2083s)?_g=(refreshInterval:(display:Off,section:0,value:0),time:(from:'2016-08-10 11:40:34-0600',mode:absolute,to:'2016-08-10 14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6" t="str">
            <v>N</v>
          </cell>
          <cell r="X86">
            <v>1</v>
          </cell>
          <cell r="Y86">
            <v>4.7300000000000002E-2</v>
          </cell>
          <cell r="Z86">
            <v>23.329899999999999</v>
          </cell>
          <cell r="AA86">
            <v>23.282599999999999</v>
          </cell>
          <cell r="AB86" t="e">
            <v>#N/A</v>
          </cell>
          <cell r="AC86" t="e">
            <v>#N/A</v>
          </cell>
          <cell r="AD86" t="str">
            <v>0173-10</v>
          </cell>
          <cell r="AE8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87">
          <cell r="A87" t="str">
            <v>174-10</v>
          </cell>
          <cell r="B87">
            <v>4030</v>
          </cell>
          <cell r="C87" t="str">
            <v>DE.1.0.7.0</v>
          </cell>
          <cell r="D87" t="str">
            <v>204:232982</v>
          </cell>
          <cell r="E87">
            <v>42592.565879629627</v>
          </cell>
          <cell r="F87">
            <v>42592.566770833335</v>
          </cell>
          <cell r="G87">
            <v>1</v>
          </cell>
          <cell r="H87" t="str">
            <v>204:174</v>
          </cell>
          <cell r="I87">
            <v>42592.597592592596</v>
          </cell>
          <cell r="J87">
            <v>1</v>
          </cell>
          <cell r="K87" t="str">
            <v>4029/4030</v>
          </cell>
          <cell r="L87" t="str">
            <v>SWANSON</v>
          </cell>
          <cell r="M87">
            <v>3.0821759261016268E-2</v>
          </cell>
          <cell r="N87">
            <v>44.383333335863426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7" t="str">
            <v>N</v>
          </cell>
          <cell r="X87">
            <v>1</v>
          </cell>
          <cell r="Y87">
            <v>23.298200000000001</v>
          </cell>
          <cell r="Z87">
            <v>1.7399999999999999E-2</v>
          </cell>
          <cell r="AA87">
            <v>23.280800000000003</v>
          </cell>
          <cell r="AB87" t="e">
            <v>#N/A</v>
          </cell>
          <cell r="AC87" t="e">
            <v>#N/A</v>
          </cell>
          <cell r="AD87" t="str">
            <v>0174-10</v>
          </cell>
          <cell r="AE87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88">
          <cell r="A88" t="str">
            <v>175-10</v>
          </cell>
          <cell r="B88">
            <v>4018</v>
          </cell>
          <cell r="C88" t="str">
            <v>DE.1.0.7.0</v>
          </cell>
          <cell r="D88" t="str">
            <v>204:453</v>
          </cell>
          <cell r="E88">
            <v>42592.536817129629</v>
          </cell>
          <cell r="F88">
            <v>42592.537800925929</v>
          </cell>
          <cell r="G88">
            <v>1</v>
          </cell>
          <cell r="H88" t="str">
            <v>204:233327</v>
          </cell>
          <cell r="I88">
            <v>42592.5702662037</v>
          </cell>
          <cell r="J88">
            <v>0</v>
          </cell>
          <cell r="K88" t="str">
            <v>4017/4018</v>
          </cell>
          <cell r="L88" t="str">
            <v>BARTLETT</v>
          </cell>
          <cell r="M88">
            <v>3.2465277770825196E-2</v>
          </cell>
          <cell r="N88">
            <v>46.749999989988282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https://search-rtdc-monitor-bjffxe2xuh6vdkpspy63sjmuny.us-east-1.es.amazonaws.com/_plugin/kibana/#/discover/Steve-Slow-Train-Analysis-(2080s-and-2083s)?_g=(refreshInterval:(display:Off,section:0,value:0),time:(from:'2016-08-10 11:53:01-0600',mode:absolute,to:'2016-08-10 14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8" t="str">
            <v>N</v>
          </cell>
          <cell r="X88">
            <v>1</v>
          </cell>
          <cell r="Y88">
            <v>4.53E-2</v>
          </cell>
          <cell r="Z88">
            <v>23.332699999999999</v>
          </cell>
          <cell r="AA88">
            <v>23.287399999999998</v>
          </cell>
          <cell r="AB88" t="e">
            <v>#N/A</v>
          </cell>
          <cell r="AC88" t="e">
            <v>#N/A</v>
          </cell>
          <cell r="AD88" t="str">
            <v>0175-10</v>
          </cell>
          <cell r="AE8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89">
          <cell r="A89" t="str">
            <v>176-10</v>
          </cell>
          <cell r="B89">
            <v>4017</v>
          </cell>
          <cell r="C89" t="str">
            <v>DE.1.0.7.0</v>
          </cell>
          <cell r="D89" t="str">
            <v>204:233004</v>
          </cell>
          <cell r="E89">
            <v>42592.577488425923</v>
          </cell>
          <cell r="F89">
            <v>42592.578460648147</v>
          </cell>
          <cell r="G89">
            <v>1</v>
          </cell>
          <cell r="H89" t="str">
            <v>204:147</v>
          </cell>
          <cell r="I89">
            <v>42592.607592592591</v>
          </cell>
          <cell r="J89">
            <v>0</v>
          </cell>
          <cell r="K89" t="str">
            <v>4017/4018</v>
          </cell>
          <cell r="L89" t="str">
            <v>BARTLETT</v>
          </cell>
          <cell r="M89">
            <v>2.9131944444088731E-2</v>
          </cell>
          <cell r="N89">
            <v>41.949999999487773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https://search-rtdc-monitor-bjffxe2xuh6vdkpspy63sjmuny.us-east-1.es.amazonaws.com/_plugin/kibana/#/discover/Steve-Slow-Train-Analysis-(2080s-and-2083s)?_g=(refreshInterval:(display:Off,section:0,value:0),time:(from:'2016-08-10 12:51:35-0600',mode:absolute,to:'2016-08-10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9" t="str">
            <v>N</v>
          </cell>
          <cell r="X89">
            <v>1</v>
          </cell>
          <cell r="Y89">
            <v>23.3004</v>
          </cell>
          <cell r="Z89">
            <v>1.47E-2</v>
          </cell>
          <cell r="AA89">
            <v>23.285699999999999</v>
          </cell>
          <cell r="AB89" t="e">
            <v>#N/A</v>
          </cell>
          <cell r="AC89" t="e">
            <v>#N/A</v>
          </cell>
          <cell r="AD89" t="str">
            <v>0176-10</v>
          </cell>
          <cell r="AE89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90">
          <cell r="A90" t="str">
            <v>177-10</v>
          </cell>
          <cell r="B90">
            <v>4007</v>
          </cell>
          <cell r="C90" t="str">
            <v>DE.1.0.7.0</v>
          </cell>
          <cell r="D90" t="str">
            <v>204:447</v>
          </cell>
          <cell r="E90">
            <v>42592.550069444442</v>
          </cell>
          <cell r="F90">
            <v>42592.551435185182</v>
          </cell>
          <cell r="G90">
            <v>1</v>
          </cell>
          <cell r="H90" t="str">
            <v>204:233303</v>
          </cell>
          <cell r="I90">
            <v>42592.576724537037</v>
          </cell>
          <cell r="J90">
            <v>0</v>
          </cell>
          <cell r="K90" t="str">
            <v>4007/4008</v>
          </cell>
          <cell r="L90" t="str">
            <v>HELVIE</v>
          </cell>
          <cell r="M90">
            <v>2.5289351855462883E-2</v>
          </cell>
          <cell r="N90">
            <v>36.416666671866551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https://search-rtdc-monitor-bjffxe2xuh6vdkpspy63sjmuny.us-east-1.es.amazonaws.com/_plugin/kibana/#/discover/Steve-Slow-Train-Analysis-(2080s-and-2083s)?_g=(refreshInterval:(display:Off,section:0,value:0),time:(from:'2016-08-10 12:12:06-0600',mode:absolute,to:'2016-08-10 14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0" t="str">
            <v>N</v>
          </cell>
          <cell r="X90">
            <v>1</v>
          </cell>
          <cell r="Y90">
            <v>4.4699999999999997E-2</v>
          </cell>
          <cell r="Z90">
            <v>23.330300000000001</v>
          </cell>
          <cell r="AA90">
            <v>23.285600000000002</v>
          </cell>
          <cell r="AB90" t="e">
            <v>#N/A</v>
          </cell>
          <cell r="AC90" t="e">
            <v>#N/A</v>
          </cell>
          <cell r="AD90" t="str">
            <v>0177-10</v>
          </cell>
          <cell r="AE9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91">
          <cell r="A91" t="str">
            <v>178-10</v>
          </cell>
          <cell r="B91">
            <v>4008</v>
          </cell>
          <cell r="C91" t="str">
            <v>DE.1.0.7.0</v>
          </cell>
          <cell r="D91" t="str">
            <v>204:232971</v>
          </cell>
          <cell r="E91">
            <v>42592.587743055556</v>
          </cell>
          <cell r="F91">
            <v>42592.588750000003</v>
          </cell>
          <cell r="G91">
            <v>1</v>
          </cell>
          <cell r="H91" t="str">
            <v>204:145</v>
          </cell>
          <cell r="I91">
            <v>42592.650636574072</v>
          </cell>
          <cell r="J91">
            <v>0</v>
          </cell>
          <cell r="K91" t="str">
            <v>4007/4008</v>
          </cell>
          <cell r="L91" t="str">
            <v>HELVIE</v>
          </cell>
          <cell r="M91">
            <v>6.1886574068921618E-2</v>
          </cell>
          <cell r="N91">
            <v>89.11666665924713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https://search-rtdc-monitor-bjffxe2xuh6vdkpspy63sjmuny.us-east-1.es.amazonaws.com/_plugin/kibana/#/discover/Steve-Slow-Train-Analysis-(2080s-and-2083s)?_g=(refreshInterval:(display:Off,section:0,value:0),time:(from:'2016-08-10 13:06:21-0600',mode:absolute,to:'2016-08-10 16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1" t="str">
            <v>N</v>
          </cell>
          <cell r="X91">
            <v>1</v>
          </cell>
          <cell r="Y91">
            <v>23.2971</v>
          </cell>
          <cell r="Z91">
            <v>1.4500000000000001E-2</v>
          </cell>
          <cell r="AA91">
            <v>23.282599999999999</v>
          </cell>
          <cell r="AB91" t="e">
            <v>#N/A</v>
          </cell>
          <cell r="AC91" t="e">
            <v>#N/A</v>
          </cell>
          <cell r="AD91" t="str">
            <v>0178-10</v>
          </cell>
          <cell r="AE91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92">
          <cell r="A92" t="str">
            <v>179-10</v>
          </cell>
          <cell r="B92">
            <v>4040</v>
          </cell>
          <cell r="C92" t="str">
            <v>DE.1.0.7.0</v>
          </cell>
          <cell r="D92" t="str">
            <v>204:471</v>
          </cell>
          <cell r="E92">
            <v>42592.559571759259</v>
          </cell>
          <cell r="F92">
            <v>42592.560810185183</v>
          </cell>
          <cell r="G92">
            <v>1</v>
          </cell>
          <cell r="H92" t="str">
            <v>204:233295</v>
          </cell>
          <cell r="I92">
            <v>42592.588449074072</v>
          </cell>
          <cell r="J92">
            <v>0</v>
          </cell>
          <cell r="K92" t="str">
            <v>4039/4040</v>
          </cell>
          <cell r="L92" t="str">
            <v>DE LA ROSA</v>
          </cell>
          <cell r="M92">
            <v>2.7638888888759539E-2</v>
          </cell>
          <cell r="N92">
            <v>39.799999999813735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https://search-rtdc-monitor-bjffxe2xuh6vdkpspy63sjmuny.us-east-1.es.amazonaws.com/_plugin/kibana/#/discover/Steve-Slow-Train-Analysis-(2080s-and-2083s)?_g=(refreshInterval:(display:Off,section:0,value:0),time:(from:'2016-08-10 12:25:47-0600',mode:absolute,to:'2016-08-10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2" t="str">
            <v>N</v>
          </cell>
          <cell r="X92">
            <v>1</v>
          </cell>
          <cell r="Y92">
            <v>4.7100000000000003E-2</v>
          </cell>
          <cell r="Z92">
            <v>23.329499999999999</v>
          </cell>
          <cell r="AA92">
            <v>23.282399999999999</v>
          </cell>
          <cell r="AB92" t="e">
            <v>#N/A</v>
          </cell>
          <cell r="AC92" t="e">
            <v>#N/A</v>
          </cell>
          <cell r="AD92" t="str">
            <v>0179-10</v>
          </cell>
          <cell r="AE92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93">
          <cell r="A93" t="str">
            <v>180-10</v>
          </cell>
          <cell r="B93">
            <v>4039</v>
          </cell>
          <cell r="C93" t="str">
            <v>DE.1.0.7.0</v>
          </cell>
          <cell r="D93" t="str">
            <v>204:232981</v>
          </cell>
          <cell r="E93">
            <v>42592.597071759257</v>
          </cell>
          <cell r="F93">
            <v>42592.598171296297</v>
          </cell>
          <cell r="G93">
            <v>1</v>
          </cell>
          <cell r="H93" t="str">
            <v>204:202982</v>
          </cell>
          <cell r="I93">
            <v>42592.649988425925</v>
          </cell>
          <cell r="J93">
            <v>1</v>
          </cell>
          <cell r="K93" t="str">
            <v>4039/4040</v>
          </cell>
          <cell r="L93" t="str">
            <v>DE LA ROSA</v>
          </cell>
          <cell r="M93">
            <v>5.1817129628034309E-2</v>
          </cell>
          <cell r="P93">
            <v>74.616666664369404</v>
          </cell>
          <cell r="R93" t="str">
            <v>OCS Power Outage between 61st and Pena</v>
          </cell>
          <cell r="S93">
            <v>0</v>
          </cell>
          <cell r="T93" t="str">
            <v>Southbound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3" t="str">
            <v>Y</v>
          </cell>
          <cell r="X93">
            <v>1</v>
          </cell>
          <cell r="Y93">
            <v>23.298100000000002</v>
          </cell>
          <cell r="Z93">
            <v>20.298200000000001</v>
          </cell>
          <cell r="AA93">
            <v>2.9999000000000002</v>
          </cell>
          <cell r="AB93">
            <v>204340</v>
          </cell>
          <cell r="AC93" t="str">
            <v>SIGNAL</v>
          </cell>
          <cell r="AD93" t="str">
            <v>0180-10</v>
          </cell>
          <cell r="AE93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94">
          <cell r="A94" t="str">
            <v>181-10</v>
          </cell>
          <cell r="B94">
            <v>4020</v>
          </cell>
          <cell r="C94" t="str">
            <v>DE.1.0.7.0</v>
          </cell>
          <cell r="D94" t="str">
            <v>204:493</v>
          </cell>
          <cell r="E94">
            <v>42592.571331018517</v>
          </cell>
          <cell r="F94">
            <v>42592.572268518517</v>
          </cell>
          <cell r="G94">
            <v>1</v>
          </cell>
          <cell r="H94" t="str">
            <v>204:233303</v>
          </cell>
          <cell r="I94">
            <v>42592.599618055552</v>
          </cell>
          <cell r="J94">
            <v>0</v>
          </cell>
          <cell r="K94" t="str">
            <v>4019/4020</v>
          </cell>
          <cell r="L94" t="str">
            <v>YOUNG</v>
          </cell>
          <cell r="M94">
            <v>2.7349537034751847E-2</v>
          </cell>
          <cell r="N94">
            <v>39.38333333004266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https://search-rtdc-monitor-bjffxe2xuh6vdkpspy63sjmuny.us-east-1.es.amazonaws.com/_plugin/kibana/#/discover/Steve-Slow-Train-Analysis-(2080s-and-2083s)?_g=(refreshInterval:(display:Off,section:0,value:0),time:(from:'2016-08-10 12:42:43-0600',mode:absolute,to:'2016-08-10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4" t="str">
            <v>N</v>
          </cell>
          <cell r="X94">
            <v>1</v>
          </cell>
          <cell r="Y94">
            <v>4.9299999999999997E-2</v>
          </cell>
          <cell r="Z94">
            <v>23.330300000000001</v>
          </cell>
          <cell r="AA94">
            <v>23.281000000000002</v>
          </cell>
          <cell r="AB94" t="e">
            <v>#N/A</v>
          </cell>
          <cell r="AC94" t="e">
            <v>#N/A</v>
          </cell>
          <cell r="AD94" t="str">
            <v>0181-10</v>
          </cell>
          <cell r="AE94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95">
          <cell r="A95" t="str">
            <v>182-10</v>
          </cell>
          <cell r="B95">
            <v>4019</v>
          </cell>
          <cell r="C95" t="str">
            <v>DE.1.0.7.0</v>
          </cell>
          <cell r="D95" t="str">
            <v>204:232994</v>
          </cell>
          <cell r="E95">
            <v>42592.608680555553</v>
          </cell>
          <cell r="F95">
            <v>42592.610023148147</v>
          </cell>
          <cell r="G95">
            <v>1</v>
          </cell>
          <cell r="H95" t="str">
            <v>204:232990</v>
          </cell>
          <cell r="I95">
            <v>42592.797060185185</v>
          </cell>
          <cell r="J95">
            <v>0</v>
          </cell>
          <cell r="K95" t="str">
            <v>4019/4020</v>
          </cell>
          <cell r="L95" t="str">
            <v>YOUNG</v>
          </cell>
          <cell r="M95">
            <v>0.18703703703795327</v>
          </cell>
          <cell r="P95">
            <v>269.33333333465271</v>
          </cell>
          <cell r="R95" t="str">
            <v>OCS Power Outage between 61st and Pena</v>
          </cell>
          <cell r="S95">
            <v>0</v>
          </cell>
          <cell r="T95" t="str">
            <v>Southbound</v>
          </cell>
          <cell r="U95">
            <v>0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https://search-rtdc-monitor-bjffxe2xuh6vdkpspy63sjmuny.us-east-1.es.amazonaws.com/_plugin/kibana/#/discover/Steve-Slow-Train-Analysis-(2080s-and-2083s)?_g=(refreshInterval:(display:Off,section:0,value:0),time:(from:'2016-08-10 13:36:30-0600',mode:absolute,to:'2016-08-10 20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5" t="str">
            <v>Y</v>
          </cell>
          <cell r="X95">
            <v>1</v>
          </cell>
          <cell r="Y95">
            <v>23.299399999999999</v>
          </cell>
          <cell r="Z95">
            <v>23.298999999999999</v>
          </cell>
          <cell r="AA95">
            <v>3.9999999999906777E-4</v>
          </cell>
          <cell r="AB95" t="e">
            <v>#N/A</v>
          </cell>
          <cell r="AC95" t="e">
            <v>#N/A</v>
          </cell>
          <cell r="AD95" t="str">
            <v>0182-10</v>
          </cell>
          <cell r="AE95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96">
          <cell r="A96" t="str">
            <v>183-10</v>
          </cell>
          <cell r="B96">
            <v>4009</v>
          </cell>
          <cell r="C96" t="str">
            <v>DE.1.0.7.0</v>
          </cell>
          <cell r="D96" t="str">
            <v>204:460</v>
          </cell>
          <cell r="E96">
            <v>42592.579108796293</v>
          </cell>
          <cell r="F96">
            <v>42592.580104166664</v>
          </cell>
          <cell r="G96">
            <v>1</v>
          </cell>
          <cell r="H96" t="str">
            <v>204:232969</v>
          </cell>
          <cell r="I96">
            <v>42592.65724537037</v>
          </cell>
          <cell r="J96">
            <v>1</v>
          </cell>
          <cell r="K96" t="str">
            <v>4009/4010</v>
          </cell>
          <cell r="L96" t="str">
            <v>BRUDER</v>
          </cell>
          <cell r="M96">
            <v>7.7141203706560191E-2</v>
          </cell>
          <cell r="N96">
            <v>111.08333333744667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4.5999999999999999E-2</v>
          </cell>
          <cell r="Z96">
            <v>23.296900000000001</v>
          </cell>
          <cell r="AA96">
            <v>23.250900000000001</v>
          </cell>
          <cell r="AB96">
            <v>190834</v>
          </cell>
          <cell r="AC96" t="str">
            <v>SWITCH UNKNOWN</v>
          </cell>
          <cell r="AD96" t="str">
            <v>0183-10</v>
          </cell>
          <cell r="AE9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97">
          <cell r="A97" t="str">
            <v>184-10</v>
          </cell>
          <cell r="P97">
            <v>1</v>
          </cell>
          <cell r="R97" t="str">
            <v>OCS Power Outage between 61st and Pena</v>
          </cell>
          <cell r="S97">
            <v>0</v>
          </cell>
          <cell r="T97" t="str">
            <v>Southbound</v>
          </cell>
          <cell r="U97">
            <v>0</v>
          </cell>
          <cell r="V97" t="e">
            <v>#VALUE!</v>
          </cell>
          <cell r="W97" t="e">
            <v>#VALUE!</v>
          </cell>
          <cell r="X97">
            <v>1</v>
          </cell>
          <cell r="Y97" t="e">
            <v>#VALUE!</v>
          </cell>
          <cell r="Z97" t="e">
            <v>#VALUE!</v>
          </cell>
          <cell r="AA97" t="e">
            <v>#VALUE!</v>
          </cell>
          <cell r="AD97" t="str">
            <v>0184-10</v>
          </cell>
        </row>
        <row r="98">
          <cell r="A98" t="str">
            <v>185-10</v>
          </cell>
          <cell r="B98">
            <v>4016</v>
          </cell>
          <cell r="C98" t="str">
            <v>DE.1.0.7.0</v>
          </cell>
          <cell r="D98" t="str">
            <v>204:453</v>
          </cell>
          <cell r="E98">
            <v>42592.591770833336</v>
          </cell>
          <cell r="F98">
            <v>42592.594131944446</v>
          </cell>
          <cell r="G98">
            <v>3</v>
          </cell>
          <cell r="H98" t="str">
            <v>204:154429</v>
          </cell>
          <cell r="I98">
            <v>42592.625960648147</v>
          </cell>
          <cell r="J98">
            <v>0</v>
          </cell>
          <cell r="K98" t="str">
            <v>4015/4016</v>
          </cell>
          <cell r="L98" t="str">
            <v>HAITHCOX</v>
          </cell>
          <cell r="M98">
            <v>3.1828703700739425E-2</v>
          </cell>
          <cell r="P98">
            <v>45.833333329064772</v>
          </cell>
          <cell r="R98" t="str">
            <v>OCS Power Outage between 61st and Pena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https://search-rtdc-monitor-bjffxe2xuh6vdkpspy63sjmuny.us-east-1.es.amazonaws.com/_plugin/kibana/#/discover/Steve-Slow-Train-Analysis-(2080s-and-2083s)?_g=(refreshInterval:(display:Off,section:0,value:0),time:(from:'2016-08-10 13:12:09-0600',mode:absolute,to:'2016-08-10 16:01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8" t="str">
            <v>Y</v>
          </cell>
          <cell r="X98">
            <v>1</v>
          </cell>
          <cell r="Y98">
            <v>4.53E-2</v>
          </cell>
          <cell r="Z98">
            <v>15.4429</v>
          </cell>
          <cell r="AA98">
            <v>15.397600000000001</v>
          </cell>
          <cell r="AB98" t="e">
            <v>#N/A</v>
          </cell>
          <cell r="AC98" t="e">
            <v>#N/A</v>
          </cell>
          <cell r="AD98" t="str">
            <v>0185-10</v>
          </cell>
          <cell r="AE98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99">
          <cell r="A99" t="str">
            <v>186-10</v>
          </cell>
          <cell r="B99">
            <v>4015</v>
          </cell>
          <cell r="C99" t="str">
            <v>DE.1.0.7.0</v>
          </cell>
          <cell r="D99" t="str">
            <v>204:154165</v>
          </cell>
          <cell r="E99">
            <v>42592.628761574073</v>
          </cell>
          <cell r="F99">
            <v>42592.629560185182</v>
          </cell>
          <cell r="G99">
            <v>1</v>
          </cell>
          <cell r="H99" t="str">
            <v>204:145</v>
          </cell>
          <cell r="I99">
            <v>42592.65965277778</v>
          </cell>
          <cell r="J99">
            <v>0</v>
          </cell>
          <cell r="K99" t="str">
            <v>4015/4016</v>
          </cell>
          <cell r="L99" t="str">
            <v>HAITHCOX</v>
          </cell>
          <cell r="M99">
            <v>3.0092592598521151E-2</v>
          </cell>
          <cell r="P99">
            <v>43.333333341870457</v>
          </cell>
          <cell r="R99" t="str">
            <v>OCS Power Outage between 61st and Pena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https://search-rtdc-monitor-bjffxe2xuh6vdkpspy63sjmuny.us-east-1.es.amazonaws.com/_plugin/kibana/#/discover/Steve-Slow-Train-Analysis-(2080s-and-2083s)?_g=(refreshInterval:(display:Off,section:0,value:0),time:(from:'2016-08-10 14:05:25-0600',mode:absolute,to:'2016-08-10 16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9" t="str">
            <v>Y</v>
          </cell>
          <cell r="X99">
            <v>1</v>
          </cell>
          <cell r="Y99">
            <v>15.416499999999999</v>
          </cell>
          <cell r="Z99">
            <v>1.4500000000000001E-2</v>
          </cell>
          <cell r="AA99">
            <v>15.401999999999999</v>
          </cell>
          <cell r="AB99" t="e">
            <v>#N/A</v>
          </cell>
          <cell r="AC99" t="e">
            <v>#N/A</v>
          </cell>
          <cell r="AD99" t="str">
            <v>0186-10</v>
          </cell>
          <cell r="AE99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00">
          <cell r="A100" t="str">
            <v>187-10</v>
          </cell>
          <cell r="B100">
            <v>4029</v>
          </cell>
          <cell r="C100" t="str">
            <v>DE.1.0.7.0</v>
          </cell>
          <cell r="D100" t="str">
            <v>204:488</v>
          </cell>
          <cell r="E100">
            <v>42592.599629629629</v>
          </cell>
          <cell r="F100">
            <v>42592.600590277776</v>
          </cell>
          <cell r="G100">
            <v>1</v>
          </cell>
          <cell r="H100" t="str">
            <v>204:19130</v>
          </cell>
          <cell r="I100">
            <v>42592.618043981478</v>
          </cell>
          <cell r="J100">
            <v>0</v>
          </cell>
          <cell r="K100" t="str">
            <v>4029/4030</v>
          </cell>
          <cell r="L100" t="str">
            <v>SWANSON</v>
          </cell>
          <cell r="M100">
            <v>1.7453703701903578E-2</v>
          </cell>
          <cell r="P100">
            <v>25.133333330741152</v>
          </cell>
          <cell r="R100" t="str">
            <v>OCS Power Outage between 61st and Pena</v>
          </cell>
          <cell r="S100">
            <v>0</v>
          </cell>
          <cell r="T100" t="str">
            <v>NorthBound</v>
          </cell>
          <cell r="U100">
            <v>0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https://search-rtdc-monitor-bjffxe2xuh6vdkpspy63sjmuny.us-east-1.es.amazonaws.com/_plugin/kibana/#/discover/Steve-Slow-Train-Analysis-(2080s-and-2083s)?_g=(refreshInterval:(display:Off,section:0,value:0),time:(from:'2016-08-10 13:23:28-0600',mode:absolute,to:'2016-08-10 15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0" t="str">
            <v>Y</v>
          </cell>
          <cell r="X100">
            <v>1</v>
          </cell>
          <cell r="Y100">
            <v>4.8800000000000003E-2</v>
          </cell>
          <cell r="Z100">
            <v>1.913</v>
          </cell>
          <cell r="AA100">
            <v>1.8642000000000001</v>
          </cell>
          <cell r="AB100" t="e">
            <v>#N/A</v>
          </cell>
          <cell r="AC100" t="e">
            <v>#N/A</v>
          </cell>
          <cell r="AD100" t="str">
            <v>0187-10</v>
          </cell>
          <cell r="AE100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1">
          <cell r="A101" t="str">
            <v>188-10</v>
          </cell>
          <cell r="P101">
            <v>1</v>
          </cell>
          <cell r="R101" t="str">
            <v>OCS Power Outage between 61st and Pena</v>
          </cell>
          <cell r="S101">
            <v>0</v>
          </cell>
          <cell r="T101" t="str">
            <v>Southbound</v>
          </cell>
          <cell r="U101">
            <v>0</v>
          </cell>
          <cell r="V101" t="e">
            <v>#VALUE!</v>
          </cell>
          <cell r="W101" t="e">
            <v>#VALUE!</v>
          </cell>
          <cell r="X101">
            <v>1</v>
          </cell>
          <cell r="Y101" t="e">
            <v>#VALUE!</v>
          </cell>
          <cell r="Z101" t="e">
            <v>#VALUE!</v>
          </cell>
          <cell r="AA101" t="e">
            <v>#VALUE!</v>
          </cell>
          <cell r="AD101" t="str">
            <v>0188-10</v>
          </cell>
        </row>
        <row r="102">
          <cell r="A102" t="str">
            <v>189-10</v>
          </cell>
          <cell r="B102">
            <v>4018</v>
          </cell>
          <cell r="C102" t="str">
            <v>DE.1.0.7.0</v>
          </cell>
          <cell r="D102" t="str">
            <v>204:457</v>
          </cell>
          <cell r="E102">
            <v>42592.610185185185</v>
          </cell>
          <cell r="F102">
            <v>42592.611585648148</v>
          </cell>
          <cell r="G102">
            <v>2</v>
          </cell>
          <cell r="H102" t="str">
            <v>204:457</v>
          </cell>
          <cell r="I102">
            <v>42592.621689814812</v>
          </cell>
          <cell r="J102">
            <v>0</v>
          </cell>
          <cell r="K102" t="str">
            <v>4017/4018</v>
          </cell>
          <cell r="L102" t="str">
            <v>BARTLETT</v>
          </cell>
          <cell r="M102">
            <v>1.0104166663950309E-2</v>
          </cell>
          <cell r="P102">
            <v>14.549999996088445</v>
          </cell>
          <cell r="R102" t="str">
            <v>OCS Power Outage between 61st and Pena</v>
          </cell>
          <cell r="S102">
            <v>0</v>
          </cell>
          <cell r="T102" t="str">
            <v>NorthBound</v>
          </cell>
          <cell r="U102">
            <v>0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https://search-rtdc-monitor-bjffxe2xuh6vdkpspy63sjmuny.us-east-1.es.amazonaws.com/_plugin/kibana/#/discover/Steve-Slow-Train-Analysis-(2080s-and-2083s)?_g=(refreshInterval:(display:Off,section:0,value:0),time:(from:'2016-08-10 13:38:40-0600',mode:absolute,to:'2016-08-10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2" t="str">
            <v>Y</v>
          </cell>
          <cell r="X102">
            <v>1</v>
          </cell>
          <cell r="Y102">
            <v>4.5699999999999998E-2</v>
          </cell>
          <cell r="Z102">
            <v>4.5699999999999998E-2</v>
          </cell>
          <cell r="AA102">
            <v>0</v>
          </cell>
          <cell r="AB102" t="e">
            <v>#N/A</v>
          </cell>
          <cell r="AC102" t="e">
            <v>#N/A</v>
          </cell>
          <cell r="AD102" t="str">
            <v>0189-10</v>
          </cell>
          <cell r="AE102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03">
          <cell r="A103" t="str">
            <v>190-10</v>
          </cell>
          <cell r="P103">
            <v>1</v>
          </cell>
          <cell r="R103" t="str">
            <v>OCS Power Outage between 61st and Pena</v>
          </cell>
          <cell r="S103">
            <v>0</v>
          </cell>
          <cell r="T103" t="str">
            <v>Southbound</v>
          </cell>
          <cell r="U103">
            <v>0</v>
          </cell>
          <cell r="V103" t="e">
            <v>#VALUE!</v>
          </cell>
          <cell r="W103" t="e">
            <v>#VALUE!</v>
          </cell>
          <cell r="X103">
            <v>1</v>
          </cell>
          <cell r="Y103" t="e">
            <v>#VALUE!</v>
          </cell>
          <cell r="Z103" t="e">
            <v>#VALUE!</v>
          </cell>
          <cell r="AA103" t="e">
            <v>#VALUE!</v>
          </cell>
          <cell r="AD103" t="str">
            <v>0190-10</v>
          </cell>
        </row>
        <row r="104">
          <cell r="A104" t="str">
            <v>191-10</v>
          </cell>
          <cell r="P104">
            <v>1</v>
          </cell>
          <cell r="R104" t="str">
            <v>OCS Power Outage between 61st and Pena</v>
          </cell>
          <cell r="S104">
            <v>0</v>
          </cell>
          <cell r="T104" t="str">
            <v>NorthBound</v>
          </cell>
          <cell r="U104">
            <v>0</v>
          </cell>
          <cell r="V104" t="e">
            <v>#VALUE!</v>
          </cell>
          <cell r="W104" t="e">
            <v>#VALUE!</v>
          </cell>
          <cell r="X104">
            <v>1</v>
          </cell>
          <cell r="Y104" t="e">
            <v>#VALUE!</v>
          </cell>
          <cell r="Z104" t="e">
            <v>#VALUE!</v>
          </cell>
          <cell r="AA104" t="e">
            <v>#VALUE!</v>
          </cell>
          <cell r="AD104" t="str">
            <v>0191-10</v>
          </cell>
        </row>
        <row r="105">
          <cell r="A105" t="str">
            <v>192-10</v>
          </cell>
          <cell r="P105">
            <v>1</v>
          </cell>
          <cell r="R105" t="str">
            <v>OCS Power Outage between 61st and Pena</v>
          </cell>
          <cell r="S105">
            <v>0</v>
          </cell>
          <cell r="T105" t="str">
            <v>Southbound</v>
          </cell>
          <cell r="U105">
            <v>0</v>
          </cell>
          <cell r="V105" t="e">
            <v>#VALUE!</v>
          </cell>
          <cell r="W105" t="e">
            <v>#VALUE!</v>
          </cell>
          <cell r="X105">
            <v>1</v>
          </cell>
          <cell r="Y105" t="e">
            <v>#VALUE!</v>
          </cell>
          <cell r="Z105" t="e">
            <v>#VALUE!</v>
          </cell>
          <cell r="AA105" t="e">
            <v>#VALUE!</v>
          </cell>
          <cell r="AD105" t="str">
            <v>0192-10</v>
          </cell>
        </row>
        <row r="106">
          <cell r="A106" t="str">
            <v>193-10</v>
          </cell>
          <cell r="B106">
            <v>4029</v>
          </cell>
          <cell r="C106" t="str">
            <v>DE.1.0.7.0</v>
          </cell>
          <cell r="D106" t="str">
            <v>204:788</v>
          </cell>
          <cell r="E106">
            <v>42592.631261574075</v>
          </cell>
          <cell r="F106">
            <v>42592.632557870369</v>
          </cell>
          <cell r="G106">
            <v>1</v>
          </cell>
          <cell r="H106" t="str">
            <v>204:154506</v>
          </cell>
          <cell r="I106">
            <v>42592.655173611114</v>
          </cell>
          <cell r="J106">
            <v>0</v>
          </cell>
          <cell r="K106" t="str">
            <v>4029/4030</v>
          </cell>
          <cell r="L106" t="str">
            <v>BARTLETT</v>
          </cell>
          <cell r="M106">
            <v>2.2615740745095536E-2</v>
          </cell>
          <cell r="P106">
            <v>1</v>
          </cell>
          <cell r="R106" t="str">
            <v>OCS Power Outage between 61st and Pena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https://search-rtdc-monitor-bjffxe2xuh6vdkpspy63sjmuny.us-east-1.es.amazonaws.com/_plugin/kibana/#/discover/Steve-Slow-Train-Analysis-(2080s-and-2083s)?_g=(refreshInterval:(display:Off,section:0,value:0),time:(from:'2016-08-10 14:09:01-0600',mode:absolute,to:'2016-08-10 16:43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Y</v>
          </cell>
          <cell r="X106">
            <v>1</v>
          </cell>
          <cell r="Y106">
            <v>7.8799999999999995E-2</v>
          </cell>
          <cell r="Z106">
            <v>15.4506</v>
          </cell>
          <cell r="AA106">
            <v>15.3718</v>
          </cell>
          <cell r="AB106" t="e">
            <v>#N/A</v>
          </cell>
          <cell r="AC106" t="e">
            <v>#N/A</v>
          </cell>
          <cell r="AD106" t="str">
            <v>0193-10</v>
          </cell>
          <cell r="AE10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7">
          <cell r="A107" t="str">
            <v>194-10</v>
          </cell>
          <cell r="B107">
            <v>4017</v>
          </cell>
          <cell r="C107" t="str">
            <v>DE.1.0.7.0</v>
          </cell>
          <cell r="D107" t="str">
            <v>204:153960</v>
          </cell>
          <cell r="E107">
            <v>42592.659039351849</v>
          </cell>
          <cell r="F107">
            <v>42592.660254629627</v>
          </cell>
          <cell r="G107">
            <v>1</v>
          </cell>
          <cell r="H107" t="str">
            <v>204:150702</v>
          </cell>
          <cell r="I107">
            <v>42592.662372685183</v>
          </cell>
          <cell r="J107">
            <v>0</v>
          </cell>
          <cell r="K107" t="str">
            <v>4017/4018</v>
          </cell>
          <cell r="L107" t="str">
            <v>BARTLETT</v>
          </cell>
          <cell r="M107">
            <v>2.118055555911269E-3</v>
          </cell>
          <cell r="P107">
            <v>1</v>
          </cell>
          <cell r="R107" t="str">
            <v>OCS Power Outage between 61st and Pena</v>
          </cell>
          <cell r="S107">
            <v>0</v>
          </cell>
          <cell r="T107" t="str">
            <v>Southbound</v>
          </cell>
          <cell r="U107">
            <v>0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https://search-rtdc-monitor-bjffxe2xuh6vdkpspy63sjmuny.us-east-1.es.amazonaws.com/_plugin/kibana/#/discover/Steve-Slow-Train-Analysis-(2080s-and-2083s)?_g=(refreshInterval:(display:Off,section:0,value:0),time:(from:'2016-08-10 14:49:01-0600',mode:absolute,to:'2016-08-10 16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7" t="str">
            <v>Y</v>
          </cell>
          <cell r="X107">
            <v>1</v>
          </cell>
          <cell r="Y107">
            <v>15.396000000000001</v>
          </cell>
          <cell r="Z107">
            <v>15.0702</v>
          </cell>
          <cell r="AA107">
            <v>0.32580000000000098</v>
          </cell>
          <cell r="AB107" t="e">
            <v>#N/A</v>
          </cell>
          <cell r="AC107" t="e">
            <v>#N/A</v>
          </cell>
          <cell r="AD107" t="str">
            <v>0194-10</v>
          </cell>
          <cell r="AE10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08">
          <cell r="A108" t="str">
            <v>195-10</v>
          </cell>
          <cell r="B108">
            <v>4007</v>
          </cell>
          <cell r="C108" t="str">
            <v>DE.1.0.7.0</v>
          </cell>
          <cell r="D108" t="str">
            <v>204:497</v>
          </cell>
          <cell r="E108">
            <v>42592.653136574074</v>
          </cell>
          <cell r="F108">
            <v>42592.654351851852</v>
          </cell>
          <cell r="G108">
            <v>1</v>
          </cell>
          <cell r="H108" t="str">
            <v>204:155011</v>
          </cell>
          <cell r="I108">
            <v>42592.682453703703</v>
          </cell>
          <cell r="J108">
            <v>0</v>
          </cell>
          <cell r="K108" t="str">
            <v>4007/4008</v>
          </cell>
          <cell r="L108" t="str">
            <v>YOUNG</v>
          </cell>
          <cell r="M108">
            <v>2.810185185080627E-2</v>
          </cell>
          <cell r="P108">
            <v>1</v>
          </cell>
          <cell r="R108" t="str">
            <v>OCS Power Outage between 61st and Pena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https://search-rtdc-monitor-bjffxe2xuh6vdkpspy63sjmuny.us-east-1.es.amazonaws.com/_plugin/kibana/#/discover/Steve-Slow-Train-Analysis-(2080s-and-2083s)?_g=(refreshInterval:(display:Off,section:0,value:0),time:(from:'2016-08-10 14:40:31-0600',mode:absolute,to:'2016-08-10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8" t="str">
            <v>Y</v>
          </cell>
          <cell r="X108">
            <v>1</v>
          </cell>
          <cell r="Y108">
            <v>4.9700000000000001E-2</v>
          </cell>
          <cell r="Z108">
            <v>15.501099999999999</v>
          </cell>
          <cell r="AA108">
            <v>15.4514</v>
          </cell>
          <cell r="AB108" t="e">
            <v>#N/A</v>
          </cell>
          <cell r="AC108" t="e">
            <v>#N/A</v>
          </cell>
          <cell r="AD108" t="str">
            <v>0195-10</v>
          </cell>
          <cell r="AE108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09">
          <cell r="A109" t="str">
            <v>196-10</v>
          </cell>
          <cell r="B109">
            <v>4008</v>
          </cell>
          <cell r="C109" t="str">
            <v>DE.1.0.7.0</v>
          </cell>
          <cell r="D109" t="str">
            <v>204:154021</v>
          </cell>
          <cell r="E109">
            <v>42592.685925925929</v>
          </cell>
          <cell r="F109">
            <v>42592.686921296299</v>
          </cell>
          <cell r="G109">
            <v>1</v>
          </cell>
          <cell r="H109" t="str">
            <v>204:147</v>
          </cell>
          <cell r="I109">
            <v>42592.709560185183</v>
          </cell>
          <cell r="J109">
            <v>0</v>
          </cell>
          <cell r="K109" t="str">
            <v>4007/4008</v>
          </cell>
          <cell r="L109" t="str">
            <v>HELVIE</v>
          </cell>
          <cell r="M109">
            <v>2.2638888884102926E-2</v>
          </cell>
          <cell r="P109">
            <v>1</v>
          </cell>
          <cell r="R109" t="str">
            <v>OCS Power Outage between 61st and Pena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https://search-rtdc-monitor-bjffxe2xuh6vdkpspy63sjmuny.us-east-1.es.amazonaws.com/_plugin/kibana/#/discover/Steve-Slow-Train-Analysis-(2080s-and-2083s)?_g=(refreshInterval:(display:Off,section:0,value:0),time:(from:'2016-08-10 15:27:44-0600',mode:absolute,to:'2016-08-10 18:01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9" t="str">
            <v>Y</v>
          </cell>
          <cell r="X109">
            <v>1</v>
          </cell>
          <cell r="Y109">
            <v>15.402100000000001</v>
          </cell>
          <cell r="Z109">
            <v>1.47E-2</v>
          </cell>
          <cell r="AA109">
            <v>15.387400000000001</v>
          </cell>
          <cell r="AB109" t="e">
            <v>#N/A</v>
          </cell>
          <cell r="AC109" t="e">
            <v>#N/A</v>
          </cell>
          <cell r="AD109" t="str">
            <v>0196-10</v>
          </cell>
          <cell r="AE10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10">
          <cell r="A110" t="str">
            <v>197-10</v>
          </cell>
          <cell r="B110">
            <v>4016</v>
          </cell>
          <cell r="C110" t="str">
            <v>DE.1.0.7.0</v>
          </cell>
          <cell r="D110" t="str">
            <v>204:438</v>
          </cell>
          <cell r="E110">
            <v>42592.66097222222</v>
          </cell>
          <cell r="F110">
            <v>42592.66201388889</v>
          </cell>
          <cell r="G110">
            <v>1</v>
          </cell>
          <cell r="H110" t="str">
            <v>204:154509</v>
          </cell>
          <cell r="I110">
            <v>42592.689513888887</v>
          </cell>
          <cell r="J110">
            <v>0</v>
          </cell>
          <cell r="K110" t="str">
            <v>4015/4016</v>
          </cell>
          <cell r="L110" t="str">
            <v>HAITHCOX</v>
          </cell>
          <cell r="M110">
            <v>2.749999999650754E-2</v>
          </cell>
          <cell r="P110">
            <v>1</v>
          </cell>
          <cell r="R110" t="str">
            <v>OCS Power Outage between 61st and Pena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https://search-rtdc-monitor-bjffxe2xuh6vdkpspy63sjmuny.us-east-1.es.amazonaws.com/_plugin/kibana/#/discover/Steve-Slow-Train-Analysis-(2080s-and-2083s)?_g=(refreshInterval:(display:Off,section:0,value:0),time:(from:'2016-08-10 14:51:48-0600',mode:absolute,to:'2016-08-10 17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0" t="str">
            <v>Y</v>
          </cell>
          <cell r="X110">
            <v>1</v>
          </cell>
          <cell r="Y110">
            <v>4.3799999999999999E-2</v>
          </cell>
          <cell r="Z110">
            <v>15.450900000000001</v>
          </cell>
          <cell r="AA110">
            <v>15.407100000000002</v>
          </cell>
          <cell r="AB110" t="e">
            <v>#N/A</v>
          </cell>
          <cell r="AC110" t="e">
            <v>#N/A</v>
          </cell>
          <cell r="AD110" t="str">
            <v>0197-10</v>
          </cell>
          <cell r="AE110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11">
          <cell r="A111" t="str">
            <v>198-10</v>
          </cell>
          <cell r="B111">
            <v>4015</v>
          </cell>
          <cell r="C111" t="str">
            <v>DE.1.0.7.0</v>
          </cell>
          <cell r="D111" t="str">
            <v>204:157434</v>
          </cell>
          <cell r="E111">
            <v>42592.692685185182</v>
          </cell>
          <cell r="F111">
            <v>42592.69363425926</v>
          </cell>
          <cell r="G111">
            <v>1</v>
          </cell>
          <cell r="H111" t="str">
            <v>204:149</v>
          </cell>
          <cell r="I111">
            <v>42592.722453703704</v>
          </cell>
          <cell r="J111">
            <v>0</v>
          </cell>
          <cell r="K111" t="str">
            <v>4015/4016</v>
          </cell>
          <cell r="L111" t="str">
            <v>HAITHCOX</v>
          </cell>
          <cell r="M111">
            <v>2.8819444443797693E-2</v>
          </cell>
          <cell r="P111">
            <v>1</v>
          </cell>
          <cell r="R111" t="str">
            <v>OCS Power Outage between 61st and Pena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https://search-rtdc-monitor-bjffxe2xuh6vdkpspy63sjmuny.us-east-1.es.amazonaws.com/_plugin/kibana/#/discover/Steve-Slow-Train-Analysis-(2080s-and-2083s)?_g=(refreshInterval:(display:Off,section:0,value:0),time:(from:'2016-08-10 15:37:28-0600',mode:absolute,to:'2016-08-10 18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1" t="str">
            <v>Y</v>
          </cell>
          <cell r="X111">
            <v>1</v>
          </cell>
          <cell r="Y111">
            <v>15.743399999999999</v>
          </cell>
          <cell r="Z111">
            <v>1.49E-2</v>
          </cell>
          <cell r="AA111">
            <v>15.728499999999999</v>
          </cell>
          <cell r="AB111" t="e">
            <v>#N/A</v>
          </cell>
          <cell r="AC111" t="e">
            <v>#N/A</v>
          </cell>
          <cell r="AD111" t="str">
            <v>0198-10</v>
          </cell>
          <cell r="AE11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12">
          <cell r="A112" t="str">
            <v>199-10</v>
          </cell>
          <cell r="P112">
            <v>1</v>
          </cell>
          <cell r="R112" t="str">
            <v>OCS Power Outage between 61st and Pena</v>
          </cell>
          <cell r="S112">
            <v>0</v>
          </cell>
          <cell r="T112" t="str">
            <v>NorthBound</v>
          </cell>
          <cell r="U112">
            <v>0</v>
          </cell>
          <cell r="V112" t="e">
            <v>#VALUE!</v>
          </cell>
          <cell r="W112" t="e">
            <v>#VALUE!</v>
          </cell>
          <cell r="X112">
            <v>1</v>
          </cell>
          <cell r="Y112" t="e">
            <v>#VALUE!</v>
          </cell>
          <cell r="Z112" t="e">
            <v>#VALUE!</v>
          </cell>
          <cell r="AA112" t="e">
            <v>#VALUE!</v>
          </cell>
          <cell r="AD112" t="str">
            <v>0199-10</v>
          </cell>
        </row>
        <row r="113">
          <cell r="A113" t="str">
            <v>200-10</v>
          </cell>
          <cell r="B113">
            <v>4010</v>
          </cell>
          <cell r="C113" t="str">
            <v>DE.1.0.7.0</v>
          </cell>
          <cell r="D113" t="str">
            <v>204:154004</v>
          </cell>
          <cell r="E113">
            <v>42592.710706018515</v>
          </cell>
          <cell r="F113">
            <v>42592.711608796293</v>
          </cell>
          <cell r="G113">
            <v>1</v>
          </cell>
          <cell r="H113" t="str">
            <v>204:147</v>
          </cell>
          <cell r="I113">
            <v>42592.733969907407</v>
          </cell>
          <cell r="J113">
            <v>0</v>
          </cell>
          <cell r="K113" t="str">
            <v>4009/4010</v>
          </cell>
          <cell r="L113" t="str">
            <v>BRUDER</v>
          </cell>
          <cell r="M113">
            <v>2.2361111114150845E-2</v>
          </cell>
          <cell r="P113">
            <v>1</v>
          </cell>
          <cell r="R113" t="str">
            <v>OCS Power Outage between 61st and Pena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https://search-rtdc-monitor-bjffxe2xuh6vdkpspy63sjmuny.us-east-1.es.amazonaws.com/_plugin/kibana/#/discover/Steve-Slow-Train-Analysis-(2080s-and-2083s)?_g=(refreshInterval:(display:Off,section:0,value:0),time:(from:'2016-08-10 16:03:25-0600',mode:absolute,to:'2016-08-10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3" t="str">
            <v>Y</v>
          </cell>
          <cell r="X113">
            <v>1</v>
          </cell>
          <cell r="Y113">
            <v>15.400399999999999</v>
          </cell>
          <cell r="Z113">
            <v>1.47E-2</v>
          </cell>
          <cell r="AA113">
            <v>15.3857</v>
          </cell>
          <cell r="AB113" t="e">
            <v>#N/A</v>
          </cell>
          <cell r="AC113" t="e">
            <v>#N/A</v>
          </cell>
          <cell r="AD113" t="str">
            <v>0200-10</v>
          </cell>
          <cell r="AE11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14">
          <cell r="A114" t="str">
            <v>201-10</v>
          </cell>
          <cell r="P114">
            <v>1</v>
          </cell>
          <cell r="R114" t="str">
            <v>OCS Power Outage between 61st and Pena</v>
          </cell>
          <cell r="S114">
            <v>0</v>
          </cell>
          <cell r="T114" t="str">
            <v>NorthBound</v>
          </cell>
          <cell r="U114">
            <v>0</v>
          </cell>
          <cell r="V114" t="e">
            <v>#VALUE!</v>
          </cell>
          <cell r="W114" t="e">
            <v>#VALUE!</v>
          </cell>
          <cell r="X114">
            <v>1</v>
          </cell>
          <cell r="Y114" t="e">
            <v>#VALUE!</v>
          </cell>
          <cell r="Z114" t="e">
            <v>#VALUE!</v>
          </cell>
          <cell r="AA114" t="e">
            <v>#VALUE!</v>
          </cell>
          <cell r="AD114" t="str">
            <v>0201-10</v>
          </cell>
        </row>
        <row r="115">
          <cell r="A115" t="str">
            <v>202-10</v>
          </cell>
          <cell r="B115">
            <v>4030</v>
          </cell>
          <cell r="C115" t="str">
            <v>DE.1.0.7.0</v>
          </cell>
          <cell r="D115" t="str">
            <v>204:154012</v>
          </cell>
          <cell r="E115">
            <v>42592.723587962966</v>
          </cell>
          <cell r="F115">
            <v>42592.724652777775</v>
          </cell>
          <cell r="G115">
            <v>1</v>
          </cell>
          <cell r="H115" t="str">
            <v>204:130</v>
          </cell>
          <cell r="I115">
            <v>42592.746157407404</v>
          </cell>
          <cell r="J115">
            <v>1</v>
          </cell>
          <cell r="K115" t="str">
            <v>4029/4030</v>
          </cell>
          <cell r="L115" t="str">
            <v>STORY</v>
          </cell>
          <cell r="M115">
            <v>2.1504629628907423E-2</v>
          </cell>
          <cell r="P115">
            <v>1</v>
          </cell>
          <cell r="R115" t="str">
            <v>OCS Power Outage between 61st and Pena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5" t="str">
            <v>Y</v>
          </cell>
          <cell r="X115">
            <v>1</v>
          </cell>
          <cell r="Y115">
            <v>15.401199999999999</v>
          </cell>
          <cell r="Z115">
            <v>1.2999999999999999E-2</v>
          </cell>
          <cell r="AA115">
            <v>15.388199999999999</v>
          </cell>
          <cell r="AB115">
            <v>157300</v>
          </cell>
          <cell r="AC115" t="str">
            <v>SIGNAL</v>
          </cell>
          <cell r="AD115" t="str">
            <v>0202-10</v>
          </cell>
          <cell r="AE11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16">
          <cell r="A116" t="str">
            <v>203-10</v>
          </cell>
          <cell r="P116">
            <v>1</v>
          </cell>
          <cell r="R116" t="str">
            <v>OCS Power Outage between 61st and Pena</v>
          </cell>
          <cell r="S116">
            <v>0</v>
          </cell>
          <cell r="T116" t="str">
            <v>NorthBound</v>
          </cell>
          <cell r="U116">
            <v>0</v>
          </cell>
          <cell r="V116" t="e">
            <v>#VALUE!</v>
          </cell>
          <cell r="W116" t="e">
            <v>#VALUE!</v>
          </cell>
          <cell r="X116">
            <v>1</v>
          </cell>
          <cell r="Y116" t="e">
            <v>#VALUE!</v>
          </cell>
          <cell r="Z116" t="e">
            <v>#VALUE!</v>
          </cell>
          <cell r="AA116" t="e">
            <v>#VALUE!</v>
          </cell>
          <cell r="AD116" t="str">
            <v>0203-10</v>
          </cell>
        </row>
        <row r="117">
          <cell r="A117" t="str">
            <v>204-10</v>
          </cell>
          <cell r="B117">
            <v>4017</v>
          </cell>
          <cell r="C117" t="str">
            <v>DE.1.0.7.0</v>
          </cell>
          <cell r="D117" t="str">
            <v>204:154013</v>
          </cell>
          <cell r="E117">
            <v>42592.732662037037</v>
          </cell>
          <cell r="F117">
            <v>42592.73364583333</v>
          </cell>
          <cell r="G117">
            <v>1</v>
          </cell>
          <cell r="H117" t="str">
            <v>204:3383</v>
          </cell>
          <cell r="I117">
            <v>42592.753287037034</v>
          </cell>
          <cell r="J117">
            <v>0</v>
          </cell>
          <cell r="K117" t="str">
            <v>4017/4018</v>
          </cell>
          <cell r="L117" t="str">
            <v>BARTLETT</v>
          </cell>
          <cell r="M117">
            <v>1.9641203703940846E-2</v>
          </cell>
          <cell r="P117">
            <v>1</v>
          </cell>
          <cell r="R117" t="str">
            <v>OCS Power Outage between 61st and Pena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https://search-rtdc-monitor-bjffxe2xuh6vdkpspy63sjmuny.us-east-1.es.amazonaws.com/_plugin/kibana/#/discover/Steve-Slow-Train-Analysis-(2080s-and-2083s)?_g=(refreshInterval:(display:Off,section:0,value:0),time:(from:'2016-08-10 16:35:02-0600',mode:absolute,to:'2016-08-10 19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7" t="str">
            <v>Y</v>
          </cell>
          <cell r="X117">
            <v>1</v>
          </cell>
          <cell r="Y117">
            <v>15.401300000000001</v>
          </cell>
          <cell r="Z117">
            <v>0.33829999999999999</v>
          </cell>
          <cell r="AA117">
            <v>15.063000000000001</v>
          </cell>
          <cell r="AB117" t="e">
            <v>#N/A</v>
          </cell>
          <cell r="AC117" t="e">
            <v>#N/A</v>
          </cell>
          <cell r="AD117" t="str">
            <v>0204-10</v>
          </cell>
          <cell r="AE11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18">
          <cell r="A118" t="str">
            <v>205-10</v>
          </cell>
          <cell r="B118">
            <v>4018</v>
          </cell>
          <cell r="C118" t="str">
            <v>DE.1.0.7.0</v>
          </cell>
          <cell r="D118" t="str">
            <v>204:340</v>
          </cell>
          <cell r="E118">
            <v>42592.698831018519</v>
          </cell>
          <cell r="F118">
            <v>42592.69971064815</v>
          </cell>
          <cell r="G118">
            <v>1</v>
          </cell>
          <cell r="H118" t="str">
            <v>204:154430</v>
          </cell>
          <cell r="I118">
            <v>42592.727199074077</v>
          </cell>
          <cell r="J118">
            <v>0</v>
          </cell>
          <cell r="K118" t="str">
            <v>4017/4018</v>
          </cell>
          <cell r="L118" t="str">
            <v>BARTLETT</v>
          </cell>
          <cell r="M118">
            <v>2.7488425927003846E-2</v>
          </cell>
          <cell r="P118">
            <v>1</v>
          </cell>
          <cell r="R118" t="str">
            <v>OCS Power Outage between 61st and Pena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https://search-rtdc-monitor-bjffxe2xuh6vdkpspy63sjmuny.us-east-1.es.amazonaws.com/_plugin/kibana/#/discover/Steve-Slow-Train-Analysis-(2080s-and-2083s)?_g=(refreshInterval:(display:Off,section:0,value:0),time:(from:'2016-08-10 15:46:19-0600',mode:absolute,to:'2016-08-10 18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8" t="str">
            <v>Y</v>
          </cell>
          <cell r="X118">
            <v>1</v>
          </cell>
          <cell r="Y118">
            <v>3.4000000000000002E-2</v>
          </cell>
          <cell r="Z118">
            <v>15.443</v>
          </cell>
          <cell r="AA118">
            <v>15.408999999999999</v>
          </cell>
          <cell r="AB118" t="e">
            <v>#N/A</v>
          </cell>
          <cell r="AC118" t="e">
            <v>#N/A</v>
          </cell>
          <cell r="AD118" t="str">
            <v>0205-10</v>
          </cell>
          <cell r="AE11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19">
          <cell r="A119" t="str">
            <v>206-10</v>
          </cell>
          <cell r="B119">
            <v>4008</v>
          </cell>
          <cell r="C119" t="str">
            <v>DE.1.0.7.0</v>
          </cell>
          <cell r="D119" t="str">
            <v>204:154026</v>
          </cell>
          <cell r="E119">
            <v>42592.743692129632</v>
          </cell>
          <cell r="F119">
            <v>42592.744560185187</v>
          </cell>
          <cell r="G119">
            <v>1</v>
          </cell>
          <cell r="H119" t="str">
            <v>204:169</v>
          </cell>
          <cell r="I119">
            <v>42592.768773148149</v>
          </cell>
          <cell r="J119">
            <v>1</v>
          </cell>
          <cell r="K119" t="str">
            <v>4007/4008</v>
          </cell>
          <cell r="L119" t="str">
            <v>HELVIE</v>
          </cell>
          <cell r="M119">
            <v>2.421296296233777E-2</v>
          </cell>
          <cell r="P119">
            <v>1</v>
          </cell>
          <cell r="R119" t="str">
            <v>OCS Power Outage between 61st and Pena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9" t="str">
            <v>Y</v>
          </cell>
          <cell r="X119">
            <v>1</v>
          </cell>
          <cell r="Y119">
            <v>15.4026</v>
          </cell>
          <cell r="Z119">
            <v>1.6899999999999998E-2</v>
          </cell>
          <cell r="AA119">
            <v>15.3857</v>
          </cell>
          <cell r="AB119">
            <v>103800</v>
          </cell>
          <cell r="AC119" t="str">
            <v>GRADE CROSSING</v>
          </cell>
          <cell r="AD119" t="str">
            <v>0206-10</v>
          </cell>
          <cell r="AE11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20">
          <cell r="A120" t="str">
            <v>207-10</v>
          </cell>
          <cell r="B120">
            <v>4007</v>
          </cell>
          <cell r="C120" t="str">
            <v>DE.1.0.7.0</v>
          </cell>
          <cell r="D120" t="str">
            <v>204:458</v>
          </cell>
          <cell r="E120">
            <v>42592.712094907409</v>
          </cell>
          <cell r="F120">
            <v>42592.713252314818</v>
          </cell>
          <cell r="G120">
            <v>1</v>
          </cell>
          <cell r="H120" t="str">
            <v>204:154411</v>
          </cell>
          <cell r="I120">
            <v>42592.739421296297</v>
          </cell>
          <cell r="J120">
            <v>0</v>
          </cell>
          <cell r="K120" t="str">
            <v>4007/4008</v>
          </cell>
          <cell r="L120" t="str">
            <v>HELVIE</v>
          </cell>
          <cell r="M120">
            <v>2.6168981479713693E-2</v>
          </cell>
          <cell r="P120">
            <v>37.683333330787718</v>
          </cell>
          <cell r="R120" t="str">
            <v>OCS Power Outage between 61st and Pena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https://search-rtdc-monitor-bjffxe2xuh6vdkpspy63sjmuny.us-east-1.es.amazonaws.com/_plugin/kibana/#/discover/Steve-Slow-Train-Analysis-(2080s-and-2083s)?_g=(refreshInterval:(display:Off,section:0,value:0),time:(from:'2016-08-10 16:05:25-0600',mode:absolute,to:'2016-08-10 18:44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0" t="str">
            <v>Y</v>
          </cell>
          <cell r="X120">
            <v>1</v>
          </cell>
          <cell r="Y120">
            <v>4.58E-2</v>
          </cell>
          <cell r="Z120">
            <v>15.4411</v>
          </cell>
          <cell r="AA120">
            <v>15.395300000000001</v>
          </cell>
          <cell r="AB120" t="e">
            <v>#N/A</v>
          </cell>
          <cell r="AC120" t="e">
            <v>#N/A</v>
          </cell>
          <cell r="AD120" t="str">
            <v>0207-10</v>
          </cell>
          <cell r="AE12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21">
          <cell r="A121" t="str">
            <v>208-10</v>
          </cell>
          <cell r="B121">
            <v>4015</v>
          </cell>
          <cell r="C121" t="str">
            <v>DE.1.0.7.0</v>
          </cell>
          <cell r="D121" t="str">
            <v>204:127878</v>
          </cell>
          <cell r="E121">
            <v>42592.763113425928</v>
          </cell>
          <cell r="F121">
            <v>42592.763935185183</v>
          </cell>
          <cell r="G121">
            <v>1</v>
          </cell>
          <cell r="H121" t="str">
            <v>204:161</v>
          </cell>
          <cell r="I121">
            <v>42592.781539351854</v>
          </cell>
          <cell r="J121">
            <v>0</v>
          </cell>
          <cell r="K121" t="str">
            <v>4015/4016</v>
          </cell>
          <cell r="L121" t="str">
            <v>STURGEON</v>
          </cell>
          <cell r="M121">
            <v>1.7604166670935228E-2</v>
          </cell>
          <cell r="P121">
            <v>25.350000006146729</v>
          </cell>
          <cell r="R121" t="str">
            <v>OCS Power Outage between 61st and Pena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https://search-rtdc-monitor-bjffxe2xuh6vdkpspy63sjmuny.us-east-1.es.amazonaws.com/_plugin/kibana/#/discover/Steve-Slow-Train-Analysis-(2080s-and-2083s)?_g=(refreshInterval:(display:Off,section:0,value:0),time:(from:'2016-08-10 17:18:53-0600',mode:absolute,to:'2016-08-10 19:45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1" t="str">
            <v>Y</v>
          </cell>
          <cell r="X121">
            <v>1</v>
          </cell>
          <cell r="Y121">
            <v>12.787800000000001</v>
          </cell>
          <cell r="Z121">
            <v>1.61E-2</v>
          </cell>
          <cell r="AA121">
            <v>12.771700000000001</v>
          </cell>
          <cell r="AB121" t="e">
            <v>#N/A</v>
          </cell>
          <cell r="AC121" t="e">
            <v>#N/A</v>
          </cell>
          <cell r="AD121" t="str">
            <v>0208-10</v>
          </cell>
          <cell r="AE12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2">
          <cell r="A122" t="str">
            <v>209-10</v>
          </cell>
          <cell r="B122">
            <v>4016</v>
          </cell>
          <cell r="C122" t="str">
            <v>DE.1.0.7.0</v>
          </cell>
          <cell r="D122" t="str">
            <v>204:480</v>
          </cell>
          <cell r="E122">
            <v>42592.724907407406</v>
          </cell>
          <cell r="F122">
            <v>42592.727175925924</v>
          </cell>
          <cell r="G122">
            <v>3</v>
          </cell>
          <cell r="H122" t="str">
            <v>204:154638</v>
          </cell>
          <cell r="I122">
            <v>42592.749456018515</v>
          </cell>
          <cell r="J122">
            <v>0</v>
          </cell>
          <cell r="K122" t="str">
            <v>4015/4016</v>
          </cell>
          <cell r="L122" t="str">
            <v>STURGEON</v>
          </cell>
          <cell r="M122">
            <v>2.2280092591245193E-2</v>
          </cell>
          <cell r="P122">
            <v>32.083333331393078</v>
          </cell>
          <cell r="R122" t="str">
            <v>OCS Power Outage between 61st and Pena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https://search-rtdc-monitor-bjffxe2xuh6vdkpspy63sjmuny.us-east-1.es.amazonaws.com/_plugin/kibana/#/discover/Steve-Slow-Train-Analysis-(2080s-and-2083s)?_g=(refreshInterval:(display:Off,section:0,value:0),time:(from:'2016-08-10 16:23:52-0600',mode:absolute,to:'2016-08-10 18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2" t="str">
            <v>Y</v>
          </cell>
          <cell r="X122">
            <v>1</v>
          </cell>
          <cell r="Y122">
            <v>4.8000000000000001E-2</v>
          </cell>
          <cell r="Z122">
            <v>15.463800000000001</v>
          </cell>
          <cell r="AA122">
            <v>15.415800000000001</v>
          </cell>
          <cell r="AB122" t="e">
            <v>#N/A</v>
          </cell>
          <cell r="AC122" t="e">
            <v>#N/A</v>
          </cell>
          <cell r="AD122" t="str">
            <v>0209-10</v>
          </cell>
          <cell r="AE122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23">
          <cell r="A123" t="str">
            <v>210-10</v>
          </cell>
          <cell r="B123">
            <v>4015</v>
          </cell>
          <cell r="C123" t="str">
            <v>DE.1.0.7.0</v>
          </cell>
          <cell r="D123" t="str">
            <v>204:153997</v>
          </cell>
          <cell r="E123">
            <v>42592.753692129627</v>
          </cell>
          <cell r="F123">
            <v>42592.754999999997</v>
          </cell>
          <cell r="G123">
            <v>1</v>
          </cell>
          <cell r="H123" t="str">
            <v>204:127843</v>
          </cell>
          <cell r="I123">
            <v>42592.761886574073</v>
          </cell>
          <cell r="J123">
            <v>0</v>
          </cell>
          <cell r="K123" t="str">
            <v>4015/4016</v>
          </cell>
          <cell r="L123" t="str">
            <v>STURGEON</v>
          </cell>
          <cell r="M123">
            <v>6.8865740759065375E-3</v>
          </cell>
          <cell r="P123">
            <v>9.916666669305414</v>
          </cell>
          <cell r="R123" t="str">
            <v>OCS Power Outage between 61st and Pena</v>
          </cell>
          <cell r="S123">
            <v>0</v>
          </cell>
          <cell r="T123" t="str">
            <v>Southbound</v>
          </cell>
          <cell r="U123">
            <v>0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https://search-rtdc-monitor-bjffxe2xuh6vdkpspy63sjmuny.us-east-1.es.amazonaws.com/_plugin/kibana/#/discover/Steve-Slow-Train-Analysis-(2080s-and-2083s)?_g=(refreshInterval:(display:Off,section:0,value:0),time:(from:'2016-08-10 17:05:19-0600',mode:absolute,to:'2016-08-10 19:17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3" t="str">
            <v>Y</v>
          </cell>
          <cell r="X123">
            <v>1</v>
          </cell>
          <cell r="Y123">
            <v>15.399699999999999</v>
          </cell>
          <cell r="Z123">
            <v>12.7843</v>
          </cell>
          <cell r="AA123">
            <v>2.6153999999999993</v>
          </cell>
          <cell r="AB123" t="e">
            <v>#N/A</v>
          </cell>
          <cell r="AC123" t="e">
            <v>#N/A</v>
          </cell>
          <cell r="AD123" t="str">
            <v>0210-10</v>
          </cell>
          <cell r="AE12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4">
          <cell r="A124" t="str">
            <v>211-10</v>
          </cell>
          <cell r="B124">
            <v>4009</v>
          </cell>
          <cell r="C124" t="str">
            <v>DE.1.0.7.0</v>
          </cell>
          <cell r="D124" t="str">
            <v>204:467</v>
          </cell>
          <cell r="E124">
            <v>42592.736400462964</v>
          </cell>
          <cell r="F124">
            <v>42592.738391203704</v>
          </cell>
          <cell r="G124">
            <v>2</v>
          </cell>
          <cell r="H124" t="str">
            <v>204:154430</v>
          </cell>
          <cell r="I124">
            <v>42592.758900462963</v>
          </cell>
          <cell r="J124">
            <v>0</v>
          </cell>
          <cell r="K124" t="str">
            <v>4009/4010</v>
          </cell>
          <cell r="L124" t="str">
            <v>HAITHCOX</v>
          </cell>
          <cell r="M124">
            <v>2.0509259258687962E-2</v>
          </cell>
          <cell r="P124">
            <v>29.533333332510665</v>
          </cell>
          <cell r="R124" t="str">
            <v>OCS Power Outage between 61st and Pena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https://search-rtdc-monitor-bjffxe2xuh6vdkpspy63sjmuny.us-east-1.es.amazonaws.com/_plugin/kibana/#/discover/Steve-Slow-Train-Analysis-(2080s-and-2083s)?_g=(refreshInterval:(display:Off,section:0,value:0),time:(from:'2016-08-10 16:40:25-0600',mode:absolute,to:'2016-08-10 19:12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Y</v>
          </cell>
          <cell r="X124">
            <v>1</v>
          </cell>
          <cell r="Y124">
            <v>4.6699999999999998E-2</v>
          </cell>
          <cell r="Z124">
            <v>15.443</v>
          </cell>
          <cell r="AA124">
            <v>15.3963</v>
          </cell>
          <cell r="AB124" t="e">
            <v>#N/A</v>
          </cell>
          <cell r="AC124" t="e">
            <v>#N/A</v>
          </cell>
          <cell r="AD124" t="str">
            <v>0211-10</v>
          </cell>
          <cell r="AE124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25">
          <cell r="A125" t="str">
            <v>212-10</v>
          </cell>
          <cell r="B125">
            <v>4030</v>
          </cell>
          <cell r="C125" t="str">
            <v>DE.1.0.7.0</v>
          </cell>
          <cell r="D125" t="str">
            <v>204:154001</v>
          </cell>
          <cell r="E125">
            <v>42592.77753472222</v>
          </cell>
          <cell r="F125">
            <v>42592.778564814813</v>
          </cell>
          <cell r="G125">
            <v>1</v>
          </cell>
          <cell r="H125" t="str">
            <v>204:154</v>
          </cell>
          <cell r="I125">
            <v>42592.800219907411</v>
          </cell>
          <cell r="J125">
            <v>1</v>
          </cell>
          <cell r="K125" t="str">
            <v>4029/4030</v>
          </cell>
          <cell r="L125" t="str">
            <v>STORY</v>
          </cell>
          <cell r="M125">
            <v>2.1655092597939074E-2</v>
          </cell>
          <cell r="P125">
            <v>31.183333341032267</v>
          </cell>
          <cell r="R125" t="str">
            <v>OCS Power Outage between 61st and Pena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5" t="str">
            <v>Y</v>
          </cell>
          <cell r="X125">
            <v>1</v>
          </cell>
          <cell r="Y125">
            <v>15.4001</v>
          </cell>
          <cell r="Z125">
            <v>1.54E-2</v>
          </cell>
          <cell r="AA125">
            <v>15.3847</v>
          </cell>
          <cell r="AB125">
            <v>157300</v>
          </cell>
          <cell r="AC125" t="str">
            <v>SIGNAL</v>
          </cell>
          <cell r="AD125" t="str">
            <v>0212-10</v>
          </cell>
          <cell r="AE12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26">
          <cell r="A126" t="str">
            <v>213-10</v>
          </cell>
          <cell r="P126">
            <v>1</v>
          </cell>
          <cell r="R126" t="str">
            <v>OCS Power Outage between 61st and Pena</v>
          </cell>
          <cell r="S126">
            <v>0</v>
          </cell>
          <cell r="T126" t="str">
            <v>NorthBound</v>
          </cell>
          <cell r="U126">
            <v>0</v>
          </cell>
          <cell r="V126" t="e">
            <v>#VALUE!</v>
          </cell>
          <cell r="W126" t="str">
            <v>Y</v>
          </cell>
          <cell r="X126">
            <v>1</v>
          </cell>
          <cell r="Y126" t="e">
            <v>#VALUE!</v>
          </cell>
          <cell r="AD126" t="str">
            <v>0213-10</v>
          </cell>
        </row>
        <row r="127">
          <cell r="A127" t="str">
            <v>214-10</v>
          </cell>
          <cell r="B127">
            <v>4017</v>
          </cell>
          <cell r="C127" t="str">
            <v>DE.1.0.7.0</v>
          </cell>
          <cell r="D127" t="str">
            <v>204:157578</v>
          </cell>
          <cell r="E127">
            <v>42592.785775462966</v>
          </cell>
          <cell r="F127">
            <v>42592.786666666667</v>
          </cell>
          <cell r="G127">
            <v>1</v>
          </cell>
          <cell r="H127" t="str">
            <v>204:152</v>
          </cell>
          <cell r="I127">
            <v>42592.809756944444</v>
          </cell>
          <cell r="J127">
            <v>0</v>
          </cell>
          <cell r="K127" t="str">
            <v>4017/4018</v>
          </cell>
          <cell r="L127" t="str">
            <v>YANAI</v>
          </cell>
          <cell r="M127">
            <v>2.3090277776645962E-2</v>
          </cell>
          <cell r="P127">
            <v>33.249999998370185</v>
          </cell>
          <cell r="R127" t="str">
            <v>OCS Power Outage between 61st and Pena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https://search-rtdc-monitor-bjffxe2xuh6vdkpspy63sjmuny.us-east-1.es.amazonaws.com/_plugin/kibana/#/discover/Steve-Slow-Train-Analysis-(2080s-and-2083s)?_g=(refreshInterval:(display:Off,section:0,value:0),time:(from:'2016-08-10 17:51:31-0600',mode:absolute,to:'2016-08-10 20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15.7578</v>
          </cell>
          <cell r="Z127">
            <v>1.52E-2</v>
          </cell>
          <cell r="AA127">
            <v>15.742599999999999</v>
          </cell>
          <cell r="AB127" t="e">
            <v>#N/A</v>
          </cell>
          <cell r="AC127" t="e">
            <v>#N/A</v>
          </cell>
          <cell r="AD127" t="str">
            <v>0214-10</v>
          </cell>
          <cell r="AE12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28">
          <cell r="A128" t="str">
            <v>215-10</v>
          </cell>
          <cell r="B128">
            <v>4029</v>
          </cell>
          <cell r="C128" t="str">
            <v>DE.1.0.7.0</v>
          </cell>
          <cell r="D128" t="str">
            <v>204:437</v>
          </cell>
          <cell r="E128">
            <v>42592.748726851853</v>
          </cell>
          <cell r="F128">
            <v>42592.750590277778</v>
          </cell>
          <cell r="G128">
            <v>2</v>
          </cell>
          <cell r="H128" t="str">
            <v>204:154441</v>
          </cell>
          <cell r="I128">
            <v>42592.773287037038</v>
          </cell>
          <cell r="J128">
            <v>0</v>
          </cell>
          <cell r="K128" t="str">
            <v>4029/4030</v>
          </cell>
          <cell r="L128" t="str">
            <v>STORY</v>
          </cell>
          <cell r="M128">
            <v>2.269675926072523E-2</v>
          </cell>
          <cell r="P128">
            <v>32.683333335444331</v>
          </cell>
          <cell r="R128" t="str">
            <v>OCS Power Outage between 61st and Pena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https://search-rtdc-monitor-bjffxe2xuh6vdkpspy63sjmuny.us-east-1.es.amazonaws.com/_plugin/kibana/#/discover/Steve-Slow-Train-Analysis-(2080s-and-2083s)?_g=(refreshInterval:(display:Off,section:0,value:0),time:(from:'2016-08-10 16:58:10-0600',mode:absolute,to:'2016-08-10 19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8" t="str">
            <v>Y</v>
          </cell>
          <cell r="X128">
            <v>1</v>
          </cell>
          <cell r="Y128">
            <v>4.3700000000000003E-2</v>
          </cell>
          <cell r="Z128">
            <v>15.444100000000001</v>
          </cell>
          <cell r="AA128">
            <v>15.400400000000001</v>
          </cell>
          <cell r="AB128" t="e">
            <v>#N/A</v>
          </cell>
          <cell r="AC128" t="e">
            <v>#N/A</v>
          </cell>
          <cell r="AD128" t="str">
            <v>0215-10</v>
          </cell>
          <cell r="AE128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29">
          <cell r="A129" t="str">
            <v>216-10</v>
          </cell>
          <cell r="B129">
            <v>4008</v>
          </cell>
          <cell r="C129" t="str">
            <v>DE.1.0.7.0</v>
          </cell>
          <cell r="D129" t="str">
            <v>204:154013</v>
          </cell>
          <cell r="E129">
            <v>42592.797210648147</v>
          </cell>
          <cell r="F129">
            <v>42592.798078703701</v>
          </cell>
          <cell r="G129">
            <v>1</v>
          </cell>
          <cell r="H129" t="str">
            <v>204:143</v>
          </cell>
          <cell r="I129">
            <v>42592.817743055559</v>
          </cell>
          <cell r="J129">
            <v>1</v>
          </cell>
          <cell r="K129" t="str">
            <v>4007/4008</v>
          </cell>
          <cell r="L129" t="str">
            <v>LEVIN</v>
          </cell>
          <cell r="M129">
            <v>1.9664351857500151E-2</v>
          </cell>
          <cell r="P129">
            <v>28.316666674800217</v>
          </cell>
          <cell r="R129" t="str">
            <v>OCS Power Outage between 61st and Pena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9" t="str">
            <v>Y</v>
          </cell>
          <cell r="X129">
            <v>1</v>
          </cell>
          <cell r="Y129">
            <v>15.401300000000001</v>
          </cell>
          <cell r="Z129">
            <v>1.43E-2</v>
          </cell>
          <cell r="AA129">
            <v>15.387</v>
          </cell>
          <cell r="AB129">
            <v>157300</v>
          </cell>
          <cell r="AC129" t="str">
            <v>SIGNAL</v>
          </cell>
          <cell r="AD129" t="str">
            <v>0216-10</v>
          </cell>
          <cell r="AE12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30">
          <cell r="A130" t="str">
            <v>217-10</v>
          </cell>
          <cell r="B130">
            <v>4018</v>
          </cell>
          <cell r="C130" t="str">
            <v>DE.1.0.7.0</v>
          </cell>
          <cell r="D130" t="str">
            <v>204:438</v>
          </cell>
          <cell r="E130">
            <v>42592.75708333333</v>
          </cell>
          <cell r="F130">
            <v>42592.757916666669</v>
          </cell>
          <cell r="G130">
            <v>1</v>
          </cell>
          <cell r="H130" t="str">
            <v>204:154426</v>
          </cell>
          <cell r="I130">
            <v>42592.78019675926</v>
          </cell>
          <cell r="J130">
            <v>0</v>
          </cell>
          <cell r="K130" t="str">
            <v>4017/4018</v>
          </cell>
          <cell r="L130" t="str">
            <v>YANAI</v>
          </cell>
          <cell r="M130">
            <v>2.2280092591245193E-2</v>
          </cell>
          <cell r="P130">
            <v>32.083333331393078</v>
          </cell>
          <cell r="R130" t="str">
            <v>OCS Power Outage between 61st and Pena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https://search-rtdc-monitor-bjffxe2xuh6vdkpspy63sjmuny.us-east-1.es.amazonaws.com/_plugin/kibana/#/discover/Steve-Slow-Train-Analysis-(2080s-and-2083s)?_g=(refreshInterval:(display:Off,section:0,value:0),time:(from:'2016-08-10 17:10:12-0600',mode:absolute,to:'2016-08-10 19:43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0" t="str">
            <v>Y</v>
          </cell>
          <cell r="X130">
            <v>1</v>
          </cell>
          <cell r="Y130">
            <v>4.3799999999999999E-2</v>
          </cell>
          <cell r="Z130">
            <v>15.442600000000001</v>
          </cell>
          <cell r="AA130">
            <v>15.398800000000001</v>
          </cell>
          <cell r="AB130" t="e">
            <v>#N/A</v>
          </cell>
          <cell r="AC130" t="e">
            <v>#N/A</v>
          </cell>
          <cell r="AD130" t="str">
            <v>0217-10</v>
          </cell>
          <cell r="AE130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1">
          <cell r="A131" t="str">
            <v>218-10</v>
          </cell>
          <cell r="P131">
            <v>1</v>
          </cell>
          <cell r="R131" t="str">
            <v>OCS Power Outage between 61st and Pena</v>
          </cell>
          <cell r="S131">
            <v>0</v>
          </cell>
          <cell r="T131" t="str">
            <v>Southbound</v>
          </cell>
          <cell r="U131">
            <v>0</v>
          </cell>
          <cell r="V131" t="e">
            <v>#VALUE!</v>
          </cell>
          <cell r="W131" t="str">
            <v>Y</v>
          </cell>
          <cell r="X131">
            <v>1</v>
          </cell>
          <cell r="Y131" t="e">
            <v>#VALUE!</v>
          </cell>
          <cell r="AD131" t="str">
            <v>0218-10</v>
          </cell>
        </row>
        <row r="132">
          <cell r="A132" t="str">
            <v>219-10</v>
          </cell>
          <cell r="B132">
            <v>4007</v>
          </cell>
          <cell r="C132" t="str">
            <v>DE.1.0.7.0</v>
          </cell>
          <cell r="D132" t="str">
            <v>204:451</v>
          </cell>
          <cell r="E132">
            <v>42592.770879629628</v>
          </cell>
          <cell r="F132">
            <v>42592.772789351853</v>
          </cell>
          <cell r="G132">
            <v>2</v>
          </cell>
          <cell r="H132" t="str">
            <v>204:154433</v>
          </cell>
          <cell r="I132">
            <v>42592.790995370371</v>
          </cell>
          <cell r="J132">
            <v>0</v>
          </cell>
          <cell r="K132" t="str">
            <v>4007/4008</v>
          </cell>
          <cell r="L132" t="str">
            <v>LEVIN</v>
          </cell>
          <cell r="M132">
            <v>1.8206018517958E-2</v>
          </cell>
          <cell r="P132">
            <v>26.21666666585952</v>
          </cell>
          <cell r="R132" t="str">
            <v>OCS Power Outage between 61st and Pena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https://search-rtdc-monitor-bjffxe2xuh6vdkpspy63sjmuny.us-east-1.es.amazonaws.com/_plugin/kibana/#/discover/Steve-Slow-Train-Analysis-(2080s-and-2083s)?_g=(refreshInterval:(display:Off,section:0,value:0),time:(from:'2016-08-10 17:30:04-0600',mode:absolute,to:'2016-08-10 19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2" t="str">
            <v>Y</v>
          </cell>
          <cell r="X132">
            <v>1</v>
          </cell>
          <cell r="Y132">
            <v>4.5100000000000001E-2</v>
          </cell>
          <cell r="Z132">
            <v>15.443300000000001</v>
          </cell>
          <cell r="AA132">
            <v>15.398200000000001</v>
          </cell>
          <cell r="AB132" t="e">
            <v>#N/A</v>
          </cell>
          <cell r="AC132" t="e">
            <v>#N/A</v>
          </cell>
          <cell r="AD132" t="str">
            <v>0219-10</v>
          </cell>
          <cell r="AE132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33">
          <cell r="A133" t="str">
            <v>220-10</v>
          </cell>
          <cell r="B133">
            <v>4015</v>
          </cell>
          <cell r="C133" t="str">
            <v>DE.1.0.7.0</v>
          </cell>
          <cell r="D133" t="str">
            <v>204:154021</v>
          </cell>
          <cell r="E133">
            <v>42592.816643518519</v>
          </cell>
          <cell r="F133">
            <v>42592.817395833335</v>
          </cell>
          <cell r="G133">
            <v>1</v>
          </cell>
          <cell r="H133" t="str">
            <v>204:158</v>
          </cell>
          <cell r="I133">
            <v>42592.839120370372</v>
          </cell>
          <cell r="J133">
            <v>0</v>
          </cell>
          <cell r="K133" t="str">
            <v>4015/4016</v>
          </cell>
          <cell r="L133" t="str">
            <v>STURGEON</v>
          </cell>
          <cell r="M133">
            <v>2.1724537036789116E-2</v>
          </cell>
          <cell r="P133">
            <v>31.283333332976326</v>
          </cell>
          <cell r="R133" t="str">
            <v>OCS Power Outage between 61st and Pena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https://search-rtdc-monitor-bjffxe2xuh6vdkpspy63sjmuny.us-east-1.es.amazonaws.com/_plugin/kibana/#/discover/Steve-Slow-Train-Analysis-(2080s-and-2083s)?_g=(refreshInterval:(display:Off,section:0,value:0),time:(from:'2016-08-10 18:35:58-0600',mode:absolute,to:'2016-08-10 21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3" t="str">
            <v>Y</v>
          </cell>
          <cell r="X133">
            <v>1</v>
          </cell>
          <cell r="Y133">
            <v>15.402100000000001</v>
          </cell>
          <cell r="Z133">
            <v>1.5800000000000002E-2</v>
          </cell>
          <cell r="AA133">
            <v>15.3863</v>
          </cell>
          <cell r="AB133" t="e">
            <v>#N/A</v>
          </cell>
          <cell r="AC133" t="e">
            <v>#N/A</v>
          </cell>
          <cell r="AD133" t="str">
            <v>0220-10</v>
          </cell>
          <cell r="AE13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34">
          <cell r="A134" t="str">
            <v>221-10</v>
          </cell>
          <cell r="B134">
            <v>4016</v>
          </cell>
          <cell r="C134" t="str">
            <v>DE.1.0.7.0</v>
          </cell>
          <cell r="D134" t="str">
            <v>204:486</v>
          </cell>
          <cell r="E134">
            <v>42592.785543981481</v>
          </cell>
          <cell r="F134">
            <v>42592.787395833337</v>
          </cell>
          <cell r="G134">
            <v>2</v>
          </cell>
          <cell r="H134" t="str">
            <v>204:154822</v>
          </cell>
          <cell r="I134">
            <v>42592.812789351854</v>
          </cell>
          <cell r="J134">
            <v>0</v>
          </cell>
          <cell r="K134" t="str">
            <v>4015/4016</v>
          </cell>
          <cell r="L134" t="str">
            <v>STURGEON</v>
          </cell>
          <cell r="M134">
            <v>2.5393518517375924E-2</v>
          </cell>
          <cell r="P134">
            <v>36.56666666502133</v>
          </cell>
          <cell r="R134" t="str">
            <v>OCS Power Outage between 61st and Pena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https://search-rtdc-monitor-bjffxe2xuh6vdkpspy63sjmuny.us-east-1.es.amazonaws.com/_plugin/kibana/#/discover/Steve-Slow-Train-Analysis-(2080s-and-2083s)?_g=(refreshInterval:(display:Off,section:0,value:0),time:(from:'2016-08-10 17:51:11-0600',mode:absolute,to:'2016-08-10 20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34" t="str">
            <v>Y</v>
          </cell>
          <cell r="X134">
            <v>1</v>
          </cell>
          <cell r="Y134">
            <v>4.8599999999999997E-2</v>
          </cell>
          <cell r="Z134">
            <v>15.482200000000001</v>
          </cell>
          <cell r="AA134">
            <v>15.4336</v>
          </cell>
          <cell r="AB134" t="e">
            <v>#N/A</v>
          </cell>
          <cell r="AC134" t="e">
            <v>#N/A</v>
          </cell>
          <cell r="AD134" t="str">
            <v>0221-10</v>
          </cell>
          <cell r="AE13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35">
          <cell r="A135" t="str">
            <v>222-10</v>
          </cell>
          <cell r="B135">
            <v>4010</v>
          </cell>
          <cell r="C135" t="str">
            <v>DE.1.0.7.0</v>
          </cell>
          <cell r="D135" t="str">
            <v>204:153999</v>
          </cell>
          <cell r="E135">
            <v>42592.837962962964</v>
          </cell>
          <cell r="F135">
            <v>42592.838865740741</v>
          </cell>
          <cell r="G135">
            <v>1</v>
          </cell>
          <cell r="H135" t="str">
            <v>204:163</v>
          </cell>
          <cell r="I135">
            <v>42592.864942129629</v>
          </cell>
          <cell r="J135">
            <v>1</v>
          </cell>
          <cell r="K135" t="str">
            <v>4009/4010</v>
          </cell>
          <cell r="L135" t="str">
            <v>COOLAHAN</v>
          </cell>
          <cell r="M135">
            <v>2.6076388887304347E-2</v>
          </cell>
          <cell r="P135">
            <v>37.54999999771826</v>
          </cell>
          <cell r="R135" t="str">
            <v>OCS Power Outage between 61st and Pena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5" t="str">
            <v>Y</v>
          </cell>
          <cell r="X135">
            <v>1</v>
          </cell>
          <cell r="Y135">
            <v>15.399900000000001</v>
          </cell>
          <cell r="Z135">
            <v>1.6299999999999999E-2</v>
          </cell>
          <cell r="AA135">
            <v>15.383600000000001</v>
          </cell>
          <cell r="AB135">
            <v>157300</v>
          </cell>
          <cell r="AC135" t="str">
            <v>SIGNAL</v>
          </cell>
          <cell r="AD135" t="str">
            <v>0222-10</v>
          </cell>
          <cell r="AE135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36">
          <cell r="A136" t="str">
            <v>223-10</v>
          </cell>
          <cell r="B136">
            <v>4009</v>
          </cell>
          <cell r="C136" t="str">
            <v>DE.1.0.7.0</v>
          </cell>
          <cell r="D136" t="str">
            <v>204:464</v>
          </cell>
          <cell r="E136">
            <v>42592.797337962962</v>
          </cell>
          <cell r="F136">
            <v>42592.798518518517</v>
          </cell>
          <cell r="G136">
            <v>1</v>
          </cell>
          <cell r="H136" t="str">
            <v>204:154277</v>
          </cell>
          <cell r="I136">
            <v>42592.832777777781</v>
          </cell>
          <cell r="J136">
            <v>0</v>
          </cell>
          <cell r="K136" t="str">
            <v>4009/4010</v>
          </cell>
          <cell r="L136" t="str">
            <v>COOLAHAN</v>
          </cell>
          <cell r="M136">
            <v>3.425925926421769E-2</v>
          </cell>
          <cell r="P136">
            <v>49.333333340473473</v>
          </cell>
          <cell r="R136" t="str">
            <v>OCS Power Outage between 61st and Pena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https://search-rtdc-monitor-bjffxe2xuh6vdkpspy63sjmuny.us-east-1.es.amazonaws.com/_plugin/kibana/#/discover/Steve-Slow-Train-Analysis-(2080s-and-2083s)?_g=(refreshInterval:(display:Off,section:0,value:0),time:(from:'2016-08-10 18:08:10-0600',mode:absolute,to:'2016-08-10 20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Y</v>
          </cell>
          <cell r="X136">
            <v>1</v>
          </cell>
          <cell r="Y136">
            <v>4.6399999999999997E-2</v>
          </cell>
          <cell r="Z136">
            <v>15.4277</v>
          </cell>
          <cell r="AA136">
            <v>15.3813</v>
          </cell>
          <cell r="AB136" t="e">
            <v>#N/A</v>
          </cell>
          <cell r="AC136" t="e">
            <v>#N/A</v>
          </cell>
          <cell r="AD136" t="str">
            <v>0223-10</v>
          </cell>
          <cell r="AE13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37">
          <cell r="A137" t="str">
            <v>224-10</v>
          </cell>
          <cell r="P137">
            <v>1</v>
          </cell>
          <cell r="R137" t="str">
            <v>OCS Power Outage between 61st and Pena</v>
          </cell>
          <cell r="S137">
            <v>0</v>
          </cell>
          <cell r="T137" t="str">
            <v>Southbound</v>
          </cell>
          <cell r="U137">
            <v>0</v>
          </cell>
          <cell r="V137" t="e">
            <v>#VALUE!</v>
          </cell>
          <cell r="W137" t="str">
            <v>Y</v>
          </cell>
          <cell r="X137">
            <v>1</v>
          </cell>
          <cell r="AD137" t="str">
            <v>0224-10</v>
          </cell>
        </row>
        <row r="138">
          <cell r="A138" t="str">
            <v>225-10</v>
          </cell>
          <cell r="B138">
            <v>4018</v>
          </cell>
          <cell r="C138" t="str">
            <v>DE.1.0.7.0</v>
          </cell>
          <cell r="D138" t="str">
            <v>204:464</v>
          </cell>
          <cell r="E138">
            <v>42592.827800925923</v>
          </cell>
          <cell r="F138">
            <v>42592.830347222225</v>
          </cell>
          <cell r="G138">
            <v>3</v>
          </cell>
          <cell r="H138" t="str">
            <v>204:233282</v>
          </cell>
          <cell r="I138">
            <v>42592.860127314816</v>
          </cell>
          <cell r="J138">
            <v>0</v>
          </cell>
          <cell r="K138" t="str">
            <v>4017/4018</v>
          </cell>
          <cell r="L138" t="str">
            <v>YANAI</v>
          </cell>
          <cell r="M138">
            <v>2.9780092590954155E-2</v>
          </cell>
          <cell r="N138">
            <v>42.883333330973983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https://search-rtdc-monitor-bjffxe2xuh6vdkpspy63sjmuny.us-east-1.es.amazonaws.com/_plugin/kibana/#/discover/Steve-Slow-Train-Analysis-(2080s-and-2083s)?_g=(refreshInterval:(display:Off,section:0,value:0),time:(from:'2016-08-10 18:52:02-0600',mode:absolute,to:'2016-08-10 21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8" t="str">
            <v>N</v>
          </cell>
          <cell r="X138">
            <v>1</v>
          </cell>
          <cell r="Y138">
            <v>4.6399999999999997E-2</v>
          </cell>
          <cell r="Z138">
            <v>23.328199999999999</v>
          </cell>
          <cell r="AA138">
            <v>23.2818</v>
          </cell>
          <cell r="AB138" t="e">
            <v>#N/A</v>
          </cell>
          <cell r="AC138" t="e">
            <v>#N/A</v>
          </cell>
          <cell r="AD138" t="str">
            <v>0225-10</v>
          </cell>
          <cell r="AE13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9">
          <cell r="A139" t="str">
            <v>226-10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P139">
            <v>1</v>
          </cell>
          <cell r="R139" t="str">
            <v>Did not initialize (OCS Power Outage)</v>
          </cell>
          <cell r="S139">
            <v>0</v>
          </cell>
          <cell r="T139" t="str">
            <v>Southbound</v>
          </cell>
          <cell r="U139">
            <v>0</v>
          </cell>
          <cell r="V139" t="e">
            <v>#VALUE!</v>
          </cell>
          <cell r="W139" t="e">
            <v>#VALUE!</v>
          </cell>
          <cell r="X139">
            <v>1</v>
          </cell>
          <cell r="Y139" t="e">
            <v>#VALUE!</v>
          </cell>
          <cell r="Z139" t="e">
            <v>#VALUE!</v>
          </cell>
          <cell r="AA139" t="e">
            <v>#VALUE!</v>
          </cell>
          <cell r="AB139" t="e">
            <v>#N/A</v>
          </cell>
          <cell r="AC139" t="e">
            <v>#N/A</v>
          </cell>
          <cell r="AD139" t="str">
            <v>0226-10</v>
          </cell>
          <cell r="AE139" t="e">
            <v>#VALUE!</v>
          </cell>
        </row>
        <row r="140">
          <cell r="A140" t="str">
            <v>227-10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P140">
            <v>1</v>
          </cell>
          <cell r="R140" t="str">
            <v>Did not initialize (OCS Power Outage)</v>
          </cell>
          <cell r="S140">
            <v>0</v>
          </cell>
          <cell r="T140" t="str">
            <v>NorthBound</v>
          </cell>
          <cell r="U140">
            <v>0</v>
          </cell>
          <cell r="V140" t="e">
            <v>#VALUE!</v>
          </cell>
          <cell r="W140" t="e">
            <v>#VALUE!</v>
          </cell>
          <cell r="X140">
            <v>1</v>
          </cell>
          <cell r="Y140" t="e">
            <v>#VALUE!</v>
          </cell>
          <cell r="Z140" t="e">
            <v>#VALUE!</v>
          </cell>
          <cell r="AA140" t="e">
            <v>#VALUE!</v>
          </cell>
          <cell r="AB140" t="e">
            <v>#N/A</v>
          </cell>
          <cell r="AC140" t="e">
            <v>#N/A</v>
          </cell>
          <cell r="AD140" t="str">
            <v>0227-10</v>
          </cell>
          <cell r="AE140" t="e">
            <v>#VALUE!</v>
          </cell>
        </row>
        <row r="141">
          <cell r="A141" t="str">
            <v>228-10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P141">
            <v>1</v>
          </cell>
          <cell r="R141" t="str">
            <v>Did not initialize (OCS Power Outage)</v>
          </cell>
          <cell r="S141">
            <v>0</v>
          </cell>
          <cell r="T141" t="str">
            <v>Southbound</v>
          </cell>
          <cell r="U141">
            <v>0</v>
          </cell>
          <cell r="V141" t="e">
            <v>#VALUE!</v>
          </cell>
          <cell r="W141" t="e">
            <v>#VALUE!</v>
          </cell>
          <cell r="X141">
            <v>1</v>
          </cell>
          <cell r="Y141" t="e">
            <v>#VALUE!</v>
          </cell>
          <cell r="Z141" t="e">
            <v>#VALUE!</v>
          </cell>
          <cell r="AA141" t="e">
            <v>#VALUE!</v>
          </cell>
          <cell r="AB141" t="e">
            <v>#N/A</v>
          </cell>
          <cell r="AC141" t="e">
            <v>#N/A</v>
          </cell>
          <cell r="AD141" t="str">
            <v>0228-10</v>
          </cell>
          <cell r="AE141" t="e">
            <v>#VALUE!</v>
          </cell>
        </row>
        <row r="142">
          <cell r="A142" t="str">
            <v>229-10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P142">
            <v>1</v>
          </cell>
          <cell r="R142" t="str">
            <v>Did not initialize (OCS Power Outage)</v>
          </cell>
          <cell r="S142">
            <v>0</v>
          </cell>
          <cell r="T142" t="str">
            <v>NorthBound</v>
          </cell>
          <cell r="U142">
            <v>0</v>
          </cell>
          <cell r="V142" t="e">
            <v>#VALUE!</v>
          </cell>
          <cell r="W142" t="e">
            <v>#VALUE!</v>
          </cell>
          <cell r="X142">
            <v>1</v>
          </cell>
          <cell r="Y142" t="e">
            <v>#VALUE!</v>
          </cell>
          <cell r="Z142" t="e">
            <v>#VALUE!</v>
          </cell>
          <cell r="AA142" t="e">
            <v>#VALUE!</v>
          </cell>
          <cell r="AB142" t="e">
            <v>#N/A</v>
          </cell>
          <cell r="AC142" t="e">
            <v>#N/A</v>
          </cell>
          <cell r="AD142" t="str">
            <v>0229-10</v>
          </cell>
          <cell r="AE142" t="e">
            <v>#VALUE!</v>
          </cell>
        </row>
        <row r="143">
          <cell r="A143" t="str">
            <v>230-10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P143">
            <v>1</v>
          </cell>
          <cell r="R143" t="str">
            <v>Did not initialize (OCS Power Outage)</v>
          </cell>
          <cell r="S143">
            <v>0</v>
          </cell>
          <cell r="T143" t="str">
            <v>Southbound</v>
          </cell>
          <cell r="U143">
            <v>0</v>
          </cell>
          <cell r="V143" t="e">
            <v>#VALUE!</v>
          </cell>
          <cell r="W143" t="e">
            <v>#VALUE!</v>
          </cell>
          <cell r="X143">
            <v>1</v>
          </cell>
          <cell r="Y143" t="e">
            <v>#VALUE!</v>
          </cell>
          <cell r="Z143" t="e">
            <v>#VALUE!</v>
          </cell>
          <cell r="AA143" t="e">
            <v>#VALUE!</v>
          </cell>
          <cell r="AB143" t="e">
            <v>#N/A</v>
          </cell>
          <cell r="AC143" t="e">
            <v>#N/A</v>
          </cell>
          <cell r="AD143" t="str">
            <v>0230-10</v>
          </cell>
          <cell r="AE143" t="e">
            <v>#VALUE!</v>
          </cell>
        </row>
        <row r="144">
          <cell r="A144" t="str">
            <v>231-10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P144">
            <v>1</v>
          </cell>
          <cell r="R144" t="str">
            <v>Did not initialize (OCS Power Outage)</v>
          </cell>
          <cell r="S144">
            <v>0</v>
          </cell>
          <cell r="T144" t="str">
            <v>NorthBound</v>
          </cell>
          <cell r="U144">
            <v>0</v>
          </cell>
          <cell r="V144" t="e">
            <v>#VALUE!</v>
          </cell>
          <cell r="W144" t="e">
            <v>#VALUE!</v>
          </cell>
          <cell r="X144">
            <v>1</v>
          </cell>
          <cell r="Y144" t="e">
            <v>#VALUE!</v>
          </cell>
          <cell r="Z144" t="e">
            <v>#VALUE!</v>
          </cell>
          <cell r="AA144" t="e">
            <v>#VALUE!</v>
          </cell>
          <cell r="AB144" t="e">
            <v>#N/A</v>
          </cell>
          <cell r="AC144" t="e">
            <v>#N/A</v>
          </cell>
          <cell r="AD144" t="str">
            <v>0231-10</v>
          </cell>
          <cell r="AE144" t="e">
            <v>#VALUE!</v>
          </cell>
        </row>
        <row r="145">
          <cell r="A145" t="str">
            <v>232-10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P145">
            <v>1</v>
          </cell>
          <cell r="R145" t="str">
            <v>Did not initialize (OCS Power Outage)</v>
          </cell>
          <cell r="S145">
            <v>0</v>
          </cell>
          <cell r="T145" t="str">
            <v>Southbound</v>
          </cell>
          <cell r="U145">
            <v>0</v>
          </cell>
          <cell r="V145" t="e">
            <v>#VALUE!</v>
          </cell>
          <cell r="W145" t="e">
            <v>#VALUE!</v>
          </cell>
          <cell r="X145">
            <v>1</v>
          </cell>
          <cell r="Y145" t="e">
            <v>#VALUE!</v>
          </cell>
          <cell r="Z145" t="e">
            <v>#VALUE!</v>
          </cell>
          <cell r="AA145" t="e">
            <v>#VALUE!</v>
          </cell>
          <cell r="AB145" t="e">
            <v>#N/A</v>
          </cell>
          <cell r="AC145" t="e">
            <v>#N/A</v>
          </cell>
          <cell r="AD145" t="str">
            <v>0232-10</v>
          </cell>
          <cell r="AE145" t="e">
            <v>#VALUE!</v>
          </cell>
        </row>
        <row r="146">
          <cell r="A146" t="str">
            <v>233-10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P146">
            <v>1</v>
          </cell>
          <cell r="R146" t="str">
            <v>Did not initialize (OCS Power Outage)</v>
          </cell>
          <cell r="S146">
            <v>0</v>
          </cell>
          <cell r="T146" t="str">
            <v>NorthBound</v>
          </cell>
          <cell r="U146">
            <v>0</v>
          </cell>
          <cell r="V146" t="e">
            <v>#VALUE!</v>
          </cell>
          <cell r="W146" t="e">
            <v>#VALUE!</v>
          </cell>
          <cell r="X146">
            <v>1</v>
          </cell>
          <cell r="Y146" t="e">
            <v>#VALUE!</v>
          </cell>
          <cell r="Z146" t="e">
            <v>#VALUE!</v>
          </cell>
          <cell r="AA146" t="e">
            <v>#VALUE!</v>
          </cell>
          <cell r="AB146" t="e">
            <v>#N/A</v>
          </cell>
          <cell r="AC146" t="e">
            <v>#N/A</v>
          </cell>
          <cell r="AD146" t="str">
            <v>0233-10</v>
          </cell>
          <cell r="AE146" t="e">
            <v>#VALUE!</v>
          </cell>
        </row>
        <row r="147">
          <cell r="A147" t="str">
            <v>234-10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P147">
            <v>1</v>
          </cell>
          <cell r="R147" t="str">
            <v>Did not initialize (OCS Power Outage)</v>
          </cell>
          <cell r="S147">
            <v>0</v>
          </cell>
          <cell r="T147" t="str">
            <v>Southbound</v>
          </cell>
          <cell r="U147">
            <v>0</v>
          </cell>
          <cell r="V147" t="e">
            <v>#VALUE!</v>
          </cell>
          <cell r="W147" t="e">
            <v>#VALUE!</v>
          </cell>
          <cell r="X147">
            <v>1</v>
          </cell>
          <cell r="Y147" t="e">
            <v>#VALUE!</v>
          </cell>
          <cell r="Z147" t="e">
            <v>#VALUE!</v>
          </cell>
          <cell r="AA147" t="e">
            <v>#VALUE!</v>
          </cell>
          <cell r="AB147" t="e">
            <v>#N/A</v>
          </cell>
          <cell r="AC147" t="e">
            <v>#N/A</v>
          </cell>
          <cell r="AD147" t="str">
            <v>0234-10</v>
          </cell>
          <cell r="AE147" t="e">
            <v>#VALUE!</v>
          </cell>
        </row>
        <row r="148">
          <cell r="A148" t="str">
            <v>235-10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P148">
            <v>1</v>
          </cell>
          <cell r="R148" t="str">
            <v>Did not initialize (OCS Power Outage)</v>
          </cell>
          <cell r="S148">
            <v>0</v>
          </cell>
          <cell r="T148" t="str">
            <v>NorthBound</v>
          </cell>
          <cell r="U148">
            <v>0</v>
          </cell>
          <cell r="V148" t="e">
            <v>#VALUE!</v>
          </cell>
          <cell r="W148" t="e">
            <v>#VALUE!</v>
          </cell>
          <cell r="X148">
            <v>1</v>
          </cell>
          <cell r="Y148" t="e">
            <v>#VALUE!</v>
          </cell>
          <cell r="Z148" t="e">
            <v>#VALUE!</v>
          </cell>
          <cell r="AA148" t="e">
            <v>#VALUE!</v>
          </cell>
          <cell r="AB148" t="e">
            <v>#N/A</v>
          </cell>
          <cell r="AC148" t="e">
            <v>#N/A</v>
          </cell>
          <cell r="AD148" t="str">
            <v>0235-10</v>
          </cell>
          <cell r="AE148" t="e">
            <v>#VALUE!</v>
          </cell>
        </row>
        <row r="149">
          <cell r="A149" t="str">
            <v>236-10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P149">
            <v>1</v>
          </cell>
          <cell r="R149" t="str">
            <v>Did not initialize (OCS Power Outage)</v>
          </cell>
          <cell r="S149">
            <v>0</v>
          </cell>
          <cell r="T149" t="str">
            <v>Southbound</v>
          </cell>
          <cell r="U149">
            <v>0</v>
          </cell>
          <cell r="V149" t="e">
            <v>#VALUE!</v>
          </cell>
          <cell r="W149" t="e">
            <v>#VALUE!</v>
          </cell>
          <cell r="X149">
            <v>1</v>
          </cell>
          <cell r="Y149" t="e">
            <v>#VALUE!</v>
          </cell>
          <cell r="Z149" t="e">
            <v>#VALUE!</v>
          </cell>
          <cell r="AA149" t="e">
            <v>#VALUE!</v>
          </cell>
          <cell r="AB149" t="e">
            <v>#N/A</v>
          </cell>
          <cell r="AC149" t="e">
            <v>#N/A</v>
          </cell>
          <cell r="AD149" t="str">
            <v>0236-10</v>
          </cell>
          <cell r="AE149" t="e">
            <v>#VALUE!</v>
          </cell>
        </row>
        <row r="150">
          <cell r="A150" t="str">
            <v>237-10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P150">
            <v>1</v>
          </cell>
          <cell r="R150" t="str">
            <v>Did not initialize (OCS Power Outage)</v>
          </cell>
          <cell r="S150">
            <v>0</v>
          </cell>
          <cell r="T150" t="str">
            <v>NorthBound</v>
          </cell>
          <cell r="U150">
            <v>0</v>
          </cell>
          <cell r="V150" t="e">
            <v>#VALUE!</v>
          </cell>
          <cell r="W150" t="e">
            <v>#VALUE!</v>
          </cell>
          <cell r="X150">
            <v>1</v>
          </cell>
          <cell r="Y150" t="e">
            <v>#VALUE!</v>
          </cell>
          <cell r="Z150" t="e">
            <v>#VALUE!</v>
          </cell>
          <cell r="AA150" t="e">
            <v>#VALUE!</v>
          </cell>
          <cell r="AB150" t="e">
            <v>#N/A</v>
          </cell>
          <cell r="AC150" t="e">
            <v>#N/A</v>
          </cell>
          <cell r="AD150" t="str">
            <v>0237-10</v>
          </cell>
          <cell r="AE150" t="e">
            <v>#VALUE!</v>
          </cell>
        </row>
        <row r="151">
          <cell r="A151" t="str">
            <v>238-10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P151">
            <v>1</v>
          </cell>
          <cell r="R151" t="str">
            <v>Did not initialize (OCS Power Outage)</v>
          </cell>
          <cell r="S151">
            <v>0</v>
          </cell>
          <cell r="T151" t="str">
            <v>Southbound</v>
          </cell>
          <cell r="U151">
            <v>0</v>
          </cell>
          <cell r="V151" t="e">
            <v>#VALUE!</v>
          </cell>
          <cell r="W151" t="e">
            <v>#VALUE!</v>
          </cell>
          <cell r="X151">
            <v>1</v>
          </cell>
          <cell r="Y151" t="e">
            <v>#VALUE!</v>
          </cell>
          <cell r="Z151" t="e">
            <v>#VALUE!</v>
          </cell>
          <cell r="AA151" t="e">
            <v>#VALUE!</v>
          </cell>
          <cell r="AB151" t="e">
            <v>#N/A</v>
          </cell>
          <cell r="AC151" t="e">
            <v>#N/A</v>
          </cell>
          <cell r="AD151" t="str">
            <v>0238-10</v>
          </cell>
          <cell r="AE151" t="e">
            <v>#VALUE!</v>
          </cell>
        </row>
        <row r="152">
          <cell r="A152" t="str">
            <v>239-10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P152">
            <v>1</v>
          </cell>
          <cell r="R152" t="str">
            <v>Did not initialize (OCS Power Outage)</v>
          </cell>
          <cell r="S152">
            <v>0</v>
          </cell>
          <cell r="T152" t="str">
            <v>NorthBound</v>
          </cell>
          <cell r="U152">
            <v>0</v>
          </cell>
          <cell r="V152" t="e">
            <v>#VALUE!</v>
          </cell>
          <cell r="W152" t="e">
            <v>#VALUE!</v>
          </cell>
          <cell r="X152">
            <v>1</v>
          </cell>
          <cell r="Y152" t="e">
            <v>#VALUE!</v>
          </cell>
          <cell r="Z152" t="e">
            <v>#VALUE!</v>
          </cell>
          <cell r="AA152" t="e">
            <v>#VALUE!</v>
          </cell>
          <cell r="AB152" t="e">
            <v>#N/A</v>
          </cell>
          <cell r="AC152" t="e">
            <v>#N/A</v>
          </cell>
          <cell r="AD152" t="str">
            <v>0239-10</v>
          </cell>
          <cell r="AE152" t="e">
            <v>#VALUE!</v>
          </cell>
        </row>
        <row r="153">
          <cell r="A153" t="str">
            <v>240-10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P153">
            <v>1</v>
          </cell>
          <cell r="R153" t="str">
            <v>Did not initialize (OCS Power Outage)</v>
          </cell>
          <cell r="S153">
            <v>0</v>
          </cell>
          <cell r="T153" t="str">
            <v>Southbound</v>
          </cell>
          <cell r="U153">
            <v>0</v>
          </cell>
          <cell r="V153" t="e">
            <v>#VALUE!</v>
          </cell>
          <cell r="W153" t="e">
            <v>#VALUE!</v>
          </cell>
          <cell r="X153">
            <v>1</v>
          </cell>
          <cell r="Y153" t="e">
            <v>#VALUE!</v>
          </cell>
          <cell r="Z153" t="e">
            <v>#VALUE!</v>
          </cell>
          <cell r="AA153" t="e">
            <v>#VALUE!</v>
          </cell>
          <cell r="AB153" t="e">
            <v>#N/A</v>
          </cell>
          <cell r="AC153" t="e">
            <v>#N/A</v>
          </cell>
          <cell r="AD153" t="str">
            <v>0240-10</v>
          </cell>
          <cell r="AE153" t="e">
            <v>#VALUE!</v>
          </cell>
        </row>
        <row r="154">
          <cell r="A154" t="str">
            <v>241-10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P154">
            <v>1</v>
          </cell>
          <cell r="R154" t="str">
            <v>Did not initialize (OCS Power Outage)</v>
          </cell>
          <cell r="S154">
            <v>0</v>
          </cell>
          <cell r="T154" t="str">
            <v>NorthBound</v>
          </cell>
          <cell r="U154">
            <v>0</v>
          </cell>
          <cell r="V154" t="e">
            <v>#VALUE!</v>
          </cell>
          <cell r="W154" t="e">
            <v>#VALUE!</v>
          </cell>
          <cell r="X154">
            <v>1</v>
          </cell>
          <cell r="Y154" t="e">
            <v>#VALUE!</v>
          </cell>
          <cell r="Z154" t="e">
            <v>#VALUE!</v>
          </cell>
          <cell r="AA154" t="e">
            <v>#VALUE!</v>
          </cell>
          <cell r="AB154" t="e">
            <v>#N/A</v>
          </cell>
          <cell r="AC154" t="e">
            <v>#N/A</v>
          </cell>
          <cell r="AD154" t="str">
            <v>0241-10</v>
          </cell>
          <cell r="AE154" t="e">
            <v>#VALUE!</v>
          </cell>
        </row>
        <row r="155">
          <cell r="A155" t="str">
            <v>242-10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P155">
            <v>1</v>
          </cell>
          <cell r="R155" t="str">
            <v>Did not initialize (OCS Power Outage)</v>
          </cell>
          <cell r="S155">
            <v>0</v>
          </cell>
          <cell r="T155" t="str">
            <v>Southbound</v>
          </cell>
          <cell r="U155">
            <v>0</v>
          </cell>
          <cell r="V155" t="e">
            <v>#VALUE!</v>
          </cell>
          <cell r="W155" t="e">
            <v>#VALUE!</v>
          </cell>
          <cell r="X155">
            <v>1</v>
          </cell>
          <cell r="Y155" t="e">
            <v>#VALUE!</v>
          </cell>
          <cell r="Z155" t="e">
            <v>#VALUE!</v>
          </cell>
          <cell r="AA155" t="e">
            <v>#VALUE!</v>
          </cell>
          <cell r="AB155" t="e">
            <v>#N/A</v>
          </cell>
          <cell r="AC155" t="e">
            <v>#N/A</v>
          </cell>
          <cell r="AD155" t="str">
            <v>0242-10</v>
          </cell>
          <cell r="AE155" t="e">
            <v>#VALUE!</v>
          </cell>
        </row>
        <row r="156">
          <cell r="A156" t="str">
            <v>243-10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P156">
            <v>1</v>
          </cell>
          <cell r="R156" t="str">
            <v>Did not initialize (OCS Power Outage)</v>
          </cell>
          <cell r="S156">
            <v>0</v>
          </cell>
          <cell r="T156" t="str">
            <v>NorthBound</v>
          </cell>
          <cell r="U156">
            <v>0</v>
          </cell>
          <cell r="V156" t="e">
            <v>#VALUE!</v>
          </cell>
          <cell r="W156" t="e">
            <v>#VALUE!</v>
          </cell>
          <cell r="X156">
            <v>1</v>
          </cell>
          <cell r="Y156" t="e">
            <v>#VALUE!</v>
          </cell>
          <cell r="Z156" t="e">
            <v>#VALUE!</v>
          </cell>
          <cell r="AA156" t="e">
            <v>#VALUE!</v>
          </cell>
          <cell r="AB156" t="e">
            <v>#N/A</v>
          </cell>
          <cell r="AC156" t="e">
            <v>#N/A</v>
          </cell>
          <cell r="AD156" t="str">
            <v>0243-10</v>
          </cell>
          <cell r="AE156" t="e">
            <v>#VALUE!</v>
          </cell>
        </row>
        <row r="157">
          <cell r="A157" t="str">
            <v>244-10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P157">
            <v>1</v>
          </cell>
          <cell r="R157" t="str">
            <v>Did not initialize (OCS Power Outage)</v>
          </cell>
          <cell r="S157">
            <v>0</v>
          </cell>
          <cell r="T157" t="str">
            <v>Southbound</v>
          </cell>
          <cell r="U157">
            <v>0</v>
          </cell>
          <cell r="V157" t="e">
            <v>#VALUE!</v>
          </cell>
          <cell r="W157" t="e">
            <v>#VALUE!</v>
          </cell>
          <cell r="X157">
            <v>1</v>
          </cell>
          <cell r="Y157" t="e">
            <v>#VALUE!</v>
          </cell>
          <cell r="Z157" t="e">
            <v>#VALUE!</v>
          </cell>
          <cell r="AA157" t="e">
            <v>#VALUE!</v>
          </cell>
          <cell r="AB157" t="e">
            <v>#N/A</v>
          </cell>
          <cell r="AC157" t="e">
            <v>#N/A</v>
          </cell>
          <cell r="AD157" t="str">
            <v>0244-10</v>
          </cell>
          <cell r="AE157" t="e">
            <v>#VALUE!</v>
          </cell>
        </row>
        <row r="158">
          <cell r="A158" t="str">
            <v>800-10</v>
          </cell>
          <cell r="B158">
            <v>4013</v>
          </cell>
          <cell r="C158" t="str">
            <v>DE.1.0.7.0</v>
          </cell>
          <cell r="D158" t="str">
            <v>300:58662</v>
          </cell>
          <cell r="E158">
            <v>42592.208506944444</v>
          </cell>
          <cell r="F158">
            <v>42592.209513888891</v>
          </cell>
          <cell r="G158">
            <v>1</v>
          </cell>
          <cell r="H158" t="str">
            <v>204:687</v>
          </cell>
          <cell r="I158">
            <v>42592.225740740738</v>
          </cell>
          <cell r="J158">
            <v>0</v>
          </cell>
          <cell r="K158" t="str">
            <v>4013/4014</v>
          </cell>
          <cell r="L158" t="str">
            <v>GRASTON</v>
          </cell>
          <cell r="M158">
            <v>1.6226851847022772E-2</v>
          </cell>
          <cell r="N158">
            <v>23.366666659712791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04:00:15-0600',mode:absolute,to:'2016-08-10 06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8" t="str">
            <v>N</v>
          </cell>
          <cell r="X158">
            <v>575</v>
          </cell>
          <cell r="Y158">
            <v>5.8662000000000001</v>
          </cell>
          <cell r="Z158">
            <v>6.8699999999999997E-2</v>
          </cell>
          <cell r="AA158">
            <v>5.7975000000000003</v>
          </cell>
          <cell r="AB158" t="e">
            <v>#N/A</v>
          </cell>
          <cell r="AC158" t="e">
            <v>#N/A</v>
          </cell>
          <cell r="AD158" t="str">
            <v>0800-10</v>
          </cell>
          <cell r="AE15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59">
          <cell r="A159" t="str">
            <v>801-10</v>
          </cell>
          <cell r="B159">
            <v>4014</v>
          </cell>
          <cell r="C159" t="str">
            <v>DE.1.0.7.0</v>
          </cell>
          <cell r="D159" t="str">
            <v>204:971</v>
          </cell>
          <cell r="E159">
            <v>42592.240486111114</v>
          </cell>
          <cell r="F159">
            <v>42592.241354166668</v>
          </cell>
          <cell r="G159">
            <v>1</v>
          </cell>
          <cell r="H159" t="str">
            <v>300:58920</v>
          </cell>
          <cell r="I159">
            <v>42592.253981481481</v>
          </cell>
          <cell r="J159">
            <v>0</v>
          </cell>
          <cell r="K159" t="str">
            <v>4013/4014</v>
          </cell>
          <cell r="L159" t="str">
            <v>GRASTON</v>
          </cell>
          <cell r="M159">
            <v>1.2627314812561963E-2</v>
          </cell>
          <cell r="N159">
            <v>18.183333330089226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https://search-rtdc-monitor-bjffxe2xuh6vdkpspy63sjmuny.us-east-1.es.amazonaws.com/_plugin/kibana/#/discover/Steve-Slow-Train-Analysis-(2080s-and-2083s)?_g=(refreshInterval:(display:Off,section:0,value:0),time:(from:'2016-08-10 04:46:18-0600',mode:absolute,to:'2016-08-10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9" t="str">
            <v>N</v>
          </cell>
          <cell r="X159">
            <v>1</v>
          </cell>
          <cell r="Y159">
            <v>9.7100000000000006E-2</v>
          </cell>
          <cell r="Z159">
            <v>5.8920000000000003</v>
          </cell>
          <cell r="AA159">
            <v>5.7949000000000002</v>
          </cell>
          <cell r="AB159" t="e">
            <v>#N/A</v>
          </cell>
          <cell r="AC159" t="e">
            <v>#N/A</v>
          </cell>
          <cell r="AD159" t="str">
            <v>0801-10</v>
          </cell>
          <cell r="AE15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0">
          <cell r="A160" t="str">
            <v>802-10</v>
          </cell>
          <cell r="B160">
            <v>4013</v>
          </cell>
          <cell r="C160" t="str">
            <v>DE.1.0.7.0</v>
          </cell>
          <cell r="D160" t="str">
            <v>300:58609</v>
          </cell>
          <cell r="E160">
            <v>42592.254895833335</v>
          </cell>
          <cell r="F160">
            <v>42592.255578703705</v>
          </cell>
          <cell r="G160">
            <v>0</v>
          </cell>
          <cell r="H160" t="str">
            <v>204:675</v>
          </cell>
          <cell r="I160">
            <v>42592.267361111109</v>
          </cell>
          <cell r="J160">
            <v>0</v>
          </cell>
          <cell r="K160" t="str">
            <v>4013/4014</v>
          </cell>
          <cell r="L160" t="str">
            <v>GRASTON</v>
          </cell>
          <cell r="M160">
            <v>1.1782407404098194E-2</v>
          </cell>
          <cell r="N160">
            <v>16.966666661901399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https://search-rtdc-monitor-bjffxe2xuh6vdkpspy63sjmuny.us-east-1.es.amazonaws.com/_plugin/kibana/#/discover/Steve-Slow-Train-Analysis-(2080s-and-2083s)?_g=(refreshInterval:(display:Off,section:0,value:0),time:(from:'2016-08-10 05:07:03-0600',mode:absolute,to:'2016-08-10 07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0" t="str">
            <v>N</v>
          </cell>
          <cell r="X160">
            <v>1</v>
          </cell>
          <cell r="Y160">
            <v>5.8609</v>
          </cell>
          <cell r="Z160">
            <v>6.7500000000000004E-2</v>
          </cell>
          <cell r="AA160">
            <v>5.7934000000000001</v>
          </cell>
          <cell r="AB160" t="e">
            <v>#N/A</v>
          </cell>
          <cell r="AC160" t="e">
            <v>#N/A</v>
          </cell>
          <cell r="AD160" t="str">
            <v>0802-10</v>
          </cell>
          <cell r="AE16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1">
          <cell r="A161" t="str">
            <v>803-10</v>
          </cell>
          <cell r="B161">
            <v>4044</v>
          </cell>
          <cell r="C161" t="str">
            <v>DE.1.0.7.0</v>
          </cell>
          <cell r="D161" t="str">
            <v>204:969</v>
          </cell>
          <cell r="E161">
            <v>42592.253148148149</v>
          </cell>
          <cell r="F161">
            <v>42592.254502314812</v>
          </cell>
          <cell r="G161">
            <v>1</v>
          </cell>
          <cell r="H161" t="str">
            <v>300:58939</v>
          </cell>
          <cell r="I161">
            <v>42592.274375000001</v>
          </cell>
          <cell r="J161">
            <v>0</v>
          </cell>
          <cell r="K161" t="str">
            <v>4043/4044</v>
          </cell>
          <cell r="L161" t="str">
            <v>OUN</v>
          </cell>
          <cell r="M161">
            <v>1.987268518860219E-2</v>
          </cell>
          <cell r="N161">
            <v>28.616666671587154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https://search-rtdc-monitor-bjffxe2xuh6vdkpspy63sjmuny.us-east-1.es.amazonaws.com/_plugin/kibana/#/discover/Steve-Slow-Train-Analysis-(2080s-and-2083s)?_g=(refreshInterval:(display:Off,section:0,value:0),time:(from:'2016-08-10 05:04:32-0600',mode:absolute,to:'2016-08-10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9.69E-2</v>
          </cell>
          <cell r="Z161">
            <v>5.8939000000000004</v>
          </cell>
          <cell r="AA161">
            <v>5.7970000000000006</v>
          </cell>
          <cell r="AB161" t="e">
            <v>#N/A</v>
          </cell>
          <cell r="AC161" t="e">
            <v>#N/A</v>
          </cell>
          <cell r="AD161" t="str">
            <v>0803-10</v>
          </cell>
          <cell r="AE16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2">
          <cell r="A162" t="str">
            <v>804-10</v>
          </cell>
          <cell r="B162">
            <v>4043</v>
          </cell>
          <cell r="C162" t="str">
            <v>DE.1.0.7.0</v>
          </cell>
          <cell r="D162" t="str">
            <v>300:58630</v>
          </cell>
          <cell r="E162">
            <v>42592.275567129633</v>
          </cell>
          <cell r="F162">
            <v>42592.276932870373</v>
          </cell>
          <cell r="G162">
            <v>1</v>
          </cell>
          <cell r="H162" t="str">
            <v>204:692</v>
          </cell>
          <cell r="I162">
            <v>42592.289178240739</v>
          </cell>
          <cell r="J162">
            <v>0</v>
          </cell>
          <cell r="K162" t="str">
            <v>4043/4044</v>
          </cell>
          <cell r="L162" t="str">
            <v>OUN</v>
          </cell>
          <cell r="M162">
            <v>1.2245370366144925E-2</v>
          </cell>
          <cell r="N162">
            <v>17.633333327248693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https://search-rtdc-monitor-bjffxe2xuh6vdkpspy63sjmuny.us-east-1.es.amazonaws.com/_plugin/kibana/#/discover/Steve-Slow-Train-Analysis-(2080s-and-2083s)?_g=(refreshInterval:(display:Off,section:0,value:0),time:(from:'2016-08-10 05:36:49-0600',mode:absolute,to:'2016-08-10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5.8630000000000004</v>
          </cell>
          <cell r="Z162">
            <v>6.9199999999999998E-2</v>
          </cell>
          <cell r="AA162">
            <v>5.7938000000000001</v>
          </cell>
          <cell r="AB162" t="e">
            <v>#N/A</v>
          </cell>
          <cell r="AC162" t="e">
            <v>#N/A</v>
          </cell>
          <cell r="AD162" t="str">
            <v>0804-10</v>
          </cell>
          <cell r="AE16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3">
          <cell r="A163" t="str">
            <v>805-10</v>
          </cell>
          <cell r="B163">
            <v>4014</v>
          </cell>
          <cell r="C163" t="str">
            <v>DE.1.0.7.0</v>
          </cell>
          <cell r="D163" t="str">
            <v>204:974</v>
          </cell>
          <cell r="E163">
            <v>42592.282361111109</v>
          </cell>
          <cell r="F163">
            <v>42592.283425925925</v>
          </cell>
          <cell r="G163">
            <v>1</v>
          </cell>
          <cell r="H163" t="str">
            <v>300:58929</v>
          </cell>
          <cell r="I163">
            <v>42592.295046296298</v>
          </cell>
          <cell r="J163">
            <v>0</v>
          </cell>
          <cell r="K163" t="str">
            <v>4013/4014</v>
          </cell>
          <cell r="L163" t="str">
            <v>GRASTON</v>
          </cell>
          <cell r="M163">
            <v>1.1620370372838806E-2</v>
          </cell>
          <cell r="N163">
            <v>16.733333336887881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https://search-rtdc-monitor-bjffxe2xuh6vdkpspy63sjmuny.us-east-1.es.amazonaws.com/_plugin/kibana/#/discover/Steve-Slow-Train-Analysis-(2080s-and-2083s)?_g=(refreshInterval:(display:Off,section:0,value:0),time:(from:'2016-08-10 05:46:36-0600',mode:absolute,to:'2016-08-10 08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3" t="str">
            <v>N</v>
          </cell>
          <cell r="X163">
            <v>1</v>
          </cell>
          <cell r="Y163">
            <v>9.74E-2</v>
          </cell>
          <cell r="Z163">
            <v>5.8929</v>
          </cell>
          <cell r="AA163">
            <v>5.7954999999999997</v>
          </cell>
          <cell r="AB163" t="e">
            <v>#N/A</v>
          </cell>
          <cell r="AC163" t="e">
            <v>#N/A</v>
          </cell>
          <cell r="AD163" t="str">
            <v>0805-10</v>
          </cell>
          <cell r="AE16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4">
          <cell r="A164" t="str">
            <v>806-10</v>
          </cell>
          <cell r="B164">
            <v>4013</v>
          </cell>
          <cell r="C164" t="str">
            <v>DE.1.0.7.0</v>
          </cell>
          <cell r="D164" t="str">
            <v>300:58615</v>
          </cell>
          <cell r="E164">
            <v>42592.295925925922</v>
          </cell>
          <cell r="F164">
            <v>42592.2969212963</v>
          </cell>
          <cell r="G164">
            <v>1</v>
          </cell>
          <cell r="H164" t="str">
            <v>204:696</v>
          </cell>
          <cell r="I164">
            <v>42592.309363425928</v>
          </cell>
          <cell r="J164">
            <v>1</v>
          </cell>
          <cell r="K164" t="str">
            <v>4013/4014</v>
          </cell>
          <cell r="L164" t="str">
            <v>GRASTON</v>
          </cell>
          <cell r="M164">
            <v>1.244212962774327E-2</v>
          </cell>
          <cell r="N164">
            <v>17.916666663950309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6.9599999999999995E-2</v>
          </cell>
          <cell r="AA164">
            <v>5.7919</v>
          </cell>
          <cell r="AB164" t="e">
            <v>#N/A</v>
          </cell>
          <cell r="AC164" t="e">
            <v>#N/A</v>
          </cell>
          <cell r="AD164" t="str">
            <v>0806-10</v>
          </cell>
          <cell r="AE16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5">
          <cell r="A165" t="str">
            <v>807-10</v>
          </cell>
          <cell r="B165">
            <v>4044</v>
          </cell>
          <cell r="C165" t="str">
            <v>DE.1.0.7.0</v>
          </cell>
          <cell r="D165" t="str">
            <v>204:990</v>
          </cell>
          <cell r="E165">
            <v>42592.298657407409</v>
          </cell>
          <cell r="F165">
            <v>42592.300034722219</v>
          </cell>
          <cell r="G165">
            <v>1</v>
          </cell>
          <cell r="H165" t="str">
            <v>300:58912</v>
          </cell>
          <cell r="I165">
            <v>42592.316342592596</v>
          </cell>
          <cell r="J165">
            <v>0</v>
          </cell>
          <cell r="K165" t="str">
            <v>4043/4044</v>
          </cell>
          <cell r="L165" t="str">
            <v>OUN</v>
          </cell>
          <cell r="M165">
            <v>1.6307870377204381E-2</v>
          </cell>
          <cell r="N165">
            <v>23.483333343174309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https://search-rtdc-monitor-bjffxe2xuh6vdkpspy63sjmuny.us-east-1.es.amazonaws.com/_plugin/kibana/#/discover/Steve-Slow-Train-Analysis-(2080s-and-2083s)?_g=(refreshInterval:(display:Off,section:0,value:0),time:(from:'2016-08-10 06:10:04-0600',mode:absolute,to:'2016-08-10 08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5" t="str">
            <v>N</v>
          </cell>
          <cell r="X165">
            <v>1</v>
          </cell>
          <cell r="Y165">
            <v>9.9000000000000005E-2</v>
          </cell>
          <cell r="Z165">
            <v>5.8912000000000004</v>
          </cell>
          <cell r="AA165">
            <v>5.7922000000000002</v>
          </cell>
          <cell r="AB165" t="e">
            <v>#N/A</v>
          </cell>
          <cell r="AC165" t="e">
            <v>#N/A</v>
          </cell>
          <cell r="AD165" t="str">
            <v>0807-10</v>
          </cell>
          <cell r="AE16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6">
          <cell r="A166" t="str">
            <v>808-10</v>
          </cell>
          <cell r="B166">
            <v>4043</v>
          </cell>
          <cell r="C166" t="str">
            <v>DE.1.0.7.0</v>
          </cell>
          <cell r="D166" t="str">
            <v>300:58596</v>
          </cell>
          <cell r="E166">
            <v>42592.317662037036</v>
          </cell>
          <cell r="F166">
            <v>42592.318495370368</v>
          </cell>
          <cell r="G166">
            <v>1</v>
          </cell>
          <cell r="H166" t="str">
            <v>204:689</v>
          </cell>
          <cell r="I166">
            <v>42592.330069444448</v>
          </cell>
          <cell r="J166">
            <v>0</v>
          </cell>
          <cell r="K166" t="str">
            <v>4043/4044</v>
          </cell>
          <cell r="L166" t="str">
            <v>OUN</v>
          </cell>
          <cell r="M166">
            <v>1.1574074080272112E-2</v>
          </cell>
          <cell r="N166">
            <v>16.666666675591841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https://search-rtdc-monitor-bjffxe2xuh6vdkpspy63sjmuny.us-east-1.es.amazonaws.com/_plugin/kibana/#/discover/Steve-Slow-Train-Analysis-(2080s-and-2083s)?_g=(refreshInterval:(display:Off,section:0,value:0),time:(from:'2016-08-10 06:37:26-0600',mode:absolute,to:'2016-08-10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6.8900000000000003E-2</v>
          </cell>
          <cell r="AA166">
            <v>5.7907000000000002</v>
          </cell>
          <cell r="AB166" t="e">
            <v>#N/A</v>
          </cell>
          <cell r="AC166" t="e">
            <v>#N/A</v>
          </cell>
          <cell r="AD166" t="str">
            <v>0808-10</v>
          </cell>
          <cell r="AE16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7">
          <cell r="A167" t="str">
            <v>809-10</v>
          </cell>
          <cell r="B167">
            <v>4014</v>
          </cell>
          <cell r="C167" t="str">
            <v>DE.1.0.7.0</v>
          </cell>
          <cell r="D167" t="str">
            <v>204:969</v>
          </cell>
          <cell r="E167">
            <v>42592.324201388888</v>
          </cell>
          <cell r="F167">
            <v>42592.324988425928</v>
          </cell>
          <cell r="G167">
            <v>1</v>
          </cell>
          <cell r="H167" t="str">
            <v>300:58937</v>
          </cell>
          <cell r="I167">
            <v>42592.336712962962</v>
          </cell>
          <cell r="J167">
            <v>0</v>
          </cell>
          <cell r="K167" t="str">
            <v>4013/4014</v>
          </cell>
          <cell r="L167" t="str">
            <v>GRASTON</v>
          </cell>
          <cell r="M167">
            <v>1.1724537034751847E-2</v>
          </cell>
          <cell r="N167">
            <v>16.88333333004266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https://search-rtdc-monitor-bjffxe2xuh6vdkpspy63sjmuny.us-east-1.es.amazonaws.com/_plugin/kibana/#/discover/Steve-Slow-Train-Analysis-(2080s-and-2083s)?_g=(refreshInterval:(display:Off,section:0,value:0),time:(from:'2016-08-10 06:46:51-0600',mode:absolute,to:'2016-08-10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7" t="str">
            <v>N</v>
          </cell>
          <cell r="X167">
            <v>1</v>
          </cell>
          <cell r="Y167">
            <v>9.69E-2</v>
          </cell>
          <cell r="Z167">
            <v>5.8936999999999999</v>
          </cell>
          <cell r="AA167">
            <v>5.7968000000000002</v>
          </cell>
          <cell r="AB167" t="e">
            <v>#N/A</v>
          </cell>
          <cell r="AC167" t="e">
            <v>#N/A</v>
          </cell>
          <cell r="AD167" t="str">
            <v>0809-10</v>
          </cell>
          <cell r="AE16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8">
          <cell r="A168" t="str">
            <v>810-10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42592.337650462963</v>
          </cell>
          <cell r="F168">
            <v>42592.338703703703</v>
          </cell>
          <cell r="G168">
            <v>1</v>
          </cell>
          <cell r="H168" t="str">
            <v>204:687</v>
          </cell>
          <cell r="I168">
            <v>42592.350821759261</v>
          </cell>
          <cell r="J168">
            <v>0</v>
          </cell>
          <cell r="K168" t="str">
            <v>4013/4014</v>
          </cell>
          <cell r="L168" t="str">
            <v>GRASTON</v>
          </cell>
          <cell r="M168">
            <v>1.2118055557948537E-2</v>
          </cell>
          <cell r="N168">
            <v>17.450000003445894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https://search-rtdc-monitor-bjffxe2xuh6vdkpspy63sjmuny.us-east-1.es.amazonaws.com/_plugin/kibana/#/discover/Steve-Slow-Train-Analysis-(2080s-and-2083s)?_g=(refreshInterval:(display:Off,section:0,value:0),time:(from:'2016-08-10 07:06:13-0600',mode:absolute,to:'2016-08-10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6.8699999999999997E-2</v>
          </cell>
          <cell r="AA168">
            <v>5.7921000000000005</v>
          </cell>
          <cell r="AB168" t="e">
            <v>#N/A</v>
          </cell>
          <cell r="AC168" t="e">
            <v>#N/A</v>
          </cell>
          <cell r="AD168" t="str">
            <v>0810-10</v>
          </cell>
          <cell r="AE16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9">
          <cell r="A169" t="str">
            <v>811-10</v>
          </cell>
          <cell r="B169">
            <v>4044</v>
          </cell>
          <cell r="C169" t="str">
            <v>DE.1.0.7.0</v>
          </cell>
          <cell r="D169" t="str">
            <v>204:971</v>
          </cell>
          <cell r="E169">
            <v>42592.343425925923</v>
          </cell>
          <cell r="F169">
            <v>42592.344340277778</v>
          </cell>
          <cell r="G169">
            <v>1</v>
          </cell>
          <cell r="H169" t="str">
            <v>300:58907</v>
          </cell>
          <cell r="I169">
            <v>42592.357685185183</v>
          </cell>
          <cell r="J169">
            <v>0</v>
          </cell>
          <cell r="K169" t="str">
            <v>4043/4044</v>
          </cell>
          <cell r="L169" t="str">
            <v>OUN</v>
          </cell>
          <cell r="M169">
            <v>1.3344907405553386E-2</v>
          </cell>
          <cell r="N169">
            <v>19.216666663996875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https://search-rtdc-monitor-bjffxe2xuh6vdkpspy63sjmuny.us-east-1.es.amazonaws.com/_plugin/kibana/#/discover/Steve-Slow-Train-Analysis-(2080s-and-2083s)?_g=(refreshInterval:(display:Off,section:0,value:0),time:(from:'2016-08-10 07:14:32-0600',mode:absolute,to:'2016-08-10 09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5.8906999999999998</v>
          </cell>
          <cell r="AA169">
            <v>5.7935999999999996</v>
          </cell>
          <cell r="AB169" t="e">
            <v>#N/A</v>
          </cell>
          <cell r="AC169" t="e">
            <v>#N/A</v>
          </cell>
          <cell r="AD169" t="str">
            <v>0811-10</v>
          </cell>
          <cell r="AE16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0">
          <cell r="A170" t="str">
            <v>812-10</v>
          </cell>
          <cell r="B170">
            <v>4043</v>
          </cell>
          <cell r="C170" t="str">
            <v>DE.1.0.7.0</v>
          </cell>
          <cell r="D170" t="str">
            <v>300:58587</v>
          </cell>
          <cell r="E170">
            <v>42592.359027777777</v>
          </cell>
          <cell r="F170">
            <v>42592.359884259262</v>
          </cell>
          <cell r="G170">
            <v>1</v>
          </cell>
          <cell r="H170" t="str">
            <v>204:691</v>
          </cell>
          <cell r="I170">
            <v>42592.377060185187</v>
          </cell>
          <cell r="J170">
            <v>0</v>
          </cell>
          <cell r="K170" t="str">
            <v>4043/4044</v>
          </cell>
          <cell r="L170" t="str">
            <v>OUN</v>
          </cell>
          <cell r="M170">
            <v>1.7175925924675539E-2</v>
          </cell>
          <cell r="N170">
            <v>24.733333331532776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https://search-rtdc-monitor-bjffxe2xuh6vdkpspy63sjmuny.us-east-1.es.amazonaws.com/_plugin/kibana/#/discover/Steve-Slow-Train-Analysis-(2080s-and-2083s)?_g=(refreshInterval:(display:Off,section:0,value:0),time:(from:'2016-08-10 07:37:00-0600',mode:absolute,to:'2016-08-10 10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0" t="str">
            <v>N</v>
          </cell>
          <cell r="X170">
            <v>1</v>
          </cell>
          <cell r="Y170">
            <v>5.8586999999999998</v>
          </cell>
          <cell r="Z170">
            <v>6.9099999999999995E-2</v>
          </cell>
          <cell r="AA170">
            <v>5.7896000000000001</v>
          </cell>
          <cell r="AB170" t="e">
            <v>#N/A</v>
          </cell>
          <cell r="AC170" t="e">
            <v>#N/A</v>
          </cell>
          <cell r="AD170" t="str">
            <v>0812-10</v>
          </cell>
          <cell r="AE17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1">
          <cell r="A171" t="str">
            <v>813-10</v>
          </cell>
          <cell r="B171">
            <v>4044</v>
          </cell>
          <cell r="C171" t="str">
            <v>DE.1.0.7.0</v>
          </cell>
          <cell r="D171" t="str">
            <v>204:974</v>
          </cell>
          <cell r="E171">
            <v>42592.387118055558</v>
          </cell>
          <cell r="F171">
            <v>42592.388159722221</v>
          </cell>
          <cell r="G171">
            <v>1</v>
          </cell>
          <cell r="H171" t="str">
            <v>300:58914</v>
          </cell>
          <cell r="I171">
            <v>42592.399606481478</v>
          </cell>
          <cell r="J171">
            <v>0</v>
          </cell>
          <cell r="K171" t="str">
            <v>4043/4044</v>
          </cell>
          <cell r="L171" t="str">
            <v>OUN</v>
          </cell>
          <cell r="M171">
            <v>1.1446759257523809E-2</v>
          </cell>
          <cell r="N171">
            <v>16.483333330834284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https://search-rtdc-monitor-bjffxe2xuh6vdkpspy63sjmuny.us-east-1.es.amazonaws.com/_plugin/kibana/#/discover/Steve-Slow-Train-Analysis-(2080s-and-2083s)?_g=(refreshInterval:(display:Off,section:0,value:0),time:(from:'2016-08-10 08:17:27-0600',mode:absolute,to:'2016-08-10 10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1" t="str">
            <v>N</v>
          </cell>
          <cell r="X171">
            <v>1</v>
          </cell>
          <cell r="Y171">
            <v>9.74E-2</v>
          </cell>
          <cell r="Z171">
            <v>5.8914</v>
          </cell>
          <cell r="AA171">
            <v>5.7939999999999996</v>
          </cell>
          <cell r="AB171" t="e">
            <v>#N/A</v>
          </cell>
          <cell r="AC171" t="e">
            <v>#N/A</v>
          </cell>
          <cell r="AD171" t="str">
            <v>0813-10</v>
          </cell>
          <cell r="AE17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2">
          <cell r="A172" t="str">
            <v>814-10</v>
          </cell>
          <cell r="B172">
            <v>4043</v>
          </cell>
          <cell r="C172" t="str">
            <v>DE.1.0.7.0</v>
          </cell>
          <cell r="D172" t="str">
            <v>300:58606</v>
          </cell>
          <cell r="E172">
            <v>42592.400810185187</v>
          </cell>
          <cell r="F172">
            <v>42592.40179398148</v>
          </cell>
          <cell r="G172">
            <v>1</v>
          </cell>
          <cell r="H172" t="str">
            <v>204:692</v>
          </cell>
          <cell r="I172">
            <v>42592.413680555554</v>
          </cell>
          <cell r="J172">
            <v>1</v>
          </cell>
          <cell r="K172" t="str">
            <v>4043/4044</v>
          </cell>
          <cell r="L172" t="str">
            <v>OUN</v>
          </cell>
          <cell r="M172">
            <v>1.1886574073287193E-2</v>
          </cell>
          <cell r="N172">
            <v>17.116666665533558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2" t="str">
            <v>N</v>
          </cell>
          <cell r="X172">
            <v>1</v>
          </cell>
          <cell r="Y172">
            <v>5.8605999999999998</v>
          </cell>
          <cell r="Z172">
            <v>6.9199999999999998E-2</v>
          </cell>
          <cell r="AA172">
            <v>5.7913999999999994</v>
          </cell>
          <cell r="AB172" t="e">
            <v>#N/A</v>
          </cell>
          <cell r="AC172" t="e">
            <v>#N/A</v>
          </cell>
          <cell r="AD172" t="str">
            <v>0814-10</v>
          </cell>
          <cell r="AE17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3">
          <cell r="A173" t="str">
            <v>815-10</v>
          </cell>
          <cell r="B173">
            <v>4044</v>
          </cell>
          <cell r="C173" t="str">
            <v>DE.1.0.7.0</v>
          </cell>
          <cell r="D173" t="str">
            <v>204:976</v>
          </cell>
          <cell r="E173">
            <v>42592.428379629629</v>
          </cell>
          <cell r="F173">
            <v>42592.429525462961</v>
          </cell>
          <cell r="G173">
            <v>1</v>
          </cell>
          <cell r="H173" t="str">
            <v>300:58899</v>
          </cell>
          <cell r="I173">
            <v>42592.442256944443</v>
          </cell>
          <cell r="J173">
            <v>1</v>
          </cell>
          <cell r="K173" t="str">
            <v>4043/4044</v>
          </cell>
          <cell r="L173" t="str">
            <v>OUN</v>
          </cell>
          <cell r="M173">
            <v>1.2731481481750961E-2</v>
          </cell>
          <cell r="N173">
            <v>18.333333333721384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3" t="str">
            <v>N</v>
          </cell>
          <cell r="X173">
            <v>1</v>
          </cell>
          <cell r="Y173">
            <v>9.7600000000000006E-2</v>
          </cell>
          <cell r="Z173">
            <v>5.8898999999999999</v>
          </cell>
          <cell r="AA173">
            <v>5.7923</v>
          </cell>
          <cell r="AB173" t="e">
            <v>#N/A</v>
          </cell>
          <cell r="AC173" t="e">
            <v>#N/A</v>
          </cell>
          <cell r="AD173" t="str">
            <v>0815-10</v>
          </cell>
          <cell r="AE17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4">
          <cell r="A174" t="str">
            <v>816-10</v>
          </cell>
          <cell r="B174">
            <v>4043</v>
          </cell>
          <cell r="C174" t="str">
            <v>DE.1.0.7.0</v>
          </cell>
          <cell r="D174" t="str">
            <v>300:58585</v>
          </cell>
          <cell r="E174">
            <v>42592.443749999999</v>
          </cell>
          <cell r="F174">
            <v>42592.445543981485</v>
          </cell>
          <cell r="G174">
            <v>2</v>
          </cell>
          <cell r="H174" t="str">
            <v>204:699</v>
          </cell>
          <cell r="I174">
            <v>42592.459467592591</v>
          </cell>
          <cell r="J174">
            <v>1</v>
          </cell>
          <cell r="K174" t="str">
            <v>4043/4044</v>
          </cell>
          <cell r="L174" t="str">
            <v>OUN</v>
          </cell>
          <cell r="M174">
            <v>1.392361110629281E-2</v>
          </cell>
          <cell r="N174">
            <v>20.049999993061647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4" t="str">
            <v>N</v>
          </cell>
          <cell r="X174">
            <v>1</v>
          </cell>
          <cell r="Y174">
            <v>5.8585000000000003</v>
          </cell>
          <cell r="Z174">
            <v>6.9900000000000004E-2</v>
          </cell>
          <cell r="AA174">
            <v>5.7886000000000006</v>
          </cell>
          <cell r="AB174" t="e">
            <v>#N/A</v>
          </cell>
          <cell r="AC174" t="e">
            <v>#N/A</v>
          </cell>
          <cell r="AD174" t="str">
            <v>0816-10</v>
          </cell>
          <cell r="AE17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5">
          <cell r="A175" t="str">
            <v>817-10</v>
          </cell>
          <cell r="B175">
            <v>4044</v>
          </cell>
          <cell r="C175" t="str">
            <v>DE.1.0.7.0</v>
          </cell>
          <cell r="D175" t="str">
            <v>204:983</v>
          </cell>
          <cell r="E175">
            <v>42592.468078703707</v>
          </cell>
          <cell r="F175">
            <v>42592.469652777778</v>
          </cell>
          <cell r="G175">
            <v>2</v>
          </cell>
          <cell r="H175" t="str">
            <v>300:58911</v>
          </cell>
          <cell r="I175">
            <v>42592.483032407406</v>
          </cell>
          <cell r="J175">
            <v>0</v>
          </cell>
          <cell r="K175" t="str">
            <v>4043/4044</v>
          </cell>
          <cell r="L175" t="str">
            <v>OUN</v>
          </cell>
          <cell r="M175">
            <v>1.3379629628616385E-2</v>
          </cell>
          <cell r="N175">
            <v>19.266666665207595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https://search-rtdc-monitor-bjffxe2xuh6vdkpspy63sjmuny.us-east-1.es.amazonaws.com/_plugin/kibana/#/discover/Steve-Slow-Train-Analysis-(2080s-and-2083s)?_g=(refreshInterval:(display:Off,section:0,value:0),time:(from:'2016-08-10 10:14:02-0600',mode:absolute,to:'2016-08-10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5" t="str">
            <v>N</v>
          </cell>
          <cell r="X175">
            <v>1</v>
          </cell>
          <cell r="Y175">
            <v>9.8299999999999998E-2</v>
          </cell>
          <cell r="Z175">
            <v>5.8910999999999998</v>
          </cell>
          <cell r="AA175">
            <v>5.7927999999999997</v>
          </cell>
          <cell r="AB175" t="e">
            <v>#N/A</v>
          </cell>
          <cell r="AC175" t="e">
            <v>#N/A</v>
          </cell>
          <cell r="AD175" t="str">
            <v>0817-10</v>
          </cell>
          <cell r="AE17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6">
          <cell r="A176" t="str">
            <v>818-10</v>
          </cell>
          <cell r="B176">
            <v>4043</v>
          </cell>
          <cell r="C176" t="str">
            <v>DE.1.0.7.0</v>
          </cell>
          <cell r="D176" t="str">
            <v>300:58606</v>
          </cell>
          <cell r="E176">
            <v>42592.485509259262</v>
          </cell>
          <cell r="F176">
            <v>42592.486458333333</v>
          </cell>
          <cell r="G176">
            <v>1</v>
          </cell>
          <cell r="H176" t="str">
            <v>204:694</v>
          </cell>
          <cell r="I176">
            <v>42592.497430555559</v>
          </cell>
          <cell r="J176">
            <v>0</v>
          </cell>
          <cell r="K176" t="str">
            <v>4043/4044</v>
          </cell>
          <cell r="L176" t="str">
            <v>OUN</v>
          </cell>
          <cell r="M176">
            <v>1.0972222225973383E-2</v>
          </cell>
          <cell r="N176">
            <v>15.800000005401671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https://search-rtdc-monitor-bjffxe2xuh6vdkpspy63sjmuny.us-east-1.es.amazonaws.com/_plugin/kibana/#/discover/Steve-Slow-Train-Analysis-(2080s-and-2083s)?_g=(refreshInterval:(display:Off,section:0,value:0),time:(from:'2016-08-10 10:39:08-0600',mode:absolute,to:'2016-08-10 12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6" t="str">
            <v>N</v>
          </cell>
          <cell r="X176">
            <v>1</v>
          </cell>
          <cell r="Y176">
            <v>5.8605999999999998</v>
          </cell>
          <cell r="Z176">
            <v>6.9400000000000003E-2</v>
          </cell>
          <cell r="AA176">
            <v>5.7911999999999999</v>
          </cell>
          <cell r="AB176" t="e">
            <v>#N/A</v>
          </cell>
          <cell r="AC176" t="e">
            <v>#N/A</v>
          </cell>
          <cell r="AD176" t="str">
            <v>0818-10</v>
          </cell>
          <cell r="AE17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7">
          <cell r="A177" t="str">
            <v>819-10</v>
          </cell>
          <cell r="B177">
            <v>4044</v>
          </cell>
          <cell r="C177" t="str">
            <v>DE.1.0.7.0</v>
          </cell>
          <cell r="D177" t="str">
            <v>204:985</v>
          </cell>
          <cell r="E177">
            <v>42592.510312500002</v>
          </cell>
          <cell r="F177">
            <v>42592.511516203704</v>
          </cell>
          <cell r="G177">
            <v>1</v>
          </cell>
          <cell r="H177" t="str">
            <v>300:58916</v>
          </cell>
          <cell r="I177">
            <v>42592.525393518517</v>
          </cell>
          <cell r="J177">
            <v>1</v>
          </cell>
          <cell r="K177" t="str">
            <v>4043/4044</v>
          </cell>
          <cell r="L177" t="str">
            <v>OUN</v>
          </cell>
          <cell r="M177">
            <v>1.3877314813726116E-2</v>
          </cell>
          <cell r="N177">
            <v>19.983333331765607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7" t="str">
            <v>N</v>
          </cell>
          <cell r="X177">
            <v>1</v>
          </cell>
          <cell r="Y177">
            <v>9.8500000000000004E-2</v>
          </cell>
          <cell r="Z177">
            <v>5.8916000000000004</v>
          </cell>
          <cell r="AA177">
            <v>5.7931000000000008</v>
          </cell>
          <cell r="AB177" t="e">
            <v>#N/A</v>
          </cell>
          <cell r="AC177" t="e">
            <v>#N/A</v>
          </cell>
          <cell r="AD177" t="str">
            <v>0819-10</v>
          </cell>
          <cell r="AE17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8">
          <cell r="A178" t="str">
            <v>820-10</v>
          </cell>
          <cell r="B178">
            <v>4043</v>
          </cell>
          <cell r="C178" t="str">
            <v>DE.1.0.7.0</v>
          </cell>
          <cell r="D178" t="str">
            <v>300:58598</v>
          </cell>
          <cell r="E178">
            <v>42592.527094907404</v>
          </cell>
          <cell r="F178">
            <v>42592.528148148151</v>
          </cell>
          <cell r="G178">
            <v>1</v>
          </cell>
          <cell r="H178" t="str">
            <v>204:684</v>
          </cell>
          <cell r="I178">
            <v>42592.540405092594</v>
          </cell>
          <cell r="J178">
            <v>0</v>
          </cell>
          <cell r="K178" t="str">
            <v>4043/4044</v>
          </cell>
          <cell r="L178" t="str">
            <v>OUN</v>
          </cell>
          <cell r="M178">
            <v>1.2256944442924578E-2</v>
          </cell>
          <cell r="N178">
            <v>17.649999997811392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https://search-rtdc-monitor-bjffxe2xuh6vdkpspy63sjmuny.us-east-1.es.amazonaws.com/_plugin/kibana/#/discover/Steve-Slow-Train-Analysis-(2080s-and-2083s)?_g=(refreshInterval:(display:Off,section:0,value:0),time:(from:'2016-08-10 11:39:01-0600',mode:absolute,to:'2016-08-10 13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8" t="str">
            <v>N</v>
          </cell>
          <cell r="X178">
            <v>1</v>
          </cell>
          <cell r="Y178">
            <v>5.8597999999999999</v>
          </cell>
          <cell r="Z178">
            <v>6.8400000000000002E-2</v>
          </cell>
          <cell r="AA178">
            <v>5.7914000000000003</v>
          </cell>
          <cell r="AB178" t="e">
            <v>#N/A</v>
          </cell>
          <cell r="AC178" t="e">
            <v>#N/A</v>
          </cell>
          <cell r="AD178" t="str">
            <v>0820-10</v>
          </cell>
          <cell r="AE17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9">
          <cell r="A179" t="str">
            <v>821-10</v>
          </cell>
          <cell r="B179">
            <v>4044</v>
          </cell>
          <cell r="C179" t="str">
            <v>DE.1.0.7.0</v>
          </cell>
          <cell r="D179" t="str">
            <v>204:976</v>
          </cell>
          <cell r="E179">
            <v>42592.549201388887</v>
          </cell>
          <cell r="F179">
            <v>42592.550416666665</v>
          </cell>
          <cell r="G179">
            <v>1</v>
          </cell>
          <cell r="H179" t="str">
            <v>300:58935</v>
          </cell>
          <cell r="I179">
            <v>42592.568090277775</v>
          </cell>
          <cell r="J179">
            <v>0</v>
          </cell>
          <cell r="K179" t="str">
            <v>4043/4044</v>
          </cell>
          <cell r="L179" t="str">
            <v>MOSES</v>
          </cell>
          <cell r="M179">
            <v>1.767361110978527E-2</v>
          </cell>
          <cell r="N179">
            <v>25.449999998090789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https://search-rtdc-monitor-bjffxe2xuh6vdkpspy63sjmuny.us-east-1.es.amazonaws.com/_plugin/kibana/#/discover/Steve-Slow-Train-Analysis-(2080s-and-2083s)?_g=(refreshInterval:(display:Off,section:0,value:0),time:(from:'2016-08-10 12:10:51-0600',mode:absolute,to:'2016-08-10 14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9" t="str">
            <v>N</v>
          </cell>
          <cell r="X179">
            <v>1</v>
          </cell>
          <cell r="Y179">
            <v>9.7600000000000006E-2</v>
          </cell>
          <cell r="Z179">
            <v>5.8935000000000004</v>
          </cell>
          <cell r="AA179">
            <v>5.7959000000000005</v>
          </cell>
          <cell r="AB179" t="e">
            <v>#N/A</v>
          </cell>
          <cell r="AC179" t="e">
            <v>#N/A</v>
          </cell>
          <cell r="AD179" t="str">
            <v>0821-10</v>
          </cell>
          <cell r="AE17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0">
          <cell r="A180" t="str">
            <v>822-10</v>
          </cell>
          <cell r="B180">
            <v>4043</v>
          </cell>
          <cell r="C180" t="str">
            <v>DE.1.0.7.0</v>
          </cell>
          <cell r="D180" t="str">
            <v>300:58626</v>
          </cell>
          <cell r="E180">
            <v>42592.569467592592</v>
          </cell>
          <cell r="F180">
            <v>42592.57068287037</v>
          </cell>
          <cell r="G180">
            <v>1</v>
          </cell>
          <cell r="H180" t="str">
            <v>204:752</v>
          </cell>
          <cell r="I180">
            <v>42592.581712962965</v>
          </cell>
          <cell r="J180">
            <v>1</v>
          </cell>
          <cell r="K180" t="str">
            <v>4043/4044</v>
          </cell>
          <cell r="L180" t="str">
            <v>MOSES</v>
          </cell>
          <cell r="M180">
            <v>1.1030092595319729E-2</v>
          </cell>
          <cell r="N180">
            <v>15.88333333726041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0" t="str">
            <v>N</v>
          </cell>
          <cell r="X180">
            <v>1</v>
          </cell>
          <cell r="Y180">
            <v>5.8625999999999996</v>
          </cell>
          <cell r="Z180">
            <v>7.5200000000000003E-2</v>
          </cell>
          <cell r="AA180">
            <v>5.7873999999999999</v>
          </cell>
          <cell r="AB180" t="e">
            <v>#N/A</v>
          </cell>
          <cell r="AC180" t="e">
            <v>#N/A</v>
          </cell>
          <cell r="AD180" t="str">
            <v>0822-10</v>
          </cell>
          <cell r="AE18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1">
          <cell r="A181" t="str">
            <v>823-10</v>
          </cell>
          <cell r="B181">
            <v>4044</v>
          </cell>
          <cell r="C181" t="str">
            <v>DE.1.0.7.0</v>
          </cell>
          <cell r="D181" t="str">
            <v>204:1025</v>
          </cell>
          <cell r="E181">
            <v>42592.594953703701</v>
          </cell>
          <cell r="F181">
            <v>42592.595995370371</v>
          </cell>
          <cell r="G181">
            <v>1</v>
          </cell>
          <cell r="H181" t="str">
            <v>300:58963</v>
          </cell>
          <cell r="I181">
            <v>42592.608148148145</v>
          </cell>
          <cell r="J181">
            <v>0</v>
          </cell>
          <cell r="K181" t="str">
            <v>4043/4044</v>
          </cell>
          <cell r="L181" t="str">
            <v>MOSES</v>
          </cell>
          <cell r="M181">
            <v>1.2152777773735579E-2</v>
          </cell>
          <cell r="N181">
            <v>17.499999994179234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https://search-rtdc-monitor-bjffxe2xuh6vdkpspy63sjmuny.us-east-1.es.amazonaws.com/_plugin/kibana/#/discover/Steve-Slow-Train-Analysis-(2080s-and-2083s)?_g=(refreshInterval:(display:Off,section:0,value:0),time:(from:'2016-08-10 13:16:44-0600',mode:absolute,to:'2016-08-10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1" t="str">
            <v>N</v>
          </cell>
          <cell r="X181">
            <v>1</v>
          </cell>
          <cell r="Y181">
            <v>0.10249999999999999</v>
          </cell>
          <cell r="Z181">
            <v>5.8963000000000001</v>
          </cell>
          <cell r="AA181">
            <v>5.7938000000000001</v>
          </cell>
          <cell r="AB181" t="e">
            <v>#N/A</v>
          </cell>
          <cell r="AC181" t="e">
            <v>#N/A</v>
          </cell>
          <cell r="AD181" t="str">
            <v>0823-10</v>
          </cell>
          <cell r="AE18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2">
          <cell r="A182" t="str">
            <v>824-10</v>
          </cell>
          <cell r="B182">
            <v>4043</v>
          </cell>
          <cell r="C182" t="str">
            <v>DE.1.0.7.0</v>
          </cell>
          <cell r="D182" t="str">
            <v>300:58645</v>
          </cell>
          <cell r="E182">
            <v>42592.609212962961</v>
          </cell>
          <cell r="F182">
            <v>42592.610092592593</v>
          </cell>
          <cell r="G182">
            <v>1</v>
          </cell>
          <cell r="H182" t="str">
            <v>204:883</v>
          </cell>
          <cell r="I182">
            <v>42592.621527777781</v>
          </cell>
          <cell r="J182">
            <v>0</v>
          </cell>
          <cell r="K182" t="str">
            <v>4043/4044</v>
          </cell>
          <cell r="L182" t="str">
            <v>MOSES</v>
          </cell>
          <cell r="M182">
            <v>1.1435185188020114E-2</v>
          </cell>
          <cell r="N182">
            <v>16.466666670748964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https://search-rtdc-monitor-bjffxe2xuh6vdkpspy63sjmuny.us-east-1.es.amazonaws.com/_plugin/kibana/#/discover/Steve-Slow-Train-Analysis-(2080s-and-2083s)?_g=(refreshInterval:(display:Off,section:0,value:0),time:(from:'2016-08-10 13:37:16-0600',mode:absolute,to:'2016-08-10 15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2" t="str">
            <v>N</v>
          </cell>
          <cell r="X182">
            <v>1</v>
          </cell>
          <cell r="Y182">
            <v>5.8644999999999996</v>
          </cell>
          <cell r="Z182">
            <v>8.8300000000000003E-2</v>
          </cell>
          <cell r="AA182">
            <v>5.7761999999999993</v>
          </cell>
          <cell r="AB182" t="e">
            <v>#N/A</v>
          </cell>
          <cell r="AC182" t="e">
            <v>#N/A</v>
          </cell>
          <cell r="AD182" t="str">
            <v>0824-10</v>
          </cell>
          <cell r="AE18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3">
          <cell r="A183" t="str">
            <v>825-10</v>
          </cell>
          <cell r="B183">
            <v>4044</v>
          </cell>
          <cell r="C183" t="str">
            <v>DE.1.0.7.0</v>
          </cell>
          <cell r="D183" t="str">
            <v>204:1160</v>
          </cell>
          <cell r="E183">
            <v>42592.637465277781</v>
          </cell>
          <cell r="F183">
            <v>42592.638298611113</v>
          </cell>
          <cell r="G183">
            <v>1</v>
          </cell>
          <cell r="H183" t="str">
            <v>300:58899</v>
          </cell>
          <cell r="I183">
            <v>42592.650057870371</v>
          </cell>
          <cell r="J183">
            <v>0</v>
          </cell>
          <cell r="K183" t="str">
            <v>4043/4044</v>
          </cell>
          <cell r="L183" t="str">
            <v>MOSES</v>
          </cell>
          <cell r="M183">
            <v>1.1759259257814847E-2</v>
          </cell>
          <cell r="N183">
            <v>16.93333333125338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3" t="str">
            <v>N</v>
          </cell>
          <cell r="X183">
            <v>1</v>
          </cell>
          <cell r="Y183">
            <v>0.11600000000000001</v>
          </cell>
          <cell r="Z183">
            <v>5.8898999999999999</v>
          </cell>
          <cell r="AA183">
            <v>5.7739000000000003</v>
          </cell>
          <cell r="AB183" t="e">
            <v>#N/A</v>
          </cell>
          <cell r="AC183" t="e">
            <v>#N/A</v>
          </cell>
          <cell r="AD183" t="str">
            <v>0825-10</v>
          </cell>
          <cell r="AE18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4">
          <cell r="A184" t="str">
            <v>826-10</v>
          </cell>
          <cell r="B184">
            <v>4043</v>
          </cell>
          <cell r="C184" t="str">
            <v>DE.1.0.7.0</v>
          </cell>
          <cell r="D184" t="str">
            <v>300:58638</v>
          </cell>
          <cell r="E184">
            <v>42592.652581018519</v>
          </cell>
          <cell r="F184">
            <v>42592.653611111113</v>
          </cell>
          <cell r="G184">
            <v>1</v>
          </cell>
          <cell r="H184" t="str">
            <v>204:729</v>
          </cell>
          <cell r="I184">
            <v>42592.665509259263</v>
          </cell>
          <cell r="J184">
            <v>0</v>
          </cell>
          <cell r="K184" t="str">
            <v>4043/4044</v>
          </cell>
          <cell r="L184" t="str">
            <v>MOSES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https://search-rtdc-monitor-bjffxe2xuh6vdkpspy63sjmuny.us-east-1.es.amazonaws.com/_plugin/kibana/#/discover/Steve-Slow-Train-Analysis-(2080s-and-2083s)?_g=(refreshInterval:(display:Off,section:0,value:0),time:(from:'2016-08-10 14:39:43-0600',mode:absolute,to:'2016-08-10 16:58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4" t="str">
            <v>N</v>
          </cell>
          <cell r="X184">
            <v>1</v>
          </cell>
          <cell r="Y184">
            <v>5.8638000000000003</v>
          </cell>
          <cell r="Z184">
            <v>7.2900000000000006E-2</v>
          </cell>
          <cell r="AA184">
            <v>5.7909000000000006</v>
          </cell>
          <cell r="AB184" t="e">
            <v>#N/A</v>
          </cell>
          <cell r="AC184" t="e">
            <v>#N/A</v>
          </cell>
          <cell r="AD184" t="str">
            <v>0826-10</v>
          </cell>
          <cell r="AE18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5">
          <cell r="A185" t="str">
            <v>827-10</v>
          </cell>
          <cell r="B185">
            <v>4014</v>
          </cell>
          <cell r="C185" t="str">
            <v>DE.1.0.7.0</v>
          </cell>
          <cell r="D185" t="str">
            <v>204:424</v>
          </cell>
          <cell r="E185">
            <v>42592.657881944448</v>
          </cell>
          <cell r="F185">
            <v>42592.658877314818</v>
          </cell>
          <cell r="G185">
            <v>1</v>
          </cell>
          <cell r="H185" t="str">
            <v>300:58924</v>
          </cell>
          <cell r="I185">
            <v>42592.671087962961</v>
          </cell>
          <cell r="J185">
            <v>0</v>
          </cell>
          <cell r="K185" t="str">
            <v>4013/4014</v>
          </cell>
          <cell r="L185" t="str">
            <v>ISHMAEL</v>
          </cell>
          <cell r="M185">
            <v>1.2210648143081926E-2</v>
          </cell>
          <cell r="N185">
            <v>17.583333326037973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https://search-rtdc-monitor-bjffxe2xuh6vdkpspy63sjmuny.us-east-1.es.amazonaws.com/_plugin/kibana/#/discover/Steve-Slow-Train-Analysis-(2080s-and-2083s)?_g=(refreshInterval:(display:Off,section:0,value:0),time:(from:'2016-08-10 14:47:21-0600',mode:absolute,to:'2016-08-10 17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5" t="str">
            <v>N</v>
          </cell>
          <cell r="X185">
            <v>1</v>
          </cell>
          <cell r="Y185">
            <v>4.24E-2</v>
          </cell>
          <cell r="Z185">
            <v>5.8924000000000003</v>
          </cell>
          <cell r="AA185">
            <v>5.8500000000000005</v>
          </cell>
          <cell r="AB185" t="e">
            <v>#N/A</v>
          </cell>
          <cell r="AC185" t="e">
            <v>#N/A</v>
          </cell>
          <cell r="AD185" t="str">
            <v>0827-10</v>
          </cell>
          <cell r="AE185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86">
          <cell r="A186" t="str">
            <v>828-10</v>
          </cell>
          <cell r="B186">
            <v>4013</v>
          </cell>
          <cell r="C186" t="str">
            <v>DE.1.0.7.0</v>
          </cell>
          <cell r="D186" t="str">
            <v>300:58609</v>
          </cell>
          <cell r="E186">
            <v>42592.672013888892</v>
          </cell>
          <cell r="F186">
            <v>42592.672824074078</v>
          </cell>
          <cell r="G186">
            <v>1</v>
          </cell>
          <cell r="H186" t="str">
            <v>204:677</v>
          </cell>
          <cell r="I186">
            <v>42592.68513888889</v>
          </cell>
          <cell r="J186">
            <v>0</v>
          </cell>
          <cell r="K186" t="str">
            <v>4013/4014</v>
          </cell>
          <cell r="L186" t="str">
            <v>ISHMAEL</v>
          </cell>
          <cell r="M186">
            <v>1.2314814812270924E-2</v>
          </cell>
          <cell r="N186">
            <v>17.733333329670131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https://search-rtdc-monitor-bjffxe2xuh6vdkpspy63sjmuny.us-east-1.es.amazonaws.com/_plugin/kibana/#/discover/Steve-Slow-Train-Analysis-(2080s-and-2083s)?_g=(refreshInterval:(display:Off,section:0,value:0),time:(from:'2016-08-10 15:07:42-0600',mode:absolute,to:'2016-08-10 17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6" t="str">
            <v>N</v>
          </cell>
          <cell r="X186">
            <v>1</v>
          </cell>
          <cell r="Y186">
            <v>5.8609</v>
          </cell>
          <cell r="Z186">
            <v>6.7699999999999996E-2</v>
          </cell>
          <cell r="AA186">
            <v>5.7931999999999997</v>
          </cell>
          <cell r="AB186" t="e">
            <v>#N/A</v>
          </cell>
          <cell r="AC186" t="e">
            <v>#N/A</v>
          </cell>
          <cell r="AD186" t="str">
            <v>0828-10</v>
          </cell>
          <cell r="AE186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87">
          <cell r="A187" t="str">
            <v>829-10</v>
          </cell>
          <cell r="B187">
            <v>4044</v>
          </cell>
          <cell r="C187" t="str">
            <v>DE.1.0.7.0</v>
          </cell>
          <cell r="D187" t="str">
            <v>204:1020</v>
          </cell>
          <cell r="E187">
            <v>42592.677523148152</v>
          </cell>
          <cell r="F187">
            <v>42592.678761574076</v>
          </cell>
          <cell r="G187">
            <v>1</v>
          </cell>
          <cell r="H187" t="str">
            <v>300:58975</v>
          </cell>
          <cell r="I187">
            <v>42592.691458333335</v>
          </cell>
          <cell r="J187">
            <v>0</v>
          </cell>
          <cell r="K187" t="str">
            <v>4043/4044</v>
          </cell>
          <cell r="L187" t="str">
            <v>MOSES</v>
          </cell>
          <cell r="M187">
            <v>1.2696759258687962E-2</v>
          </cell>
          <cell r="N187">
            <v>18.283333332510665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https://search-rtdc-monitor-bjffxe2xuh6vdkpspy63sjmuny.us-east-1.es.amazonaws.com/_plugin/kibana/#/discover/Steve-Slow-Train-Analysis-(2080s-and-2083s)?_g=(refreshInterval:(display:Off,section:0,value:0),time:(from:'2016-08-10 15:15:38-0600',mode:absolute,to:'2016-08-10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7" t="str">
            <v>N</v>
          </cell>
          <cell r="X187">
            <v>1</v>
          </cell>
          <cell r="Y187">
            <v>0.10199999999999999</v>
          </cell>
          <cell r="Z187">
            <v>5.8975</v>
          </cell>
          <cell r="AA187">
            <v>5.7954999999999997</v>
          </cell>
          <cell r="AB187" t="e">
            <v>#N/A</v>
          </cell>
          <cell r="AC187" t="e">
            <v>#N/A</v>
          </cell>
          <cell r="AD187" t="str">
            <v>0829-10</v>
          </cell>
          <cell r="AE18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8">
          <cell r="A188" t="str">
            <v>830-10</v>
          </cell>
          <cell r="B188">
            <v>4043</v>
          </cell>
          <cell r="C188" t="str">
            <v>DE.1.0.7.0</v>
          </cell>
          <cell r="D188" t="str">
            <v>300:58656</v>
          </cell>
          <cell r="E188">
            <v>42592.69258101852</v>
          </cell>
          <cell r="F188">
            <v>42592.693530092591</v>
          </cell>
          <cell r="G188">
            <v>1</v>
          </cell>
          <cell r="H188" t="str">
            <v>204:663</v>
          </cell>
          <cell r="I188">
            <v>42592.705740740741</v>
          </cell>
          <cell r="J188">
            <v>0</v>
          </cell>
          <cell r="K188" t="str">
            <v>4043/4044</v>
          </cell>
          <cell r="L188" t="str">
            <v>MOSES</v>
          </cell>
          <cell r="M188">
            <v>1.2210648150357883E-2</v>
          </cell>
          <cell r="N188">
            <v>17.583333336515352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https://search-rtdc-monitor-bjffxe2xuh6vdkpspy63sjmuny.us-east-1.es.amazonaws.com/_plugin/kibana/#/discover/Steve-Slow-Train-Analysis-(2080s-and-2083s)?_g=(refreshInterval:(display:Off,section:0,value:0),time:(from:'2016-08-10 15:37:19-0600',mode:absolute,to:'2016-08-10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8" t="str">
            <v>N</v>
          </cell>
          <cell r="X188">
            <v>1</v>
          </cell>
          <cell r="Y188">
            <v>5.8655999999999997</v>
          </cell>
          <cell r="Z188">
            <v>6.6299999999999998E-2</v>
          </cell>
          <cell r="AA188">
            <v>5.7992999999999997</v>
          </cell>
          <cell r="AB188" t="e">
            <v>#N/A</v>
          </cell>
          <cell r="AC188" t="e">
            <v>#N/A</v>
          </cell>
          <cell r="AD188" t="str">
            <v>0830-10</v>
          </cell>
          <cell r="AE18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9">
          <cell r="A189" t="str">
            <v>831-10</v>
          </cell>
          <cell r="B189">
            <v>4014</v>
          </cell>
          <cell r="C189" t="str">
            <v>DE.1.0.7.0</v>
          </cell>
          <cell r="D189" t="str">
            <v>204:969</v>
          </cell>
          <cell r="E189">
            <v>42592.697337962964</v>
          </cell>
          <cell r="F189">
            <v>42592.698310185187</v>
          </cell>
          <cell r="G189">
            <v>1</v>
          </cell>
          <cell r="H189" t="str">
            <v>300:58907</v>
          </cell>
          <cell r="I189">
            <v>42592.712222222224</v>
          </cell>
          <cell r="J189">
            <v>0</v>
          </cell>
          <cell r="K189" t="str">
            <v>4013/4014</v>
          </cell>
          <cell r="L189" t="str">
            <v>ISHMAEL</v>
          </cell>
          <cell r="M189">
            <v>1.3912037036789116E-2</v>
          </cell>
          <cell r="N189">
            <v>20.033333332976326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https://search-rtdc-monitor-bjffxe2xuh6vdkpspy63sjmuny.us-east-1.es.amazonaws.com/_plugin/kibana/#/discover/Steve-Slow-Train-Analysis-(2080s-and-2083s)?_g=(refreshInterval:(display:Off,section:0,value:0),time:(from:'2016-08-10 15:44:10-0600',mode:absolute,to:'2016-08-10 18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5.8906999999999998</v>
          </cell>
          <cell r="AA189">
            <v>5.7938000000000001</v>
          </cell>
          <cell r="AB189" t="e">
            <v>#N/A</v>
          </cell>
          <cell r="AC189" t="e">
            <v>#N/A</v>
          </cell>
          <cell r="AD189" t="str">
            <v>0831-10</v>
          </cell>
          <cell r="AE18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0">
          <cell r="A190" t="str">
            <v>832-10</v>
          </cell>
          <cell r="B190">
            <v>4013</v>
          </cell>
          <cell r="C190" t="str">
            <v>DE.1.0.7.0</v>
          </cell>
          <cell r="D190" t="str">
            <v>300:58589</v>
          </cell>
          <cell r="E190">
            <v>42592.713356481479</v>
          </cell>
          <cell r="F190">
            <v>42592.714224537034</v>
          </cell>
          <cell r="G190">
            <v>1</v>
          </cell>
          <cell r="H190" t="str">
            <v>204:698</v>
          </cell>
          <cell r="I190">
            <v>42592.727476851855</v>
          </cell>
          <cell r="J190">
            <v>0</v>
          </cell>
          <cell r="K190" t="str">
            <v>4013/4014</v>
          </cell>
          <cell r="L190" t="str">
            <v>ISHMAEL</v>
          </cell>
          <cell r="M190">
            <v>1.3252314820419997E-2</v>
          </cell>
          <cell r="N190">
            <v>19.083333341404796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https://search-rtdc-monitor-bjffxe2xuh6vdkpspy63sjmuny.us-east-1.es.amazonaws.com/_plugin/kibana/#/discover/Steve-Slow-Train-Analysis-(2080s-and-2083s)?_g=(refreshInterval:(display:Off,section:0,value:0),time:(from:'2016-08-10 16:07:14-0600',mode:absolute,to:'2016-08-10 18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0" t="str">
            <v>N</v>
          </cell>
          <cell r="X190">
            <v>1</v>
          </cell>
          <cell r="Y190">
            <v>5.8589000000000002</v>
          </cell>
          <cell r="Z190">
            <v>6.9800000000000001E-2</v>
          </cell>
          <cell r="AA190">
            <v>5.7891000000000004</v>
          </cell>
          <cell r="AB190" t="e">
            <v>#N/A</v>
          </cell>
          <cell r="AC190" t="e">
            <v>#N/A</v>
          </cell>
          <cell r="AD190" t="str">
            <v>0832-10</v>
          </cell>
          <cell r="AE19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1">
          <cell r="A191" t="str">
            <v>833-10</v>
          </cell>
          <cell r="B191">
            <v>4044</v>
          </cell>
          <cell r="C191" t="str">
            <v>DE.1.0.7.0</v>
          </cell>
          <cell r="D191" t="str">
            <v>204:944</v>
          </cell>
          <cell r="E191">
            <v>42592.719212962962</v>
          </cell>
          <cell r="F191">
            <v>42592.72011574074</v>
          </cell>
          <cell r="G191">
            <v>1</v>
          </cell>
          <cell r="H191" t="str">
            <v>300:58960</v>
          </cell>
          <cell r="I191">
            <v>42592.733715277776</v>
          </cell>
          <cell r="J191">
            <v>0</v>
          </cell>
          <cell r="K191" t="str">
            <v>4043/4044</v>
          </cell>
          <cell r="L191" t="str">
            <v>MOSES</v>
          </cell>
          <cell r="M191">
            <v>1.3599537036498077E-2</v>
          </cell>
          <cell r="N191">
            <v>19.583333332557231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https://search-rtdc-monitor-bjffxe2xuh6vdkpspy63sjmuny.us-east-1.es.amazonaws.com/_plugin/kibana/#/discover/Steve-Slow-Train-Analysis-(2080s-and-2083s)?_g=(refreshInterval:(display:Off,section:0,value:0),time:(from:'2016-08-10 16:15:40-0600',mode:absolute,to:'2016-08-10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1" t="str">
            <v>N</v>
          </cell>
          <cell r="X191">
            <v>1</v>
          </cell>
          <cell r="Y191">
            <v>9.4399999999999998E-2</v>
          </cell>
          <cell r="Z191">
            <v>5.8959999999999999</v>
          </cell>
          <cell r="AA191">
            <v>5.8015999999999996</v>
          </cell>
          <cell r="AB191" t="e">
            <v>#N/A</v>
          </cell>
          <cell r="AC191" t="e">
            <v>#N/A</v>
          </cell>
          <cell r="AD191" t="str">
            <v>0833-10</v>
          </cell>
          <cell r="AE19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2">
          <cell r="A192" t="str">
            <v>834-10</v>
          </cell>
          <cell r="B192">
            <v>4043</v>
          </cell>
          <cell r="C192" t="str">
            <v>DE.1.0.7.0</v>
          </cell>
          <cell r="D192" t="str">
            <v>300:58653</v>
          </cell>
          <cell r="E192">
            <v>42592.735335648147</v>
          </cell>
          <cell r="F192">
            <v>42592.736747685187</v>
          </cell>
          <cell r="G192">
            <v>2</v>
          </cell>
          <cell r="H192" t="str">
            <v>204:654</v>
          </cell>
          <cell r="I192">
            <v>42592.747337962966</v>
          </cell>
          <cell r="J192">
            <v>0</v>
          </cell>
          <cell r="K192" t="str">
            <v>4043/4044</v>
          </cell>
          <cell r="L192" t="str">
            <v>MOSES</v>
          </cell>
          <cell r="M192">
            <v>1.0590277779556345E-2</v>
          </cell>
          <cell r="N192">
            <v>15.250000002561137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https://search-rtdc-monitor-bjffxe2xuh6vdkpspy63sjmuny.us-east-1.es.amazonaws.com/_plugin/kibana/#/discover/Steve-Slow-Train-Analysis-(2080s-and-2083s)?_g=(refreshInterval:(display:Off,section:0,value:0),time:(from:'2016-08-10 16:38:53-0600',mode:absolute,to:'2016-08-10 18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2" t="str">
            <v>N</v>
          </cell>
          <cell r="X192">
            <v>1</v>
          </cell>
          <cell r="Y192">
            <v>5.8653000000000004</v>
          </cell>
          <cell r="Z192">
            <v>6.54E-2</v>
          </cell>
          <cell r="AA192">
            <v>5.7999000000000001</v>
          </cell>
          <cell r="AB192" t="e">
            <v>#N/A</v>
          </cell>
          <cell r="AC192" t="e">
            <v>#N/A</v>
          </cell>
          <cell r="AD192" t="str">
            <v>0834-10</v>
          </cell>
          <cell r="AE19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3">
          <cell r="A193" t="str">
            <v>835-10</v>
          </cell>
          <cell r="B193">
            <v>4014</v>
          </cell>
          <cell r="C193" t="str">
            <v>DE.1.0.7.0</v>
          </cell>
          <cell r="D193" t="str">
            <v>204:985</v>
          </cell>
          <cell r="E193">
            <v>42592.736527777779</v>
          </cell>
          <cell r="F193">
            <v>42592.73741898148</v>
          </cell>
          <cell r="G193">
            <v>1</v>
          </cell>
          <cell r="H193" t="str">
            <v>300:58950</v>
          </cell>
          <cell r="I193">
            <v>42592.75371527778</v>
          </cell>
          <cell r="J193">
            <v>0</v>
          </cell>
          <cell r="K193" t="str">
            <v>4013/4014</v>
          </cell>
          <cell r="L193" t="str">
            <v>ISHMAEL</v>
          </cell>
          <cell r="M193">
            <v>1.6296296300424729E-2</v>
          </cell>
          <cell r="N193">
            <v>23.466666672611609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https://search-rtdc-monitor-bjffxe2xuh6vdkpspy63sjmuny.us-east-1.es.amazonaws.com/_plugin/kibana/#/discover/Steve-Slow-Train-Analysis-(2080s-and-2083s)?_g=(refreshInterval:(display:Off,section:0,value:0),time:(from:'2016-08-10 16:40:36-0600',mode:absolute,to:'2016-08-10 19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3" t="str">
            <v>N</v>
          </cell>
          <cell r="X193">
            <v>1</v>
          </cell>
          <cell r="Y193">
            <v>9.8500000000000004E-2</v>
          </cell>
          <cell r="Z193">
            <v>5.8949999999999996</v>
          </cell>
          <cell r="AA193">
            <v>5.7965</v>
          </cell>
          <cell r="AB193" t="e">
            <v>#N/A</v>
          </cell>
          <cell r="AC193" t="e">
            <v>#N/A</v>
          </cell>
          <cell r="AD193" t="str">
            <v>0835-10</v>
          </cell>
          <cell r="AE19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4">
          <cell r="A194" t="str">
            <v>836-10</v>
          </cell>
          <cell r="B194">
            <v>4013</v>
          </cell>
          <cell r="C194" t="str">
            <v>DE.1.0.7.0</v>
          </cell>
          <cell r="D194" t="str">
            <v>300:58636</v>
          </cell>
          <cell r="E194">
            <v>42592.75476851852</v>
          </cell>
          <cell r="F194">
            <v>42592.755567129629</v>
          </cell>
          <cell r="G194">
            <v>1</v>
          </cell>
          <cell r="H194" t="str">
            <v>204:712</v>
          </cell>
          <cell r="I194">
            <v>42592.769641203704</v>
          </cell>
          <cell r="J194">
            <v>1</v>
          </cell>
          <cell r="K194" t="str">
            <v>4013/4014</v>
          </cell>
          <cell r="L194" t="str">
            <v>ISHMAEL</v>
          </cell>
          <cell r="M194">
            <v>1.4074074075324461E-2</v>
          </cell>
          <cell r="N194">
            <v>20.266666668467224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4" t="str">
            <v>N</v>
          </cell>
          <cell r="X194">
            <v>1</v>
          </cell>
          <cell r="Y194">
            <v>5.8635999999999999</v>
          </cell>
          <cell r="Z194">
            <v>7.1199999999999999E-2</v>
          </cell>
          <cell r="AA194">
            <v>5.7923999999999998</v>
          </cell>
          <cell r="AB194" t="e">
            <v>#N/A</v>
          </cell>
          <cell r="AC194" t="e">
            <v>#N/A</v>
          </cell>
          <cell r="AD194" t="str">
            <v>0836-10</v>
          </cell>
          <cell r="AE19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5">
          <cell r="A195" t="str">
            <v>837-10</v>
          </cell>
          <cell r="B195">
            <v>4044</v>
          </cell>
          <cell r="C195" t="str">
            <v>DE.1.0.7.0</v>
          </cell>
          <cell r="D195" t="str">
            <v>204:941</v>
          </cell>
          <cell r="E195">
            <v>42592.760104166664</v>
          </cell>
          <cell r="F195">
            <v>42592.760983796295</v>
          </cell>
          <cell r="G195">
            <v>1</v>
          </cell>
          <cell r="H195" t="str">
            <v>300:58965</v>
          </cell>
          <cell r="I195">
            <v>42592.776712962965</v>
          </cell>
          <cell r="J195">
            <v>0</v>
          </cell>
          <cell r="K195" t="str">
            <v>4043/4044</v>
          </cell>
          <cell r="L195" t="str">
            <v>MOSES</v>
          </cell>
          <cell r="M195">
            <v>1.5729166669188999E-2</v>
          </cell>
          <cell r="N195">
            <v>22.650000003632158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https://search-rtdc-monitor-bjffxe2xuh6vdkpspy63sjmuny.us-east-1.es.amazonaws.com/_plugin/kibana/#/discover/Steve-Slow-Train-Analysis-(2080s-and-2083s)?_g=(refreshInterval:(display:Off,section:0,value:0),time:(from:'2016-08-10 17:14:33-0600',mode:absolute,to:'2016-08-10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5" t="str">
            <v>N</v>
          </cell>
          <cell r="X195">
            <v>1</v>
          </cell>
          <cell r="Y195">
            <v>9.4100000000000003E-2</v>
          </cell>
          <cell r="Z195">
            <v>5.8964999999999996</v>
          </cell>
          <cell r="AA195">
            <v>5.8023999999999996</v>
          </cell>
          <cell r="AB195" t="e">
            <v>#N/A</v>
          </cell>
          <cell r="AC195" t="e">
            <v>#N/A</v>
          </cell>
          <cell r="AD195" t="str">
            <v>0837-10</v>
          </cell>
          <cell r="AE19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6">
          <cell r="A196" t="str">
            <v>838-10</v>
          </cell>
          <cell r="B196">
            <v>4043</v>
          </cell>
          <cell r="C196" t="str">
            <v>DE.1.0.7.0</v>
          </cell>
          <cell r="D196" t="str">
            <v>300:58647</v>
          </cell>
          <cell r="E196">
            <v>42592.779444444444</v>
          </cell>
          <cell r="F196">
            <v>42592.780150462961</v>
          </cell>
          <cell r="G196">
            <v>1</v>
          </cell>
          <cell r="H196" t="str">
            <v>204:663</v>
          </cell>
          <cell r="I196">
            <v>42592.791203703702</v>
          </cell>
          <cell r="J196">
            <v>0</v>
          </cell>
          <cell r="K196" t="str">
            <v>4043/4044</v>
          </cell>
          <cell r="L196" t="str">
            <v>MOSES</v>
          </cell>
          <cell r="M196">
            <v>1.1053240741603076E-2</v>
          </cell>
          <cell r="N196">
            <v>15.91666666790843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https://search-rtdc-monitor-bjffxe2xuh6vdkpspy63sjmuny.us-east-1.es.amazonaws.com/_plugin/kibana/#/discover/Steve-Slow-Train-Analysis-(2080s-and-2083s)?_g=(refreshInterval:(display:Off,section:0,value:0),time:(from:'2016-08-10 17:42:24-0600',mode:absolute,to:'2016-08-10 19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6" t="str">
            <v>N</v>
          </cell>
          <cell r="X196">
            <v>1</v>
          </cell>
          <cell r="Y196">
            <v>5.8647</v>
          </cell>
          <cell r="Z196">
            <v>6.6299999999999998E-2</v>
          </cell>
          <cell r="AA196">
            <v>5.7984</v>
          </cell>
          <cell r="AB196" t="e">
            <v>#N/A</v>
          </cell>
          <cell r="AC196" t="e">
            <v>#N/A</v>
          </cell>
          <cell r="AD196" t="str">
            <v>0838-10</v>
          </cell>
          <cell r="AE19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7">
          <cell r="A197" t="str">
            <v>839-10</v>
          </cell>
          <cell r="B197">
            <v>4014</v>
          </cell>
          <cell r="C197" t="str">
            <v>DE.1.0.7.0</v>
          </cell>
          <cell r="D197" t="str">
            <v>204:1002</v>
          </cell>
          <cell r="E197">
            <v>42592.778298611112</v>
          </cell>
          <cell r="F197">
            <v>42592.779027777775</v>
          </cell>
          <cell r="G197">
            <v>1</v>
          </cell>
          <cell r="H197" t="str">
            <v>300:58924</v>
          </cell>
          <cell r="I197">
            <v>42592.795370370368</v>
          </cell>
          <cell r="J197">
            <v>0</v>
          </cell>
          <cell r="K197" t="str">
            <v>4013/4014</v>
          </cell>
          <cell r="L197" t="str">
            <v>ISHMAEL</v>
          </cell>
          <cell r="M197">
            <v>1.6342592592991423E-2</v>
          </cell>
          <cell r="N197">
            <v>23.533333333907649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https://search-rtdc-monitor-bjffxe2xuh6vdkpspy63sjmuny.us-east-1.es.amazonaws.com/_plugin/kibana/#/discover/Steve-Slow-Train-Analysis-(2080s-and-2083s)?_g=(refreshInterval:(display:Off,section:0,value:0),time:(from:'2016-08-10 17:40:45-0600',mode:absolute,to:'2016-08-10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7" t="str">
            <v>N</v>
          </cell>
          <cell r="X197">
            <v>1</v>
          </cell>
          <cell r="Y197">
            <v>0.1002</v>
          </cell>
          <cell r="Z197">
            <v>5.8924000000000003</v>
          </cell>
          <cell r="AA197">
            <v>5.7922000000000002</v>
          </cell>
          <cell r="AB197" t="e">
            <v>#N/A</v>
          </cell>
          <cell r="AC197" t="e">
            <v>#N/A</v>
          </cell>
          <cell r="AD197" t="str">
            <v>0839-10</v>
          </cell>
          <cell r="AE19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8">
          <cell r="A198" t="str">
            <v>840-10</v>
          </cell>
          <cell r="B198">
            <v>4043</v>
          </cell>
          <cell r="C198" t="str">
            <v>DE.1.0.7.0</v>
          </cell>
          <cell r="D198" t="str">
            <v>300:58651</v>
          </cell>
          <cell r="E198">
            <v>42592.821423611109</v>
          </cell>
          <cell r="F198">
            <v>42592.822210648148</v>
          </cell>
          <cell r="G198">
            <v>1</v>
          </cell>
          <cell r="H198" t="str">
            <v>204:638</v>
          </cell>
          <cell r="I198">
            <v>42592.832604166666</v>
          </cell>
          <cell r="J198">
            <v>1</v>
          </cell>
          <cell r="K198" t="str">
            <v>4043/4044</v>
          </cell>
          <cell r="L198" t="str">
            <v>MOSES</v>
          </cell>
          <cell r="M198">
            <v>1.0393518517958E-2</v>
          </cell>
          <cell r="N198">
            <v>14.96666666585952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8" t="str">
            <v>N</v>
          </cell>
          <cell r="X198">
            <v>1</v>
          </cell>
          <cell r="Y198">
            <v>5.8651</v>
          </cell>
          <cell r="Z198">
            <v>6.3799999999999996E-2</v>
          </cell>
          <cell r="AA198">
            <v>5.8013000000000003</v>
          </cell>
          <cell r="AB198" t="e">
            <v>#N/A</v>
          </cell>
          <cell r="AC198" t="e">
            <v>#N/A</v>
          </cell>
          <cell r="AD198" t="str">
            <v>0840-10</v>
          </cell>
          <cell r="AE19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9">
          <cell r="A199" t="str">
            <v>841-10</v>
          </cell>
          <cell r="B199">
            <v>4044</v>
          </cell>
          <cell r="C199" t="str">
            <v>DE.1.0.7.0</v>
          </cell>
          <cell r="D199" t="str">
            <v>204:946</v>
          </cell>
          <cell r="E199">
            <v>42592.803206018521</v>
          </cell>
          <cell r="F199">
            <v>42592.804444444446</v>
          </cell>
          <cell r="G199">
            <v>1</v>
          </cell>
          <cell r="H199" t="str">
            <v>300:58877</v>
          </cell>
          <cell r="I199">
            <v>42592.816724537035</v>
          </cell>
          <cell r="J199">
            <v>2</v>
          </cell>
          <cell r="K199" t="str">
            <v>4043/4044</v>
          </cell>
          <cell r="L199" t="str">
            <v>MOSES</v>
          </cell>
          <cell r="M199">
            <v>1.2280092589207925E-2</v>
          </cell>
          <cell r="N199">
            <v>17.683333328459412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9" t="str">
            <v>N</v>
          </cell>
          <cell r="X199">
            <v>1</v>
          </cell>
          <cell r="Y199">
            <v>9.4600000000000004E-2</v>
          </cell>
          <cell r="Z199">
            <v>5.8876999999999997</v>
          </cell>
          <cell r="AA199">
            <v>5.7930999999999999</v>
          </cell>
          <cell r="AB199" t="e">
            <v>#N/A</v>
          </cell>
          <cell r="AC199" t="e">
            <v>#N/A</v>
          </cell>
          <cell r="AD199" t="str">
            <v>0841-10</v>
          </cell>
          <cell r="AE19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0">
          <cell r="A200" t="str">
            <v>842-10</v>
          </cell>
          <cell r="B200">
            <v>4043</v>
          </cell>
          <cell r="C200" t="str">
            <v>DE.1.0.7.0</v>
          </cell>
          <cell r="D200" t="str">
            <v>300:58656</v>
          </cell>
          <cell r="E200">
            <v>42592.860752314817</v>
          </cell>
          <cell r="F200">
            <v>42592.861817129633</v>
          </cell>
          <cell r="G200">
            <v>1</v>
          </cell>
          <cell r="H200" t="str">
            <v>204:657</v>
          </cell>
          <cell r="I200">
            <v>42592.875069444446</v>
          </cell>
          <cell r="J200">
            <v>0</v>
          </cell>
          <cell r="K200" t="str">
            <v>4043/4044</v>
          </cell>
          <cell r="L200" t="str">
            <v>MOSES</v>
          </cell>
          <cell r="M200">
            <v>1.3252314813144039E-2</v>
          </cell>
          <cell r="N200">
            <v>19.083333330927417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https://search-rtdc-monitor-bjffxe2xuh6vdkpspy63sjmuny.us-east-1.es.amazonaws.com/_plugin/kibana/#/discover/Steve-Slow-Train-Analysis-(2080s-and-2083s)?_g=(refreshInterval:(display:Off,section:0,value:0),time:(from:'2016-08-10 19:39:29-0600',mode:absolute,to:'2016-08-10 22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0" t="str">
            <v>N</v>
          </cell>
          <cell r="X200">
            <v>1</v>
          </cell>
          <cell r="Y200">
            <v>5.8655999999999997</v>
          </cell>
          <cell r="Z200">
            <v>6.5699999999999995E-2</v>
          </cell>
          <cell r="AA200">
            <v>5.7999000000000001</v>
          </cell>
          <cell r="AB200" t="e">
            <v>#N/A</v>
          </cell>
          <cell r="AC200" t="e">
            <v>#N/A</v>
          </cell>
          <cell r="AD200" t="str">
            <v>0842-10</v>
          </cell>
          <cell r="AE20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201">
          <cell r="A201" t="str">
            <v>843-10</v>
          </cell>
          <cell r="B201">
            <v>4044</v>
          </cell>
          <cell r="C201" t="str">
            <v>DE.1.0.7.0</v>
          </cell>
          <cell r="D201" t="str">
            <v>204:955</v>
          </cell>
          <cell r="E201">
            <v>42592.845451388886</v>
          </cell>
          <cell r="F201">
            <v>42592.846967592595</v>
          </cell>
          <cell r="G201">
            <v>2</v>
          </cell>
          <cell r="H201" t="str">
            <v>300:58973</v>
          </cell>
          <cell r="I201">
            <v>42592.859201388892</v>
          </cell>
          <cell r="J201">
            <v>0</v>
          </cell>
          <cell r="K201" t="str">
            <v>4043/4044</v>
          </cell>
          <cell r="L201" t="str">
            <v>MOSES</v>
          </cell>
          <cell r="M201">
            <v>1.2233796296641231E-2</v>
          </cell>
          <cell r="N201">
            <v>17.616666667163372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1" t="str">
            <v>N</v>
          </cell>
          <cell r="X201">
            <v>1</v>
          </cell>
          <cell r="Y201">
            <v>9.5500000000000002E-2</v>
          </cell>
          <cell r="Z201">
            <v>5.8973000000000004</v>
          </cell>
          <cell r="AA201">
            <v>5.8018000000000001</v>
          </cell>
          <cell r="AB201" t="e">
            <v>#N/A</v>
          </cell>
          <cell r="AC201" t="e">
            <v>#N/A</v>
          </cell>
          <cell r="AD201" t="str">
            <v>0843-10</v>
          </cell>
          <cell r="AE20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2">
          <cell r="A202" t="str">
            <v>844-10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P202">
            <v>1</v>
          </cell>
          <cell r="R202" t="str">
            <v>Did not initialize</v>
          </cell>
          <cell r="S202">
            <v>0</v>
          </cell>
          <cell r="T202" t="str">
            <v>Southbound</v>
          </cell>
          <cell r="U202">
            <v>0</v>
          </cell>
          <cell r="V202" t="e">
            <v>#VALUE!</v>
          </cell>
          <cell r="W202" t="e">
            <v>#VALUE!</v>
          </cell>
          <cell r="X202">
            <v>1</v>
          </cell>
          <cell r="Y202" t="e">
            <v>#VALUE!</v>
          </cell>
          <cell r="Z202" t="e">
            <v>#VALUE!</v>
          </cell>
          <cell r="AA202" t="e">
            <v>#VALUE!</v>
          </cell>
          <cell r="AB202" t="e">
            <v>#N/A</v>
          </cell>
          <cell r="AC202" t="e">
            <v>#N/A</v>
          </cell>
          <cell r="AD202" t="str">
            <v>0844-10</v>
          </cell>
          <cell r="AE202" t="e">
            <v>#VALUE!</v>
          </cell>
        </row>
        <row r="203">
          <cell r="A203" t="str">
            <v>845-10</v>
          </cell>
          <cell r="B203">
            <v>4044</v>
          </cell>
          <cell r="C203" t="str">
            <v>DE.1.0.7.0</v>
          </cell>
          <cell r="D203" t="str">
            <v>204:955</v>
          </cell>
          <cell r="E203">
            <v>42592.845451388886</v>
          </cell>
          <cell r="F203">
            <v>42592.881041666667</v>
          </cell>
          <cell r="G203">
            <v>2</v>
          </cell>
          <cell r="H203" t="str">
            <v>300:58973</v>
          </cell>
          <cell r="I203">
            <v>42592.881701388891</v>
          </cell>
          <cell r="J203">
            <v>0</v>
          </cell>
          <cell r="K203" t="str">
            <v>4043/4044</v>
          </cell>
          <cell r="L203" t="str">
            <v>ISHMAE</v>
          </cell>
          <cell r="M203">
            <v>6.5972222364507616E-4</v>
          </cell>
          <cell r="P203">
            <v>0.95000000204890966</v>
          </cell>
          <cell r="R203" t="str">
            <v>Wi-MAX outage</v>
          </cell>
          <cell r="S203">
            <v>0</v>
          </cell>
          <cell r="T203" t="str">
            <v>NorthBound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22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3" t="str">
            <v>Y</v>
          </cell>
          <cell r="X203">
            <v>1</v>
          </cell>
          <cell r="Y203">
            <v>9.4299999999999995E-2</v>
          </cell>
          <cell r="Z203">
            <v>9.4299999999999995E-2</v>
          </cell>
          <cell r="AA203">
            <v>0</v>
          </cell>
          <cell r="AB203" t="e">
            <v>#N/A</v>
          </cell>
          <cell r="AC203" t="e">
            <v>#N/A</v>
          </cell>
          <cell r="AD203" t="str">
            <v>0845-10</v>
          </cell>
          <cell r="AE20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4">
          <cell r="A204" t="str">
            <v>846-10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P204">
            <v>1</v>
          </cell>
          <cell r="R204" t="str">
            <v>Did not initialize</v>
          </cell>
          <cell r="S204">
            <v>0</v>
          </cell>
          <cell r="T204" t="str">
            <v>Southbound</v>
          </cell>
          <cell r="U204">
            <v>0</v>
          </cell>
          <cell r="V204" t="e">
            <v>#VALUE!</v>
          </cell>
          <cell r="W204" t="e">
            <v>#VALUE!</v>
          </cell>
          <cell r="X204">
            <v>1</v>
          </cell>
          <cell r="Y204" t="e">
            <v>#VALUE!</v>
          </cell>
          <cell r="Z204" t="e">
            <v>#VALUE!</v>
          </cell>
          <cell r="AA204" t="e">
            <v>#VALUE!</v>
          </cell>
          <cell r="AB204" t="e">
            <v>#N/A</v>
          </cell>
          <cell r="AC204" t="e">
            <v>#N/A</v>
          </cell>
          <cell r="AD204" t="str">
            <v>0846-10</v>
          </cell>
          <cell r="AE204" t="e">
            <v>#VALUE!</v>
          </cell>
        </row>
        <row r="205">
          <cell r="A205" t="str">
            <v>305-10</v>
          </cell>
          <cell r="B205">
            <v>4029</v>
          </cell>
          <cell r="C205" t="str">
            <v>DE.1.0.7.0</v>
          </cell>
          <cell r="D205" t="str">
            <v>204:489</v>
          </cell>
          <cell r="E205">
            <v>42592.802662037036</v>
          </cell>
          <cell r="F205">
            <v>42592.803495370368</v>
          </cell>
          <cell r="G205">
            <v>1</v>
          </cell>
          <cell r="H205" t="str">
            <v>300:21432</v>
          </cell>
          <cell r="I205">
            <v>42592.812118055554</v>
          </cell>
          <cell r="J205">
            <v>0</v>
          </cell>
          <cell r="K205" t="str">
            <v>4029/4030</v>
          </cell>
          <cell r="L205" t="str">
            <v>STORY</v>
          </cell>
          <cell r="M205">
            <v>8.6226851854007691E-3</v>
          </cell>
          <cell r="N205">
            <v>12.416666666977108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https://search-rtdc-monitor-bjffxe2xuh6vdkpspy63sjmuny.us-east-1.es.amazonaws.com/_plugin/kibana/#/discover/Steve-Slow-Train-Analysis-(2080s-and-2083s)?_g=(refreshInterval:(display:Off,section:0,value:0),time:(from:'2016-08-10 18:15:50-0600',mode:absolute,to:'2016-08-10 20:29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5" t="str">
            <v>Y</v>
          </cell>
          <cell r="X205">
            <v>-541</v>
          </cell>
          <cell r="Y205">
            <v>4.8899999999999999E-2</v>
          </cell>
          <cell r="Z205">
            <v>2.1432000000000002</v>
          </cell>
          <cell r="AA205">
            <v>2.0943000000000001</v>
          </cell>
          <cell r="AB205" t="e">
            <v>#N/A</v>
          </cell>
          <cell r="AC205" t="e">
            <v>#N/A</v>
          </cell>
          <cell r="AD205" t="str">
            <v>0305-10</v>
          </cell>
          <cell r="AE205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206">
          <cell r="A206" t="str">
            <v>315-09</v>
          </cell>
          <cell r="B206">
            <v>4031</v>
          </cell>
          <cell r="C206" t="str">
            <v>DE.1.0.7.0</v>
          </cell>
          <cell r="D206" t="str">
            <v>204:480</v>
          </cell>
          <cell r="E206">
            <v>42592.090833333335</v>
          </cell>
          <cell r="F206">
            <v>42592.09170138889</v>
          </cell>
          <cell r="G206">
            <v>1</v>
          </cell>
          <cell r="H206" t="str">
            <v>300:23306</v>
          </cell>
          <cell r="I206">
            <v>42592.100902777776</v>
          </cell>
          <cell r="J206">
            <v>0</v>
          </cell>
          <cell r="K206" t="str">
            <v>4031/4032</v>
          </cell>
          <cell r="L206" t="str">
            <v>CHANDLER</v>
          </cell>
          <cell r="M206">
            <v>9.2013888861401938E-3</v>
          </cell>
          <cell r="N206">
            <v>13.249999996041879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10</v>
          </cell>
          <cell r="Y206">
            <v>4.8000000000000001E-2</v>
          </cell>
          <cell r="Z206">
            <v>2.3306</v>
          </cell>
          <cell r="AA206">
            <v>2.2826</v>
          </cell>
          <cell r="AB206" t="e">
            <v>#N/A</v>
          </cell>
          <cell r="AC206" t="e">
            <v>#N/A</v>
          </cell>
          <cell r="AD206" t="str">
            <v>0315-09</v>
          </cell>
          <cell r="AE206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07">
          <cell r="A207" t="str">
            <v>903-10</v>
          </cell>
          <cell r="B207">
            <v>4014</v>
          </cell>
          <cell r="C207" t="str">
            <v>DE.1.0.7.0</v>
          </cell>
          <cell r="D207" t="str">
            <v>204:978</v>
          </cell>
          <cell r="E207">
            <v>42592.353032407409</v>
          </cell>
          <cell r="F207">
            <v>42592.353703703702</v>
          </cell>
          <cell r="G207">
            <v>0</v>
          </cell>
          <cell r="H207" t="str">
            <v>300:24235</v>
          </cell>
          <cell r="I207">
            <v>42592.361631944441</v>
          </cell>
          <cell r="J207">
            <v>0</v>
          </cell>
          <cell r="K207" t="str">
            <v>4013/4014</v>
          </cell>
          <cell r="L207" t="str">
            <v>GRASTON</v>
          </cell>
          <cell r="M207">
            <v>7.9282407386926934E-3</v>
          </cell>
          <cell r="N207">
            <v>11.416666663717479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https://search-rtdc-monitor-bjffxe2xuh6vdkpspy63sjmuny.us-east-1.es.amazonaws.com/_plugin/kibana/#/discover/Steve-Slow-Train-Analysis-(2080s-and-2083s)?_g=(refreshInterval:(display:Off,section:0,value:0),time:(from:'2016-08-10 07:28:22-0600',mode:absolute,to:'2016-08-10 09:40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7" t="str">
            <v>Y</v>
          </cell>
          <cell r="X207">
            <v>588</v>
          </cell>
          <cell r="Y207">
            <v>9.7799999999999998E-2</v>
          </cell>
          <cell r="Z207">
            <v>2.4235000000000002</v>
          </cell>
          <cell r="AA207">
            <v>2.3257000000000003</v>
          </cell>
          <cell r="AB207" t="e">
            <v>#N/A</v>
          </cell>
          <cell r="AC207" t="e">
            <v>#N/A</v>
          </cell>
          <cell r="AD207" t="str">
            <v>0903-10</v>
          </cell>
          <cell r="AE20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208">
          <cell r="A208" t="str">
            <v>904-10</v>
          </cell>
          <cell r="B208">
            <v>4013</v>
          </cell>
          <cell r="C208" t="str">
            <v>DE.1.0.7.0</v>
          </cell>
          <cell r="D208" t="str">
            <v>300:24389</v>
          </cell>
          <cell r="E208">
            <v>42592.643101851849</v>
          </cell>
          <cell r="F208">
            <v>42592.644814814812</v>
          </cell>
          <cell r="G208">
            <v>2</v>
          </cell>
          <cell r="H208" t="str">
            <v>300:24005</v>
          </cell>
          <cell r="I208">
            <v>42592.647835648146</v>
          </cell>
          <cell r="J208">
            <v>1</v>
          </cell>
          <cell r="K208" t="str">
            <v>4013/4014</v>
          </cell>
          <cell r="L208" t="str">
            <v>ISHMAEL</v>
          </cell>
          <cell r="M208">
            <v>3.0208333337213844E-3</v>
          </cell>
          <cell r="N208">
            <v>4.3500000005587935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8" t="str">
            <v>Y</v>
          </cell>
          <cell r="X208">
            <v>1</v>
          </cell>
          <cell r="Y208">
            <v>2.4388999999999998</v>
          </cell>
          <cell r="Z208">
            <v>2.4005000000000001</v>
          </cell>
          <cell r="AA208">
            <v>3.8399999999999768E-2</v>
          </cell>
          <cell r="AB208" t="e">
            <v>#N/A</v>
          </cell>
          <cell r="AC208" t="e">
            <v>#N/A</v>
          </cell>
          <cell r="AD208" t="str">
            <v>0904-10</v>
          </cell>
          <cell r="AE20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209">
          <cell r="A209" t="str">
            <v>906-10</v>
          </cell>
          <cell r="B209">
            <v>4013</v>
          </cell>
          <cell r="C209" t="str">
            <v>DE.1.0.7.0</v>
          </cell>
          <cell r="D209" t="str">
            <v>300:58615</v>
          </cell>
          <cell r="E209">
            <v>42592.796944444446</v>
          </cell>
          <cell r="F209">
            <v>42592.797789351855</v>
          </cell>
          <cell r="G209">
            <v>1</v>
          </cell>
          <cell r="H209" t="str">
            <v>300:21733</v>
          </cell>
          <cell r="I209">
            <v>42592.803773148145</v>
          </cell>
          <cell r="J209">
            <v>0</v>
          </cell>
          <cell r="K209" t="str">
            <v>4013/4014</v>
          </cell>
          <cell r="L209" t="str">
            <v>ISHMAEL</v>
          </cell>
          <cell r="M209">
            <v>5.9837962908204645E-3</v>
          </cell>
          <cell r="N209">
            <v>8.6166666587814689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https://search-rtdc-monitor-bjffxe2xuh6vdkpspy63sjmuny.us-east-1.es.amazonaws.com/_plugin/kibana/#/discover/Steve-Slow-Train-Analysis-(2080s-and-2083s)?_g=(refreshInterval:(display:Off,section:0,value:0),time:(from:'2016-08-10 18:07:36-0600',mode:absolute,to:'2016-08-10 20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9" t="str">
            <v>Y</v>
          </cell>
          <cell r="X209">
            <v>2</v>
          </cell>
          <cell r="Y209">
            <v>5.8615000000000004</v>
          </cell>
          <cell r="Z209">
            <v>2.1732999999999998</v>
          </cell>
          <cell r="AA209">
            <v>3.6882000000000006</v>
          </cell>
          <cell r="AB209" t="e">
            <v>#N/A</v>
          </cell>
          <cell r="AC209" t="e">
            <v>#N/A</v>
          </cell>
          <cell r="AD209" t="str">
            <v>0906-10</v>
          </cell>
          <cell r="AE209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</sheetData>
      <sheetData sheetId="1" refreshError="1"/>
      <sheetData sheetId="2" refreshError="1"/>
      <sheetData sheetId="3">
        <row r="1">
          <cell r="C1" t="str">
            <v>309-09</v>
          </cell>
          <cell r="D1">
            <v>2100000</v>
          </cell>
          <cell r="E1" t="str">
            <v>ISHMAEL</v>
          </cell>
        </row>
        <row r="2">
          <cell r="C2" t="str">
            <v>309-09</v>
          </cell>
          <cell r="D2">
            <v>2100000</v>
          </cell>
          <cell r="E2" t="str">
            <v>ISHMAEL</v>
          </cell>
        </row>
        <row r="3">
          <cell r="C3" t="str">
            <v>311-09</v>
          </cell>
          <cell r="D3">
            <v>1290000</v>
          </cell>
          <cell r="E3" t="str">
            <v>COOLAHAN</v>
          </cell>
        </row>
        <row r="4">
          <cell r="C4" t="str">
            <v>311-09</v>
          </cell>
          <cell r="D4">
            <v>1290000</v>
          </cell>
          <cell r="E4" t="str">
            <v>COOLAHAN</v>
          </cell>
        </row>
        <row r="5">
          <cell r="C5" t="str">
            <v>244-09</v>
          </cell>
          <cell r="D5">
            <v>1800000</v>
          </cell>
          <cell r="E5" t="str">
            <v>CHANDLER</v>
          </cell>
        </row>
        <row r="6">
          <cell r="C6" t="str">
            <v>313-09</v>
          </cell>
          <cell r="D6">
            <v>1740000</v>
          </cell>
          <cell r="E6" t="str">
            <v>STORY</v>
          </cell>
        </row>
        <row r="7">
          <cell r="C7" t="str">
            <v>315-09</v>
          </cell>
          <cell r="D7">
            <v>1800000</v>
          </cell>
          <cell r="E7" t="str">
            <v>CHANDLER</v>
          </cell>
        </row>
        <row r="8">
          <cell r="C8" t="str">
            <v>315-09</v>
          </cell>
          <cell r="D8">
            <v>1800000</v>
          </cell>
          <cell r="E8" t="str">
            <v>CHANDLER</v>
          </cell>
        </row>
        <row r="9">
          <cell r="C9" t="str">
            <v>101-10</v>
          </cell>
          <cell r="D9">
            <v>2010000</v>
          </cell>
          <cell r="E9" t="str">
            <v>MAELZER</v>
          </cell>
        </row>
        <row r="10">
          <cell r="C10" t="str">
            <v>103-10</v>
          </cell>
          <cell r="D10">
            <v>1260000</v>
          </cell>
          <cell r="E10" t="str">
            <v>ACKERMAN</v>
          </cell>
        </row>
        <row r="11">
          <cell r="C11" t="str">
            <v>102-10</v>
          </cell>
          <cell r="D11">
            <v>2010000</v>
          </cell>
          <cell r="E11" t="str">
            <v>MAELZER</v>
          </cell>
        </row>
        <row r="12">
          <cell r="C12" t="str">
            <v>105-10</v>
          </cell>
          <cell r="D12">
            <v>2000000</v>
          </cell>
          <cell r="E12" t="str">
            <v>STAMBAUGH</v>
          </cell>
        </row>
        <row r="13">
          <cell r="C13" t="str">
            <v>107-10</v>
          </cell>
          <cell r="D13">
            <v>1090000</v>
          </cell>
          <cell r="E13" t="str">
            <v>SPECTOR</v>
          </cell>
        </row>
        <row r="14">
          <cell r="C14" t="str">
            <v>103-10</v>
          </cell>
          <cell r="D14">
            <v>1260000</v>
          </cell>
          <cell r="E14" t="str">
            <v>ACKERMAN</v>
          </cell>
        </row>
        <row r="15">
          <cell r="C15" t="str">
            <v>104-10</v>
          </cell>
          <cell r="D15">
            <v>1260000</v>
          </cell>
          <cell r="E15" t="str">
            <v>ACKERMAN</v>
          </cell>
        </row>
        <row r="16">
          <cell r="C16" t="str">
            <v>109-10</v>
          </cell>
          <cell r="D16">
            <v>2030000</v>
          </cell>
          <cell r="E16" t="str">
            <v>KILLION</v>
          </cell>
        </row>
        <row r="17">
          <cell r="C17" t="str">
            <v>104-10</v>
          </cell>
          <cell r="D17">
            <v>1260000</v>
          </cell>
          <cell r="E17" t="str">
            <v>ACKERMAN</v>
          </cell>
        </row>
        <row r="18">
          <cell r="C18" t="str">
            <v>111-10</v>
          </cell>
          <cell r="D18">
            <v>900000</v>
          </cell>
          <cell r="E18" t="str">
            <v>ROCHA</v>
          </cell>
        </row>
        <row r="19">
          <cell r="C19" t="str">
            <v>800-10</v>
          </cell>
          <cell r="D19">
            <v>1240000</v>
          </cell>
          <cell r="E19" t="str">
            <v>GRASTON</v>
          </cell>
        </row>
        <row r="20">
          <cell r="C20" t="str">
            <v>113-10</v>
          </cell>
          <cell r="D20">
            <v>2010000</v>
          </cell>
          <cell r="E20" t="str">
            <v>MAELZER</v>
          </cell>
        </row>
        <row r="21">
          <cell r="C21" t="str">
            <v>106-10</v>
          </cell>
          <cell r="D21">
            <v>2000000</v>
          </cell>
          <cell r="E21" t="str">
            <v>STAMBAUGH</v>
          </cell>
        </row>
        <row r="22">
          <cell r="C22" t="str">
            <v>108-10</v>
          </cell>
          <cell r="D22">
            <v>1090000</v>
          </cell>
          <cell r="E22" t="str">
            <v>SPECTOR</v>
          </cell>
        </row>
        <row r="23">
          <cell r="C23" t="str">
            <v>115-10</v>
          </cell>
          <cell r="D23">
            <v>1190000</v>
          </cell>
          <cell r="E23" t="str">
            <v>BRANNON</v>
          </cell>
        </row>
        <row r="24">
          <cell r="C24" t="str">
            <v>110-10</v>
          </cell>
          <cell r="D24">
            <v>2030000</v>
          </cell>
          <cell r="E24" t="str">
            <v>KILLION</v>
          </cell>
        </row>
        <row r="25">
          <cell r="C25" t="str">
            <v>117-10</v>
          </cell>
          <cell r="D25">
            <v>1260000</v>
          </cell>
          <cell r="E25" t="str">
            <v>ACKERMAN</v>
          </cell>
        </row>
        <row r="26">
          <cell r="C26" t="str">
            <v>801-10</v>
          </cell>
          <cell r="D26">
            <v>1240000</v>
          </cell>
          <cell r="E26" t="str">
            <v>GRASTON</v>
          </cell>
        </row>
        <row r="27">
          <cell r="C27" t="str">
            <v>112-10</v>
          </cell>
          <cell r="D27">
            <v>900000</v>
          </cell>
          <cell r="E27" t="str">
            <v>ROCHA</v>
          </cell>
        </row>
        <row r="28">
          <cell r="C28" t="str">
            <v>119-10</v>
          </cell>
          <cell r="D28">
            <v>2000000</v>
          </cell>
          <cell r="E28" t="str">
            <v>STAMBAUGH</v>
          </cell>
        </row>
        <row r="29">
          <cell r="C29" t="str">
            <v>114-10</v>
          </cell>
          <cell r="D29">
            <v>2010000</v>
          </cell>
          <cell r="E29" t="str">
            <v>MAELZER</v>
          </cell>
        </row>
        <row r="30">
          <cell r="C30" t="str">
            <v>803-10</v>
          </cell>
          <cell r="D30">
            <v>2110000</v>
          </cell>
          <cell r="E30" t="str">
            <v>OUN</v>
          </cell>
        </row>
        <row r="31">
          <cell r="C31" t="str">
            <v>802-10</v>
          </cell>
          <cell r="D31">
            <v>1240000</v>
          </cell>
          <cell r="E31" t="str">
            <v>GRASTON</v>
          </cell>
        </row>
        <row r="32">
          <cell r="C32" t="str">
            <v>121-10</v>
          </cell>
          <cell r="D32">
            <v>1090000</v>
          </cell>
          <cell r="E32" t="str">
            <v>SPECTOR</v>
          </cell>
        </row>
        <row r="33">
          <cell r="C33" t="str">
            <v>116-10</v>
          </cell>
          <cell r="D33">
            <v>1190000</v>
          </cell>
          <cell r="E33" t="str">
            <v>BRANNON</v>
          </cell>
        </row>
        <row r="34">
          <cell r="C34" t="str">
            <v>123-10</v>
          </cell>
          <cell r="D34">
            <v>2030000</v>
          </cell>
          <cell r="E34" t="str">
            <v>KILLION</v>
          </cell>
        </row>
        <row r="35">
          <cell r="C35" t="str">
            <v>118-10</v>
          </cell>
          <cell r="D35">
            <v>1260000</v>
          </cell>
          <cell r="E35" t="str">
            <v>ACKERMAN</v>
          </cell>
        </row>
        <row r="36">
          <cell r="C36" t="str">
            <v>804-10</v>
          </cell>
          <cell r="D36">
            <v>2110000</v>
          </cell>
          <cell r="E36" t="str">
            <v>OUN</v>
          </cell>
        </row>
        <row r="37">
          <cell r="C37" t="str">
            <v>125-10</v>
          </cell>
          <cell r="D37">
            <v>900000</v>
          </cell>
          <cell r="E37" t="str">
            <v>ROCHA</v>
          </cell>
        </row>
        <row r="38">
          <cell r="C38" t="str">
            <v>805-10</v>
          </cell>
          <cell r="D38">
            <v>1240000</v>
          </cell>
          <cell r="E38" t="str">
            <v>GRASTON</v>
          </cell>
        </row>
        <row r="39">
          <cell r="C39" t="str">
            <v>120-10</v>
          </cell>
          <cell r="D39">
            <v>2000000</v>
          </cell>
          <cell r="E39" t="str">
            <v>STAMBAUGH</v>
          </cell>
        </row>
        <row r="40">
          <cell r="C40" t="str">
            <v>127-10</v>
          </cell>
          <cell r="D40">
            <v>2010000</v>
          </cell>
          <cell r="E40" t="str">
            <v>MAELZER</v>
          </cell>
        </row>
        <row r="41">
          <cell r="C41" t="str">
            <v>122-10</v>
          </cell>
          <cell r="D41">
            <v>1090000</v>
          </cell>
          <cell r="E41" t="str">
            <v>SPECTOR</v>
          </cell>
        </row>
        <row r="42">
          <cell r="C42" t="str">
            <v>806-10</v>
          </cell>
          <cell r="D42">
            <v>1240000</v>
          </cell>
          <cell r="E42" t="str">
            <v>GRASTON</v>
          </cell>
        </row>
        <row r="43">
          <cell r="C43" t="str">
            <v>129-10</v>
          </cell>
          <cell r="D43">
            <v>1190000</v>
          </cell>
          <cell r="E43" t="str">
            <v>BRANNON</v>
          </cell>
        </row>
        <row r="44">
          <cell r="C44" t="str">
            <v>807-10</v>
          </cell>
          <cell r="D44">
            <v>2110000</v>
          </cell>
          <cell r="E44" t="str">
            <v>OUN</v>
          </cell>
        </row>
        <row r="45">
          <cell r="C45" t="str">
            <v>124-10</v>
          </cell>
          <cell r="D45">
            <v>2030000</v>
          </cell>
          <cell r="E45" t="str">
            <v>KILLION</v>
          </cell>
        </row>
        <row r="46">
          <cell r="C46" t="str">
            <v>131-10</v>
          </cell>
          <cell r="D46">
            <v>1260000</v>
          </cell>
          <cell r="E46" t="str">
            <v>ACKERMAN</v>
          </cell>
        </row>
        <row r="47">
          <cell r="C47" t="str">
            <v>808-10</v>
          </cell>
          <cell r="D47">
            <v>2110000</v>
          </cell>
          <cell r="E47" t="str">
            <v>OUN</v>
          </cell>
        </row>
        <row r="48">
          <cell r="C48" t="str">
            <v>133-10</v>
          </cell>
          <cell r="D48">
            <v>2000000</v>
          </cell>
          <cell r="E48" t="str">
            <v>STAMBAUGH</v>
          </cell>
        </row>
        <row r="49">
          <cell r="C49" t="str">
            <v>126-10</v>
          </cell>
          <cell r="D49">
            <v>900000</v>
          </cell>
          <cell r="E49" t="str">
            <v>ROCHA</v>
          </cell>
        </row>
        <row r="50">
          <cell r="C50" t="str">
            <v>128-10</v>
          </cell>
          <cell r="D50">
            <v>2010000</v>
          </cell>
          <cell r="E50" t="str">
            <v>MAELZER</v>
          </cell>
        </row>
        <row r="51">
          <cell r="C51" t="str">
            <v>809-10</v>
          </cell>
          <cell r="D51">
            <v>1240000</v>
          </cell>
          <cell r="E51" t="str">
            <v>GRASTON</v>
          </cell>
        </row>
        <row r="52">
          <cell r="C52" t="str">
            <v>135-10</v>
          </cell>
          <cell r="D52">
            <v>1090000</v>
          </cell>
          <cell r="E52" t="str">
            <v>SPECTOR</v>
          </cell>
        </row>
        <row r="53">
          <cell r="C53" t="str">
            <v>810-10</v>
          </cell>
          <cell r="D53">
            <v>1240000</v>
          </cell>
          <cell r="E53" t="str">
            <v>GRASTON</v>
          </cell>
        </row>
        <row r="54">
          <cell r="C54" t="str">
            <v>130-10</v>
          </cell>
          <cell r="D54">
            <v>1190000</v>
          </cell>
          <cell r="E54" t="str">
            <v>BRANNON</v>
          </cell>
        </row>
        <row r="55">
          <cell r="C55" t="str">
            <v>137-10</v>
          </cell>
          <cell r="D55">
            <v>2030000</v>
          </cell>
          <cell r="E55" t="str">
            <v>KILLION</v>
          </cell>
        </row>
        <row r="56">
          <cell r="C56" t="str">
            <v>811-10</v>
          </cell>
          <cell r="D56">
            <v>2110000</v>
          </cell>
          <cell r="E56" t="str">
            <v>OUN</v>
          </cell>
        </row>
        <row r="57">
          <cell r="C57" t="str">
            <v>132-10</v>
          </cell>
          <cell r="D57">
            <v>1260000</v>
          </cell>
          <cell r="E57" t="str">
            <v>ACKERMAN</v>
          </cell>
        </row>
        <row r="58">
          <cell r="C58" t="str">
            <v>903-10</v>
          </cell>
          <cell r="D58">
            <v>1240000</v>
          </cell>
          <cell r="E58" t="str">
            <v>GRASTON</v>
          </cell>
        </row>
        <row r="59">
          <cell r="C59" t="str">
            <v>139-10</v>
          </cell>
          <cell r="D59">
            <v>900000</v>
          </cell>
          <cell r="E59" t="str">
            <v>ROCHA</v>
          </cell>
        </row>
        <row r="60">
          <cell r="C60" t="str">
            <v>134-10</v>
          </cell>
          <cell r="D60">
            <v>2000000</v>
          </cell>
          <cell r="E60" t="str">
            <v>STAMBAUGH</v>
          </cell>
        </row>
        <row r="61">
          <cell r="C61" t="str">
            <v>812-10</v>
          </cell>
          <cell r="D61">
            <v>2110000</v>
          </cell>
          <cell r="E61" t="str">
            <v>OUN</v>
          </cell>
        </row>
        <row r="62">
          <cell r="C62" t="str">
            <v>141-10</v>
          </cell>
          <cell r="D62">
            <v>2010000</v>
          </cell>
          <cell r="E62" t="str">
            <v>MAELZER</v>
          </cell>
        </row>
        <row r="63">
          <cell r="C63" t="str">
            <v>136-10</v>
          </cell>
          <cell r="D63">
            <v>1090000</v>
          </cell>
          <cell r="E63" t="str">
            <v>SPECTOR</v>
          </cell>
        </row>
        <row r="64">
          <cell r="C64" t="str">
            <v>143-10</v>
          </cell>
          <cell r="D64">
            <v>1190000</v>
          </cell>
          <cell r="E64" t="str">
            <v>BRANNON</v>
          </cell>
        </row>
        <row r="65">
          <cell r="C65" t="str">
            <v>138-10</v>
          </cell>
          <cell r="D65">
            <v>2030000</v>
          </cell>
          <cell r="E65" t="str">
            <v>KILLION</v>
          </cell>
        </row>
        <row r="66">
          <cell r="C66" t="str">
            <v>145-10</v>
          </cell>
          <cell r="D66">
            <v>1260000</v>
          </cell>
          <cell r="E66" t="str">
            <v>ACKERMAN</v>
          </cell>
        </row>
        <row r="67">
          <cell r="C67" t="str">
            <v>140-10</v>
          </cell>
          <cell r="D67">
            <v>900000</v>
          </cell>
          <cell r="E67" t="str">
            <v>ROCHA</v>
          </cell>
        </row>
        <row r="68">
          <cell r="C68" t="str">
            <v>813-10</v>
          </cell>
          <cell r="D68">
            <v>2110000</v>
          </cell>
          <cell r="E68" t="str">
            <v>OUN</v>
          </cell>
        </row>
        <row r="69">
          <cell r="C69" t="str">
            <v>147-10</v>
          </cell>
          <cell r="D69">
            <v>2000000</v>
          </cell>
          <cell r="E69" t="str">
            <v>STAMBAUGH</v>
          </cell>
        </row>
        <row r="70">
          <cell r="C70" t="str">
            <v>142-10</v>
          </cell>
          <cell r="D70">
            <v>2010000</v>
          </cell>
          <cell r="E70" t="str">
            <v>MAELZER</v>
          </cell>
        </row>
        <row r="71">
          <cell r="C71" t="str">
            <v>814-10</v>
          </cell>
          <cell r="D71">
            <v>2110000</v>
          </cell>
          <cell r="E71" t="str">
            <v>OUN</v>
          </cell>
        </row>
        <row r="72">
          <cell r="C72" t="str">
            <v>149-10</v>
          </cell>
          <cell r="D72">
            <v>1090000</v>
          </cell>
          <cell r="E72" t="str">
            <v>SPECTOR</v>
          </cell>
        </row>
        <row r="73">
          <cell r="C73" t="str">
            <v>144-10</v>
          </cell>
          <cell r="D73">
            <v>1190000</v>
          </cell>
          <cell r="E73" t="str">
            <v>BRANNON</v>
          </cell>
        </row>
        <row r="74">
          <cell r="C74" t="str">
            <v>151-10</v>
          </cell>
          <cell r="D74">
            <v>2030000</v>
          </cell>
          <cell r="E74" t="str">
            <v>KILLION</v>
          </cell>
        </row>
        <row r="75">
          <cell r="C75" t="str">
            <v>146-10</v>
          </cell>
          <cell r="D75">
            <v>1260000</v>
          </cell>
          <cell r="E75" t="str">
            <v>ACKERMAN</v>
          </cell>
        </row>
        <row r="76">
          <cell r="C76" t="str">
            <v>153-10</v>
          </cell>
          <cell r="D76">
            <v>900000</v>
          </cell>
          <cell r="E76" t="str">
            <v>ROCHA</v>
          </cell>
        </row>
        <row r="77">
          <cell r="C77" t="str">
            <v>815-10</v>
          </cell>
          <cell r="D77">
            <v>2110000</v>
          </cell>
          <cell r="E77" t="str">
            <v>OUN</v>
          </cell>
        </row>
        <row r="78">
          <cell r="C78" t="str">
            <v>148-10</v>
          </cell>
          <cell r="D78">
            <v>2000000</v>
          </cell>
          <cell r="E78" t="str">
            <v>STAMBAUGH</v>
          </cell>
        </row>
        <row r="79">
          <cell r="C79" t="str">
            <v>150-10</v>
          </cell>
          <cell r="D79">
            <v>1090000</v>
          </cell>
          <cell r="E79" t="str">
            <v>SPECTOR</v>
          </cell>
        </row>
        <row r="80">
          <cell r="C80" t="str">
            <v>155-10</v>
          </cell>
          <cell r="D80">
            <v>1240000</v>
          </cell>
          <cell r="E80" t="str">
            <v>GRASTON</v>
          </cell>
        </row>
        <row r="81">
          <cell r="C81" t="str">
            <v>816-10</v>
          </cell>
          <cell r="D81">
            <v>2110000</v>
          </cell>
          <cell r="E81" t="str">
            <v>OUN</v>
          </cell>
        </row>
        <row r="82">
          <cell r="C82" t="str">
            <v>157-10</v>
          </cell>
          <cell r="D82">
            <v>1190000</v>
          </cell>
          <cell r="E82" t="str">
            <v>BRANNON</v>
          </cell>
        </row>
        <row r="83">
          <cell r="C83" t="str">
            <v>152-10</v>
          </cell>
          <cell r="D83">
            <v>2030000</v>
          </cell>
          <cell r="E83" t="str">
            <v>KILLION</v>
          </cell>
        </row>
        <row r="84">
          <cell r="C84" t="str">
            <v>159-10</v>
          </cell>
          <cell r="D84">
            <v>2150000</v>
          </cell>
          <cell r="E84" t="str">
            <v>SWANSON</v>
          </cell>
        </row>
        <row r="85">
          <cell r="C85" t="str">
            <v>161-10</v>
          </cell>
          <cell r="D85">
            <v>1280000</v>
          </cell>
          <cell r="E85" t="str">
            <v>BARTLETT</v>
          </cell>
        </row>
        <row r="86">
          <cell r="C86" t="str">
            <v>154-10</v>
          </cell>
          <cell r="D86">
            <v>900000</v>
          </cell>
          <cell r="E86" t="str">
            <v>ROCHA</v>
          </cell>
        </row>
        <row r="87">
          <cell r="C87" t="str">
            <v>817-10</v>
          </cell>
          <cell r="D87">
            <v>2110000</v>
          </cell>
          <cell r="E87" t="str">
            <v>OUN</v>
          </cell>
        </row>
        <row r="88">
          <cell r="C88" t="str">
            <v>156-10</v>
          </cell>
          <cell r="D88">
            <v>1240000</v>
          </cell>
          <cell r="E88" t="str">
            <v>GRASTON</v>
          </cell>
        </row>
        <row r="89">
          <cell r="C89" t="str">
            <v>163-10</v>
          </cell>
          <cell r="D89">
            <v>1540000</v>
          </cell>
          <cell r="E89" t="str">
            <v>HELVIE</v>
          </cell>
        </row>
        <row r="90">
          <cell r="C90" t="str">
            <v>158-10</v>
          </cell>
          <cell r="D90">
            <v>1190000</v>
          </cell>
          <cell r="E90" t="str">
            <v>BRANNON</v>
          </cell>
        </row>
        <row r="91">
          <cell r="C91" t="str">
            <v>818-10</v>
          </cell>
          <cell r="D91">
            <v>2110000</v>
          </cell>
          <cell r="E91" t="str">
            <v>OUN</v>
          </cell>
        </row>
        <row r="92">
          <cell r="C92" t="str">
            <v>165-10</v>
          </cell>
          <cell r="D92">
            <v>1780000</v>
          </cell>
          <cell r="E92" t="str">
            <v>DE LA ROSA</v>
          </cell>
        </row>
        <row r="93">
          <cell r="C93" t="str">
            <v>160-10</v>
          </cell>
          <cell r="D93">
            <v>2150000</v>
          </cell>
          <cell r="E93" t="str">
            <v>SWANSON</v>
          </cell>
        </row>
        <row r="94">
          <cell r="C94" t="str">
            <v>167-10</v>
          </cell>
          <cell r="D94">
            <v>1140000</v>
          </cell>
          <cell r="E94" t="str">
            <v>YOUNG</v>
          </cell>
        </row>
        <row r="95">
          <cell r="C95" t="str">
            <v>162-10</v>
          </cell>
          <cell r="D95">
            <v>1280000</v>
          </cell>
          <cell r="E95" t="str">
            <v>BARTLETT</v>
          </cell>
        </row>
        <row r="96">
          <cell r="C96" t="str">
            <v>158-10</v>
          </cell>
          <cell r="D96">
            <v>1190000</v>
          </cell>
          <cell r="E96" t="str">
            <v>BRANNON</v>
          </cell>
        </row>
        <row r="97">
          <cell r="C97" t="str">
            <v>169-10</v>
          </cell>
          <cell r="D97">
            <v>1770000</v>
          </cell>
          <cell r="E97" t="str">
            <v>BRUDER</v>
          </cell>
        </row>
        <row r="98">
          <cell r="C98" t="str">
            <v>819-10</v>
          </cell>
          <cell r="D98">
            <v>2110000</v>
          </cell>
          <cell r="E98" t="str">
            <v>OUN</v>
          </cell>
        </row>
        <row r="99">
          <cell r="C99" t="str">
            <v>164-10</v>
          </cell>
          <cell r="D99">
            <v>1540000</v>
          </cell>
          <cell r="E99" t="str">
            <v>HELVIE</v>
          </cell>
        </row>
        <row r="100">
          <cell r="C100" t="str">
            <v>171-10</v>
          </cell>
          <cell r="D100">
            <v>2090000</v>
          </cell>
          <cell r="E100" t="str">
            <v>HAITHCOX</v>
          </cell>
        </row>
        <row r="101">
          <cell r="C101" t="str">
            <v>166-10</v>
          </cell>
          <cell r="D101">
            <v>1780000</v>
          </cell>
          <cell r="E101" t="str">
            <v>DE LA ROSA</v>
          </cell>
        </row>
        <row r="102">
          <cell r="C102" t="str">
            <v>820-10</v>
          </cell>
          <cell r="D102">
            <v>2110000</v>
          </cell>
          <cell r="E102" t="str">
            <v>OUN</v>
          </cell>
        </row>
        <row r="103">
          <cell r="C103" t="str">
            <v>173-10</v>
          </cell>
          <cell r="D103">
            <v>2150000</v>
          </cell>
          <cell r="E103" t="str">
            <v>SWANSON</v>
          </cell>
        </row>
        <row r="104">
          <cell r="C104" t="str">
            <v>168-10</v>
          </cell>
          <cell r="D104">
            <v>1140000</v>
          </cell>
          <cell r="E104" t="str">
            <v>YOUNG</v>
          </cell>
        </row>
        <row r="105">
          <cell r="C105" t="str">
            <v>175-10</v>
          </cell>
          <cell r="D105">
            <v>1280000</v>
          </cell>
          <cell r="E105" t="str">
            <v>BARTLETT</v>
          </cell>
        </row>
        <row r="106">
          <cell r="C106" t="str">
            <v>170-10</v>
          </cell>
          <cell r="D106">
            <v>1770000</v>
          </cell>
          <cell r="E106" t="str">
            <v>BRUDER</v>
          </cell>
        </row>
        <row r="107">
          <cell r="C107" t="str">
            <v>821-10</v>
          </cell>
          <cell r="D107">
            <v>2040000</v>
          </cell>
          <cell r="E107" t="str">
            <v>MOSES</v>
          </cell>
        </row>
        <row r="108">
          <cell r="C108" t="str">
            <v>177-10</v>
          </cell>
          <cell r="D108">
            <v>1540000</v>
          </cell>
          <cell r="E108" t="str">
            <v>HELVIE</v>
          </cell>
        </row>
        <row r="109">
          <cell r="C109" t="str">
            <v>172-10</v>
          </cell>
          <cell r="D109">
            <v>2090000</v>
          </cell>
          <cell r="E109" t="str">
            <v>HAITHCOX</v>
          </cell>
        </row>
        <row r="110">
          <cell r="C110" t="str">
            <v>179-10</v>
          </cell>
          <cell r="D110">
            <v>1780000</v>
          </cell>
          <cell r="E110" t="str">
            <v>DE LA ROSA</v>
          </cell>
        </row>
        <row r="111">
          <cell r="C111" t="str">
            <v>174-10</v>
          </cell>
          <cell r="D111">
            <v>2150000</v>
          </cell>
          <cell r="E111" t="str">
            <v>SWANSON</v>
          </cell>
        </row>
        <row r="112">
          <cell r="C112" t="str">
            <v>822-10</v>
          </cell>
          <cell r="D112">
            <v>2040000</v>
          </cell>
          <cell r="E112" t="str">
            <v>MOSES</v>
          </cell>
        </row>
        <row r="113">
          <cell r="C113" t="str">
            <v>181-10</v>
          </cell>
          <cell r="D113">
            <v>1140000</v>
          </cell>
          <cell r="E113" t="str">
            <v>YOUNG</v>
          </cell>
        </row>
        <row r="114">
          <cell r="C114" t="str">
            <v>176-10</v>
          </cell>
          <cell r="D114">
            <v>1280000</v>
          </cell>
          <cell r="E114" t="str">
            <v>BARTLETT</v>
          </cell>
        </row>
        <row r="115">
          <cell r="C115" t="str">
            <v>183-10</v>
          </cell>
          <cell r="D115">
            <v>1770000</v>
          </cell>
          <cell r="E115" t="str">
            <v>BRUDER</v>
          </cell>
        </row>
        <row r="116">
          <cell r="C116" t="str">
            <v>178-10</v>
          </cell>
          <cell r="D116">
            <v>1540000</v>
          </cell>
          <cell r="E116" t="str">
            <v>HELVIE</v>
          </cell>
        </row>
        <row r="117">
          <cell r="C117" t="str">
            <v>185-10</v>
          </cell>
          <cell r="D117">
            <v>2090000</v>
          </cell>
          <cell r="E117" t="str">
            <v>HAITHCOX</v>
          </cell>
        </row>
        <row r="118">
          <cell r="C118" t="str">
            <v>823-10</v>
          </cell>
          <cell r="D118">
            <v>2040000</v>
          </cell>
          <cell r="E118" t="str">
            <v>MOSES</v>
          </cell>
        </row>
        <row r="119">
          <cell r="C119" t="str">
            <v>180-10</v>
          </cell>
          <cell r="D119">
            <v>1780000</v>
          </cell>
          <cell r="E119" t="str">
            <v>DE LA ROSA</v>
          </cell>
        </row>
        <row r="120">
          <cell r="C120" t="str">
            <v>187-10</v>
          </cell>
          <cell r="D120">
            <v>2150000</v>
          </cell>
          <cell r="E120" t="str">
            <v>SWANSON</v>
          </cell>
        </row>
        <row r="121">
          <cell r="C121" t="str">
            <v>195-10</v>
          </cell>
          <cell r="D121">
            <v>1140000</v>
          </cell>
          <cell r="E121" t="str">
            <v>YOUNG</v>
          </cell>
        </row>
        <row r="122">
          <cell r="C122" t="str">
            <v>182-10</v>
          </cell>
          <cell r="D122">
            <v>1140000</v>
          </cell>
          <cell r="E122" t="str">
            <v>YOUNG</v>
          </cell>
        </row>
        <row r="123">
          <cell r="C123" t="str">
            <v>824-10</v>
          </cell>
          <cell r="D123">
            <v>2040000</v>
          </cell>
          <cell r="E123" t="str">
            <v>MOSES</v>
          </cell>
        </row>
        <row r="124">
          <cell r="C124" t="str">
            <v>189-10</v>
          </cell>
          <cell r="D124">
            <v>1280000</v>
          </cell>
          <cell r="E124" t="str">
            <v>BARTLETT</v>
          </cell>
        </row>
        <row r="125">
          <cell r="C125" t="str">
            <v>186-10</v>
          </cell>
          <cell r="D125">
            <v>2090000</v>
          </cell>
          <cell r="E125" t="str">
            <v>HAITHCOX</v>
          </cell>
        </row>
        <row r="126">
          <cell r="C126" t="str">
            <v>193-10</v>
          </cell>
          <cell r="D126">
            <v>1280000</v>
          </cell>
          <cell r="E126" t="str">
            <v>BARTLETT</v>
          </cell>
        </row>
        <row r="127">
          <cell r="C127" t="str">
            <v>825-10</v>
          </cell>
          <cell r="D127">
            <v>2040000</v>
          </cell>
          <cell r="E127" t="str">
            <v>MOSES</v>
          </cell>
        </row>
        <row r="128">
          <cell r="C128" t="str">
            <v>904-10</v>
          </cell>
          <cell r="D128">
            <v>2100000</v>
          </cell>
          <cell r="E128" t="str">
            <v>ISHMAEL</v>
          </cell>
        </row>
        <row r="129">
          <cell r="C129" t="str">
            <v>826-10</v>
          </cell>
          <cell r="D129">
            <v>2040000</v>
          </cell>
          <cell r="E129" t="str">
            <v>MOSES</v>
          </cell>
        </row>
        <row r="130">
          <cell r="C130" t="str">
            <v>195-10</v>
          </cell>
          <cell r="D130">
            <v>1540000</v>
          </cell>
          <cell r="E130" t="str">
            <v>HELVIE</v>
          </cell>
        </row>
        <row r="131">
          <cell r="C131" t="str">
            <v>827-10</v>
          </cell>
          <cell r="D131">
            <v>2100000</v>
          </cell>
          <cell r="E131" t="str">
            <v>ISHMAEL</v>
          </cell>
        </row>
        <row r="132">
          <cell r="C132" t="str">
            <v>183-10</v>
          </cell>
          <cell r="D132">
            <v>1770000</v>
          </cell>
          <cell r="E132" t="str">
            <v>BRUDER</v>
          </cell>
        </row>
        <row r="133">
          <cell r="C133" t="str">
            <v>194-10</v>
          </cell>
          <cell r="D133">
            <v>1280000</v>
          </cell>
          <cell r="E133" t="str">
            <v>BARTLETT</v>
          </cell>
        </row>
        <row r="134">
          <cell r="C134" t="str">
            <v>197-10</v>
          </cell>
          <cell r="D134">
            <v>2090000</v>
          </cell>
          <cell r="E134" t="str">
            <v>HAITHCOX</v>
          </cell>
        </row>
        <row r="135">
          <cell r="C135" t="str">
            <v>828-10</v>
          </cell>
          <cell r="D135">
            <v>2100000</v>
          </cell>
          <cell r="E135" t="str">
            <v>ISHMAEL</v>
          </cell>
        </row>
        <row r="136">
          <cell r="C136" t="str">
            <v>829-10</v>
          </cell>
          <cell r="D136">
            <v>2040000</v>
          </cell>
          <cell r="E136" t="str">
            <v>MOSES</v>
          </cell>
        </row>
        <row r="137">
          <cell r="C137" t="str">
            <v>196-10</v>
          </cell>
          <cell r="D137">
            <v>1540000</v>
          </cell>
          <cell r="E137" t="str">
            <v>HELVIE</v>
          </cell>
        </row>
        <row r="138">
          <cell r="C138" t="str">
            <v>198-10</v>
          </cell>
          <cell r="D138">
            <v>2090000</v>
          </cell>
          <cell r="E138" t="str">
            <v>HAITHCOX</v>
          </cell>
        </row>
        <row r="139">
          <cell r="C139" t="str">
            <v>830-10</v>
          </cell>
          <cell r="D139">
            <v>2040000</v>
          </cell>
          <cell r="E139" t="str">
            <v>MOSES</v>
          </cell>
        </row>
        <row r="140">
          <cell r="C140" t="str">
            <v>831-10</v>
          </cell>
          <cell r="D140">
            <v>2100000</v>
          </cell>
          <cell r="E140" t="str">
            <v>ISHMAEL</v>
          </cell>
        </row>
        <row r="141">
          <cell r="C141" t="str">
            <v>205-10</v>
          </cell>
          <cell r="D141">
            <v>1280000</v>
          </cell>
          <cell r="E141" t="str">
            <v>BARTLETT</v>
          </cell>
        </row>
        <row r="142">
          <cell r="C142" t="str">
            <v>205-10</v>
          </cell>
          <cell r="D142">
            <v>1280000</v>
          </cell>
          <cell r="E142" t="str">
            <v>BARTLETT</v>
          </cell>
        </row>
        <row r="143">
          <cell r="C143" t="str">
            <v>183-10</v>
          </cell>
          <cell r="D143">
            <v>1770000</v>
          </cell>
          <cell r="E143" t="str">
            <v>BRUDER</v>
          </cell>
        </row>
        <row r="144">
          <cell r="C144" t="str">
            <v>200-10</v>
          </cell>
          <cell r="D144">
            <v>1770000</v>
          </cell>
          <cell r="E144" t="str">
            <v>BRUDER</v>
          </cell>
        </row>
        <row r="145">
          <cell r="C145" t="str">
            <v>207-10</v>
          </cell>
          <cell r="D145">
            <v>1540000</v>
          </cell>
          <cell r="E145" t="str">
            <v>HELVIE</v>
          </cell>
        </row>
        <row r="146">
          <cell r="C146" t="str">
            <v>832-10</v>
          </cell>
          <cell r="D146">
            <v>2100000</v>
          </cell>
          <cell r="E146" t="str">
            <v>ISHMAEL</v>
          </cell>
        </row>
        <row r="147">
          <cell r="C147" t="str">
            <v>833-10</v>
          </cell>
          <cell r="D147">
            <v>2040000</v>
          </cell>
          <cell r="E147" t="str">
            <v>MOSES</v>
          </cell>
        </row>
        <row r="148">
          <cell r="C148" t="str">
            <v>203-10</v>
          </cell>
          <cell r="D148">
            <v>1740000</v>
          </cell>
          <cell r="E148" t="str">
            <v>STORY</v>
          </cell>
        </row>
        <row r="149">
          <cell r="C149" t="str">
            <v>202-10</v>
          </cell>
          <cell r="D149">
            <v>1740000</v>
          </cell>
          <cell r="E149" t="str">
            <v>STORY</v>
          </cell>
        </row>
        <row r="150">
          <cell r="C150" t="str">
            <v>209-10</v>
          </cell>
          <cell r="D150">
            <v>1480000</v>
          </cell>
          <cell r="E150" t="str">
            <v>STURGEON</v>
          </cell>
        </row>
        <row r="151">
          <cell r="C151" t="str">
            <v>204-10</v>
          </cell>
          <cell r="D151">
            <v>1280000</v>
          </cell>
          <cell r="E151" t="str">
            <v>BARTLETT</v>
          </cell>
        </row>
        <row r="152">
          <cell r="C152" t="str">
            <v>834-10</v>
          </cell>
          <cell r="D152">
            <v>2040000</v>
          </cell>
          <cell r="E152" t="str">
            <v>MOSES</v>
          </cell>
        </row>
        <row r="153">
          <cell r="C153" t="str">
            <v>836-10</v>
          </cell>
          <cell r="D153">
            <v>2100000</v>
          </cell>
          <cell r="E153" t="str">
            <v>ISHMAEL</v>
          </cell>
        </row>
        <row r="154">
          <cell r="C154" t="str">
            <v>835-10</v>
          </cell>
          <cell r="D154">
            <v>2100000</v>
          </cell>
          <cell r="E154" t="str">
            <v>ISHMAEL</v>
          </cell>
        </row>
        <row r="155">
          <cell r="C155" t="str">
            <v>211-10</v>
          </cell>
          <cell r="D155">
            <v>2090000</v>
          </cell>
          <cell r="E155" t="str">
            <v>HAITHCOX</v>
          </cell>
        </row>
        <row r="156">
          <cell r="C156" t="str">
            <v>206-10</v>
          </cell>
          <cell r="D156">
            <v>1540000</v>
          </cell>
          <cell r="E156" t="str">
            <v>HELVIE</v>
          </cell>
        </row>
        <row r="157">
          <cell r="C157" t="str">
            <v>215-10</v>
          </cell>
          <cell r="D157">
            <v>1740000</v>
          </cell>
          <cell r="E157" t="str">
            <v>STORY</v>
          </cell>
        </row>
        <row r="158">
          <cell r="C158" t="str">
            <v>210-10</v>
          </cell>
          <cell r="D158">
            <v>1480000</v>
          </cell>
          <cell r="E158" t="str">
            <v>STURGEON</v>
          </cell>
        </row>
        <row r="159">
          <cell r="C159" t="str">
            <v>836-10</v>
          </cell>
          <cell r="D159">
            <v>2100000</v>
          </cell>
          <cell r="E159" t="str">
            <v>ISHMAEL</v>
          </cell>
        </row>
        <row r="160">
          <cell r="C160" t="str">
            <v>217-10</v>
          </cell>
          <cell r="D160">
            <v>1230000</v>
          </cell>
          <cell r="E160" t="str">
            <v>YANAI</v>
          </cell>
        </row>
        <row r="161">
          <cell r="C161" t="str">
            <v>837-10</v>
          </cell>
          <cell r="D161">
            <v>2040000</v>
          </cell>
          <cell r="E161" t="str">
            <v>MOSES</v>
          </cell>
        </row>
        <row r="162">
          <cell r="C162" t="str">
            <v>208-10</v>
          </cell>
          <cell r="D162">
            <v>1480000</v>
          </cell>
          <cell r="E162" t="str">
            <v>STURGEON</v>
          </cell>
        </row>
        <row r="163">
          <cell r="C163" t="str">
            <v>208-10</v>
          </cell>
          <cell r="D163">
            <v>1480000</v>
          </cell>
          <cell r="E163" t="str">
            <v>STURGEON</v>
          </cell>
        </row>
        <row r="164">
          <cell r="C164" t="str">
            <v>219-10</v>
          </cell>
          <cell r="D164">
            <v>1300000</v>
          </cell>
          <cell r="E164" t="str">
            <v>LEVIN</v>
          </cell>
        </row>
        <row r="165">
          <cell r="C165" t="str">
            <v>212-10</v>
          </cell>
          <cell r="D165">
            <v>1740000</v>
          </cell>
          <cell r="E165" t="str">
            <v>STORY</v>
          </cell>
        </row>
        <row r="166">
          <cell r="C166" t="str">
            <v>839-10</v>
          </cell>
          <cell r="D166">
            <v>2100000</v>
          </cell>
          <cell r="E166" t="str">
            <v>ISHMAEL</v>
          </cell>
        </row>
        <row r="167">
          <cell r="C167" t="str">
            <v>838-10</v>
          </cell>
          <cell r="D167">
            <v>2040000</v>
          </cell>
          <cell r="E167" t="str">
            <v>MOSES</v>
          </cell>
        </row>
        <row r="168">
          <cell r="C168" t="str">
            <v>214-10</v>
          </cell>
          <cell r="D168">
            <v>1230000</v>
          </cell>
          <cell r="E168" t="str">
            <v>YANAI</v>
          </cell>
        </row>
        <row r="169">
          <cell r="C169" t="str">
            <v>214-10</v>
          </cell>
          <cell r="D169">
            <v>1230000</v>
          </cell>
          <cell r="E169" t="str">
            <v>YANAI</v>
          </cell>
        </row>
        <row r="170">
          <cell r="C170" t="str">
            <v>221-10</v>
          </cell>
          <cell r="D170">
            <v>1480000</v>
          </cell>
          <cell r="E170" t="str">
            <v>STURGEON</v>
          </cell>
        </row>
        <row r="171">
          <cell r="C171" t="str">
            <v>906-10</v>
          </cell>
          <cell r="D171">
            <v>2100000</v>
          </cell>
          <cell r="E171" t="str">
            <v>ISHMAEL</v>
          </cell>
        </row>
        <row r="172">
          <cell r="C172" t="str">
            <v>216-10</v>
          </cell>
          <cell r="D172">
            <v>1300000</v>
          </cell>
          <cell r="E172" t="str">
            <v>LEVIN</v>
          </cell>
        </row>
        <row r="173">
          <cell r="C173" t="str">
            <v>223-10</v>
          </cell>
          <cell r="D173">
            <v>1290000</v>
          </cell>
          <cell r="E173" t="str">
            <v>COOLAHAN</v>
          </cell>
        </row>
        <row r="174">
          <cell r="C174" t="str">
            <v>305-10</v>
          </cell>
          <cell r="D174">
            <v>1740000</v>
          </cell>
          <cell r="E174" t="str">
            <v>STORY</v>
          </cell>
        </row>
        <row r="175">
          <cell r="C175" t="str">
            <v>841-10</v>
          </cell>
          <cell r="D175">
            <v>2040000</v>
          </cell>
          <cell r="E175" t="str">
            <v>MOSES</v>
          </cell>
        </row>
        <row r="176">
          <cell r="C176" t="str">
            <v>220-10</v>
          </cell>
          <cell r="D176">
            <v>1480000</v>
          </cell>
          <cell r="E176" t="str">
            <v>STURGEON</v>
          </cell>
        </row>
        <row r="177">
          <cell r="C177" t="str">
            <v>840-10</v>
          </cell>
          <cell r="D177">
            <v>2040000</v>
          </cell>
          <cell r="E177" t="str">
            <v>MOSES</v>
          </cell>
        </row>
        <row r="178">
          <cell r="C178" t="str">
            <v>225-10</v>
          </cell>
          <cell r="D178">
            <v>1230000</v>
          </cell>
          <cell r="E178" t="str">
            <v>YANAI</v>
          </cell>
        </row>
        <row r="179">
          <cell r="C179" t="str">
            <v>222-10</v>
          </cell>
          <cell r="D179">
            <v>1290000</v>
          </cell>
          <cell r="E179" t="str">
            <v>COOLAHAN</v>
          </cell>
        </row>
        <row r="180">
          <cell r="C180" t="str">
            <v>843-10</v>
          </cell>
          <cell r="D180">
            <v>2040000</v>
          </cell>
          <cell r="E180" t="str">
            <v>MOSES</v>
          </cell>
        </row>
        <row r="181">
          <cell r="C181" t="str">
            <v>843-10</v>
          </cell>
          <cell r="D181">
            <v>2040000</v>
          </cell>
          <cell r="E181" t="str">
            <v>MOSES</v>
          </cell>
        </row>
        <row r="182">
          <cell r="C182" t="str">
            <v>227-10</v>
          </cell>
          <cell r="D182">
            <v>1300000</v>
          </cell>
          <cell r="E182" t="str">
            <v>LEVIN</v>
          </cell>
        </row>
        <row r="183">
          <cell r="C183" t="str">
            <v>LASTDAY-10</v>
          </cell>
          <cell r="D183">
            <v>1750000</v>
          </cell>
          <cell r="E183" t="str">
            <v>REBOLETTI</v>
          </cell>
        </row>
        <row r="184">
          <cell r="C184" t="str">
            <v>842-10</v>
          </cell>
          <cell r="D184">
            <v>2040000</v>
          </cell>
          <cell r="E184" t="str">
            <v>MOSES</v>
          </cell>
        </row>
        <row r="185">
          <cell r="C185" t="str">
            <v>229-10</v>
          </cell>
          <cell r="D185">
            <v>1480000</v>
          </cell>
          <cell r="E185" t="str">
            <v>STURGEON</v>
          </cell>
        </row>
        <row r="186">
          <cell r="C186" t="str">
            <v>226-10</v>
          </cell>
          <cell r="D186">
            <v>1230000</v>
          </cell>
          <cell r="E186" t="str">
            <v>YANAI</v>
          </cell>
        </row>
        <row r="187">
          <cell r="C187" t="str">
            <v>845-10</v>
          </cell>
          <cell r="D187">
            <v>2100000</v>
          </cell>
          <cell r="E187" t="str">
            <v>ISHMAE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101-11</v>
          </cell>
          <cell r="L13" t="e">
            <v>#N/A</v>
          </cell>
          <cell r="M13">
            <v>0</v>
          </cell>
          <cell r="P13">
            <v>1</v>
          </cell>
          <cell r="R13" t="str">
            <v>Did not initialize</v>
          </cell>
          <cell r="S13">
            <v>0</v>
          </cell>
          <cell r="T13" t="str">
            <v>NorthBound</v>
          </cell>
          <cell r="U13">
            <v>0</v>
          </cell>
          <cell r="V13" t="e">
            <v>#VALUE!</v>
          </cell>
          <cell r="W13" t="e">
            <v>#VALUE!</v>
          </cell>
          <cell r="X13" t="e">
            <v>#VALUE!</v>
          </cell>
          <cell r="Y13" t="e">
            <v>#VALUE!</v>
          </cell>
          <cell r="Z13" t="e">
            <v>#VALUE!</v>
          </cell>
          <cell r="AA13" t="e">
            <v>#VALUE!</v>
          </cell>
          <cell r="AB13" t="e">
            <v>#N/A</v>
          </cell>
          <cell r="AC13" t="e">
            <v>#N/A</v>
          </cell>
          <cell r="AD13" t="str">
            <v>0101-11</v>
          </cell>
          <cell r="AE13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">
          <cell r="A14" t="str">
            <v>102-11</v>
          </cell>
          <cell r="B14">
            <v>4037</v>
          </cell>
          <cell r="C14" t="str">
            <v>DE.1.0.7.0</v>
          </cell>
          <cell r="D14" t="str">
            <v>204:232677</v>
          </cell>
          <cell r="E14">
            <v>42593.177916666667</v>
          </cell>
          <cell r="F14">
            <v>42593.179050925923</v>
          </cell>
          <cell r="G14">
            <v>1</v>
          </cell>
          <cell r="H14" t="str">
            <v>204:132</v>
          </cell>
          <cell r="I14">
            <v>42593.205648148149</v>
          </cell>
          <cell r="J14">
            <v>0</v>
          </cell>
          <cell r="K14" t="str">
            <v>4037/4038</v>
          </cell>
          <cell r="L14" t="str">
            <v>MAELZER</v>
          </cell>
          <cell r="M14">
            <v>2.6597222225973383E-2</v>
          </cell>
          <cell r="N14">
            <v>38.300000005401671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05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" t="str">
            <v>N</v>
          </cell>
          <cell r="X14">
            <v>1</v>
          </cell>
          <cell r="Y14">
            <v>23.267700000000001</v>
          </cell>
          <cell r="Z14">
            <v>1.32E-2</v>
          </cell>
          <cell r="AA14">
            <v>23.2545</v>
          </cell>
          <cell r="AB14" t="e">
            <v>#N/A</v>
          </cell>
          <cell r="AC14" t="e">
            <v>#N/A</v>
          </cell>
          <cell r="AD14" t="str">
            <v>0102-11</v>
          </cell>
          <cell r="AE14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5">
          <cell r="A15" t="str">
            <v>103-11</v>
          </cell>
          <cell r="B15">
            <v>4029</v>
          </cell>
          <cell r="C15" t="str">
            <v>DE.1.0.7.0</v>
          </cell>
          <cell r="D15" t="str">
            <v>204:232677</v>
          </cell>
          <cell r="E15">
            <v>42593.177916666667</v>
          </cell>
          <cell r="F15">
            <v>42593.154664351852</v>
          </cell>
          <cell r="G15">
            <v>1</v>
          </cell>
          <cell r="H15" t="str">
            <v>204:132</v>
          </cell>
          <cell r="I15">
            <v>42593.157060185185</v>
          </cell>
          <cell r="J15">
            <v>0</v>
          </cell>
          <cell r="K15" t="str">
            <v>4029/4030</v>
          </cell>
          <cell r="L15" t="str">
            <v>STARKS</v>
          </cell>
          <cell r="M15">
            <v>2.3958333331393078E-3</v>
          </cell>
          <cell r="P15">
            <v>3.4499999997206032</v>
          </cell>
          <cell r="R15" t="str">
            <v>Poor GPS at DUS</v>
          </cell>
          <cell r="S15">
            <v>0</v>
          </cell>
          <cell r="T15" t="str">
            <v>NorthBound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04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Y</v>
          </cell>
          <cell r="X15">
            <v>1</v>
          </cell>
          <cell r="Y15">
            <v>0.01</v>
          </cell>
          <cell r="Z15">
            <v>0.04</v>
          </cell>
          <cell r="AA15">
            <v>0.03</v>
          </cell>
          <cell r="AB15" t="e">
            <v>#N/A</v>
          </cell>
          <cell r="AC15" t="e">
            <v>#N/A</v>
          </cell>
          <cell r="AD15" t="str">
            <v>0103-11</v>
          </cell>
          <cell r="AE15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6">
          <cell r="A16" t="str">
            <v>104-11</v>
          </cell>
          <cell r="B16">
            <v>4013</v>
          </cell>
          <cell r="C16" t="str">
            <v>DE.1.0.7.0</v>
          </cell>
          <cell r="D16" t="str">
            <v>204:232696</v>
          </cell>
          <cell r="E16">
            <v>42593.194837962961</v>
          </cell>
          <cell r="F16">
            <v>42593.196192129632</v>
          </cell>
          <cell r="G16">
            <v>1</v>
          </cell>
          <cell r="H16" t="str">
            <v>204:136</v>
          </cell>
          <cell r="I16">
            <v>42593.223935185182</v>
          </cell>
          <cell r="J16">
            <v>0</v>
          </cell>
          <cell r="K16" t="str">
            <v>4013/4014</v>
          </cell>
          <cell r="L16" t="str">
            <v>STARKS</v>
          </cell>
          <cell r="M16">
            <v>2.774305555067258E-2</v>
          </cell>
          <cell r="N16">
            <v>39.949999992968515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https://search-rtdc-monitor-bjffxe2xuh6vdkpspy63sjmuny.us-east-1.es.amazonaws.com/_plugin/kibana/#/discover/Steve-Slow-Train-Analysis-(2080s-and-2083s)?_g=(refreshInterval:(display:Off,section:0,value:0),time:(from:'2016-08-11 03:40:34-0600',mode:absolute,to:'2016-08-11 06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" t="str">
            <v>N</v>
          </cell>
          <cell r="X16">
            <v>1</v>
          </cell>
          <cell r="Y16">
            <v>23.269600000000001</v>
          </cell>
          <cell r="Z16">
            <v>1.3599999999999999E-2</v>
          </cell>
          <cell r="AA16">
            <v>23.256</v>
          </cell>
          <cell r="AB16" t="e">
            <v>#N/A</v>
          </cell>
          <cell r="AC16" t="e">
            <v>#N/A</v>
          </cell>
          <cell r="AD16" t="str">
            <v>0104-11</v>
          </cell>
          <cell r="AE16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7">
          <cell r="A17" t="str">
            <v>105-11</v>
          </cell>
          <cell r="B17">
            <v>4025</v>
          </cell>
          <cell r="C17" t="str">
            <v>DE.1.0.7.0</v>
          </cell>
          <cell r="D17" t="str">
            <v>204:19199</v>
          </cell>
          <cell r="E17">
            <v>42593.179606481484</v>
          </cell>
          <cell r="F17">
            <v>42593.183807870373</v>
          </cell>
          <cell r="G17">
            <v>6</v>
          </cell>
          <cell r="H17" t="str">
            <v>204:233282</v>
          </cell>
          <cell r="I17">
            <v>42593.209502314814</v>
          </cell>
          <cell r="J17">
            <v>0</v>
          </cell>
          <cell r="K17" t="str">
            <v>4025/4026</v>
          </cell>
          <cell r="L17" t="str">
            <v>MALAVE</v>
          </cell>
          <cell r="M17">
            <v>2.569444444088731E-2</v>
          </cell>
          <cell r="P17">
            <v>36.999999994877726</v>
          </cell>
          <cell r="R17" t="str">
            <v>Onboard in-route failure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https://search-rtdc-monitor-bjffxe2xuh6vdkpspy63sjmuny.us-east-1.es.amazonaws.com/_plugin/kibana/#/discover/Steve-Slow-Train-Analysis-(2080s-and-2083s)?_g=(refreshInterval:(display:Off,section:0,value:0),time:(from:'2016-08-11 03:18:38-0600',mode:absolute,to:'2016-08-11 06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" t="str">
            <v>Y</v>
          </cell>
          <cell r="X17">
            <v>1</v>
          </cell>
          <cell r="Y17">
            <v>1.9198999999999999</v>
          </cell>
          <cell r="Z17">
            <v>23.328199999999999</v>
          </cell>
          <cell r="AA17">
            <v>21.408300000000001</v>
          </cell>
          <cell r="AB17" t="e">
            <v>#N/A</v>
          </cell>
          <cell r="AC17" t="e">
            <v>#N/A</v>
          </cell>
          <cell r="AD17" t="str">
            <v>0105-11</v>
          </cell>
          <cell r="AE17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8">
          <cell r="A18" t="str">
            <v>106-11</v>
          </cell>
          <cell r="B18">
            <v>4028</v>
          </cell>
          <cell r="C18" t="str">
            <v>DE.1.0.7.0</v>
          </cell>
          <cell r="D18" t="str">
            <v>204:232637</v>
          </cell>
          <cell r="E18">
            <v>42593.213055555556</v>
          </cell>
          <cell r="F18">
            <v>42593.214432870373</v>
          </cell>
          <cell r="G18">
            <v>1</v>
          </cell>
          <cell r="H18" t="str">
            <v>204:141</v>
          </cell>
          <cell r="I18">
            <v>42593.243530092594</v>
          </cell>
          <cell r="J18">
            <v>1</v>
          </cell>
          <cell r="K18" t="str">
            <v>4027/4028</v>
          </cell>
          <cell r="L18" t="str">
            <v>MALAVE</v>
          </cell>
          <cell r="M18">
            <v>2.9097222221025731E-2</v>
          </cell>
          <cell r="N18">
            <v>41.899999998277053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https://search-rtdc-monitor-bjffxe2xuh6vdkpspy63sjmuny.us-east-1.es.amazonaws.com/_plugin/kibana/#/discover/Steve-Slow-Train-Analysis-(2080s-and-2083s)?_g=(refreshInterval:(display:Off,section:0,value:0),time:(from:'2016-08-11 04:06:48-0600',mode:absolute,to:'2016-08-11 06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" t="str">
            <v>N</v>
          </cell>
          <cell r="X18">
            <v>1</v>
          </cell>
          <cell r="Y18">
            <v>23.2637</v>
          </cell>
          <cell r="Z18">
            <v>1.41E-2</v>
          </cell>
          <cell r="AA18">
            <v>23.249600000000001</v>
          </cell>
          <cell r="AB18" t="e">
            <v>#N/A</v>
          </cell>
          <cell r="AC18" t="e">
            <v>#N/A</v>
          </cell>
          <cell r="AD18" t="str">
            <v>0106-11</v>
          </cell>
          <cell r="AE18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9">
          <cell r="A19" t="str">
            <v>107-11</v>
          </cell>
          <cell r="B19">
            <v>4044</v>
          </cell>
          <cell r="C19" t="str">
            <v>DE.1.0.7.0</v>
          </cell>
          <cell r="D19" t="str">
            <v>204:457</v>
          </cell>
          <cell r="E19">
            <v>42593.178414351853</v>
          </cell>
          <cell r="F19">
            <v>42593.179594907408</v>
          </cell>
          <cell r="G19">
            <v>1</v>
          </cell>
          <cell r="H19" t="str">
            <v>204:233300</v>
          </cell>
          <cell r="I19">
            <v>42593.214537037034</v>
          </cell>
          <cell r="J19">
            <v>0</v>
          </cell>
          <cell r="K19" t="str">
            <v>4043/4044</v>
          </cell>
          <cell r="L19" t="str">
            <v>STRICKLAND</v>
          </cell>
          <cell r="M19">
            <v>3.4942129626870155E-2</v>
          </cell>
          <cell r="N19">
            <v>50.316666662693024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https://search-rtdc-monitor-bjffxe2xuh6vdkpspy63sjmuny.us-east-1.es.amazonaws.com/_plugin/kibana/#/discover/Steve-Slow-Train-Analysis-(2080s-and-2083s)?_g=(refreshInterval:(display:Off,section:0,value:0),time:(from:'2016-08-11 03:16:55-0600',mode:absolute,to:'2016-08-11 06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" t="str">
            <v>N</v>
          </cell>
          <cell r="X19">
            <v>1</v>
          </cell>
          <cell r="Y19">
            <v>4.5699999999999998E-2</v>
          </cell>
          <cell r="Z19">
            <v>23.33</v>
          </cell>
          <cell r="AA19">
            <v>23.284299999999998</v>
          </cell>
          <cell r="AB19" t="e">
            <v>#N/A</v>
          </cell>
          <cell r="AC19" t="e">
            <v>#N/A</v>
          </cell>
          <cell r="AD19" t="str">
            <v>0107-11</v>
          </cell>
          <cell r="AE19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20">
          <cell r="A20" t="str">
            <v>108-11</v>
          </cell>
          <cell r="B20">
            <v>4043</v>
          </cell>
          <cell r="C20" t="str">
            <v>DE.1.0.7.0</v>
          </cell>
          <cell r="D20" t="str">
            <v>204:232989</v>
          </cell>
          <cell r="E20">
            <v>42593.221064814818</v>
          </cell>
          <cell r="F20">
            <v>42593.222118055557</v>
          </cell>
          <cell r="G20">
            <v>1</v>
          </cell>
          <cell r="H20" t="str">
            <v>204:172</v>
          </cell>
          <cell r="I20">
            <v>42593.254629629628</v>
          </cell>
          <cell r="J20">
            <v>1</v>
          </cell>
          <cell r="K20" t="str">
            <v>4043/4044</v>
          </cell>
          <cell r="L20" t="str">
            <v>STRICKLAND</v>
          </cell>
          <cell r="M20">
            <v>3.2511574070667848E-2</v>
          </cell>
          <cell r="N20">
            <v>46.816666661761701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https://search-rtdc-monitor-bjffxe2xuh6vdkpspy63sjmuny.us-east-1.es.amazonaws.com/_plugin/kibana/#/discover/Steve-Slow-Train-Analysis-(2080s-and-2083s)?_g=(refreshInterval:(display:Off,section:0,value:0),time:(from:'2016-08-11 04:18:20-0600',mode:absolute,to:'2016-08-11 07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" t="str">
            <v>N</v>
          </cell>
          <cell r="X20">
            <v>1</v>
          </cell>
          <cell r="Y20">
            <v>23.2989</v>
          </cell>
          <cell r="Z20">
            <v>1.72E-2</v>
          </cell>
          <cell r="AA20">
            <v>23.281700000000001</v>
          </cell>
          <cell r="AB20">
            <v>183829</v>
          </cell>
          <cell r="AC20" t="str">
            <v>PERMANENT SPEED RESTRICTION</v>
          </cell>
          <cell r="AD20" t="str">
            <v>0108-11</v>
          </cell>
          <cell r="AE20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21">
          <cell r="A21" t="str">
            <v>109-11</v>
          </cell>
          <cell r="B21">
            <v>4016</v>
          </cell>
          <cell r="C21" t="str">
            <v>DE.1.0.7.0</v>
          </cell>
          <cell r="D21" t="str">
            <v>204:455</v>
          </cell>
          <cell r="E21">
            <v>42593.193541666667</v>
          </cell>
          <cell r="F21">
            <v>42593.195196759261</v>
          </cell>
          <cell r="G21">
            <v>2</v>
          </cell>
          <cell r="H21" t="str">
            <v>204:233286</v>
          </cell>
          <cell r="I21">
            <v>42593.223101851851</v>
          </cell>
          <cell r="J21">
            <v>0</v>
          </cell>
          <cell r="K21" t="str">
            <v>4015/4016</v>
          </cell>
          <cell r="L21" t="str">
            <v>ROCHA</v>
          </cell>
          <cell r="M21">
            <v>2.7905092589207925E-2</v>
          </cell>
          <cell r="N21">
            <v>40.183333328459412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https://search-rtdc-monitor-bjffxe2xuh6vdkpspy63sjmuny.us-east-1.es.amazonaws.com/_plugin/kibana/#/discover/Steve-Slow-Train-Analysis-(2080s-and-2083s)?_g=(refreshInterval:(display:Off,section:0,value:0),time:(from:'2016-08-11 03:38:42-0600',mode:absolute,to:'2016-08-11 06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" t="str">
            <v>N</v>
          </cell>
          <cell r="X21">
            <v>1</v>
          </cell>
          <cell r="Y21">
            <v>4.5499999999999999E-2</v>
          </cell>
          <cell r="Z21">
            <v>23.328600000000002</v>
          </cell>
          <cell r="AA21">
            <v>23.283100000000001</v>
          </cell>
          <cell r="AB21" t="e">
            <v>#N/A</v>
          </cell>
          <cell r="AC21" t="e">
            <v>#N/A</v>
          </cell>
          <cell r="AD21" t="str">
            <v>0109-11</v>
          </cell>
          <cell r="AE21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22">
          <cell r="A22" t="str">
            <v>110-11</v>
          </cell>
          <cell r="B22">
            <v>4015</v>
          </cell>
          <cell r="C22" t="str">
            <v>DE.1.0.7.0</v>
          </cell>
          <cell r="D22" t="str">
            <v>204:232973</v>
          </cell>
          <cell r="E22">
            <v>42593.234456018516</v>
          </cell>
          <cell r="F22">
            <v>42593.236018518517</v>
          </cell>
          <cell r="G22">
            <v>2</v>
          </cell>
          <cell r="H22" t="str">
            <v>204:158</v>
          </cell>
          <cell r="I22">
            <v>42593.26353009259</v>
          </cell>
          <cell r="J22">
            <v>0</v>
          </cell>
          <cell r="K22" t="str">
            <v>4015/4016</v>
          </cell>
          <cell r="L22" t="str">
            <v>ROCHA</v>
          </cell>
          <cell r="M22">
            <v>2.7511574073287193E-2</v>
          </cell>
          <cell r="N22">
            <v>39.616666665533558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https://search-rtdc-monitor-bjffxe2xuh6vdkpspy63sjmuny.us-east-1.es.amazonaws.com/_plugin/kibana/#/discover/Steve-Slow-Train-Analysis-(2080s-and-2083s)?_g=(refreshInterval:(display:Off,section:0,value:0),time:(from:'2016-08-11 04:37:37-0600',mode:absolute,to:'2016-08-11 07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2" t="str">
            <v>N</v>
          </cell>
          <cell r="X22">
            <v>1</v>
          </cell>
          <cell r="Y22">
            <v>23.2973</v>
          </cell>
          <cell r="Z22">
            <v>1.5800000000000002E-2</v>
          </cell>
          <cell r="AA22">
            <v>23.281500000000001</v>
          </cell>
          <cell r="AB22" t="e">
            <v>#N/A</v>
          </cell>
          <cell r="AC22" t="e">
            <v>#N/A</v>
          </cell>
          <cell r="AD22" t="str">
            <v>0110-11</v>
          </cell>
          <cell r="AE2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23">
          <cell r="A23" t="str">
            <v>111-11</v>
          </cell>
          <cell r="B23">
            <v>4011</v>
          </cell>
          <cell r="C23" t="str">
            <v>DE.1.0.7.0</v>
          </cell>
          <cell r="D23" t="str">
            <v>204:748</v>
          </cell>
          <cell r="E23">
            <v>42593.208981481483</v>
          </cell>
          <cell r="F23">
            <v>42593.210787037038</v>
          </cell>
          <cell r="G23">
            <v>2</v>
          </cell>
          <cell r="H23" t="str">
            <v>204:233312</v>
          </cell>
          <cell r="I23">
            <v>42593.242152777777</v>
          </cell>
          <cell r="J23">
            <v>0</v>
          </cell>
          <cell r="K23" t="str">
            <v>4011/4012</v>
          </cell>
          <cell r="L23" t="str">
            <v>SANTIZO</v>
          </cell>
          <cell r="M23">
            <v>3.1365740738692693E-2</v>
          </cell>
          <cell r="N23">
            <v>45.166666663717479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https://search-rtdc-monitor-bjffxe2xuh6vdkpspy63sjmuny.us-east-1.es.amazonaws.com/_plugin/kibana/#/discover/Steve-Slow-Train-Analysis-(2080s-and-2083s)?_g=(refreshInterval:(display:Off,section:0,value:0),time:(from:'2016-08-11 04:00:56-0600',mode:absolute,to:'2016-08-11 06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3" t="str">
            <v>N</v>
          </cell>
          <cell r="X23">
            <v>1</v>
          </cell>
          <cell r="Y23">
            <v>7.4800000000000005E-2</v>
          </cell>
          <cell r="Z23">
            <v>23.331199999999999</v>
          </cell>
          <cell r="AA23">
            <v>23.256399999999999</v>
          </cell>
          <cell r="AB23" t="e">
            <v>#N/A</v>
          </cell>
          <cell r="AC23" t="e">
            <v>#N/A</v>
          </cell>
          <cell r="AD23" t="str">
            <v>0111-11</v>
          </cell>
          <cell r="AE23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24">
          <cell r="A24" t="str">
            <v>112-11</v>
          </cell>
          <cell r="B24">
            <v>4012</v>
          </cell>
          <cell r="C24" t="str">
            <v>DE.1.0.7.0</v>
          </cell>
          <cell r="D24" t="str">
            <v>204:232991</v>
          </cell>
          <cell r="E24">
            <v>42593.244942129626</v>
          </cell>
          <cell r="F24">
            <v>42593.246134259258</v>
          </cell>
          <cell r="G24">
            <v>1</v>
          </cell>
          <cell r="H24" t="str">
            <v>204:149</v>
          </cell>
          <cell r="I24">
            <v>42593.274328703701</v>
          </cell>
          <cell r="J24">
            <v>1</v>
          </cell>
          <cell r="K24" t="str">
            <v>4011/4012</v>
          </cell>
          <cell r="L24" t="str">
            <v>SANTIZO</v>
          </cell>
          <cell r="M24">
            <v>2.8194444443215616E-2</v>
          </cell>
          <cell r="N24">
            <v>40.599999998230487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https://search-rtdc-monitor-bjffxe2xuh6vdkpspy63sjmuny.us-east-1.es.amazonaws.com/_plugin/kibana/#/discover/Steve-Slow-Train-Analysis-(2080s-and-2083s)?_g=(refreshInterval:(display:Off,section:0,value:0),time:(from:'2016-08-11 04:52:43-0600',mode:absolute,to:'2016-08-11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4" t="str">
            <v>N</v>
          </cell>
          <cell r="X24">
            <v>1</v>
          </cell>
          <cell r="Y24">
            <v>23.299099999999999</v>
          </cell>
          <cell r="Z24">
            <v>1.49E-2</v>
          </cell>
          <cell r="AA24">
            <v>23.284199999999998</v>
          </cell>
          <cell r="AB24" t="e">
            <v>#N/A</v>
          </cell>
          <cell r="AC24" t="e">
            <v>#N/A</v>
          </cell>
          <cell r="AD24" t="str">
            <v>0112-11</v>
          </cell>
          <cell r="AE24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25">
          <cell r="A25" t="str">
            <v>113-11</v>
          </cell>
          <cell r="B25">
            <v>4038</v>
          </cell>
          <cell r="C25" t="str">
            <v>DE.1.0.7.0</v>
          </cell>
          <cell r="D25" t="str">
            <v>204:447</v>
          </cell>
          <cell r="E25">
            <v>42593.213518518518</v>
          </cell>
          <cell r="F25">
            <v>42593.21465277778</v>
          </cell>
          <cell r="G25">
            <v>1</v>
          </cell>
          <cell r="H25" t="str">
            <v>204:233295</v>
          </cell>
          <cell r="I25">
            <v>42593.244618055556</v>
          </cell>
          <cell r="J25">
            <v>0</v>
          </cell>
          <cell r="K25" t="str">
            <v>4037/4038</v>
          </cell>
          <cell r="L25" t="str">
            <v>MAELZER</v>
          </cell>
          <cell r="M25">
            <v>2.9965277775772847E-2</v>
          </cell>
          <cell r="N25">
            <v>43.1499999971129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https://search-rtdc-monitor-bjffxe2xuh6vdkpspy63sjmuny.us-east-1.es.amazonaws.com/_plugin/kibana/#/discover/Steve-Slow-Train-Analysis-(2080s-and-2083s)?_g=(refreshInterval:(display:Off,section:0,value:0),time:(from:'2016-08-11 04:07:28-0600',mode:absolute,to:'2016-08-11 06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5" t="str">
            <v>N</v>
          </cell>
          <cell r="X25">
            <v>1</v>
          </cell>
          <cell r="Y25">
            <v>4.4699999999999997E-2</v>
          </cell>
          <cell r="Z25">
            <v>23.329499999999999</v>
          </cell>
          <cell r="AA25">
            <v>23.284800000000001</v>
          </cell>
          <cell r="AB25" t="e">
            <v>#N/A</v>
          </cell>
          <cell r="AC25" t="e">
            <v>#N/A</v>
          </cell>
          <cell r="AD25" t="str">
            <v>0113-11</v>
          </cell>
          <cell r="AE25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26">
          <cell r="A26" t="str">
            <v>114-11</v>
          </cell>
          <cell r="B26">
            <v>4037</v>
          </cell>
          <cell r="C26" t="str">
            <v>DE.1.0.7.0</v>
          </cell>
          <cell r="D26" t="str">
            <v>204:232980</v>
          </cell>
          <cell r="E26">
            <v>42593.249814814815</v>
          </cell>
          <cell r="F26">
            <v>42593.250601851854</v>
          </cell>
          <cell r="G26">
            <v>1</v>
          </cell>
          <cell r="H26" t="str">
            <v>204:139</v>
          </cell>
          <cell r="I26">
            <v>42593.285162037035</v>
          </cell>
          <cell r="J26">
            <v>0</v>
          </cell>
          <cell r="K26" t="str">
            <v>4037/4038</v>
          </cell>
          <cell r="L26" t="str">
            <v>MAELZER</v>
          </cell>
          <cell r="M26">
            <v>3.4560185180453118E-2</v>
          </cell>
          <cell r="N26">
            <v>49.76666665985249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https://search-rtdc-monitor-bjffxe2xuh6vdkpspy63sjmuny.us-east-1.es.amazonaws.com/_plugin/kibana/#/discover/Steve-Slow-Train-Analysis-(2080s-and-2083s)?_g=(refreshInterval:(display:Off,section:0,value:0),time:(from:'2016-08-11 04:59:44-0600',mode:absolute,to:'2016-08-11 07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6" t="str">
            <v>N</v>
          </cell>
          <cell r="X26">
            <v>1</v>
          </cell>
          <cell r="Y26">
            <v>23.297999999999998</v>
          </cell>
          <cell r="Z26">
            <v>1.3899999999999999E-2</v>
          </cell>
          <cell r="AA26">
            <v>23.284099999999999</v>
          </cell>
          <cell r="AB26" t="e">
            <v>#N/A</v>
          </cell>
          <cell r="AC26" t="e">
            <v>#N/A</v>
          </cell>
          <cell r="AD26" t="str">
            <v>0114-11</v>
          </cell>
          <cell r="AE2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27">
          <cell r="A27" t="str">
            <v>115-11</v>
          </cell>
          <cell r="B27">
            <v>4029</v>
          </cell>
          <cell r="C27" t="str">
            <v>DE.1.0.7.0</v>
          </cell>
          <cell r="D27" t="str">
            <v>204:755</v>
          </cell>
          <cell r="E27">
            <v>42593.228391203702</v>
          </cell>
          <cell r="F27">
            <v>42593.229456018518</v>
          </cell>
          <cell r="G27">
            <v>1</v>
          </cell>
          <cell r="H27" t="str">
            <v>204:233310</v>
          </cell>
          <cell r="I27">
            <v>42593.255659722221</v>
          </cell>
          <cell r="J27">
            <v>0</v>
          </cell>
          <cell r="K27" t="str">
            <v>4029/4030</v>
          </cell>
          <cell r="L27" t="str">
            <v>BRANNON</v>
          </cell>
          <cell r="M27">
            <v>2.6203703702776693E-2</v>
          </cell>
          <cell r="N27">
            <v>37.733333331998438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https://search-rtdc-monitor-bjffxe2xuh6vdkpspy63sjmuny.us-east-1.es.amazonaws.com/_plugin/kibana/#/discover/Steve-Slow-Train-Analysis-(2080s-and-2083s)?_g=(refreshInterval:(display:Off,section:0,value:0),time:(from:'2016-08-11 04:28:53-0600',mode:absolute,to:'2016-08-11 07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7.5499999999999998E-2</v>
          </cell>
          <cell r="Z27">
            <v>23.331</v>
          </cell>
          <cell r="AA27">
            <v>23.255499999999998</v>
          </cell>
          <cell r="AB27" t="e">
            <v>#N/A</v>
          </cell>
          <cell r="AC27" t="e">
            <v>#N/A</v>
          </cell>
          <cell r="AD27" t="str">
            <v>0115-11</v>
          </cell>
          <cell r="AE27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28">
          <cell r="A28" t="str">
            <v>116-11</v>
          </cell>
          <cell r="B28">
            <v>4030</v>
          </cell>
          <cell r="C28" t="str">
            <v>DE.1.0.7.0</v>
          </cell>
          <cell r="D28" t="str">
            <v>204:232991</v>
          </cell>
          <cell r="E28">
            <v>42593.260231481479</v>
          </cell>
          <cell r="F28">
            <v>42593.263206018521</v>
          </cell>
          <cell r="G28">
            <v>4</v>
          </cell>
          <cell r="H28" t="str">
            <v>204:141</v>
          </cell>
          <cell r="I28">
            <v>42593.295300925929</v>
          </cell>
          <cell r="J28">
            <v>0</v>
          </cell>
          <cell r="K28" t="str">
            <v>4029/4030</v>
          </cell>
          <cell r="L28" t="str">
            <v>BRANNON</v>
          </cell>
          <cell r="M28">
            <v>3.2094907408463769E-2</v>
          </cell>
          <cell r="N28">
            <v>46.216666668187827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https://search-rtdc-monitor-bjffxe2xuh6vdkpspy63sjmuny.us-east-1.es.amazonaws.com/_plugin/kibana/#/discover/Steve-Slow-Train-Analysis-(2080s-and-2083s)?_g=(refreshInterval:(display:Off,section:0,value:0),time:(from:'2016-08-11 05:14:44-0600',mode:absolute,to:'2016-08-11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23.299099999999999</v>
          </cell>
          <cell r="Z28">
            <v>1.41E-2</v>
          </cell>
          <cell r="AA28">
            <v>23.285</v>
          </cell>
          <cell r="AB28" t="e">
            <v>#N/A</v>
          </cell>
          <cell r="AC28" t="e">
            <v>#N/A</v>
          </cell>
          <cell r="AD28" t="str">
            <v>0116-11</v>
          </cell>
          <cell r="AE28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29">
          <cell r="A29" t="str">
            <v>117-11</v>
          </cell>
          <cell r="B29">
            <v>4014</v>
          </cell>
          <cell r="C29" t="str">
            <v>DE.1.0.7.0</v>
          </cell>
          <cell r="D29" t="str">
            <v>204:426</v>
          </cell>
          <cell r="E29">
            <v>42593.236620370371</v>
          </cell>
          <cell r="F29">
            <v>42593.237986111111</v>
          </cell>
          <cell r="G29">
            <v>1</v>
          </cell>
          <cell r="H29" t="str">
            <v>204:233301</v>
          </cell>
          <cell r="I29">
            <v>42593.26599537037</v>
          </cell>
          <cell r="J29">
            <v>0</v>
          </cell>
          <cell r="K29" t="str">
            <v>4013/4014</v>
          </cell>
          <cell r="L29" t="str">
            <v>STARKS</v>
          </cell>
          <cell r="M29">
            <v>2.8009259258396924E-2</v>
          </cell>
          <cell r="N29">
            <v>40.33333333209157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https://search-rtdc-monitor-bjffxe2xuh6vdkpspy63sjmuny.us-east-1.es.amazonaws.com/_plugin/kibana/#/discover/Steve-Slow-Train-Analysis-(2080s-and-2083s)?_g=(refreshInterval:(display:Off,section:0,value:0),time:(from:'2016-08-11 04:40:44-0600',mode:absolute,to:'2016-08-11 07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9" t="str">
            <v>N</v>
          </cell>
          <cell r="X29">
            <v>1</v>
          </cell>
          <cell r="Y29">
            <v>4.2599999999999999E-2</v>
          </cell>
          <cell r="Z29">
            <v>23.330100000000002</v>
          </cell>
          <cell r="AA29">
            <v>23.287500000000001</v>
          </cell>
          <cell r="AB29" t="e">
            <v>#N/A</v>
          </cell>
          <cell r="AC29" t="e">
            <v>#N/A</v>
          </cell>
          <cell r="AD29" t="str">
            <v>0117-11</v>
          </cell>
          <cell r="AE29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30">
          <cell r="A30" t="str">
            <v>118-11</v>
          </cell>
          <cell r="B30">
            <v>4013</v>
          </cell>
          <cell r="C30" t="str">
            <v>DE.1.0.7.0</v>
          </cell>
          <cell r="D30" t="str">
            <v>204:232977</v>
          </cell>
          <cell r="E30">
            <v>42593.276006944441</v>
          </cell>
          <cell r="F30">
            <v>42593.277106481481</v>
          </cell>
          <cell r="G30">
            <v>1</v>
          </cell>
          <cell r="H30" t="str">
            <v>204:187</v>
          </cell>
          <cell r="I30">
            <v>42593.308854166666</v>
          </cell>
          <cell r="J30">
            <v>2</v>
          </cell>
          <cell r="K30" t="str">
            <v>4013/4014</v>
          </cell>
          <cell r="L30" t="str">
            <v>STARKS</v>
          </cell>
          <cell r="M30">
            <v>3.1747685185109731E-2</v>
          </cell>
          <cell r="N30">
            <v>45.716666666558012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0" t="str">
            <v>N</v>
          </cell>
          <cell r="X30">
            <v>1</v>
          </cell>
          <cell r="Y30">
            <v>23.297699999999999</v>
          </cell>
          <cell r="Z30">
            <v>1.8700000000000001E-2</v>
          </cell>
          <cell r="AA30">
            <v>23.279</v>
          </cell>
          <cell r="AB30">
            <v>42961</v>
          </cell>
          <cell r="AC30" t="str">
            <v>GRADE CROSSING</v>
          </cell>
          <cell r="AD30" t="str">
            <v>0118-11</v>
          </cell>
          <cell r="AE30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31">
          <cell r="A31" t="str">
            <v>119-11</v>
          </cell>
          <cell r="B31">
            <v>4025</v>
          </cell>
          <cell r="C31" t="str">
            <v>DE.1.0.7.0</v>
          </cell>
          <cell r="D31" t="str">
            <v>204:734</v>
          </cell>
          <cell r="E31">
            <v>42593.247361111113</v>
          </cell>
          <cell r="F31">
            <v>42593.250243055554</v>
          </cell>
          <cell r="G31">
            <v>4</v>
          </cell>
          <cell r="H31" t="str">
            <v>204:233302</v>
          </cell>
          <cell r="I31">
            <v>42593.275925925926</v>
          </cell>
          <cell r="J31">
            <v>0</v>
          </cell>
          <cell r="K31" t="str">
            <v>4025/4026</v>
          </cell>
          <cell r="L31" t="str">
            <v>MALAVE</v>
          </cell>
          <cell r="M31">
            <v>2.5682870371383615E-2</v>
          </cell>
          <cell r="N31">
            <v>36.983333334792405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https://search-rtdc-monitor-bjffxe2xuh6vdkpspy63sjmuny.us-east-1.es.amazonaws.com/_plugin/kibana/#/discover/Steve-Slow-Train-Analysis-(2080s-and-2083s)?_g=(refreshInterval:(display:Off,section:0,value:0),time:(from:'2016-08-11 04:56:12-0600',mode:absolute,to:'2016-08-11 07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7.3400000000000007E-2</v>
          </cell>
          <cell r="Z31">
            <v>23.330200000000001</v>
          </cell>
          <cell r="AA31">
            <v>23.256800000000002</v>
          </cell>
          <cell r="AB31" t="e">
            <v>#N/A</v>
          </cell>
          <cell r="AC31" t="e">
            <v>#N/A</v>
          </cell>
          <cell r="AD31" t="str">
            <v>0119-11</v>
          </cell>
          <cell r="AE3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32">
          <cell r="A32" t="str">
            <v>120-11</v>
          </cell>
          <cell r="B32">
            <v>4026</v>
          </cell>
          <cell r="C32" t="str">
            <v>DE.1.0.7.0</v>
          </cell>
          <cell r="D32" t="str">
            <v>204:232983</v>
          </cell>
          <cell r="E32">
            <v>42593.286782407406</v>
          </cell>
          <cell r="F32">
            <v>42593.288217592592</v>
          </cell>
          <cell r="G32">
            <v>2</v>
          </cell>
          <cell r="H32" t="str">
            <v>204:158</v>
          </cell>
          <cell r="I32">
            <v>42593.315787037034</v>
          </cell>
          <cell r="J32">
            <v>0</v>
          </cell>
          <cell r="K32" t="str">
            <v>4025/4026</v>
          </cell>
          <cell r="L32" t="str">
            <v>MALAVE</v>
          </cell>
          <cell r="M32">
            <v>2.7569444442633539E-2</v>
          </cell>
          <cell r="N32">
            <v>39.699999997392297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https://search-rtdc-monitor-bjffxe2xuh6vdkpspy63sjmuny.us-east-1.es.amazonaws.com/_plugin/kibana/#/discover/Steve-Slow-Train-Analysis-(2080s-and-2083s)?_g=(refreshInterval:(display:Off,section:0,value:0),time:(from:'2016-08-11 05:52:58-0600',mode:absolute,to:'2016-08-11 08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1.5800000000000002E-2</v>
          </cell>
          <cell r="AA32">
            <v>23.282500000000002</v>
          </cell>
          <cell r="AB32" t="e">
            <v>#N/A</v>
          </cell>
          <cell r="AC32" t="e">
            <v>#N/A</v>
          </cell>
          <cell r="AD32" t="str">
            <v>0120-11</v>
          </cell>
          <cell r="AE32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33">
          <cell r="A33" t="str">
            <v>121-11</v>
          </cell>
          <cell r="B33">
            <v>4044</v>
          </cell>
          <cell r="C33" t="str">
            <v>DE.1.0.7.0</v>
          </cell>
          <cell r="D33" t="str">
            <v>204:449</v>
          </cell>
          <cell r="E33">
            <v>42593.256006944444</v>
          </cell>
          <cell r="F33">
            <v>42593.257106481484</v>
          </cell>
          <cell r="G33">
            <v>1</v>
          </cell>
          <cell r="H33" t="str">
            <v>204:233280</v>
          </cell>
          <cell r="I33">
            <v>42593.289618055554</v>
          </cell>
          <cell r="J33">
            <v>2</v>
          </cell>
          <cell r="K33" t="str">
            <v>4043/4044</v>
          </cell>
          <cell r="L33" t="str">
            <v>STRICKLAND</v>
          </cell>
          <cell r="M33">
            <v>3.2511574070667848E-2</v>
          </cell>
          <cell r="N33">
            <v>46.816666661761701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3" t="str">
            <v>N</v>
          </cell>
          <cell r="X33">
            <v>1</v>
          </cell>
          <cell r="Y33">
            <v>4.4900000000000002E-2</v>
          </cell>
          <cell r="Z33">
            <v>23.327999999999999</v>
          </cell>
          <cell r="AA33">
            <v>23.283100000000001</v>
          </cell>
          <cell r="AB33">
            <v>0</v>
          </cell>
          <cell r="AC33" t="str">
            <v>PERMANENT SPEED RESTRICTION</v>
          </cell>
          <cell r="AD33" t="str">
            <v>0121-11</v>
          </cell>
          <cell r="AE33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34">
          <cell r="A34" t="str">
            <v>122-11</v>
          </cell>
          <cell r="B34">
            <v>4043</v>
          </cell>
          <cell r="C34" t="str">
            <v>DE.1.0.7.0</v>
          </cell>
          <cell r="D34" t="str">
            <v>204:232969</v>
          </cell>
          <cell r="E34">
            <v>42593.296886574077</v>
          </cell>
          <cell r="F34">
            <v>42593.297800925924</v>
          </cell>
          <cell r="G34">
            <v>1</v>
          </cell>
          <cell r="H34" t="str">
            <v>204:169</v>
          </cell>
          <cell r="I34">
            <v>42593.328946759262</v>
          </cell>
          <cell r="J34">
            <v>1</v>
          </cell>
          <cell r="K34" t="str">
            <v>4043/4044</v>
          </cell>
          <cell r="L34" t="str">
            <v>STRICKLAND</v>
          </cell>
          <cell r="M34">
            <v>3.1145833338086959E-2</v>
          </cell>
          <cell r="N34">
            <v>44.850000006845221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https://search-rtdc-monitor-bjffxe2xuh6vdkpspy63sjmuny.us-east-1.es.amazonaws.com/_plugin/kibana/#/discover/Steve-Slow-Train-Analysis-(2080s-and-2083s)?_g=(refreshInterval:(display:Off,section:0,value:0),time:(from:'2016-08-11 06:07:31-0600',mode:absolute,to:'2016-08-11 08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4" t="str">
            <v>N</v>
          </cell>
          <cell r="X34">
            <v>1</v>
          </cell>
          <cell r="Y34">
            <v>23.296900000000001</v>
          </cell>
          <cell r="Z34">
            <v>1.6899999999999998E-2</v>
          </cell>
          <cell r="AA34">
            <v>23.28</v>
          </cell>
          <cell r="AB34">
            <v>30562</v>
          </cell>
          <cell r="AC34" t="str">
            <v>PERMANENT SPEED RESTRICTION</v>
          </cell>
          <cell r="AD34" t="str">
            <v>0122-11</v>
          </cell>
          <cell r="AE34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35">
          <cell r="A35" t="str">
            <v>123-11</v>
          </cell>
          <cell r="B35">
            <v>4016</v>
          </cell>
          <cell r="C35" t="str">
            <v>DE.1.0.7.0</v>
          </cell>
          <cell r="D35" t="str">
            <v>204:458</v>
          </cell>
          <cell r="E35">
            <v>42593.26972222222</v>
          </cell>
          <cell r="F35">
            <v>42593.270462962966</v>
          </cell>
          <cell r="G35">
            <v>1</v>
          </cell>
          <cell r="H35" t="str">
            <v>204:233298</v>
          </cell>
          <cell r="I35">
            <v>42593.295486111114</v>
          </cell>
          <cell r="J35">
            <v>0</v>
          </cell>
          <cell r="K35" t="str">
            <v>4015/4016</v>
          </cell>
          <cell r="L35" t="str">
            <v>ROCHA</v>
          </cell>
          <cell r="M35">
            <v>2.5023148147738539E-2</v>
          </cell>
          <cell r="N35">
            <v>36.033333332743496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https://search-rtdc-monitor-bjffxe2xuh6vdkpspy63sjmuny.us-east-1.es.amazonaws.com/_plugin/kibana/#/discover/Steve-Slow-Train-Analysis-(2080s-and-2083s)?_g=(refreshInterval:(display:Off,section:0,value:0),time:(from:'2016-08-11 05:28:24-0600',mode:absolute,to:'2016-08-11 08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5" t="str">
            <v>N</v>
          </cell>
          <cell r="X35">
            <v>1</v>
          </cell>
          <cell r="Y35">
            <v>4.58E-2</v>
          </cell>
          <cell r="Z35">
            <v>23.329799999999999</v>
          </cell>
          <cell r="AA35">
            <v>23.283999999999999</v>
          </cell>
          <cell r="AB35" t="e">
            <v>#N/A</v>
          </cell>
          <cell r="AC35" t="e">
            <v>#N/A</v>
          </cell>
          <cell r="AD35" t="str">
            <v>0123-11</v>
          </cell>
          <cell r="AE3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36">
          <cell r="A36" t="str">
            <v>124-11</v>
          </cell>
          <cell r="B36">
            <v>4015</v>
          </cell>
          <cell r="C36" t="str">
            <v>DE.1.0.7.0</v>
          </cell>
          <cell r="D36" t="str">
            <v>204:232993</v>
          </cell>
          <cell r="E36">
            <v>42593.308692129627</v>
          </cell>
          <cell r="F36">
            <v>42593.309687499997</v>
          </cell>
          <cell r="G36">
            <v>1</v>
          </cell>
          <cell r="H36" t="str">
            <v>204:149</v>
          </cell>
          <cell r="I36">
            <v>42593.335821759261</v>
          </cell>
          <cell r="J36">
            <v>0</v>
          </cell>
          <cell r="K36" t="str">
            <v>4015/4016</v>
          </cell>
          <cell r="L36" t="str">
            <v>ROCHA</v>
          </cell>
          <cell r="M36">
            <v>2.6134259263926651E-2</v>
          </cell>
          <cell r="N36">
            <v>37.633333340054378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https://search-rtdc-monitor-bjffxe2xuh6vdkpspy63sjmuny.us-east-1.es.amazonaws.com/_plugin/kibana/#/discover/Steve-Slow-Train-Analysis-(2080s-and-2083s)?_g=(refreshInterval:(display:Off,section:0,value:0),time:(from:'2016-08-11 06:24:31-0600',mode:absolute,to:'2016-08-11 09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6" t="str">
            <v>N</v>
          </cell>
          <cell r="X36">
            <v>1</v>
          </cell>
          <cell r="Y36">
            <v>23.299299999999999</v>
          </cell>
          <cell r="Z36">
            <v>1.49E-2</v>
          </cell>
          <cell r="AA36">
            <v>23.284399999999998</v>
          </cell>
          <cell r="AB36" t="e">
            <v>#N/A</v>
          </cell>
          <cell r="AC36" t="e">
            <v>#N/A</v>
          </cell>
          <cell r="AD36" t="str">
            <v>0124-11</v>
          </cell>
          <cell r="AE36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37">
          <cell r="A37" t="str">
            <v>125-11</v>
          </cell>
          <cell r="B37">
            <v>4011</v>
          </cell>
          <cell r="C37" t="str">
            <v>DE.1.0.7.0</v>
          </cell>
          <cell r="D37" t="str">
            <v>204:469</v>
          </cell>
          <cell r="E37">
            <v>42593.278171296297</v>
          </cell>
          <cell r="F37">
            <v>42593.279027777775</v>
          </cell>
          <cell r="G37">
            <v>1</v>
          </cell>
          <cell r="H37" t="str">
            <v>204:233301</v>
          </cell>
          <cell r="I37">
            <v>42593.306030092594</v>
          </cell>
          <cell r="J37">
            <v>0</v>
          </cell>
          <cell r="K37" t="str">
            <v>4011/4012</v>
          </cell>
          <cell r="L37" t="str">
            <v>SANTIZO</v>
          </cell>
          <cell r="M37">
            <v>2.7002314818673767E-2</v>
          </cell>
          <cell r="N37">
            <v>38.883333338890225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https://search-rtdc-monitor-bjffxe2xuh6vdkpspy63sjmuny.us-east-1.es.amazonaws.com/_plugin/kibana/#/discover/Steve-Slow-Train-Analysis-(2080s-and-2083s)?_g=(refreshInterval:(display:Off,section:0,value:0),time:(from:'2016-08-11 05:40:34-0600',mode:absolute,to:'2016-08-11 08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7" t="str">
            <v>N</v>
          </cell>
          <cell r="X37">
            <v>1</v>
          </cell>
          <cell r="Y37">
            <v>4.6899999999999997E-2</v>
          </cell>
          <cell r="Z37">
            <v>23.330100000000002</v>
          </cell>
          <cell r="AA37">
            <v>23.283200000000001</v>
          </cell>
          <cell r="AB37" t="e">
            <v>#N/A</v>
          </cell>
          <cell r="AC37" t="e">
            <v>#N/A</v>
          </cell>
          <cell r="AD37" t="str">
            <v>0125-11</v>
          </cell>
          <cell r="AE37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38">
          <cell r="A38" t="str">
            <v>126-11</v>
          </cell>
          <cell r="B38">
            <v>4012</v>
          </cell>
          <cell r="C38" t="str">
            <v>DE.1.0.7.0</v>
          </cell>
          <cell r="D38" t="str">
            <v>204:232984</v>
          </cell>
          <cell r="E38">
            <v>42593.307743055557</v>
          </cell>
          <cell r="F38">
            <v>42593.308344907404</v>
          </cell>
          <cell r="G38">
            <v>0</v>
          </cell>
          <cell r="H38" t="str">
            <v>204:145</v>
          </cell>
          <cell r="I38">
            <v>42593.346597222226</v>
          </cell>
          <cell r="J38">
            <v>0</v>
          </cell>
          <cell r="K38" t="str">
            <v>4011/4012</v>
          </cell>
          <cell r="L38" t="str">
            <v>SANTIZO</v>
          </cell>
          <cell r="M38">
            <v>3.8252314821875188E-2</v>
          </cell>
          <cell r="N38">
            <v>55.083333343500271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https://search-rtdc-monitor-bjffxe2xuh6vdkpspy63sjmuny.us-east-1.es.amazonaws.com/_plugin/kibana/#/discover/Steve-Slow-Train-Analysis-(2080s-and-2083s)?_g=(refreshInterval:(display:Off,section:0,value:0),time:(from:'2016-08-11 06:23:09-0600',mode:absolute,to:'2016-08-11 09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8" t="str">
            <v>N</v>
          </cell>
          <cell r="X38">
            <v>1</v>
          </cell>
          <cell r="Y38">
            <v>23.298400000000001</v>
          </cell>
          <cell r="Z38">
            <v>1.4500000000000001E-2</v>
          </cell>
          <cell r="AA38">
            <v>23.283899999999999</v>
          </cell>
          <cell r="AB38" t="e">
            <v>#N/A</v>
          </cell>
          <cell r="AC38" t="e">
            <v>#N/A</v>
          </cell>
          <cell r="AD38" t="str">
            <v>0126-11</v>
          </cell>
          <cell r="AE38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39">
          <cell r="A39" t="str">
            <v>127-11</v>
          </cell>
          <cell r="B39">
            <v>4038</v>
          </cell>
          <cell r="C39" t="str">
            <v>DE.1.0.7.0</v>
          </cell>
          <cell r="D39" t="str">
            <v>204:466</v>
          </cell>
          <cell r="E39">
            <v>42593.287152777775</v>
          </cell>
          <cell r="F39">
            <v>42593.288078703707</v>
          </cell>
          <cell r="G39">
            <v>1</v>
          </cell>
          <cell r="H39" t="str">
            <v>204:233327</v>
          </cell>
          <cell r="I39">
            <v>42593.317037037035</v>
          </cell>
          <cell r="J39">
            <v>0</v>
          </cell>
          <cell r="K39" t="str">
            <v>4037/4038</v>
          </cell>
          <cell r="L39" t="str">
            <v>MAELZER</v>
          </cell>
          <cell r="M39">
            <v>2.8958333328773733E-2</v>
          </cell>
          <cell r="N39">
            <v>41.699999993434176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https://search-rtdc-monitor-bjffxe2xuh6vdkpspy63sjmuny.us-east-1.es.amazonaws.com/_plugin/kibana/#/discover/Steve-Slow-Train-Analysis-(2080s-and-2083s)?_g=(refreshInterval:(display:Off,section:0,value:0),time:(from:'2016-08-11 05:53:30-0600',mode:absolute,to:'2016-08-11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9" t="str">
            <v>N</v>
          </cell>
          <cell r="X39">
            <v>1</v>
          </cell>
          <cell r="Y39">
            <v>4.6600000000000003E-2</v>
          </cell>
          <cell r="Z39">
            <v>23.332699999999999</v>
          </cell>
          <cell r="AA39">
            <v>23.286099999999998</v>
          </cell>
          <cell r="AB39" t="e">
            <v>#N/A</v>
          </cell>
          <cell r="AC39" t="e">
            <v>#N/A</v>
          </cell>
          <cell r="AD39" t="str">
            <v>0127-11</v>
          </cell>
          <cell r="AE3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40">
          <cell r="A40" t="str">
            <v>128-11</v>
          </cell>
          <cell r="B40">
            <v>4037</v>
          </cell>
          <cell r="C40" t="str">
            <v>DE.1.0.7.0</v>
          </cell>
          <cell r="D40" t="str">
            <v>204:232991</v>
          </cell>
          <cell r="E40">
            <v>42593.321388888886</v>
          </cell>
          <cell r="F40">
            <v>42593.322372685187</v>
          </cell>
          <cell r="G40">
            <v>1</v>
          </cell>
          <cell r="H40" t="str">
            <v>204:134</v>
          </cell>
          <cell r="I40">
            <v>42593.358240740738</v>
          </cell>
          <cell r="J40">
            <v>1</v>
          </cell>
          <cell r="K40" t="str">
            <v>4037/4038</v>
          </cell>
          <cell r="L40" t="str">
            <v>MAELZER</v>
          </cell>
          <cell r="M40">
            <v>3.5868055550963618E-2</v>
          </cell>
          <cell r="N40">
            <v>51.64999999338761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https://search-rtdc-monitor-bjffxe2xuh6vdkpspy63sjmuny.us-east-1.es.amazonaws.com/_plugin/kibana/#/discover/Steve-Slow-Train-Analysis-(2080s-and-2083s)?_g=(refreshInterval:(display:Off,section:0,value:0),time:(from:'2016-08-11 06:42:48-0600',mode:absolute,to:'2016-08-11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40" t="str">
            <v>N</v>
          </cell>
          <cell r="X40">
            <v>1</v>
          </cell>
          <cell r="Y40">
            <v>23.299099999999999</v>
          </cell>
          <cell r="Z40">
            <v>1.34E-2</v>
          </cell>
          <cell r="AA40">
            <v>23.285699999999999</v>
          </cell>
          <cell r="AB40" t="e">
            <v>#N/A</v>
          </cell>
          <cell r="AC40" t="e">
            <v>#N/A</v>
          </cell>
          <cell r="AD40" t="str">
            <v>0128-11</v>
          </cell>
          <cell r="AE40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41">
          <cell r="A41" t="str">
            <v>129-11</v>
          </cell>
          <cell r="B41">
            <v>4029</v>
          </cell>
          <cell r="C41" t="str">
            <v>DE.1.0.7.0</v>
          </cell>
          <cell r="D41" t="str">
            <v>204:437</v>
          </cell>
          <cell r="E41">
            <v>42593.29650462963</v>
          </cell>
          <cell r="F41">
            <v>42593.297581018516</v>
          </cell>
          <cell r="G41">
            <v>1</v>
          </cell>
          <cell r="H41" t="str">
            <v>204:233301</v>
          </cell>
          <cell r="I41">
            <v>42593.327141203707</v>
          </cell>
          <cell r="J41">
            <v>0</v>
          </cell>
          <cell r="K41" t="str">
            <v>4029/4030</v>
          </cell>
          <cell r="L41" t="str">
            <v>BRANNON</v>
          </cell>
          <cell r="M41">
            <v>2.956018519034842E-2</v>
          </cell>
          <cell r="N41">
            <v>42.566666674101725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https://search-rtdc-monitor-bjffxe2xuh6vdkpspy63sjmuny.us-east-1.es.amazonaws.com/_plugin/kibana/#/discover/Steve-Slow-Train-Analysis-(2080s-and-2083s)?_g=(refreshInterval:(display:Off,section:0,value:0),time:(from:'2016-08-11 06:06:58-0600',mode:absolute,to:'2016-08-11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1" t="str">
            <v>N</v>
          </cell>
          <cell r="X41">
            <v>1</v>
          </cell>
          <cell r="Y41">
            <v>4.3700000000000003E-2</v>
          </cell>
          <cell r="Z41">
            <v>23.330100000000002</v>
          </cell>
          <cell r="AA41">
            <v>23.2864</v>
          </cell>
          <cell r="AB41" t="e">
            <v>#N/A</v>
          </cell>
          <cell r="AC41" t="e">
            <v>#N/A</v>
          </cell>
          <cell r="AD41" t="str">
            <v>0129-11</v>
          </cell>
          <cell r="AE41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42">
          <cell r="A42" t="str">
            <v>130-11</v>
          </cell>
          <cell r="B42">
            <v>4030</v>
          </cell>
          <cell r="C42" t="str">
            <v>DE.1.0.7.0</v>
          </cell>
          <cell r="D42" t="str">
            <v>204:232975</v>
          </cell>
          <cell r="E42">
            <v>42593.335150462961</v>
          </cell>
          <cell r="F42">
            <v>42593.335810185185</v>
          </cell>
          <cell r="G42">
            <v>0</v>
          </cell>
          <cell r="H42" t="str">
            <v>204:152</v>
          </cell>
          <cell r="I42">
            <v>42593.367430555554</v>
          </cell>
          <cell r="J42">
            <v>0</v>
          </cell>
          <cell r="K42" t="str">
            <v>4029/4030</v>
          </cell>
          <cell r="L42" t="str">
            <v>BRANNON</v>
          </cell>
          <cell r="M42">
            <v>3.1620370369637385E-2</v>
          </cell>
          <cell r="N42">
            <v>45.533333332277834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https://search-rtdc-monitor-bjffxe2xuh6vdkpspy63sjmuny.us-east-1.es.amazonaws.com/_plugin/kibana/#/discover/Steve-Slow-Train-Analysis-(2080s-and-2083s)?_g=(refreshInterval:(display:Off,section:0,value:0),time:(from:'2016-08-11 07:02:37-0600',mode:absolute,to:'2016-08-11 09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2" t="str">
            <v>N</v>
          </cell>
          <cell r="X42">
            <v>1</v>
          </cell>
          <cell r="Y42">
            <v>23.297499999999999</v>
          </cell>
          <cell r="Z42">
            <v>1.52E-2</v>
          </cell>
          <cell r="AA42">
            <v>23.282299999999999</v>
          </cell>
          <cell r="AB42" t="e">
            <v>#N/A</v>
          </cell>
          <cell r="AC42" t="e">
            <v>#N/A</v>
          </cell>
          <cell r="AD42" t="str">
            <v>0130-11</v>
          </cell>
          <cell r="AE42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43">
          <cell r="A43" t="str">
            <v>131-11</v>
          </cell>
          <cell r="B43">
            <v>4014</v>
          </cell>
          <cell r="C43" t="str">
            <v>DE.1.0.7.0</v>
          </cell>
          <cell r="D43" t="str">
            <v>204:493</v>
          </cell>
          <cell r="E43">
            <v>42593.311030092591</v>
          </cell>
          <cell r="F43">
            <v>42593.311759259261</v>
          </cell>
          <cell r="G43">
            <v>1</v>
          </cell>
          <cell r="H43" t="str">
            <v>204:233312</v>
          </cell>
          <cell r="I43">
            <v>42593.33965277778</v>
          </cell>
          <cell r="J43">
            <v>1</v>
          </cell>
          <cell r="K43" t="str">
            <v>4013/4014</v>
          </cell>
          <cell r="L43" t="str">
            <v>STARKS</v>
          </cell>
          <cell r="M43">
            <v>2.789351851970423E-2</v>
          </cell>
          <cell r="N43">
            <v>40.166666668374091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https://search-rtdc-monitor-bjffxe2xuh6vdkpspy63sjmuny.us-east-1.es.amazonaws.com/_plugin/kibana/#/discover/Steve-Slow-Train-Analysis-(2080s-and-2083s)?_g=(refreshInterval:(display:Off,section:0,value:0),time:(from:'2016-08-11 06:27:53-0600',mode:absolute,to:'2016-08-11 09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3" t="str">
            <v>N</v>
          </cell>
          <cell r="X43">
            <v>1</v>
          </cell>
          <cell r="Y43">
            <v>4.9299999999999997E-2</v>
          </cell>
          <cell r="Z43">
            <v>23.331199999999999</v>
          </cell>
          <cell r="AA43">
            <v>23.2819</v>
          </cell>
          <cell r="AB43">
            <v>183829</v>
          </cell>
          <cell r="AC43" t="str">
            <v>PERMANENT SPEED RESTRICTION</v>
          </cell>
          <cell r="AD43" t="str">
            <v>0131-11</v>
          </cell>
          <cell r="AE43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44">
          <cell r="A44" t="str">
            <v>132-11</v>
          </cell>
          <cell r="B44">
            <v>4013</v>
          </cell>
          <cell r="C44" t="str">
            <v>DE.1.0.7.0</v>
          </cell>
          <cell r="D44" t="str">
            <v>204:232983</v>
          </cell>
          <cell r="E44">
            <v>42593.349710648145</v>
          </cell>
          <cell r="F44">
            <v>42593.350428240738</v>
          </cell>
          <cell r="G44">
            <v>1</v>
          </cell>
          <cell r="H44" t="str">
            <v>204:143</v>
          </cell>
          <cell r="I44">
            <v>42593.38108796296</v>
          </cell>
          <cell r="J44">
            <v>1</v>
          </cell>
          <cell r="K44" t="str">
            <v>4013/4014</v>
          </cell>
          <cell r="L44" t="str">
            <v>STARKS</v>
          </cell>
          <cell r="M44">
            <v>3.0659722222480923E-2</v>
          </cell>
          <cell r="N44">
            <v>44.150000000372529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https://search-rtdc-monitor-bjffxe2xuh6vdkpspy63sjmuny.us-east-1.es.amazonaws.com/_plugin/kibana/#/discover/Steve-Slow-Train-Analysis-(2080s-and-2083s)?_g=(refreshInterval:(display:Off,section:0,value:0),time:(from:'2016-08-11 07:23:35-0600',mode:absolute,to:'2016-08-11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4" t="str">
            <v>N</v>
          </cell>
          <cell r="X44">
            <v>1</v>
          </cell>
          <cell r="Y44">
            <v>23.298300000000001</v>
          </cell>
          <cell r="Z44">
            <v>1.43E-2</v>
          </cell>
          <cell r="AA44">
            <v>23.284000000000002</v>
          </cell>
          <cell r="AB44">
            <v>156300</v>
          </cell>
          <cell r="AC44" t="str">
            <v>PERMANENT SPEED RESTRICTION</v>
          </cell>
          <cell r="AD44" t="str">
            <v>0132-11</v>
          </cell>
          <cell r="AE44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45">
          <cell r="A45" t="str">
            <v>133-11</v>
          </cell>
          <cell r="B45">
            <v>4025</v>
          </cell>
          <cell r="C45" t="str">
            <v>DE.1.0.7.0</v>
          </cell>
          <cell r="D45" t="str">
            <v>204:446</v>
          </cell>
          <cell r="E45">
            <v>42593.322534722225</v>
          </cell>
          <cell r="F45">
            <v>42593.323113425926</v>
          </cell>
          <cell r="G45">
            <v>0</v>
          </cell>
          <cell r="H45" t="str">
            <v>204:233280</v>
          </cell>
          <cell r="I45">
            <v>42593.425081018519</v>
          </cell>
          <cell r="J45">
            <v>2</v>
          </cell>
          <cell r="K45" t="str">
            <v>4025/4026</v>
          </cell>
          <cell r="L45" t="str">
            <v>MALAVE</v>
          </cell>
          <cell r="M45">
            <v>0.10196759259270038</v>
          </cell>
          <cell r="N45">
            <v>146.83333333348855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https://search-rtdc-monitor-bjffxe2xuh6vdkpspy63sjmuny.us-east-1.es.amazonaws.com/_plugin/kibana/#/discover/Steve-Slow-Train-Analysis-(2080s-and-2083s)?_g=(refreshInterval:(display:Off,section:0,value:0),time:(from:'2016-08-11 06:44:27-0600',mode:absolute,to:'2016-08-11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4.4600000000000001E-2</v>
          </cell>
          <cell r="Z45">
            <v>23.327999999999999</v>
          </cell>
          <cell r="AA45">
            <v>23.2834</v>
          </cell>
          <cell r="AB45" t="e">
            <v>#N/A</v>
          </cell>
          <cell r="AC45" t="e">
            <v>#N/A</v>
          </cell>
          <cell r="AD45" t="str">
            <v>0133-11</v>
          </cell>
          <cell r="AE45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46">
          <cell r="A46" t="str">
            <v>134-11</v>
          </cell>
          <cell r="B46">
            <v>4026</v>
          </cell>
          <cell r="C46" t="str">
            <v>DE.1.0.7.0</v>
          </cell>
          <cell r="D46" t="str">
            <v>204:232969</v>
          </cell>
          <cell r="E46">
            <v>42593.360393518517</v>
          </cell>
          <cell r="F46">
            <v>42593.361284722225</v>
          </cell>
          <cell r="G46">
            <v>1</v>
          </cell>
          <cell r="H46" t="str">
            <v>204:172</v>
          </cell>
          <cell r="I46">
            <v>42593.394780092596</v>
          </cell>
          <cell r="J46">
            <v>2</v>
          </cell>
          <cell r="K46" t="str">
            <v>4025/4026</v>
          </cell>
          <cell r="L46" t="str">
            <v>MALAVE</v>
          </cell>
          <cell r="M46">
            <v>3.3495370371383615E-2</v>
          </cell>
          <cell r="N46">
            <v>48.233333334792405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23.296900000000001</v>
          </cell>
          <cell r="Z46">
            <v>1.72E-2</v>
          </cell>
          <cell r="AA46">
            <v>23.279700000000002</v>
          </cell>
          <cell r="AB46">
            <v>127587</v>
          </cell>
          <cell r="AC46" t="str">
            <v>SIGNAL</v>
          </cell>
          <cell r="AD46" t="str">
            <v>0134-11</v>
          </cell>
          <cell r="AE46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47">
          <cell r="A47" t="str">
            <v>135-11</v>
          </cell>
          <cell r="B47">
            <v>4044</v>
          </cell>
          <cell r="C47" t="str">
            <v>DE.1.0.7.0</v>
          </cell>
          <cell r="D47" t="str">
            <v>204:446</v>
          </cell>
          <cell r="E47">
            <v>42593.328946759262</v>
          </cell>
          <cell r="F47">
            <v>42593.33011574074</v>
          </cell>
          <cell r="G47">
            <v>1</v>
          </cell>
          <cell r="H47" t="str">
            <v>204:233319</v>
          </cell>
          <cell r="I47">
            <v>42593.360462962963</v>
          </cell>
          <cell r="J47">
            <v>0</v>
          </cell>
          <cell r="K47" t="str">
            <v>4043/4044</v>
          </cell>
          <cell r="L47" t="str">
            <v>STRICKLAND</v>
          </cell>
          <cell r="M47">
            <v>3.0347222222189885E-2</v>
          </cell>
          <cell r="N47">
            <v>43.699999999953434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https://search-rtdc-monitor-bjffxe2xuh6vdkpspy63sjmuny.us-east-1.es.amazonaws.com/_plugin/kibana/#/discover/Steve-Slow-Train-Analysis-(2080s-and-2083s)?_g=(refreshInterval:(display:Off,section:0,value:0),time:(from:'2016-08-11 06:53:41-0600',mode:absolute,to:'2016-08-11 09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4.4600000000000001E-2</v>
          </cell>
          <cell r="Z47">
            <v>23.331900000000001</v>
          </cell>
          <cell r="AA47">
            <v>23.287300000000002</v>
          </cell>
          <cell r="AB47" t="e">
            <v>#N/A</v>
          </cell>
          <cell r="AC47" t="e">
            <v>#N/A</v>
          </cell>
          <cell r="AD47" t="str">
            <v>0135-11</v>
          </cell>
          <cell r="AE47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48">
          <cell r="A48" t="str">
            <v>136-11</v>
          </cell>
          <cell r="B48">
            <v>4043</v>
          </cell>
          <cell r="C48" t="str">
            <v>DE.1.0.7.0</v>
          </cell>
          <cell r="D48" t="str">
            <v>204:232993</v>
          </cell>
          <cell r="E48">
            <v>42593.371099537035</v>
          </cell>
          <cell r="F48">
            <v>42593.372430555559</v>
          </cell>
          <cell r="G48">
            <v>1</v>
          </cell>
          <cell r="H48" t="str">
            <v>204:157648</v>
          </cell>
          <cell r="I48">
            <v>42593.380023148151</v>
          </cell>
          <cell r="J48">
            <v>2</v>
          </cell>
          <cell r="K48" t="str">
            <v>4043/4044</v>
          </cell>
          <cell r="L48" t="str">
            <v>STRICKLAND</v>
          </cell>
          <cell r="M48">
            <v>7.5925925921183079E-3</v>
          </cell>
          <cell r="N48">
            <v>10.933333332650363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23.299299999999999</v>
          </cell>
          <cell r="Z48">
            <v>1.5599999999999999E-2</v>
          </cell>
          <cell r="AA48">
            <v>23.2837</v>
          </cell>
          <cell r="AB48" t="e">
            <v>#N/A</v>
          </cell>
          <cell r="AC48" t="e">
            <v>#N/A</v>
          </cell>
          <cell r="AD48" t="str">
            <v>0136-11</v>
          </cell>
          <cell r="AE48" t="str">
    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    </cell>
        </row>
        <row r="49">
          <cell r="A49" t="str">
            <v>137-11</v>
          </cell>
          <cell r="B49">
            <v>4016</v>
          </cell>
          <cell r="C49" t="str">
            <v>DE.1.0.7.0</v>
          </cell>
          <cell r="D49" t="str">
            <v>204:458</v>
          </cell>
          <cell r="E49">
            <v>42593.338784722226</v>
          </cell>
          <cell r="F49">
            <v>42593.339942129627</v>
          </cell>
          <cell r="G49">
            <v>1</v>
          </cell>
          <cell r="H49" t="str">
            <v>204:233295</v>
          </cell>
          <cell r="I49">
            <v>42593.368263888886</v>
          </cell>
          <cell r="J49">
            <v>0</v>
          </cell>
          <cell r="K49" t="str">
            <v>4015/4016</v>
          </cell>
          <cell r="L49" t="str">
            <v>ROCHA</v>
          </cell>
          <cell r="M49">
            <v>2.8321759258687962E-2</v>
          </cell>
          <cell r="N49">
            <v>40.783333332510665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https://search-rtdc-monitor-bjffxe2xuh6vdkpspy63sjmuny.us-east-1.es.amazonaws.com/_plugin/kibana/#/discover/Steve-Slow-Train-Analysis-(2080s-and-2083s)?_g=(refreshInterval:(display:Off,section:0,value:0),time:(from:'2016-08-11 07:07:51-0600',mode:absolute,to:'2016-08-11 09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9" t="str">
            <v>N</v>
          </cell>
          <cell r="X49">
            <v>1</v>
          </cell>
          <cell r="Y49">
            <v>4.58E-2</v>
          </cell>
          <cell r="Z49">
            <v>23.329499999999999</v>
          </cell>
          <cell r="AA49">
            <v>23.2837</v>
          </cell>
          <cell r="AB49" t="e">
            <v>#N/A</v>
          </cell>
          <cell r="AC49" t="e">
            <v>#N/A</v>
          </cell>
          <cell r="AD49" t="str">
            <v>0137-11</v>
          </cell>
          <cell r="AE49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50">
          <cell r="A50" t="str">
            <v>138-11</v>
          </cell>
          <cell r="B50">
            <v>4015</v>
          </cell>
          <cell r="C50" t="str">
            <v>DE.1.0.7.0</v>
          </cell>
          <cell r="D50" t="str">
            <v>204:232975</v>
          </cell>
          <cell r="E50">
            <v>42593.382210648146</v>
          </cell>
          <cell r="F50">
            <v>42593.383136574077</v>
          </cell>
          <cell r="G50">
            <v>1</v>
          </cell>
          <cell r="H50" t="str">
            <v>204:147</v>
          </cell>
          <cell r="I50">
            <v>42593.411238425928</v>
          </cell>
          <cell r="J50">
            <v>0</v>
          </cell>
          <cell r="K50" t="str">
            <v>4015/4016</v>
          </cell>
          <cell r="L50" t="str">
            <v>ROCHA</v>
          </cell>
          <cell r="M50">
            <v>2.810185185080627E-2</v>
          </cell>
          <cell r="N50">
            <v>40.466666665161029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https://search-rtdc-monitor-bjffxe2xuh6vdkpspy63sjmuny.us-east-1.es.amazonaws.com/_plugin/kibana/#/discover/Steve-Slow-Train-Analysis-(2080s-and-2083s)?_g=(refreshInterval:(display:Off,section:0,value:0),time:(from:'2016-08-11 08:10:23-0600',mode:absolute,to:'2016-08-11 10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0" t="str">
            <v>N</v>
          </cell>
          <cell r="X50">
            <v>1</v>
          </cell>
          <cell r="Y50">
            <v>23.297499999999999</v>
          </cell>
          <cell r="Z50">
            <v>1.47E-2</v>
          </cell>
          <cell r="AA50">
            <v>23.282799999999998</v>
          </cell>
          <cell r="AB50" t="e">
            <v>#N/A</v>
          </cell>
          <cell r="AC50" t="e">
            <v>#N/A</v>
          </cell>
          <cell r="AD50" t="str">
            <v>0138-11</v>
          </cell>
          <cell r="AE50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51">
          <cell r="A51" t="str">
            <v>139-11</v>
          </cell>
          <cell r="B51">
            <v>4011</v>
          </cell>
          <cell r="C51" t="str">
            <v>DE.1.0.7.0</v>
          </cell>
          <cell r="D51" t="str">
            <v>204:453</v>
          </cell>
          <cell r="E51">
            <v>42593.350439814814</v>
          </cell>
          <cell r="F51">
            <v>42593.354444444441</v>
          </cell>
          <cell r="G51">
            <v>5</v>
          </cell>
          <cell r="H51" t="str">
            <v>204:154961</v>
          </cell>
          <cell r="I51">
            <v>42593.381956018522</v>
          </cell>
          <cell r="J51">
            <v>0</v>
          </cell>
          <cell r="K51" t="str">
            <v>4011/4012</v>
          </cell>
          <cell r="L51" t="str">
            <v>SANTIZO</v>
          </cell>
          <cell r="M51">
            <v>2.751157408056315E-2</v>
          </cell>
          <cell r="P51">
            <v>39.616666676010936</v>
          </cell>
          <cell r="R51" t="str">
            <v>CP 61st WIU was not beaconing messages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https://search-rtdc-monitor-bjffxe2xuh6vdkpspy63sjmuny.us-east-1.es.amazonaws.com/_plugin/kibana/#/discover/Steve-Slow-Train-Analysis-(2080s-and-2083s)?_g=(refreshInterval:(display:Off,section:0,value:0),time:(from:'2016-08-11 07:24:38-0600',mode:absolute,to:'2016-08-11 10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1" t="str">
            <v>Y</v>
          </cell>
          <cell r="X51">
            <v>1</v>
          </cell>
          <cell r="Y51">
            <v>4.53E-2</v>
          </cell>
          <cell r="Z51">
            <v>15.4961</v>
          </cell>
          <cell r="AA51">
            <v>15.450800000000001</v>
          </cell>
          <cell r="AB51" t="e">
            <v>#N/A</v>
          </cell>
          <cell r="AC51" t="e">
            <v>#N/A</v>
          </cell>
          <cell r="AD51" t="str">
            <v>0139-11</v>
          </cell>
          <cell r="AE51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52">
          <cell r="A52" t="str">
            <v>140-11</v>
          </cell>
          <cell r="B52">
            <v>4012</v>
          </cell>
          <cell r="C52" t="str">
            <v>DE.1.0.7.0</v>
          </cell>
          <cell r="D52" t="str">
            <v>204:233104</v>
          </cell>
          <cell r="E52">
            <v>42593.392106481479</v>
          </cell>
          <cell r="F52">
            <v>42593.392731481479</v>
          </cell>
          <cell r="G52">
            <v>0</v>
          </cell>
          <cell r="H52" t="str">
            <v>204:152</v>
          </cell>
          <cell r="I52">
            <v>42593.42083333333</v>
          </cell>
          <cell r="J52">
            <v>0</v>
          </cell>
          <cell r="K52" t="str">
            <v>4011/4012</v>
          </cell>
          <cell r="L52" t="str">
            <v>SANTIZO</v>
          </cell>
          <cell r="M52">
            <v>2.810185185080627E-2</v>
          </cell>
          <cell r="N52">
            <v>40.466666665161029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https://search-rtdc-monitor-bjffxe2xuh6vdkpspy63sjmuny.us-east-1.es.amazonaws.com/_plugin/kibana/#/discover/Steve-Slow-Train-Analysis-(2080s-and-2083s)?_g=(refreshInterval:(display:Off,section:0,value:0),time:(from:'2016-08-11 08:24:38-0600',mode:absolute,to:'2016-08-11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2" t="str">
            <v>N</v>
          </cell>
          <cell r="X52">
            <v>1</v>
          </cell>
          <cell r="Y52">
            <v>23.310400000000001</v>
          </cell>
          <cell r="Z52">
            <v>1.52E-2</v>
          </cell>
          <cell r="AA52">
            <v>23.295200000000001</v>
          </cell>
          <cell r="AB52" t="e">
            <v>#N/A</v>
          </cell>
          <cell r="AC52" t="e">
            <v>#N/A</v>
          </cell>
          <cell r="AD52" t="str">
            <v>0140-11</v>
          </cell>
          <cell r="AE52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53">
          <cell r="A53" t="str">
            <v>141-11</v>
          </cell>
          <cell r="B53">
            <v>4038</v>
          </cell>
          <cell r="C53" t="str">
            <v>DE.1.0.7.0</v>
          </cell>
          <cell r="D53" t="str">
            <v>204:447</v>
          </cell>
          <cell r="E53">
            <v>42593.360358796293</v>
          </cell>
          <cell r="F53">
            <v>42593.361527777779</v>
          </cell>
          <cell r="G53">
            <v>1</v>
          </cell>
          <cell r="H53" t="str">
            <v>204:154430</v>
          </cell>
          <cell r="I53">
            <v>42593.385659722226</v>
          </cell>
          <cell r="J53">
            <v>0</v>
          </cell>
          <cell r="K53" t="str">
            <v>4037/4038</v>
          </cell>
          <cell r="L53" t="str">
            <v>MAELZER</v>
          </cell>
          <cell r="M53">
            <v>2.4131944446708076E-2</v>
          </cell>
          <cell r="P53">
            <v>34.750000003259629</v>
          </cell>
          <cell r="R53" t="str">
            <v>CP 61st WIU was not beaconing messages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10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3" t="str">
            <v>Y</v>
          </cell>
          <cell r="X53">
            <v>1</v>
          </cell>
          <cell r="Y53">
            <v>4.4699999999999997E-2</v>
          </cell>
          <cell r="Z53">
            <v>15.443</v>
          </cell>
          <cell r="AA53">
            <v>15.398299999999999</v>
          </cell>
          <cell r="AB53" t="e">
            <v>#N/A</v>
          </cell>
          <cell r="AC53" t="e">
            <v>#N/A</v>
          </cell>
          <cell r="AD53" t="str">
            <v>0141-11</v>
          </cell>
          <cell r="AE53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54">
          <cell r="A54" t="str">
            <v>142-11</v>
          </cell>
          <cell r="B54">
            <v>4037</v>
          </cell>
          <cell r="C54" t="str">
            <v>DE.1.0.7.0</v>
          </cell>
          <cell r="D54" t="str">
            <v>204:233026</v>
          </cell>
          <cell r="E54">
            <v>42593.398425925923</v>
          </cell>
          <cell r="F54">
            <v>42593.399340277778</v>
          </cell>
          <cell r="G54">
            <v>1</v>
          </cell>
          <cell r="H54" t="str">
            <v>204:160</v>
          </cell>
          <cell r="I54">
            <v>42593.43236111111</v>
          </cell>
          <cell r="J54">
            <v>0</v>
          </cell>
          <cell r="K54" t="str">
            <v>4037/4038</v>
          </cell>
          <cell r="L54" t="str">
            <v>MAELZER</v>
          </cell>
          <cell r="M54">
            <v>3.3020833332557231E-2</v>
          </cell>
          <cell r="N54">
            <v>47.549999998882413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https://search-rtdc-monitor-bjffxe2xuh6vdkpspy63sjmuny.us-east-1.es.amazonaws.com/_plugin/kibana/#/discover/Steve-Slow-Train-Analysis-(2080s-and-2083s)?_g=(refreshInterval:(display:Off,section:0,value:0),time:(from:'2016-08-11 08:33:44-0600',mode:absolute,to:'2016-08-11 11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4" t="str">
            <v>N</v>
          </cell>
          <cell r="X54">
            <v>1</v>
          </cell>
          <cell r="Y54">
            <v>23.302600000000002</v>
          </cell>
          <cell r="Z54">
            <v>1.6E-2</v>
          </cell>
          <cell r="AA54">
            <v>23.286600000000004</v>
          </cell>
          <cell r="AB54" t="e">
            <v>#N/A</v>
          </cell>
          <cell r="AC54" t="e">
            <v>#N/A</v>
          </cell>
          <cell r="AD54" t="str">
            <v>0142-11</v>
          </cell>
          <cell r="AE54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55">
          <cell r="A55" t="str">
            <v>143-11</v>
          </cell>
          <cell r="B55">
            <v>4029</v>
          </cell>
          <cell r="C55" t="str">
            <v>DE.1.0.7.0</v>
          </cell>
          <cell r="D55" t="str">
            <v>204:462</v>
          </cell>
          <cell r="E55">
            <v>42593.368692129632</v>
          </cell>
          <cell r="F55">
            <v>42593.369675925926</v>
          </cell>
          <cell r="G55">
            <v>1</v>
          </cell>
          <cell r="H55" t="str">
            <v>204:233323</v>
          </cell>
          <cell r="I55">
            <v>42593.400636574072</v>
          </cell>
          <cell r="J55">
            <v>0</v>
          </cell>
          <cell r="K55" t="str">
            <v>4029/4030</v>
          </cell>
          <cell r="L55" t="str">
            <v>BRANNON</v>
          </cell>
          <cell r="M55">
            <v>3.0960648145992309E-2</v>
          </cell>
          <cell r="N55">
            <v>44.583333330228925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https://search-rtdc-monitor-bjffxe2xuh6vdkpspy63sjmuny.us-east-1.es.amazonaws.com/_plugin/kibana/#/discover/Steve-Slow-Train-Analysis-(2080s-and-2083s)?_g=(refreshInterval:(display:Off,section:0,value:0),time:(from:'2016-08-11 07:50:55-0600',mode:absolute,to:'2016-08-11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23.3323</v>
          </cell>
          <cell r="AA55">
            <v>23.286100000000001</v>
          </cell>
          <cell r="AB55" t="e">
            <v>#N/A</v>
          </cell>
          <cell r="AC55" t="e">
            <v>#N/A</v>
          </cell>
          <cell r="AD55" t="str">
            <v>0143-11</v>
          </cell>
          <cell r="AE55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56">
          <cell r="A56" t="str">
            <v>144-11</v>
          </cell>
          <cell r="B56">
            <v>4030</v>
          </cell>
          <cell r="C56" t="str">
            <v>DE.1.0.7.0</v>
          </cell>
          <cell r="D56" t="str">
            <v>204:233021</v>
          </cell>
          <cell r="E56">
            <v>42593.406747685185</v>
          </cell>
          <cell r="F56">
            <v>42593.407789351855</v>
          </cell>
          <cell r="G56">
            <v>1</v>
          </cell>
          <cell r="H56" t="str">
            <v>204:149</v>
          </cell>
          <cell r="I56">
            <v>42593.443518518521</v>
          </cell>
          <cell r="J56">
            <v>0</v>
          </cell>
          <cell r="K56" t="str">
            <v>4029/4030</v>
          </cell>
          <cell r="L56" t="str">
            <v>BRANNON</v>
          </cell>
          <cell r="M56">
            <v>3.5729166665987577E-2</v>
          </cell>
          <cell r="N56">
            <v>51.449999999022111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https://search-rtdc-monitor-bjffxe2xuh6vdkpspy63sjmuny.us-east-1.es.amazonaws.com/_plugin/kibana/#/discover/Steve-Slow-Train-Analysis-(2080s-and-2083s)?_g=(refreshInterval:(display:Off,section:0,value:0),time:(from:'2016-08-11 08:45:43-0600',mode:absolute,to:'2016-08-11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6" t="str">
            <v>N</v>
          </cell>
          <cell r="X56">
            <v>1</v>
          </cell>
          <cell r="Y56">
            <v>23.302099999999999</v>
          </cell>
          <cell r="Z56">
            <v>1.49E-2</v>
          </cell>
          <cell r="AA56">
            <v>23.287199999999999</v>
          </cell>
          <cell r="AB56" t="e">
            <v>#N/A</v>
          </cell>
          <cell r="AC56" t="e">
            <v>#N/A</v>
          </cell>
          <cell r="AD56" t="str">
            <v>0144-11</v>
          </cell>
          <cell r="AE56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57">
          <cell r="A57" t="str">
            <v>145-11</v>
          </cell>
          <cell r="B57">
            <v>4014</v>
          </cell>
          <cell r="C57" t="str">
            <v>DE.1.0.7.0</v>
          </cell>
          <cell r="D57" t="str">
            <v>204:457</v>
          </cell>
          <cell r="E57">
            <v>42593.383692129632</v>
          </cell>
          <cell r="F57">
            <v>42593.384513888886</v>
          </cell>
          <cell r="G57">
            <v>1</v>
          </cell>
          <cell r="H57" t="str">
            <v>204:233320</v>
          </cell>
          <cell r="I57">
            <v>42593.413483796299</v>
          </cell>
          <cell r="J57">
            <v>2</v>
          </cell>
          <cell r="K57" t="str">
            <v>4013/4014</v>
          </cell>
          <cell r="L57" t="str">
            <v>STARKS</v>
          </cell>
          <cell r="M57">
            <v>2.8969907412829343E-2</v>
          </cell>
          <cell r="N57">
            <v>41.716666674474254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7" t="str">
            <v>N</v>
          </cell>
          <cell r="X57">
            <v>1</v>
          </cell>
          <cell r="Y57">
            <v>4.5699999999999998E-2</v>
          </cell>
          <cell r="Z57">
            <v>23.332000000000001</v>
          </cell>
          <cell r="AA57">
            <v>23.286300000000001</v>
          </cell>
          <cell r="AB57">
            <v>33137</v>
          </cell>
          <cell r="AC57" t="str">
            <v>GRADE CROSSING</v>
          </cell>
          <cell r="AD57" t="str">
            <v>0145-11</v>
          </cell>
          <cell r="AE5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58">
          <cell r="A58" t="str">
            <v>146-11</v>
          </cell>
          <cell r="B58">
            <v>4013</v>
          </cell>
          <cell r="C58" t="str">
            <v>DE.1.0.7.0</v>
          </cell>
          <cell r="D58" t="str">
            <v>204:232986</v>
          </cell>
          <cell r="E58">
            <v>42593.421180555553</v>
          </cell>
          <cell r="F58">
            <v>42593.422233796293</v>
          </cell>
          <cell r="G58">
            <v>1</v>
          </cell>
          <cell r="H58" t="str">
            <v>204:136</v>
          </cell>
          <cell r="I58">
            <v>42593.455914351849</v>
          </cell>
          <cell r="J58">
            <v>2</v>
          </cell>
          <cell r="K58" t="str">
            <v>4013/4014</v>
          </cell>
          <cell r="L58" t="str">
            <v>STARKS</v>
          </cell>
          <cell r="M58">
            <v>3.3680555556202307E-2</v>
          </cell>
          <cell r="N58">
            <v>48.500000000931323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8" t="str">
            <v>N</v>
          </cell>
          <cell r="X58">
            <v>1</v>
          </cell>
          <cell r="Y58">
            <v>23.2986</v>
          </cell>
          <cell r="Z58">
            <v>1.3599999999999999E-2</v>
          </cell>
          <cell r="AA58">
            <v>23.285</v>
          </cell>
          <cell r="AB58">
            <v>48048</v>
          </cell>
          <cell r="AC58" t="str">
            <v>GRADE CROSSING</v>
          </cell>
          <cell r="AD58" t="str">
            <v>0146-11</v>
          </cell>
          <cell r="AE58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59">
          <cell r="A59" t="str">
            <v>147-11</v>
          </cell>
          <cell r="B59">
            <v>4025</v>
          </cell>
          <cell r="C59" t="str">
            <v>DE.1.0.7.0</v>
          </cell>
          <cell r="D59" t="str">
            <v>204:488</v>
          </cell>
          <cell r="E59">
            <v>42593.396481481483</v>
          </cell>
          <cell r="F59">
            <v>42593.397743055553</v>
          </cell>
          <cell r="G59">
            <v>1</v>
          </cell>
          <cell r="H59" t="str">
            <v>204:233280</v>
          </cell>
          <cell r="I59">
            <v>42593.425081018519</v>
          </cell>
          <cell r="J59">
            <v>2</v>
          </cell>
          <cell r="K59" t="str">
            <v>4025/4026</v>
          </cell>
          <cell r="L59" t="str">
            <v>MALAVE</v>
          </cell>
          <cell r="M59">
            <v>2.7337962965248153E-2</v>
          </cell>
          <cell r="N59">
            <v>39.36666666995734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4.8800000000000003E-2</v>
          </cell>
          <cell r="Z59">
            <v>23.327999999999999</v>
          </cell>
          <cell r="AA59">
            <v>23.279199999999999</v>
          </cell>
          <cell r="AB59">
            <v>33137</v>
          </cell>
          <cell r="AC59" t="str">
            <v>GRADE CROSSING</v>
          </cell>
          <cell r="AD59" t="str">
            <v>0147-11</v>
          </cell>
          <cell r="AE59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60">
          <cell r="A60" t="str">
            <v>148-11</v>
          </cell>
          <cell r="B60">
            <v>4026</v>
          </cell>
          <cell r="C60" t="str">
            <v>DE.1.0.7.0</v>
          </cell>
          <cell r="D60" t="str">
            <v>204:232979</v>
          </cell>
          <cell r="E60">
            <v>42593.434467592589</v>
          </cell>
          <cell r="F60">
            <v>42593.435358796298</v>
          </cell>
          <cell r="G60">
            <v>1</v>
          </cell>
          <cell r="H60" t="str">
            <v>204:170</v>
          </cell>
          <cell r="I60">
            <v>42593.469814814816</v>
          </cell>
          <cell r="J60">
            <v>0</v>
          </cell>
          <cell r="K60" t="str">
            <v>4025/4026</v>
          </cell>
          <cell r="L60" t="str">
            <v>MALAVE</v>
          </cell>
          <cell r="M60">
            <v>3.4456018518540077E-2</v>
          </cell>
          <cell r="N60">
            <v>49.616666666697711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https://search-rtdc-monitor-bjffxe2xuh6vdkpspy63sjmuny.us-east-1.es.amazonaws.com/_plugin/kibana/#/discover/Steve-Slow-Train-Analysis-(2080s-and-2083s)?_g=(refreshInterval:(display:Off,section:0,value:0),time:(from:'2016-08-11 09:25:38-0600',mode:absolute,to:'2016-08-11 12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1.7000000000000001E-2</v>
          </cell>
          <cell r="AA60">
            <v>23.280899999999999</v>
          </cell>
          <cell r="AB60" t="e">
            <v>#N/A</v>
          </cell>
          <cell r="AC60" t="e">
            <v>#N/A</v>
          </cell>
          <cell r="AD60" t="str">
            <v>0148-11</v>
          </cell>
          <cell r="AE60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61">
          <cell r="A61" t="str">
            <v>149-11</v>
          </cell>
          <cell r="B61">
            <v>4044</v>
          </cell>
          <cell r="C61" t="str">
            <v>DE.1.0.7.0</v>
          </cell>
          <cell r="D61" t="str">
            <v>204:455</v>
          </cell>
          <cell r="E61">
            <v>42593.404722222222</v>
          </cell>
          <cell r="F61">
            <v>42593.405787037038</v>
          </cell>
          <cell r="G61">
            <v>1</v>
          </cell>
          <cell r="H61" t="str">
            <v>204:216847</v>
          </cell>
          <cell r="I61">
            <v>42593.510844907411</v>
          </cell>
          <cell r="J61">
            <v>0</v>
          </cell>
          <cell r="K61" t="str">
            <v>4043/4044</v>
          </cell>
          <cell r="L61" t="str">
            <v>STRICKLAND</v>
          </cell>
          <cell r="M61">
            <v>0.10505787037254777</v>
          </cell>
          <cell r="P61">
            <v>151.28333333646879</v>
          </cell>
          <cell r="R61" t="str">
            <v>78th 4N was stuck at STOP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https://search-rtdc-monitor-bjffxe2xuh6vdkpspy63sjmuny.us-east-1.es.amazonaws.com/_plugin/kibana/#/discover/Steve-Slow-Train-Analysis-(2080s-and-2083s)?_g=(refreshInterval:(display:Off,section:0,value:0),time:(from:'2016-08-11 08:42:48-0600',mode:absolute,to:'2016-08-11 13:15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Y</v>
          </cell>
          <cell r="X61">
            <v>1</v>
          </cell>
          <cell r="Y61">
            <v>4.5499999999999999E-2</v>
          </cell>
          <cell r="Z61">
            <v>21.684699999999999</v>
          </cell>
          <cell r="AA61">
            <v>21.639199999999999</v>
          </cell>
          <cell r="AB61" t="e">
            <v>#N/A</v>
          </cell>
          <cell r="AC61" t="e">
            <v>#N/A</v>
          </cell>
          <cell r="AD61" t="str">
            <v>0149-11</v>
          </cell>
          <cell r="AE61" t="str">
    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    </cell>
        </row>
        <row r="62">
          <cell r="A62" t="str">
            <v>150-11</v>
          </cell>
          <cell r="B62">
            <v>4043</v>
          </cell>
          <cell r="C62" t="str">
            <v>DE.1.0.7.0</v>
          </cell>
          <cell r="D62" t="str">
            <v>204:455</v>
          </cell>
          <cell r="E62">
            <v>42593.404722222222</v>
          </cell>
          <cell r="G62">
            <v>1</v>
          </cell>
          <cell r="H62" t="str">
            <v>204:216847</v>
          </cell>
          <cell r="J62">
            <v>0</v>
          </cell>
          <cell r="K62" t="str">
            <v>4043/4044</v>
          </cell>
          <cell r="L62" t="e">
            <v>#N/A</v>
          </cell>
          <cell r="M62">
            <v>0</v>
          </cell>
          <cell r="P62">
            <v>1</v>
          </cell>
          <cell r="R62" t="str">
            <v>Did not initialize</v>
          </cell>
          <cell r="S62">
            <v>0</v>
          </cell>
          <cell r="T62" t="str">
            <v>Southbound</v>
          </cell>
          <cell r="U62">
            <v>0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https://search-rtdc-monitor-bjffxe2xuh6vdkpspy63sjmuny.us-east-1.es.amazonaws.com/_plugin/kibana/#/discover/Steve-Slow-Train-Analysis-(2080s-and-2083s)?_g=(refreshInterval:(display:Off,section:0,value:0),time:(from:'2016-08-11 08:42:48-0600',mode:absolute,to:'1900-01-00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Y</v>
          </cell>
          <cell r="X62">
            <v>1</v>
          </cell>
          <cell r="Y62">
            <v>4.5499999999999999E-2</v>
          </cell>
          <cell r="Z62">
            <v>21.684699999999999</v>
          </cell>
          <cell r="AA62">
            <v>21.639199999999999</v>
          </cell>
          <cell r="AB62" t="e">
            <v>#N/A</v>
          </cell>
          <cell r="AC62" t="e">
            <v>#N/A</v>
          </cell>
          <cell r="AD62" t="str">
            <v>0150-11</v>
          </cell>
          <cell r="AE62" t="str">
    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    </cell>
        </row>
        <row r="63">
          <cell r="A63" t="str">
            <v>151-11</v>
          </cell>
          <cell r="B63">
            <v>4031</v>
          </cell>
          <cell r="C63" t="str">
            <v>DE.1.0.7.0</v>
          </cell>
          <cell r="D63" t="str">
            <v>204:1501</v>
          </cell>
          <cell r="E63">
            <v>42593.41609953704</v>
          </cell>
          <cell r="F63">
            <v>42593.417939814812</v>
          </cell>
          <cell r="G63">
            <v>2</v>
          </cell>
          <cell r="H63" t="str">
            <v>204:233289</v>
          </cell>
          <cell r="I63">
            <v>42593.4453587963</v>
          </cell>
          <cell r="J63">
            <v>0</v>
          </cell>
          <cell r="K63" t="str">
            <v>4031/4032</v>
          </cell>
          <cell r="L63" t="str">
            <v>ROCHA</v>
          </cell>
          <cell r="M63">
            <v>2.7418981488153804E-2</v>
          </cell>
          <cell r="N63">
            <v>39.483333342941478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https://search-rtdc-monitor-bjffxe2xuh6vdkpspy63sjmuny.us-east-1.es.amazonaws.com/_plugin/kibana/#/discover/Steve-Slow-Train-Analysis-(2080s-and-2083s)?_g=(refreshInterval:(display:Off,section:0,value:0),time:(from:'2016-08-11 08:59:11-0600',mode:absolute,to:'2016-08-11 11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3" t="str">
            <v>N</v>
          </cell>
          <cell r="X63">
            <v>1</v>
          </cell>
          <cell r="Y63">
            <v>0.15010000000000001</v>
          </cell>
          <cell r="Z63">
            <v>23.328900000000001</v>
          </cell>
          <cell r="AA63">
            <v>23.178800000000003</v>
          </cell>
          <cell r="AB63" t="e">
            <v>#N/A</v>
          </cell>
          <cell r="AC63" t="e">
            <v>#N/A</v>
          </cell>
          <cell r="AD63" t="str">
            <v>0151-11</v>
          </cell>
          <cell r="AE6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64">
          <cell r="A64" t="str">
            <v>152-11</v>
          </cell>
          <cell r="B64">
            <v>4032</v>
          </cell>
          <cell r="C64" t="str">
            <v>DE.1.0.7.0</v>
          </cell>
          <cell r="D64" t="str">
            <v>204:232967</v>
          </cell>
          <cell r="E64">
            <v>42593.454282407409</v>
          </cell>
          <cell r="F64">
            <v>42593.455810185187</v>
          </cell>
          <cell r="G64">
            <v>2</v>
          </cell>
          <cell r="H64" t="str">
            <v>204:169</v>
          </cell>
          <cell r="I64">
            <v>42593.487187500003</v>
          </cell>
          <cell r="J64">
            <v>0</v>
          </cell>
          <cell r="K64" t="str">
            <v>4031/4032</v>
          </cell>
          <cell r="L64" t="str">
            <v>ROCHA</v>
          </cell>
          <cell r="M64">
            <v>3.1377314815472346E-2</v>
          </cell>
          <cell r="N64">
            <v>45.183333334280178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https://search-rtdc-monitor-bjffxe2xuh6vdkpspy63sjmuny.us-east-1.es.amazonaws.com/_plugin/kibana/#/discover/Steve-Slow-Train-Analysis-(2080s-and-2083s)?_g=(refreshInterval:(display:Off,section:0,value:0),time:(from:'2016-08-11 09:54:10-0600',mode:absolute,to:'2016-08-11 12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4" t="str">
            <v>N</v>
          </cell>
          <cell r="X64">
            <v>1</v>
          </cell>
          <cell r="Y64">
            <v>23.296700000000001</v>
          </cell>
          <cell r="Z64">
            <v>1.6899999999999998E-2</v>
          </cell>
          <cell r="AA64">
            <v>23.279800000000002</v>
          </cell>
          <cell r="AB64" t="e">
            <v>#N/A</v>
          </cell>
          <cell r="AC64" t="e">
            <v>#N/A</v>
          </cell>
          <cell r="AD64" t="str">
            <v>0152-11</v>
          </cell>
          <cell r="AE64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65">
          <cell r="A65" t="str">
            <v>153-11</v>
          </cell>
          <cell r="B65">
            <v>4011</v>
          </cell>
          <cell r="C65" t="str">
            <v>DE.1.0.7.0</v>
          </cell>
          <cell r="D65" t="str">
            <v>204:446</v>
          </cell>
          <cell r="E65">
            <v>42593.424513888887</v>
          </cell>
          <cell r="F65">
            <v>42593.425486111111</v>
          </cell>
          <cell r="G65">
            <v>1</v>
          </cell>
          <cell r="H65" t="str">
            <v>204:233289</v>
          </cell>
          <cell r="I65">
            <v>42593.456747685188</v>
          </cell>
          <cell r="J65">
            <v>0</v>
          </cell>
          <cell r="K65" t="str">
            <v>4011/4012</v>
          </cell>
          <cell r="L65" t="str">
            <v>SANTIZO</v>
          </cell>
          <cell r="M65">
            <v>3.1261574076779652E-2</v>
          </cell>
          <cell r="N65">
            <v>45.016666670562699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https://search-rtdc-monitor-bjffxe2xuh6vdkpspy63sjmuny.us-east-1.es.amazonaws.com/_plugin/kibana/#/discover/Steve-Slow-Train-Analysis-(2080s-and-2083s)?_g=(refreshInterval:(display:Off,section:0,value:0),time:(from:'2016-08-11 09:11:18-0600',mode:absolute,to:'2016-08-11 11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5" t="str">
            <v>N</v>
          </cell>
          <cell r="X65">
            <v>1</v>
          </cell>
          <cell r="Y65">
            <v>4.4600000000000001E-2</v>
          </cell>
          <cell r="Z65">
            <v>23.328900000000001</v>
          </cell>
          <cell r="AA65">
            <v>23.284300000000002</v>
          </cell>
          <cell r="AB65" t="e">
            <v>#N/A</v>
          </cell>
          <cell r="AC65" t="e">
            <v>#N/A</v>
          </cell>
          <cell r="AD65" t="str">
            <v>0153-11</v>
          </cell>
          <cell r="AE65" t="str">
    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    </cell>
        </row>
        <row r="66">
          <cell r="A66" t="str">
            <v>154-11</v>
          </cell>
          <cell r="B66">
            <v>4012</v>
          </cell>
          <cell r="C66" t="str">
            <v>DE.1.0.7.0</v>
          </cell>
          <cell r="D66" t="str">
            <v>204:446</v>
          </cell>
          <cell r="E66">
            <v>42593.424513888887</v>
          </cell>
          <cell r="F66" t="str">
            <v>-</v>
          </cell>
          <cell r="G66" t="str">
            <v>-</v>
          </cell>
          <cell r="H66" t="str">
            <v>-</v>
          </cell>
          <cell r="I66" t="str">
            <v>-</v>
          </cell>
          <cell r="J66">
            <v>0</v>
          </cell>
          <cell r="K66" t="str">
            <v>4011/4012</v>
          </cell>
          <cell r="L66" t="e">
            <v>#N/A</v>
          </cell>
          <cell r="M66" t="e">
            <v>#VALUE!</v>
          </cell>
          <cell r="P66">
            <v>1</v>
          </cell>
          <cell r="R66" t="str">
            <v>Did not initialize</v>
          </cell>
          <cell r="S66">
            <v>0</v>
          </cell>
          <cell r="T66" t="str">
            <v>Southbound</v>
          </cell>
          <cell r="U66">
            <v>0</v>
          </cell>
          <cell r="V66" t="e">
            <v>#VALUE!</v>
          </cell>
          <cell r="W66" t="e">
            <v>#VALUE!</v>
          </cell>
          <cell r="X66">
            <v>1</v>
          </cell>
          <cell r="Y66">
            <v>4.4600000000000001E-2</v>
          </cell>
          <cell r="Z66" t="e">
            <v>#VALUE!</v>
          </cell>
          <cell r="AA66" t="e">
            <v>#VALUE!</v>
          </cell>
          <cell r="AB66" t="e">
            <v>#N/A</v>
          </cell>
          <cell r="AC66" t="e">
            <v>#N/A</v>
          </cell>
          <cell r="AD66" t="str">
            <v>0154-11</v>
          </cell>
          <cell r="AE66" t="e">
            <v>#VALUE!</v>
          </cell>
        </row>
        <row r="67">
          <cell r="A67" t="str">
            <v>155-11</v>
          </cell>
          <cell r="B67">
            <v>4038</v>
          </cell>
          <cell r="C67" t="str">
            <v>DE.1.0.7.0</v>
          </cell>
          <cell r="D67" t="str">
            <v>204:480</v>
          </cell>
          <cell r="E67">
            <v>42593.434710648151</v>
          </cell>
          <cell r="F67">
            <v>42593.435833333337</v>
          </cell>
          <cell r="G67">
            <v>1</v>
          </cell>
          <cell r="H67" t="str">
            <v>204:233286</v>
          </cell>
          <cell r="I67">
            <v>42593.472534722219</v>
          </cell>
          <cell r="J67">
            <v>0</v>
          </cell>
          <cell r="K67" t="str">
            <v>4037/4038</v>
          </cell>
          <cell r="L67" t="str">
            <v>YORK</v>
          </cell>
          <cell r="M67">
            <v>3.6701388882647734E-2</v>
          </cell>
          <cell r="N67">
            <v>52.849999991012737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https://search-rtdc-monitor-bjffxe2xuh6vdkpspy63sjmuny.us-east-1.es.amazonaws.com/_plugin/kibana/#/discover/Steve-Slow-Train-Analysis-(2080s-and-2083s)?_g=(refreshInterval:(display:Off,section:0,value:0),time:(from:'2016-08-11 09:25:59-0600',mode:absolute,to:'2016-08-11 12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7" t="str">
            <v>N</v>
          </cell>
          <cell r="X67">
            <v>1</v>
          </cell>
          <cell r="Y67">
            <v>4.8000000000000001E-2</v>
          </cell>
          <cell r="Z67">
            <v>23.328600000000002</v>
          </cell>
          <cell r="AA67">
            <v>23.280600000000003</v>
          </cell>
          <cell r="AB67" t="e">
            <v>#N/A</v>
          </cell>
          <cell r="AC67" t="e">
            <v>#N/A</v>
          </cell>
          <cell r="AD67" t="str">
            <v>0155-11</v>
          </cell>
          <cell r="AE67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68">
          <cell r="A68" t="str">
            <v>156-11</v>
          </cell>
          <cell r="B68">
            <v>4037</v>
          </cell>
          <cell r="C68" t="str">
            <v>DE.1.0.7.0</v>
          </cell>
          <cell r="D68" t="str">
            <v>204:232973</v>
          </cell>
          <cell r="E68">
            <v>42593.473749999997</v>
          </cell>
          <cell r="F68">
            <v>42593.474710648145</v>
          </cell>
          <cell r="G68">
            <v>1</v>
          </cell>
          <cell r="H68" t="str">
            <v>204:152</v>
          </cell>
          <cell r="I68">
            <v>42593.522951388892</v>
          </cell>
          <cell r="J68">
            <v>0</v>
          </cell>
          <cell r="K68" t="str">
            <v>4037/4038</v>
          </cell>
          <cell r="L68" t="str">
            <v>YORK</v>
          </cell>
          <cell r="M68">
            <v>4.8240740747132804E-2</v>
          </cell>
          <cell r="N68">
            <v>69.466666675871238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https://search-rtdc-monitor-bjffxe2xuh6vdkpspy63sjmuny.us-east-1.es.amazonaws.com/_plugin/kibana/#/discover/Steve-Slow-Train-Analysis-(2080s-and-2083s)?_g=(refreshInterval:(display:Off,section:0,value:0),time:(from:'2016-08-11 10:22:12-0600',mode:absolute,to:'2016-08-11 13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8" t="str">
            <v>N</v>
          </cell>
          <cell r="X68">
            <v>1</v>
          </cell>
          <cell r="Y68">
            <v>23.2973</v>
          </cell>
          <cell r="Z68">
            <v>1.52E-2</v>
          </cell>
          <cell r="AA68">
            <v>23.2821</v>
          </cell>
          <cell r="AB68" t="e">
            <v>#N/A</v>
          </cell>
          <cell r="AC68" t="e">
            <v>#N/A</v>
          </cell>
          <cell r="AD68" t="str">
            <v>0156-11</v>
          </cell>
          <cell r="AE68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69">
          <cell r="A69" t="str">
            <v>157-11</v>
          </cell>
          <cell r="B69">
            <v>4029</v>
          </cell>
          <cell r="C69" t="str">
            <v>DE.1.0.7.0</v>
          </cell>
          <cell r="D69" t="str">
            <v>204:455</v>
          </cell>
          <cell r="E69">
            <v>42593.445381944446</v>
          </cell>
          <cell r="F69">
            <v>42593.446562500001</v>
          </cell>
          <cell r="G69">
            <v>1</v>
          </cell>
          <cell r="H69" t="str">
            <v>204:233295</v>
          </cell>
          <cell r="I69">
            <v>42593.477395833332</v>
          </cell>
          <cell r="J69">
            <v>0</v>
          </cell>
          <cell r="K69" t="str">
            <v>4029/4030</v>
          </cell>
          <cell r="L69" t="str">
            <v>BRANNON</v>
          </cell>
          <cell r="M69">
            <v>3.0833333330519963E-2</v>
          </cell>
          <cell r="N69">
            <v>44.399999995948747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https://search-rtdc-monitor-bjffxe2xuh6vdkpspy63sjmuny.us-east-1.es.amazonaws.com/_plugin/kibana/#/discover/Steve-Slow-Train-Analysis-(2080s-and-2083s)?_g=(refreshInterval:(display:Off,section:0,value:0),time:(from:'2016-08-11 09:41:21-0600',mode:absolute,to:'2016-08-11 12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23.329499999999999</v>
          </cell>
          <cell r="AA69">
            <v>23.283999999999999</v>
          </cell>
          <cell r="AB69" t="e">
            <v>#N/A</v>
          </cell>
          <cell r="AC69" t="e">
            <v>#N/A</v>
          </cell>
          <cell r="AD69" t="str">
            <v>0157-11</v>
          </cell>
          <cell r="AE69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70">
          <cell r="A70" t="str">
            <v>158-11</v>
          </cell>
          <cell r="B70">
            <v>4030</v>
          </cell>
          <cell r="C70" t="str">
            <v>DE.1.0.7.0</v>
          </cell>
          <cell r="D70" t="str">
            <v>204:232972</v>
          </cell>
          <cell r="E70">
            <v>42593.503437500003</v>
          </cell>
          <cell r="F70">
            <v>42593.504386574074</v>
          </cell>
          <cell r="G70">
            <v>1</v>
          </cell>
          <cell r="H70" t="str">
            <v>204:1184</v>
          </cell>
          <cell r="I70">
            <v>42593.540775462963</v>
          </cell>
          <cell r="J70">
            <v>0</v>
          </cell>
          <cell r="K70" t="str">
            <v>4029/4030</v>
          </cell>
          <cell r="L70" t="str">
            <v>BRANNON</v>
          </cell>
          <cell r="M70">
            <v>3.6388888889632653E-2</v>
          </cell>
          <cell r="N70">
            <v>52.400000001071021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https://search-rtdc-monitor-bjffxe2xuh6vdkpspy63sjmuny.us-east-1.es.amazonaws.com/_plugin/kibana/#/discover/Steve-Slow-Train-Analysis-(2080s-and-2083s)?_g=(refreshInterval:(display:Off,section:0,value:0),time:(from:'2016-08-11 11:04:57-0600',mode:absolute,to:'2016-08-11 13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0" t="str">
            <v>N</v>
          </cell>
          <cell r="X70">
            <v>1</v>
          </cell>
          <cell r="Y70">
            <v>23.2972</v>
          </cell>
          <cell r="Z70">
            <v>0.11840000000000001</v>
          </cell>
          <cell r="AA70">
            <v>23.178799999999999</v>
          </cell>
          <cell r="AB70" t="e">
            <v>#N/A</v>
          </cell>
          <cell r="AC70" t="e">
            <v>#N/A</v>
          </cell>
          <cell r="AD70" t="str">
            <v>0158-11</v>
          </cell>
          <cell r="AE70" t="str">
    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    </cell>
        </row>
        <row r="71">
          <cell r="A71" t="str">
            <v>159-11</v>
          </cell>
          <cell r="B71">
            <v>4014</v>
          </cell>
          <cell r="C71" t="str">
            <v>DE.1.0.7.0</v>
          </cell>
          <cell r="D71" t="str">
            <v>204:442</v>
          </cell>
          <cell r="E71">
            <v>42593.45784722222</v>
          </cell>
          <cell r="F71">
            <v>42593.459201388891</v>
          </cell>
          <cell r="G71">
            <v>1</v>
          </cell>
          <cell r="H71" t="str">
            <v>204:154427</v>
          </cell>
          <cell r="I71">
            <v>42593.482777777775</v>
          </cell>
          <cell r="J71">
            <v>0</v>
          </cell>
          <cell r="K71" t="str">
            <v>4013/4014</v>
          </cell>
          <cell r="L71" t="str">
            <v>SWANSON</v>
          </cell>
          <cell r="M71">
            <v>2.3576388884976041E-2</v>
          </cell>
          <cell r="N71">
            <v>33.949999994365498</v>
          </cell>
          <cell r="R71" t="str">
            <v>Trip was only to/from 61st due to an OCS Power Outage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https://search-rtdc-monitor-bjffxe2xuh6vdkpspy63sjmuny.us-east-1.es.amazonaws.com/_plugin/kibana/#/discover/Steve-Slow-Train-Analysis-(2080s-and-2083s)?_g=(refreshInterval:(display:Off,section:0,value:0),time:(from:'2016-08-11 09:59:18-0600',mode:absolute,to:'2016-08-11 12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1" t="str">
            <v>Y</v>
          </cell>
          <cell r="X71">
            <v>1</v>
          </cell>
          <cell r="Y71">
            <v>4.4200000000000003E-2</v>
          </cell>
          <cell r="Z71">
            <v>15.4427</v>
          </cell>
          <cell r="AA71">
            <v>15.3985</v>
          </cell>
          <cell r="AB71" t="e">
            <v>#N/A</v>
          </cell>
          <cell r="AC71" t="e">
            <v>#N/A</v>
          </cell>
          <cell r="AD71" t="str">
            <v>0159-11</v>
          </cell>
          <cell r="AE71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72">
          <cell r="A72" t="str">
            <v>160-11</v>
          </cell>
          <cell r="B72">
            <v>4013</v>
          </cell>
          <cell r="C72" t="str">
            <v>DE.1.0.7.0</v>
          </cell>
          <cell r="D72" t="str">
            <v>204:127851</v>
          </cell>
          <cell r="E72">
            <v>42593.492337962962</v>
          </cell>
          <cell r="F72">
            <v>42593.493194444447</v>
          </cell>
          <cell r="G72">
            <v>1</v>
          </cell>
          <cell r="H72" t="str">
            <v>204:160</v>
          </cell>
          <cell r="I72">
            <v>42593.511770833335</v>
          </cell>
          <cell r="J72">
            <v>0</v>
          </cell>
          <cell r="K72" t="str">
            <v>4013/4014</v>
          </cell>
          <cell r="L72" t="str">
            <v>SWANSON</v>
          </cell>
          <cell r="M72">
            <v>1.8576388887595385E-2</v>
          </cell>
          <cell r="P72">
            <v>26.749999998137355</v>
          </cell>
          <cell r="R72" t="str">
            <v>OCS Power Outage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https://search-rtdc-monitor-bjffxe2xuh6vdkpspy63sjmuny.us-east-1.es.amazonaws.com/_plugin/kibana/#/discover/Steve-Slow-Train-Analysis-(2080s-and-2083s)?_g=(refreshInterval:(display:Off,section:0,value:0),time:(from:'2016-08-11 10:48:58-0600',mode:absolute,to:'2016-08-11 13:16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2" t="str">
            <v>Y</v>
          </cell>
          <cell r="X72">
            <v>1</v>
          </cell>
          <cell r="Y72">
            <v>12.7851</v>
          </cell>
          <cell r="Z72">
            <v>1.6E-2</v>
          </cell>
          <cell r="AA72">
            <v>12.7691</v>
          </cell>
          <cell r="AB72" t="e">
            <v>#N/A</v>
          </cell>
          <cell r="AC72" t="e">
            <v>#N/A</v>
          </cell>
          <cell r="AD72" t="str">
            <v>0160-11</v>
          </cell>
          <cell r="AE72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73">
          <cell r="A73" t="str">
            <v>161-11</v>
          </cell>
          <cell r="B73">
            <v>4025</v>
          </cell>
          <cell r="C73" t="str">
            <v>DE.1.0.7.0</v>
          </cell>
          <cell r="D73" t="str">
            <v>204:464</v>
          </cell>
          <cell r="E73">
            <v>42593.472291666665</v>
          </cell>
          <cell r="F73">
            <v>42593.473564814813</v>
          </cell>
          <cell r="G73">
            <v>1</v>
          </cell>
          <cell r="H73" t="str">
            <v>204:158002</v>
          </cell>
          <cell r="I73">
            <v>42593.50476851852</v>
          </cell>
          <cell r="J73">
            <v>0</v>
          </cell>
          <cell r="K73" t="str">
            <v>4025/4026</v>
          </cell>
          <cell r="L73" t="str">
            <v>SHOOK</v>
          </cell>
          <cell r="M73">
            <v>3.1203703707433306E-2</v>
          </cell>
          <cell r="N73">
            <v>44.93333333870396</v>
          </cell>
          <cell r="R73" t="str">
            <v>Trip was only to/from 61st due to an OCS Power Outage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https://search-rtdc-monitor-bjffxe2xuh6vdkpspy63sjmuny.us-east-1.es.amazonaws.com/_plugin/kibana/#/discover/Steve-Slow-Train-Analysis-(2080s-and-2083s)?_g=(refreshInterval:(display:Off,section:0,value:0),time:(from:'2016-08-11 10:20:06-0600',mode:absolute,to:'2016-08-11 13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3" t="str">
            <v>Y</v>
          </cell>
          <cell r="X73">
            <v>1</v>
          </cell>
          <cell r="Y73">
            <v>4.6399999999999997E-2</v>
          </cell>
          <cell r="Z73">
            <v>15.8002</v>
          </cell>
          <cell r="AA73">
            <v>15.7538</v>
          </cell>
          <cell r="AB73" t="e">
            <v>#N/A</v>
          </cell>
          <cell r="AC73" t="e">
            <v>#N/A</v>
          </cell>
          <cell r="AD73" t="str">
            <v>0161-11</v>
          </cell>
          <cell r="AE73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74">
          <cell r="A74" t="str">
            <v>162-11</v>
          </cell>
          <cell r="B74">
            <v>4026</v>
          </cell>
          <cell r="C74" t="str">
            <v>DE.1.0.7.0</v>
          </cell>
          <cell r="D74" t="str">
            <v>204:157773</v>
          </cell>
          <cell r="E74">
            <v>42593.506111111114</v>
          </cell>
          <cell r="F74">
            <v>42593.507048611114</v>
          </cell>
          <cell r="G74">
            <v>1</v>
          </cell>
          <cell r="H74" t="str">
            <v>204:145</v>
          </cell>
          <cell r="I74">
            <v>42593.535219907404</v>
          </cell>
          <cell r="J74">
            <v>1</v>
          </cell>
          <cell r="K74" t="str">
            <v>4025/4026</v>
          </cell>
          <cell r="L74" t="str">
            <v>SHOOK</v>
          </cell>
          <cell r="M74">
            <v>2.8171296289656311E-2</v>
          </cell>
          <cell r="N74">
            <v>40.566666657105088</v>
          </cell>
          <cell r="R74" t="str">
            <v>Trip was only to/from 61st due to an OCS Power Outage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https://search-rtdc-monitor-bjffxe2xuh6vdkpspy63sjmuny.us-east-1.es.amazonaws.com/_plugin/kibana/#/discover/Steve-Slow-Train-Analysis-(2080s-and-2083s)?_g=(refreshInterval:(display:Off,section:0,value:0),time:(from:'2016-08-11 11:08:48-0600',mode:absolute,to:'2016-08-11 13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4" t="str">
            <v>Y</v>
          </cell>
          <cell r="X74">
            <v>1</v>
          </cell>
          <cell r="Y74">
            <v>15.7773</v>
          </cell>
          <cell r="Z74">
            <v>1.4500000000000001E-2</v>
          </cell>
          <cell r="AA74">
            <v>15.7628</v>
          </cell>
          <cell r="AB74">
            <v>103800</v>
          </cell>
          <cell r="AC74" t="str">
            <v>GRADE CROSSING</v>
          </cell>
          <cell r="AD74" t="str">
            <v>0162-11</v>
          </cell>
          <cell r="AE74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75">
          <cell r="A75" t="str">
            <v>163-11</v>
          </cell>
          <cell r="B75">
            <v>4015</v>
          </cell>
          <cell r="J75">
            <v>1</v>
          </cell>
          <cell r="K75" t="str">
            <v>4015/4016</v>
          </cell>
          <cell r="L75" t="e">
            <v>#N/A</v>
          </cell>
          <cell r="M75">
            <v>0</v>
          </cell>
          <cell r="P75">
            <v>1</v>
          </cell>
          <cell r="R75" t="str">
            <v>Did not initialize</v>
          </cell>
          <cell r="S75">
            <v>0</v>
          </cell>
          <cell r="T75" t="str">
            <v>NorthBound</v>
          </cell>
          <cell r="U75">
            <v>0</v>
          </cell>
          <cell r="V75" t="e">
            <v>#VALUE!</v>
          </cell>
          <cell r="W75" t="e">
            <v>#VALUE!</v>
          </cell>
          <cell r="X75">
            <v>1</v>
          </cell>
          <cell r="Y75" t="e">
            <v>#VALUE!</v>
          </cell>
          <cell r="Z75" t="e">
            <v>#VALUE!</v>
          </cell>
          <cell r="AA75" t="e">
            <v>#VALUE!</v>
          </cell>
          <cell r="AB75" t="e">
            <v>#N/A</v>
          </cell>
          <cell r="AC75" t="e">
            <v>#N/A</v>
          </cell>
          <cell r="AD75" t="str">
            <v>0163-11</v>
          </cell>
          <cell r="AE75" t="str">
    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    </cell>
        </row>
        <row r="76">
          <cell r="A76" t="str">
            <v>164-11</v>
          </cell>
          <cell r="B76">
            <v>4012</v>
          </cell>
          <cell r="C76" t="str">
            <v>DE.1.0.7.0</v>
          </cell>
          <cell r="D76" t="str">
            <v>204:233069</v>
          </cell>
          <cell r="E76">
            <v>42593.514409722222</v>
          </cell>
          <cell r="F76">
            <v>42593.515810185185</v>
          </cell>
          <cell r="G76">
            <v>2</v>
          </cell>
          <cell r="H76" t="str">
            <v>204:1087</v>
          </cell>
          <cell r="I76">
            <v>42593.548819444448</v>
          </cell>
          <cell r="J76">
            <v>0</v>
          </cell>
          <cell r="K76" t="str">
            <v>4011/4012</v>
          </cell>
          <cell r="L76" t="str">
            <v>SANTIZO</v>
          </cell>
          <cell r="M76">
            <v>3.3009259263053536E-2</v>
          </cell>
          <cell r="N76">
            <v>47.533333338797092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https://search-rtdc-monitor-bjffxe2xuh6vdkpspy63sjmuny.us-east-1.es.amazonaws.com/_plugin/kibana/#/discover/Steve-Slow-Train-Analysis-(2080s-and-2083s)?_g=(refreshInterval:(display:Off,section:0,value:0),time:(from:'2016-08-11 11:20:45-0600',mode:absolute,to:'2016-08-11 14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6" t="str">
            <v>N</v>
          </cell>
          <cell r="X76">
            <v>1</v>
          </cell>
          <cell r="Y76">
            <v>23.306899999999999</v>
          </cell>
          <cell r="Z76">
            <v>0.1087</v>
          </cell>
          <cell r="AA76">
            <v>23.1982</v>
          </cell>
          <cell r="AB76" t="e">
            <v>#N/A</v>
          </cell>
          <cell r="AC76" t="e">
            <v>#N/A</v>
          </cell>
          <cell r="AD76" t="str">
            <v>0164-11</v>
          </cell>
          <cell r="AE76" t="str">
    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    </cell>
        </row>
        <row r="77">
          <cell r="A77" t="str">
            <v>165-11</v>
          </cell>
          <cell r="B77">
            <v>4031</v>
          </cell>
          <cell r="C77" t="str">
            <v>DE.1.0.7.0</v>
          </cell>
          <cell r="D77" t="str">
            <v>204:457</v>
          </cell>
          <cell r="E77">
            <v>42593.490254629629</v>
          </cell>
          <cell r="F77">
            <v>42593.494259259256</v>
          </cell>
          <cell r="G77">
            <v>5</v>
          </cell>
          <cell r="H77" t="str">
            <v>204:157708</v>
          </cell>
          <cell r="I77">
            <v>42593.517824074072</v>
          </cell>
          <cell r="J77">
            <v>1</v>
          </cell>
          <cell r="K77" t="str">
            <v>4031/4032</v>
          </cell>
          <cell r="L77" t="str">
            <v>NEWELL</v>
          </cell>
          <cell r="M77">
            <v>2.3564814815472346E-2</v>
          </cell>
          <cell r="N77">
            <v>33.933333334280178</v>
          </cell>
          <cell r="R77" t="str">
            <v>Trip was only to/from 61st due to an OCS Power Outage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https://search-rtdc-monitor-bjffxe2xuh6vdkpspy63sjmuny.us-east-1.es.amazonaws.com/_plugin/kibana/#/discover/Steve-Slow-Train-Analysis-(2080s-and-2083s)?_g=(refreshInterval:(display:Off,section:0,value:0),time:(from:'2016-08-11 10:45:58-0600',mode:absolute,to:'2016-08-11 13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7" t="str">
            <v>Y</v>
          </cell>
          <cell r="X77">
            <v>1</v>
          </cell>
          <cell r="Y77">
            <v>4.5699999999999998E-2</v>
          </cell>
          <cell r="Z77">
            <v>15.770799999999999</v>
          </cell>
          <cell r="AA77">
            <v>15.725099999999999</v>
          </cell>
          <cell r="AB77" t="e">
            <v>#N/A</v>
          </cell>
          <cell r="AC77" t="e">
            <v>#N/A</v>
          </cell>
          <cell r="AD77" t="str">
            <v>0165-11</v>
          </cell>
          <cell r="AE77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78">
          <cell r="A78" t="str">
            <v>166-11</v>
          </cell>
          <cell r="B78">
            <v>4032</v>
          </cell>
          <cell r="C78" t="str">
            <v>DE.1.0.7.0</v>
          </cell>
          <cell r="D78" t="str">
            <v>204:157481</v>
          </cell>
          <cell r="E78">
            <v>42593.519004629627</v>
          </cell>
          <cell r="F78">
            <v>42593.519953703704</v>
          </cell>
          <cell r="G78">
            <v>1</v>
          </cell>
          <cell r="H78" t="str">
            <v>204:165</v>
          </cell>
          <cell r="I78">
            <v>42593.546597222223</v>
          </cell>
          <cell r="J78">
            <v>0</v>
          </cell>
          <cell r="K78" t="str">
            <v>4031/4032</v>
          </cell>
          <cell r="L78" t="str">
            <v>NEWELL</v>
          </cell>
          <cell r="M78">
            <v>2.6643518518540077E-2</v>
          </cell>
          <cell r="N78">
            <v>38.366666666697711</v>
          </cell>
          <cell r="R78" t="str">
            <v>Trip was only to/from 61st due to an OCS Power Outage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https://search-rtdc-monitor-bjffxe2xuh6vdkpspy63sjmuny.us-east-1.es.amazonaws.com/_plugin/kibana/#/discover/Steve-Slow-Train-Analysis-(2080s-and-2083s)?_g=(refreshInterval:(display:Off,section:0,value:0),time:(from:'2016-08-11 11:27:22-0600',mode:absolute,to:'2016-08-11 14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8" t="str">
            <v>Y</v>
          </cell>
          <cell r="X78">
            <v>1</v>
          </cell>
          <cell r="Y78">
            <v>15.748100000000001</v>
          </cell>
          <cell r="Z78">
            <v>1.6500000000000001E-2</v>
          </cell>
          <cell r="AA78">
            <v>15.7316</v>
          </cell>
          <cell r="AB78" t="e">
            <v>#N/A</v>
          </cell>
          <cell r="AC78" t="e">
            <v>#N/A</v>
          </cell>
          <cell r="AD78" t="str">
            <v>0166-11</v>
          </cell>
          <cell r="AE78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79">
          <cell r="A79" t="str">
            <v>167-11</v>
          </cell>
          <cell r="B79">
            <v>4016</v>
          </cell>
          <cell r="C79" t="str">
            <v>DE.1.0.7.0</v>
          </cell>
          <cell r="D79" t="str">
            <v>204:444</v>
          </cell>
          <cell r="E79">
            <v>42593.498090277775</v>
          </cell>
          <cell r="F79">
            <v>42593.499444444446</v>
          </cell>
          <cell r="G79">
            <v>1</v>
          </cell>
          <cell r="H79" t="str">
            <v>204:157851</v>
          </cell>
          <cell r="I79">
            <v>42593.528726851851</v>
          </cell>
          <cell r="J79">
            <v>0</v>
          </cell>
          <cell r="K79" t="str">
            <v>4015/4016</v>
          </cell>
          <cell r="L79" t="str">
            <v>MOSES</v>
          </cell>
          <cell r="M79">
            <v>2.9282407405844424E-2</v>
          </cell>
          <cell r="N79">
            <v>42.16666666441597</v>
          </cell>
          <cell r="R79" t="str">
            <v>Trip was only to/from 61st due to an OCS Power Outage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https://search-rtdc-monitor-bjffxe2xuh6vdkpspy63sjmuny.us-east-1.es.amazonaws.com/_plugin/kibana/#/discover/Steve-Slow-Train-Analysis-(2080s-and-2083s)?_g=(refreshInterval:(display:Off,section:0,value:0),time:(from:'2016-08-11 10:57:15-0600',mode:absolute,to:'2016-08-11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9" t="str">
            <v>Y</v>
          </cell>
          <cell r="X79">
            <v>1</v>
          </cell>
          <cell r="Y79">
            <v>4.4400000000000002E-2</v>
          </cell>
          <cell r="Z79">
            <v>15.7851</v>
          </cell>
          <cell r="AA79">
            <v>15.7407</v>
          </cell>
          <cell r="AB79" t="e">
            <v>#N/A</v>
          </cell>
          <cell r="AC79" t="e">
            <v>#N/A</v>
          </cell>
          <cell r="AD79" t="str">
            <v>0167-11</v>
          </cell>
          <cell r="AE79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80">
          <cell r="A80" t="str">
            <v>168-11</v>
          </cell>
          <cell r="B80">
            <v>4015</v>
          </cell>
          <cell r="C80" t="str">
            <v>DE.1.0.7.0</v>
          </cell>
          <cell r="D80" t="str">
            <v>204:157627</v>
          </cell>
          <cell r="E80">
            <v>42593.531574074077</v>
          </cell>
          <cell r="F80">
            <v>42593.532546296294</v>
          </cell>
          <cell r="G80">
            <v>1</v>
          </cell>
          <cell r="H80" t="str">
            <v>204:163</v>
          </cell>
          <cell r="I80">
            <v>42593.559328703705</v>
          </cell>
          <cell r="J80">
            <v>0</v>
          </cell>
          <cell r="K80" t="str">
            <v>4015/4016</v>
          </cell>
          <cell r="L80" t="str">
            <v>MOSES</v>
          </cell>
          <cell r="M80">
            <v>2.6782407410792075E-2</v>
          </cell>
          <cell r="N80">
            <v>38.566666671540588</v>
          </cell>
          <cell r="R80" t="str">
            <v>Trip was only to/from 61st due to an OCS Power Outage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https://search-rtdc-monitor-bjffxe2xuh6vdkpspy63sjmuny.us-east-1.es.amazonaws.com/_plugin/kibana/#/discover/Steve-Slow-Train-Analysis-(2080s-and-2083s)?_g=(refreshInterval:(display:Off,section:0,value:0),time:(from:'2016-08-11 11:45:28-0600',mode:absolute,to:'2016-08-11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0" t="str">
            <v>Y</v>
          </cell>
          <cell r="X80">
            <v>1</v>
          </cell>
          <cell r="Y80">
            <v>15.762700000000001</v>
          </cell>
          <cell r="Z80">
            <v>1.6299999999999999E-2</v>
          </cell>
          <cell r="AA80">
            <v>15.746400000000001</v>
          </cell>
          <cell r="AB80" t="e">
            <v>#N/A</v>
          </cell>
          <cell r="AC80" t="e">
            <v>#N/A</v>
          </cell>
          <cell r="AD80" t="str">
            <v>0168-11</v>
          </cell>
          <cell r="AE80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81">
          <cell r="A81" t="str">
            <v>169-11</v>
          </cell>
          <cell r="P81">
            <v>1</v>
          </cell>
          <cell r="R81" t="str">
            <v>Did not initialize</v>
          </cell>
          <cell r="T81" t="str">
            <v>NorthBound</v>
          </cell>
          <cell r="X81">
            <v>1</v>
          </cell>
          <cell r="AD81" t="str">
            <v>0169-11</v>
          </cell>
        </row>
        <row r="82">
          <cell r="A82" t="str">
            <v>170-11</v>
          </cell>
          <cell r="B82">
            <v>4013</v>
          </cell>
          <cell r="C82" t="str">
            <v>DE.1.0.7.0</v>
          </cell>
          <cell r="D82" t="str">
            <v>204:157666</v>
          </cell>
          <cell r="E82">
            <v>42593.549328703702</v>
          </cell>
          <cell r="F82">
            <v>42593.55023148148</v>
          </cell>
          <cell r="G82">
            <v>1</v>
          </cell>
          <cell r="H82" t="str">
            <v>204:163</v>
          </cell>
          <cell r="I82">
            <v>42593.578414351854</v>
          </cell>
          <cell r="J82">
            <v>0</v>
          </cell>
          <cell r="K82" t="str">
            <v>4013/4014</v>
          </cell>
          <cell r="L82" t="str">
            <v>SWANSON</v>
          </cell>
          <cell r="M82">
            <v>2.8182870373711921E-2</v>
          </cell>
          <cell r="N82">
            <v>40.583333338145167</v>
          </cell>
          <cell r="R82" t="str">
            <v>Trip was only to/from 61st due to an OCS Power Outage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https://search-rtdc-monitor-bjffxe2xuh6vdkpspy63sjmuny.us-east-1.es.amazonaws.com/_plugin/kibana/#/discover/Steve-Slow-Train-Analysis-(2080s-and-2083s)?_g=(refreshInterval:(display:Off,section:0,value:0),time:(from:'2016-08-11 12:11:02-0600',mode:absolute,to:'2016-08-11 14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Y</v>
          </cell>
          <cell r="X82">
            <v>1</v>
          </cell>
          <cell r="Y82">
            <v>15.7666</v>
          </cell>
          <cell r="Z82">
            <v>1.6299999999999999E-2</v>
          </cell>
          <cell r="AA82">
            <v>15.750300000000001</v>
          </cell>
          <cell r="AB82" t="e">
            <v>#N/A</v>
          </cell>
          <cell r="AC82" t="e">
            <v>#N/A</v>
          </cell>
          <cell r="AD82" t="str">
            <v>0170-11</v>
          </cell>
          <cell r="AE82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83">
          <cell r="A83" t="str">
            <v>171-11</v>
          </cell>
          <cell r="B83">
            <v>4014</v>
          </cell>
          <cell r="C83" t="str">
            <v>DE.1.0.7.0</v>
          </cell>
          <cell r="D83" t="str">
            <v>204:467</v>
          </cell>
          <cell r="E83">
            <v>42593.516215277778</v>
          </cell>
          <cell r="F83">
            <v>42593.517511574071</v>
          </cell>
          <cell r="G83">
            <v>1</v>
          </cell>
          <cell r="H83" t="str">
            <v>204:157896</v>
          </cell>
          <cell r="I83">
            <v>42593.546701388892</v>
          </cell>
          <cell r="J83">
            <v>0</v>
          </cell>
          <cell r="K83" t="str">
            <v>4013/4014</v>
          </cell>
          <cell r="L83" t="str">
            <v>SWANSON</v>
          </cell>
          <cell r="M83">
            <v>2.9189814820711035E-2</v>
          </cell>
          <cell r="N83">
            <v>42.033333341823891</v>
          </cell>
          <cell r="R83" t="str">
            <v>Trip was only to/from 61st due to an OCS Power Outage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https://search-rtdc-monitor-bjffxe2xuh6vdkpspy63sjmuny.us-east-1.es.amazonaws.com/_plugin/kibana/#/discover/Steve-Slow-Train-Analysis-(2080s-and-2083s)?_g=(refreshInterval:(display:Off,section:0,value:0),time:(from:'2016-08-11 11:23:21-0600',mode:absolute,to:'2016-08-11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Y</v>
          </cell>
          <cell r="X83">
            <v>1</v>
          </cell>
          <cell r="Y83">
            <v>4.6699999999999998E-2</v>
          </cell>
          <cell r="Z83">
            <v>15.7896</v>
          </cell>
          <cell r="AA83">
            <v>15.742900000000001</v>
          </cell>
          <cell r="AB83" t="e">
            <v>#N/A</v>
          </cell>
          <cell r="AC83" t="e">
            <v>#N/A</v>
          </cell>
          <cell r="AD83" t="str">
            <v>0171-11</v>
          </cell>
          <cell r="AE83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84">
          <cell r="A84" t="str">
            <v>172-11</v>
          </cell>
          <cell r="P84">
            <v>1</v>
          </cell>
          <cell r="R84" t="str">
            <v>Did not initialize</v>
          </cell>
          <cell r="T84" t="str">
            <v>Southbound</v>
          </cell>
          <cell r="X84">
            <v>1</v>
          </cell>
          <cell r="Y84" t="e">
            <v>#VALUE!</v>
          </cell>
          <cell r="AD84" t="str">
            <v>0172-11</v>
          </cell>
        </row>
        <row r="85">
          <cell r="A85" t="str">
            <v>173-11</v>
          </cell>
          <cell r="B85">
            <v>4014</v>
          </cell>
          <cell r="C85" t="str">
            <v>DE.1.0.7.0</v>
          </cell>
          <cell r="D85" t="str">
            <v>204:460</v>
          </cell>
          <cell r="E85">
            <v>42593.514733796299</v>
          </cell>
          <cell r="F85">
            <v>42593.515717592592</v>
          </cell>
          <cell r="G85">
            <v>1</v>
          </cell>
          <cell r="H85" t="str">
            <v>204:157896</v>
          </cell>
          <cell r="I85">
            <v>42593.546701388892</v>
          </cell>
          <cell r="J85">
            <v>0</v>
          </cell>
          <cell r="K85" t="str">
            <v>4013/4014</v>
          </cell>
          <cell r="L85" t="str">
            <v>SWANSON</v>
          </cell>
          <cell r="M85">
            <v>3.0983796299551614E-2</v>
          </cell>
          <cell r="N85">
            <v>44.616666671354324</v>
          </cell>
          <cell r="R85" t="str">
            <v>Trip was only to/from 61st due to an OCS Power Outage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https://search-rtdc-monitor-bjffxe2xuh6vdkpspy63sjmuny.us-east-1.es.amazonaws.com/_plugin/kibana/#/discover/Steve-Slow-Train-Analysis-(2080s-and-2083s)?_g=(refreshInterval:(display:Off,section:0,value:0),time:(from:'2016-08-11 11:21:13-0600',mode:absolute,to:'2016-08-11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5" t="str">
            <v>Y</v>
          </cell>
          <cell r="X85">
            <v>1</v>
          </cell>
          <cell r="Y85">
            <v>4.5999999999999999E-2</v>
          </cell>
          <cell r="Z85">
            <v>15.7896</v>
          </cell>
          <cell r="AA85">
            <v>15.743600000000001</v>
          </cell>
          <cell r="AB85" t="e">
            <v>#N/A</v>
          </cell>
          <cell r="AC85" t="e">
            <v>#N/A</v>
          </cell>
          <cell r="AD85" t="str">
            <v>0173-11</v>
          </cell>
          <cell r="AE85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86">
          <cell r="A86" t="str">
            <v>174-11</v>
          </cell>
          <cell r="B86">
            <v>4037</v>
          </cell>
          <cell r="C86" t="str">
            <v>DE.1.0.7.0</v>
          </cell>
          <cell r="D86" t="str">
            <v>204:157481</v>
          </cell>
          <cell r="E86">
            <v>42593.571689814817</v>
          </cell>
          <cell r="F86">
            <v>42593.573101851849</v>
          </cell>
          <cell r="G86">
            <v>2</v>
          </cell>
          <cell r="H86" t="str">
            <v>204:127</v>
          </cell>
          <cell r="I86">
            <v>42593.597638888888</v>
          </cell>
          <cell r="J86">
            <v>0</v>
          </cell>
          <cell r="K86" t="str">
            <v>4037/4038</v>
          </cell>
          <cell r="L86" t="str">
            <v>YOUNG</v>
          </cell>
          <cell r="M86">
            <v>2.453703703940846E-2</v>
          </cell>
          <cell r="N86">
            <v>35.333333336748183</v>
          </cell>
          <cell r="R86" t="str">
            <v>Trip was only to/from 61st due to an OCS Power Outage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https://search-rtdc-monitor-bjffxe2xuh6vdkpspy63sjmuny.us-east-1.es.amazonaws.com/_plugin/kibana/#/discover/Steve-Slow-Train-Analysis-(2080s-and-2083s)?_g=(refreshInterval:(display:Off,section:0,value:0),time:(from:'2016-08-11 12:43:14-0600',mode:absolute,to:'2016-08-11 15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6" t="str">
            <v>Y</v>
          </cell>
          <cell r="X86">
            <v>1</v>
          </cell>
          <cell r="Y86">
            <v>15.748100000000001</v>
          </cell>
          <cell r="Z86">
            <v>1.2699999999999999E-2</v>
          </cell>
          <cell r="AA86">
            <v>15.7354</v>
          </cell>
          <cell r="AB86" t="e">
            <v>#N/A</v>
          </cell>
          <cell r="AC86" t="e">
            <v>#N/A</v>
          </cell>
          <cell r="AD86" t="str">
            <v>0174-11</v>
          </cell>
          <cell r="AE8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87">
          <cell r="A87" t="str">
            <v>175-11</v>
          </cell>
          <cell r="B87">
            <v>4025</v>
          </cell>
          <cell r="C87" t="str">
            <v>DE.1.0.7.0</v>
          </cell>
          <cell r="D87" t="str">
            <v>204:462</v>
          </cell>
          <cell r="E87">
            <v>42593.538483796299</v>
          </cell>
          <cell r="F87">
            <v>42593.539710648147</v>
          </cell>
          <cell r="G87">
            <v>1</v>
          </cell>
          <cell r="H87" t="str">
            <v>204:154524</v>
          </cell>
          <cell r="I87">
            <v>42593.574780092589</v>
          </cell>
          <cell r="J87">
            <v>1</v>
          </cell>
          <cell r="K87" t="str">
            <v>4025/4026</v>
          </cell>
          <cell r="L87" t="str">
            <v>SHOOK</v>
          </cell>
          <cell r="M87">
            <v>3.5069444442342501E-2</v>
          </cell>
          <cell r="N87">
            <v>50.499999996973202</v>
          </cell>
          <cell r="R87" t="str">
            <v>Trip was only to/from 61st due to an OCS Power Outage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https://search-rtdc-monitor-bjffxe2xuh6vdkpspy63sjmuny.us-east-1.es.amazonaws.com/_plugin/kibana/#/discover/Steve-Slow-Train-Analysis-(2080s-and-2083s)?_g=(refreshInterval:(display:Off,section:0,value:0),time:(from:'2016-08-11 11:55:25-0600',mode:absolute,to:'2016-08-11 14:47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7" t="str">
            <v>Y</v>
          </cell>
          <cell r="X87">
            <v>1</v>
          </cell>
          <cell r="Y87">
            <v>4.6199999999999998E-2</v>
          </cell>
          <cell r="Z87">
            <v>15.452400000000001</v>
          </cell>
          <cell r="AA87">
            <v>15.4062</v>
          </cell>
          <cell r="AB87" t="e">
            <v>#N/A</v>
          </cell>
          <cell r="AC87" t="e">
            <v>#N/A</v>
          </cell>
          <cell r="AD87" t="str">
            <v>0175-11</v>
          </cell>
          <cell r="AE87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88">
          <cell r="A88" t="str">
            <v>176-11</v>
          </cell>
          <cell r="B88">
            <v>4026</v>
          </cell>
          <cell r="C88" t="str">
            <v>DE.1.0.7.0</v>
          </cell>
          <cell r="D88" t="str">
            <v>204:157594</v>
          </cell>
          <cell r="E88">
            <v>42593.582187499997</v>
          </cell>
          <cell r="F88">
            <v>42593.582939814813</v>
          </cell>
          <cell r="G88">
            <v>1</v>
          </cell>
          <cell r="H88" t="str">
            <v>204:145</v>
          </cell>
          <cell r="I88">
            <v>42593.608993055554</v>
          </cell>
          <cell r="J88">
            <v>0</v>
          </cell>
          <cell r="K88" t="str">
            <v>4025/4026</v>
          </cell>
          <cell r="L88" t="str">
            <v>SHOOK</v>
          </cell>
          <cell r="M88">
            <v>2.6053240741021E-2</v>
          </cell>
          <cell r="N88">
            <v>37.51666666707024</v>
          </cell>
          <cell r="R88" t="str">
            <v>Trip was only to/from 61st due to an OCS Power Outage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https://search-rtdc-monitor-bjffxe2xuh6vdkpspy63sjmuny.us-east-1.es.amazonaws.com/_plugin/kibana/#/discover/Steve-Slow-Train-Analysis-(2080s-and-2083s)?_g=(refreshInterval:(display:Off,section:0,value:0),time:(from:'2016-08-11 12:58:21-0600',mode:absolute,to:'2016-08-11 15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8" t="str">
            <v>Y</v>
          </cell>
          <cell r="X88">
            <v>1</v>
          </cell>
          <cell r="Y88">
            <v>15.759399999999999</v>
          </cell>
          <cell r="Z88">
            <v>1.4500000000000001E-2</v>
          </cell>
          <cell r="AA88">
            <v>15.744899999999999</v>
          </cell>
          <cell r="AB88" t="e">
            <v>#N/A</v>
          </cell>
          <cell r="AC88" t="e">
            <v>#N/A</v>
          </cell>
          <cell r="AD88" t="str">
            <v>0176-11</v>
          </cell>
          <cell r="AE8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89">
          <cell r="A89" t="str">
            <v>177-11</v>
          </cell>
          <cell r="B89">
            <v>4031</v>
          </cell>
          <cell r="C89" t="str">
            <v>DE.1.0.7.0</v>
          </cell>
          <cell r="D89" t="str">
            <v>204:440</v>
          </cell>
          <cell r="E89">
            <v>42593.548368055555</v>
          </cell>
          <cell r="F89">
            <v>42593.550925925927</v>
          </cell>
          <cell r="G89">
            <v>3</v>
          </cell>
          <cell r="H89" t="str">
            <v>204:157724</v>
          </cell>
          <cell r="I89">
            <v>42593.586261574077</v>
          </cell>
          <cell r="J89">
            <v>0</v>
          </cell>
          <cell r="K89" t="str">
            <v>4031/4032</v>
          </cell>
          <cell r="L89" t="str">
            <v>NEWELL</v>
          </cell>
          <cell r="M89">
            <v>3.5335648150066845E-2</v>
          </cell>
          <cell r="N89">
            <v>50.883333336096257</v>
          </cell>
          <cell r="R89" t="str">
            <v>Trip was only to/from 61st due to an OCS Power Outage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https://search-rtdc-monitor-bjffxe2xuh6vdkpspy63sjmuny.us-east-1.es.amazonaws.com/_plugin/kibana/#/discover/Steve-Slow-Train-Analysis-(2080s-and-2083s)?_g=(refreshInterval:(display:Off,section:0,value:0),time:(from:'2016-08-11 12:09:39-0600',mode:absolute,to:'2016-08-11 15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9" t="str">
            <v>Y</v>
          </cell>
          <cell r="X89">
            <v>1</v>
          </cell>
          <cell r="Y89">
            <v>4.3999999999999997E-2</v>
          </cell>
          <cell r="Z89">
            <v>15.772399999999999</v>
          </cell>
          <cell r="AA89">
            <v>15.728399999999999</v>
          </cell>
          <cell r="AB89" t="e">
            <v>#N/A</v>
          </cell>
          <cell r="AC89" t="e">
            <v>#N/A</v>
          </cell>
          <cell r="AD89" t="str">
            <v>0177-11</v>
          </cell>
          <cell r="AE89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90">
          <cell r="A90" t="str">
            <v>178-11</v>
          </cell>
          <cell r="B90">
            <v>4032</v>
          </cell>
          <cell r="C90" t="str">
            <v>DE.1.0.7.0</v>
          </cell>
          <cell r="D90" t="str">
            <v>204:157494</v>
          </cell>
          <cell r="E90">
            <v>42593.587407407409</v>
          </cell>
          <cell r="F90">
            <v>42593.588738425926</v>
          </cell>
          <cell r="G90">
            <v>1</v>
          </cell>
          <cell r="H90" t="str">
            <v>204:365</v>
          </cell>
          <cell r="I90">
            <v>42593.617997685185</v>
          </cell>
          <cell r="J90">
            <v>0</v>
          </cell>
          <cell r="K90" t="str">
            <v>4031/4032</v>
          </cell>
          <cell r="L90" t="str">
            <v>NEWELL</v>
          </cell>
          <cell r="M90">
            <v>2.9259259259561077E-2</v>
          </cell>
          <cell r="N90">
            <v>42.133333333767951</v>
          </cell>
          <cell r="R90" t="str">
            <v>Trip was only to/from 61st due to an OCS Power Outage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https://search-rtdc-monitor-bjffxe2xuh6vdkpspy63sjmuny.us-east-1.es.amazonaws.com/_plugin/kibana/#/discover/Steve-Slow-Train-Analysis-(2080s-and-2083s)?_g=(refreshInterval:(display:Off,section:0,value:0),time:(from:'2016-08-11 13:05:52-0600',mode:absolute,to:'2016-08-11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0" t="str">
            <v>Y</v>
          </cell>
          <cell r="X90">
            <v>1</v>
          </cell>
          <cell r="Y90">
            <v>15.7494</v>
          </cell>
          <cell r="Z90">
            <v>3.6499999999999998E-2</v>
          </cell>
          <cell r="AA90">
            <v>15.712899999999999</v>
          </cell>
          <cell r="AB90" t="e">
            <v>#N/A</v>
          </cell>
          <cell r="AC90" t="e">
            <v>#N/A</v>
          </cell>
          <cell r="AD90" t="str">
            <v>0178-11</v>
          </cell>
          <cell r="AE90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91">
          <cell r="A91" t="str">
            <v>179-11</v>
          </cell>
          <cell r="B91">
            <v>4016</v>
          </cell>
          <cell r="C91" t="str">
            <v>DE.1.0.7.0</v>
          </cell>
          <cell r="D91" t="str">
            <v>204:464</v>
          </cell>
          <cell r="E91">
            <v>42593.56322916667</v>
          </cell>
          <cell r="F91">
            <v>42593.564259259256</v>
          </cell>
          <cell r="G91">
            <v>1</v>
          </cell>
          <cell r="H91" t="str">
            <v>204:157673</v>
          </cell>
          <cell r="I91">
            <v>42593.591793981483</v>
          </cell>
          <cell r="J91">
            <v>0</v>
          </cell>
          <cell r="K91" t="str">
            <v>4015/4016</v>
          </cell>
          <cell r="L91" t="str">
            <v>MOSES</v>
          </cell>
          <cell r="M91">
            <v>2.7534722226846498E-2</v>
          </cell>
          <cell r="N91">
            <v>39.650000006658956</v>
          </cell>
          <cell r="R91" t="str">
            <v>Trip was only to/from 61st due to an OCS Power Outage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https://search-rtdc-monitor-bjffxe2xuh6vdkpspy63sjmuny.us-east-1.es.amazonaws.com/_plugin/kibana/#/discover/Steve-Slow-Train-Analysis-(2080s-and-2083s)?_g=(refreshInterval:(display:Off,section:0,value:0),time:(from:'2016-08-11 12:31:03-0600',mode:absolute,to:'2016-08-11 15:12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1" t="str">
            <v>Y</v>
          </cell>
          <cell r="X91">
            <v>1</v>
          </cell>
          <cell r="Y91">
            <v>4.6399999999999997E-2</v>
          </cell>
          <cell r="Z91">
            <v>15.767300000000001</v>
          </cell>
          <cell r="AA91">
            <v>15.7209</v>
          </cell>
          <cell r="AB91" t="e">
            <v>#N/A</v>
          </cell>
          <cell r="AC91" t="e">
            <v>#N/A</v>
          </cell>
          <cell r="AD91" t="str">
            <v>0179-11</v>
          </cell>
          <cell r="AE91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92">
          <cell r="A92" t="str">
            <v>180-11</v>
          </cell>
          <cell r="B92">
            <v>4015</v>
          </cell>
          <cell r="C92" t="str">
            <v>DE.1.0.7.0</v>
          </cell>
          <cell r="D92" t="str">
            <v>204:157446</v>
          </cell>
          <cell r="E92">
            <v>42593.593888888892</v>
          </cell>
          <cell r="F92">
            <v>42593.59611111111</v>
          </cell>
          <cell r="G92">
            <v>3</v>
          </cell>
          <cell r="H92" t="str">
            <v>204:143</v>
          </cell>
          <cell r="I92">
            <v>42593.629201388889</v>
          </cell>
          <cell r="J92">
            <v>0</v>
          </cell>
          <cell r="K92" t="str">
            <v>4015/4016</v>
          </cell>
          <cell r="L92" t="str">
            <v>MOSES</v>
          </cell>
          <cell r="M92">
            <v>3.309027777868323E-2</v>
          </cell>
          <cell r="N92">
            <v>47.650000001303852</v>
          </cell>
          <cell r="R92" t="str">
            <v>Trip was only to/from 61st due to an OCS Power Outage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https://search-rtdc-monitor-bjffxe2xuh6vdkpspy63sjmuny.us-east-1.es.amazonaws.com/_plugin/kibana/#/discover/Steve-Slow-Train-Analysis-(2080s-and-2083s)?_g=(refreshInterval:(display:Off,section:0,value:0),time:(from:'2016-08-11 13:15:12-0600',mode:absolute,to:'2016-08-11 16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2" t="str">
            <v>Y</v>
          </cell>
          <cell r="X92">
            <v>1</v>
          </cell>
          <cell r="Y92">
            <v>15.7446</v>
          </cell>
          <cell r="Z92">
            <v>1.43E-2</v>
          </cell>
          <cell r="AA92">
            <v>15.7303</v>
          </cell>
          <cell r="AB92" t="e">
            <v>#N/A</v>
          </cell>
          <cell r="AC92" t="e">
            <v>#N/A</v>
          </cell>
          <cell r="AD92" t="str">
            <v>0180-11</v>
          </cell>
          <cell r="AE9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93">
          <cell r="A93" t="str">
            <v>181-11</v>
          </cell>
          <cell r="P93">
            <v>1</v>
          </cell>
          <cell r="R93" t="str">
            <v>Did not initialize</v>
          </cell>
          <cell r="T93" t="str">
            <v>NorthBound</v>
          </cell>
          <cell r="X93">
            <v>1</v>
          </cell>
          <cell r="AD93" t="str">
            <v>0181-11</v>
          </cell>
        </row>
        <row r="94">
          <cell r="A94" t="str">
            <v>182-11</v>
          </cell>
          <cell r="P94">
            <v>1</v>
          </cell>
          <cell r="R94" t="str">
            <v>Did not initialize</v>
          </cell>
          <cell r="T94" t="str">
            <v>Southbound</v>
          </cell>
          <cell r="X94">
            <v>1</v>
          </cell>
          <cell r="AD94" t="str">
            <v>0182-11</v>
          </cell>
        </row>
        <row r="95">
          <cell r="A95" t="str">
            <v>183-11</v>
          </cell>
          <cell r="B95">
            <v>4014</v>
          </cell>
          <cell r="C95" t="str">
            <v>DE.1.0.7.0</v>
          </cell>
          <cell r="D95" t="str">
            <v>204:455</v>
          </cell>
          <cell r="E95">
            <v>42593.581793981481</v>
          </cell>
          <cell r="F95">
            <v>42593.583449074074</v>
          </cell>
          <cell r="G95">
            <v>2</v>
          </cell>
          <cell r="H95" t="str">
            <v>204:154415</v>
          </cell>
          <cell r="I95">
            <v>42593.605416666665</v>
          </cell>
          <cell r="J95">
            <v>0</v>
          </cell>
          <cell r="K95" t="str">
            <v>4013/4014</v>
          </cell>
          <cell r="L95" t="str">
            <v>SWANSON</v>
          </cell>
          <cell r="M95">
            <v>2.1967592590954155E-2</v>
          </cell>
          <cell r="N95">
            <v>31.633333330973983</v>
          </cell>
          <cell r="R95" t="str">
            <v>Trip was only to/from 61st due to an OCS Power Outage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https://search-rtdc-monitor-bjffxe2xuh6vdkpspy63sjmuny.us-east-1.es.amazonaws.com/_plugin/kibana/#/discover/Steve-Slow-Train-Analysis-(2080s-and-2083s)?_g=(refreshInterval:(display:Off,section:0,value:0),time:(from:'2016-08-11 12:57:47-0600',mode:absolute,to:'2016-08-11 15:31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Y</v>
          </cell>
          <cell r="X95">
            <v>1</v>
          </cell>
          <cell r="Y95">
            <v>4.5499999999999999E-2</v>
          </cell>
          <cell r="Z95">
            <v>15.4415</v>
          </cell>
          <cell r="AA95">
            <v>15.395999999999999</v>
          </cell>
          <cell r="AB95" t="e">
            <v>#N/A</v>
          </cell>
          <cell r="AC95" t="e">
            <v>#N/A</v>
          </cell>
          <cell r="AD95" t="str">
            <v>0183-11</v>
          </cell>
          <cell r="AE95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96">
          <cell r="A96" t="str">
            <v>184-11</v>
          </cell>
          <cell r="B96">
            <v>4037</v>
          </cell>
          <cell r="C96" t="str">
            <v>DE.1.0.7.0</v>
          </cell>
          <cell r="D96" t="str">
            <v>204:157435</v>
          </cell>
          <cell r="E96">
            <v>42593.628564814811</v>
          </cell>
          <cell r="F96">
            <v>42593.630266203705</v>
          </cell>
          <cell r="G96">
            <v>2</v>
          </cell>
          <cell r="H96" t="str">
            <v>204:139</v>
          </cell>
          <cell r="I96">
            <v>42593.65415509259</v>
          </cell>
          <cell r="J96">
            <v>0</v>
          </cell>
          <cell r="K96" t="str">
            <v>4037/4038</v>
          </cell>
          <cell r="L96" t="str">
            <v>YOUNG</v>
          </cell>
          <cell r="M96">
            <v>2.3888888885267079E-2</v>
          </cell>
          <cell r="N96">
            <v>34.399999994784594</v>
          </cell>
          <cell r="R96" t="str">
            <v>Trip was only to/from 61st due to an OCS Power Outage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https://search-rtdc-monitor-bjffxe2xuh6vdkpspy63sjmuny.us-east-1.es.amazonaws.com/_plugin/kibana/#/discover/Steve-Slow-Train-Analysis-(2080s-and-2083s)?_g=(refreshInterval:(display:Off,section:0,value:0),time:(from:'2016-08-11 14:05:08-0600',mode:absolute,to:'2016-08-11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6" t="str">
            <v>Y</v>
          </cell>
          <cell r="X96">
            <v>1</v>
          </cell>
          <cell r="Y96">
            <v>15.743499999999999</v>
          </cell>
          <cell r="Z96">
            <v>1.3899999999999999E-2</v>
          </cell>
          <cell r="AA96">
            <v>15.7296</v>
          </cell>
          <cell r="AB96" t="e">
            <v>#N/A</v>
          </cell>
          <cell r="AC96" t="e">
            <v>#N/A</v>
          </cell>
          <cell r="AD96" t="str">
            <v>0184-11</v>
          </cell>
          <cell r="AE96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97">
          <cell r="A97" t="str">
            <v>185-11</v>
          </cell>
          <cell r="P97">
            <v>1</v>
          </cell>
          <cell r="R97" t="str">
            <v>Did not initialize</v>
          </cell>
          <cell r="T97" t="str">
            <v>NorthBound</v>
          </cell>
          <cell r="X97">
            <v>1</v>
          </cell>
          <cell r="AD97" t="str">
            <v>0185-11</v>
          </cell>
        </row>
        <row r="98">
          <cell r="A98" t="str">
            <v>186-11</v>
          </cell>
          <cell r="B98">
            <v>4026</v>
          </cell>
          <cell r="C98" t="str">
            <v>DE.1.0.7.0</v>
          </cell>
          <cell r="D98" t="str">
            <v>204:153994</v>
          </cell>
          <cell r="E98">
            <v>42593.64234953704</v>
          </cell>
          <cell r="F98">
            <v>42593.643888888888</v>
          </cell>
          <cell r="G98">
            <v>2</v>
          </cell>
          <cell r="H98" t="str">
            <v>204:132</v>
          </cell>
          <cell r="I98">
            <v>42593.665092592593</v>
          </cell>
          <cell r="J98">
            <v>1</v>
          </cell>
          <cell r="K98" t="str">
            <v>4025/4026</v>
          </cell>
          <cell r="L98" t="str">
            <v>SHOOK</v>
          </cell>
          <cell r="M98">
            <v>2.1203703705396038E-2</v>
          </cell>
          <cell r="N98">
            <v>30.533333335770294</v>
          </cell>
          <cell r="R98" t="str">
            <v>Trip was only to/from 61st due to an OCS Power Outage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https://search-rtdc-monitor-bjffxe2xuh6vdkpspy63sjmuny.us-east-1.es.amazonaws.com/_plugin/kibana/#/discover/Steve-Slow-Train-Analysis-(2080s-and-2083s)?_g=(refreshInterval:(display:Off,section:0,value:0),time:(from:'2016-08-11 14:24:59-0600',mode:absolute,to:'2016-08-11 16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8" t="str">
            <v>Y</v>
          </cell>
          <cell r="X98">
            <v>1</v>
          </cell>
          <cell r="Y98">
            <v>15.3994</v>
          </cell>
          <cell r="Z98">
            <v>1.32E-2</v>
          </cell>
          <cell r="AA98">
            <v>15.386200000000001</v>
          </cell>
          <cell r="AB98" t="e">
            <v>#N/A</v>
          </cell>
          <cell r="AC98" t="e">
            <v>#N/A</v>
          </cell>
          <cell r="AD98" t="str">
            <v>0186-11</v>
          </cell>
          <cell r="AE9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99">
          <cell r="A99" t="str">
            <v>187-11</v>
          </cell>
          <cell r="B99">
            <v>4038</v>
          </cell>
          <cell r="C99" t="str">
            <v>DE.1.0.7.0</v>
          </cell>
          <cell r="D99" t="str">
            <v>204:449</v>
          </cell>
          <cell r="E99">
            <v>42593.600092592591</v>
          </cell>
          <cell r="F99">
            <v>42593.601261574076</v>
          </cell>
          <cell r="G99">
            <v>1</v>
          </cell>
          <cell r="H99" t="str">
            <v>204:154435</v>
          </cell>
          <cell r="I99">
            <v>42593.6246875</v>
          </cell>
          <cell r="J99">
            <v>0</v>
          </cell>
          <cell r="K99" t="str">
            <v>4037/4038</v>
          </cell>
          <cell r="L99" t="str">
            <v>YOUNG</v>
          </cell>
          <cell r="M99">
            <v>2.3425925923220348E-2</v>
          </cell>
          <cell r="N99">
            <v>33.733333329437301</v>
          </cell>
          <cell r="R99" t="str">
            <v>Trip was only to/from 61st due to an OCS Power Outage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https://search-rtdc-monitor-bjffxe2xuh6vdkpspy63sjmuny.us-east-1.es.amazonaws.com/_plugin/kibana/#/discover/Steve-Slow-Train-Analysis-(2080s-and-2083s)?_g=(refreshInterval:(display:Off,section:0,value:0),time:(from:'2016-08-11 13:24:08-0600',mode:absolute,to:'2016-08-11 15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9" t="str">
            <v>Y</v>
          </cell>
          <cell r="X99">
            <v>1</v>
          </cell>
          <cell r="Y99">
            <v>4.4900000000000002E-2</v>
          </cell>
          <cell r="Z99">
            <v>15.4435</v>
          </cell>
          <cell r="AA99">
            <v>15.3986</v>
          </cell>
          <cell r="AB99" t="e">
            <v>#N/A</v>
          </cell>
          <cell r="AC99" t="e">
            <v>#N/A</v>
          </cell>
          <cell r="AD99" t="str">
            <v>0187-11</v>
          </cell>
          <cell r="AE9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00">
          <cell r="A100" t="str">
            <v>188-11</v>
          </cell>
          <cell r="B100">
            <v>4032</v>
          </cell>
          <cell r="C100" t="str">
            <v>DE.1.0.7.0</v>
          </cell>
          <cell r="D100" t="str">
            <v>204:154016</v>
          </cell>
          <cell r="E100">
            <v>42593.649976851855</v>
          </cell>
          <cell r="F100">
            <v>42593.651041666664</v>
          </cell>
          <cell r="G100">
            <v>1</v>
          </cell>
          <cell r="H100" t="str">
            <v>204:356</v>
          </cell>
          <cell r="I100">
            <v>42593.671863425923</v>
          </cell>
          <cell r="J100">
            <v>0</v>
          </cell>
          <cell r="K100" t="str">
            <v>4031/4032</v>
          </cell>
          <cell r="L100" t="str">
            <v>NEWELL</v>
          </cell>
          <cell r="M100">
            <v>2.0821759258979E-2</v>
          </cell>
          <cell r="N100">
            <v>29.98333333292976</v>
          </cell>
          <cell r="R100" t="str">
            <v>Trip was only to/from 61st due to an OCS Power Outage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https://search-rtdc-monitor-bjffxe2xuh6vdkpspy63sjmuny.us-east-1.es.amazonaws.com/_plugin/kibana/#/discover/Steve-Slow-Train-Analysis-(2080s-and-2083s)?_g=(refreshInterval:(display:Off,section:0,value:0),time:(from:'2016-08-11 14:35:58-0600',mode:absolute,to:'2016-08-11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0" t="str">
            <v>Y</v>
          </cell>
          <cell r="X100">
            <v>1</v>
          </cell>
          <cell r="Y100">
            <v>15.4016</v>
          </cell>
          <cell r="Z100">
            <v>3.56E-2</v>
          </cell>
          <cell r="AA100">
            <v>15.366</v>
          </cell>
          <cell r="AB100" t="e">
            <v>#N/A</v>
          </cell>
          <cell r="AC100" t="e">
            <v>#N/A</v>
          </cell>
          <cell r="AD100" t="str">
            <v>0188-11</v>
          </cell>
          <cell r="AE100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01">
          <cell r="A101" t="str">
            <v>189-11</v>
          </cell>
          <cell r="B101">
            <v>4025</v>
          </cell>
          <cell r="C101" t="str">
            <v>DE.1.0.7.0</v>
          </cell>
          <cell r="D101" t="str">
            <v>204:446</v>
          </cell>
          <cell r="E101">
            <v>42593.611585648148</v>
          </cell>
          <cell r="F101">
            <v>42593.613020833334</v>
          </cell>
          <cell r="G101">
            <v>2</v>
          </cell>
          <cell r="H101" t="str">
            <v>204:158324</v>
          </cell>
          <cell r="I101">
            <v>42593.637118055558</v>
          </cell>
          <cell r="J101">
            <v>2</v>
          </cell>
          <cell r="K101" t="str">
            <v>4025/4026</v>
          </cell>
          <cell r="L101" t="str">
            <v>SHOOK</v>
          </cell>
          <cell r="M101">
            <v>2.4097222223645076E-2</v>
          </cell>
          <cell r="N101">
            <v>34.70000000204891</v>
          </cell>
          <cell r="R101" t="str">
            <v>Trip was only to/from 61st due to an OCS Power Outage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1" t="str">
            <v>Y</v>
          </cell>
          <cell r="X101">
            <v>1</v>
          </cell>
          <cell r="Y101">
            <v>4.4600000000000001E-2</v>
          </cell>
          <cell r="Z101">
            <v>15.8324</v>
          </cell>
          <cell r="AA101">
            <v>15.787799999999999</v>
          </cell>
          <cell r="AB101">
            <v>75566</v>
          </cell>
          <cell r="AC101" t="str">
            <v>SIGNAL</v>
          </cell>
          <cell r="AD101" t="str">
            <v>0189-11</v>
          </cell>
          <cell r="AE10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02">
          <cell r="A102" t="str">
            <v>190-11</v>
          </cell>
          <cell r="B102">
            <v>4015</v>
          </cell>
          <cell r="C102" t="str">
            <v>DE.1.0.7.0</v>
          </cell>
          <cell r="D102" t="str">
            <v>204:154009</v>
          </cell>
          <cell r="E102">
            <v>42593.661921296298</v>
          </cell>
          <cell r="F102">
            <v>42593.662916666668</v>
          </cell>
          <cell r="G102">
            <v>1</v>
          </cell>
          <cell r="H102" t="str">
            <v>204:149</v>
          </cell>
          <cell r="I102">
            <v>42593.684664351851</v>
          </cell>
          <cell r="J102">
            <v>0</v>
          </cell>
          <cell r="K102" t="str">
            <v>4015/4016</v>
          </cell>
          <cell r="L102" t="str">
            <v>MOSES</v>
          </cell>
          <cell r="M102">
            <v>2.1747685183072463E-2</v>
          </cell>
          <cell r="N102">
            <v>31.316666663624346</v>
          </cell>
          <cell r="R102" t="str">
            <v>Trip was only to/from 61st due to an OCS Power Outage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https://search-rtdc-monitor-bjffxe2xuh6vdkpspy63sjmuny.us-east-1.es.amazonaws.com/_plugin/kibana/#/discover/Steve-Slow-Train-Analysis-(2080s-and-2083s)?_g=(refreshInterval:(display:Off,section:0,value:0),time:(from:'2016-08-11 14:53:10-0600',mode:absolute,to:'2016-08-11 17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Y</v>
          </cell>
          <cell r="X102">
            <v>1</v>
          </cell>
          <cell r="Y102">
            <v>15.4009</v>
          </cell>
          <cell r="Z102">
            <v>1.49E-2</v>
          </cell>
          <cell r="AA102">
            <v>15.385999999999999</v>
          </cell>
          <cell r="AB102" t="e">
            <v>#N/A</v>
          </cell>
          <cell r="AC102" t="e">
            <v>#N/A</v>
          </cell>
          <cell r="AD102" t="str">
            <v>0190-11</v>
          </cell>
          <cell r="AE102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03">
          <cell r="A103" t="str">
            <v>191-11</v>
          </cell>
          <cell r="B103">
            <v>4031</v>
          </cell>
          <cell r="C103" t="str">
            <v>DE.1.0.7.0</v>
          </cell>
          <cell r="D103" t="str">
            <v>204:655</v>
          </cell>
          <cell r="E103">
            <v>42593.619814814818</v>
          </cell>
          <cell r="F103">
            <v>42593.620763888888</v>
          </cell>
          <cell r="G103">
            <v>1</v>
          </cell>
          <cell r="H103" t="str">
            <v>204:157775</v>
          </cell>
          <cell r="I103">
            <v>42593.645381944443</v>
          </cell>
          <cell r="J103">
            <v>0</v>
          </cell>
          <cell r="K103" t="str">
            <v>4031/4032</v>
          </cell>
          <cell r="L103" t="str">
            <v>NEWELL</v>
          </cell>
          <cell r="M103">
            <v>2.4618055555038154E-2</v>
          </cell>
          <cell r="N103">
            <v>35.449999999254942</v>
          </cell>
          <cell r="R103" t="str">
            <v>Trip was only to/from 61st due to an OCS Power Outage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https://search-rtdc-monitor-bjffxe2xuh6vdkpspy63sjmuny.us-east-1.es.amazonaws.com/_plugin/kibana/#/discover/Steve-Slow-Train-Analysis-(2080s-and-2083s)?_g=(refreshInterval:(display:Off,section:0,value:0),time:(from:'2016-08-11 13:52:32-0600',mode:absolute,to:'2016-08-11 16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3" t="str">
            <v>Y</v>
          </cell>
          <cell r="X103">
            <v>1</v>
          </cell>
          <cell r="Y103">
            <v>6.5500000000000003E-2</v>
          </cell>
          <cell r="Z103">
            <v>15.7775</v>
          </cell>
          <cell r="AA103">
            <v>15.712</v>
          </cell>
          <cell r="AB103" t="e">
            <v>#N/A</v>
          </cell>
          <cell r="AC103" t="e">
            <v>#N/A</v>
          </cell>
          <cell r="AD103" t="str">
            <v>0191-11</v>
          </cell>
          <cell r="AE10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04">
          <cell r="A104" t="str">
            <v>192-11</v>
          </cell>
          <cell r="B104">
            <v>4032</v>
          </cell>
          <cell r="C104" t="str">
            <v>DE.1.0.7.0</v>
          </cell>
          <cell r="D104" t="str">
            <v>204:157550</v>
          </cell>
          <cell r="E104">
            <v>42593.646666666667</v>
          </cell>
          <cell r="F104">
            <v>42593.647696759261</v>
          </cell>
          <cell r="G104">
            <v>1</v>
          </cell>
          <cell r="H104" t="str">
            <v>204:154010</v>
          </cell>
          <cell r="I104">
            <v>42593.649745370371</v>
          </cell>
          <cell r="J104">
            <v>0</v>
          </cell>
          <cell r="K104" t="str">
            <v>4031/4032</v>
          </cell>
          <cell r="L104" t="str">
            <v>NEWELL</v>
          </cell>
          <cell r="M104">
            <v>2.0486111097852699E-3</v>
          </cell>
          <cell r="N104">
            <v>2.9499999980907887</v>
          </cell>
          <cell r="R104" t="str">
            <v>Trip was only to/from 61st due to an OCS Power Outage</v>
          </cell>
          <cell r="S104">
            <v>0</v>
          </cell>
          <cell r="T104" t="str">
            <v>Southbound</v>
          </cell>
          <cell r="U104">
            <v>0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https://search-rtdc-monitor-bjffxe2xuh6vdkpspy63sjmuny.us-east-1.es.amazonaws.com/_plugin/kibana/#/discover/Steve-Slow-Train-Analysis-(2080s-and-2083s)?_g=(refreshInterval:(display:Off,section:0,value:0),time:(from:'2016-08-11 14:31:12-0600',mode:absolute,to:'2016-08-11 16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4" t="str">
            <v>Y</v>
          </cell>
          <cell r="X104">
            <v>1</v>
          </cell>
          <cell r="Y104">
            <v>15.755000000000001</v>
          </cell>
          <cell r="Z104">
            <v>15.401</v>
          </cell>
          <cell r="AA104">
            <v>0.35400000000000098</v>
          </cell>
          <cell r="AB104" t="e">
            <v>#N/A</v>
          </cell>
          <cell r="AC104" t="e">
            <v>#N/A</v>
          </cell>
          <cell r="AD104" t="str">
            <v>0192-11</v>
          </cell>
          <cell r="AE104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05">
          <cell r="A105" t="str">
            <v>193-11</v>
          </cell>
          <cell r="B105">
            <v>4016</v>
          </cell>
          <cell r="C105" t="str">
            <v>DE.1.0.7.0</v>
          </cell>
          <cell r="D105" t="str">
            <v>204:442</v>
          </cell>
          <cell r="E105">
            <v>42593.634305555555</v>
          </cell>
          <cell r="F105">
            <v>42593.635405092595</v>
          </cell>
          <cell r="G105">
            <v>1</v>
          </cell>
          <cell r="H105" t="str">
            <v>204:157578</v>
          </cell>
          <cell r="I105">
            <v>42593.657881944448</v>
          </cell>
          <cell r="J105">
            <v>0</v>
          </cell>
          <cell r="K105" t="str">
            <v>4015/4016</v>
          </cell>
          <cell r="L105" t="str">
            <v>MOSES</v>
          </cell>
          <cell r="M105">
            <v>2.2476851852843538E-2</v>
          </cell>
          <cell r="N105">
            <v>32.366666668094695</v>
          </cell>
          <cell r="R105" t="str">
            <v>Trip was only to/from 61st due to an OCS Power Outage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https://search-rtdc-monitor-bjffxe2xuh6vdkpspy63sjmuny.us-east-1.es.amazonaws.com/_plugin/kibana/#/discover/Steve-Slow-Train-Analysis-(2080s-and-2083s)?_g=(refreshInterval:(display:Off,section:0,value:0),time:(from:'2016-08-11 14:13:24-0600',mode:absolute,to:'2016-08-11 16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5" t="str">
            <v>Y</v>
          </cell>
          <cell r="X105">
            <v>1</v>
          </cell>
          <cell r="Y105">
            <v>4.4200000000000003E-2</v>
          </cell>
          <cell r="Z105">
            <v>15.7578</v>
          </cell>
          <cell r="AA105">
            <v>15.7136</v>
          </cell>
          <cell r="AB105" t="e">
            <v>#N/A</v>
          </cell>
          <cell r="AC105" t="e">
            <v>#N/A</v>
          </cell>
          <cell r="AD105" t="str">
            <v>0193-11</v>
          </cell>
          <cell r="AE10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06">
          <cell r="A106" t="str">
            <v>194-11</v>
          </cell>
          <cell r="P106">
            <v>1</v>
          </cell>
          <cell r="R106" t="str">
            <v>Did not initialize</v>
          </cell>
          <cell r="T106" t="str">
            <v>Southbound</v>
          </cell>
          <cell r="X106">
            <v>1</v>
          </cell>
          <cell r="AD106" t="str">
            <v>0194-11</v>
          </cell>
        </row>
        <row r="107">
          <cell r="A107" t="str">
            <v>195-11</v>
          </cell>
          <cell r="B107">
            <v>4014</v>
          </cell>
          <cell r="C107" t="str">
            <v>DE.1.0.7.0</v>
          </cell>
          <cell r="D107" t="str">
            <v>204:677</v>
          </cell>
          <cell r="E107">
            <v>42593.641932870371</v>
          </cell>
          <cell r="F107">
            <v>42593.644467592596</v>
          </cell>
          <cell r="G107">
            <v>3</v>
          </cell>
          <cell r="H107" t="str">
            <v>204:157996</v>
          </cell>
          <cell r="I107">
            <v>42593.66783564815</v>
          </cell>
          <cell r="J107">
            <v>0</v>
          </cell>
          <cell r="K107" t="str">
            <v>4013/4014</v>
          </cell>
          <cell r="L107" t="str">
            <v>SWANSON</v>
          </cell>
          <cell r="M107">
            <v>2.3368055553874001E-2</v>
          </cell>
          <cell r="N107">
            <v>33.649999997578561</v>
          </cell>
          <cell r="R107" t="str">
            <v>Trip was only to/from 61st due to an OCS Power Outage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https://search-rtdc-monitor-bjffxe2xuh6vdkpspy63sjmuny.us-east-1.es.amazonaws.com/_plugin/kibana/#/discover/Steve-Slow-Train-Analysis-(2080s-and-2083s)?_g=(refreshInterval:(display:Off,section:0,value:0),time:(from:'2016-08-11 14:24:23-0600',mode:absolute,to:'2016-08-11 17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Y</v>
          </cell>
          <cell r="X107">
            <v>1</v>
          </cell>
          <cell r="Y107">
            <v>6.7699999999999996E-2</v>
          </cell>
          <cell r="Z107">
            <v>15.7996</v>
          </cell>
          <cell r="AA107">
            <v>15.7319</v>
          </cell>
          <cell r="AB107" t="e">
            <v>#N/A</v>
          </cell>
          <cell r="AC107" t="e">
            <v>#N/A</v>
          </cell>
          <cell r="AD107" t="str">
            <v>0195-11</v>
          </cell>
          <cell r="AE10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08">
          <cell r="A108" t="str">
            <v>196-11</v>
          </cell>
          <cell r="B108">
            <v>4026</v>
          </cell>
          <cell r="C108" t="str">
            <v>DE.1.0.7.0</v>
          </cell>
          <cell r="D108" t="str">
            <v>204:157975</v>
          </cell>
          <cell r="E108">
            <v>42593.690787037034</v>
          </cell>
          <cell r="F108">
            <v>42593.691840277781</v>
          </cell>
          <cell r="G108">
            <v>1</v>
          </cell>
          <cell r="H108" t="str">
            <v>204:138</v>
          </cell>
          <cell r="I108">
            <v>42593.716203703705</v>
          </cell>
          <cell r="J108">
            <v>0</v>
          </cell>
          <cell r="K108" t="str">
            <v>4025/4026</v>
          </cell>
          <cell r="L108" t="str">
            <v>SHOOK</v>
          </cell>
          <cell r="M108">
            <v>2.4363425924093463E-2</v>
          </cell>
          <cell r="N108">
            <v>35.083333330694586</v>
          </cell>
          <cell r="R108" t="str">
            <v>Trip was only to/from 61st due to an OCS Power Outage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https://search-rtdc-monitor-bjffxe2xuh6vdkpspy63sjmuny.us-east-1.es.amazonaws.com/_plugin/kibana/#/discover/Steve-Slow-Train-Analysis-(2080s-and-2083s)?_g=(refreshInterval:(display:Off,section:0,value:0),time:(from:'2016-08-11 15:34:44-0600',mode:absolute,to:'2016-08-11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8" t="str">
            <v>Y</v>
          </cell>
          <cell r="X108">
            <v>1</v>
          </cell>
          <cell r="Y108">
            <v>15.797499999999999</v>
          </cell>
          <cell r="Z108">
            <v>1.38E-2</v>
          </cell>
          <cell r="AA108">
            <v>15.7837</v>
          </cell>
          <cell r="AB108" t="e">
            <v>#N/A</v>
          </cell>
          <cell r="AC108" t="e">
            <v>#N/A</v>
          </cell>
          <cell r="AD108" t="str">
            <v>0196-11</v>
          </cell>
          <cell r="AE108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09">
          <cell r="A109" t="str">
            <v>197-11</v>
          </cell>
          <cell r="B109">
            <v>4038</v>
          </cell>
          <cell r="C109" t="str">
            <v>DE.1.0.7.0</v>
          </cell>
          <cell r="D109" t="str">
            <v>204:457</v>
          </cell>
          <cell r="E109">
            <v>42593.655775462961</v>
          </cell>
          <cell r="F109">
            <v>42593.656666666669</v>
          </cell>
          <cell r="G109">
            <v>1</v>
          </cell>
          <cell r="H109" t="str">
            <v>204:157678</v>
          </cell>
          <cell r="I109">
            <v>42593.679340277777</v>
          </cell>
          <cell r="J109">
            <v>0</v>
          </cell>
          <cell r="K109" t="str">
            <v>4037/4038</v>
          </cell>
          <cell r="L109" t="str">
            <v>YOUNG</v>
          </cell>
          <cell r="M109">
            <v>2.2673611107165925E-2</v>
          </cell>
          <cell r="N109">
            <v>32.649999994318932</v>
          </cell>
          <cell r="R109" t="str">
            <v>Trip was only to/from 61st due to an OCS Power Outage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https://search-rtdc-monitor-bjffxe2xuh6vdkpspy63sjmuny.us-east-1.es.amazonaws.com/_plugin/kibana/#/discover/Steve-Slow-Train-Analysis-(2080s-and-2083s)?_g=(refreshInterval:(display:Off,section:0,value:0),time:(from:'2016-08-11 14:44:19-0600',mode:absolute,to:'2016-08-11 17:18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9" t="str">
            <v>Y</v>
          </cell>
          <cell r="X109">
            <v>1</v>
          </cell>
          <cell r="Y109">
            <v>4.5699999999999998E-2</v>
          </cell>
          <cell r="Z109">
            <v>15.767799999999999</v>
          </cell>
          <cell r="AA109">
            <v>15.722099999999999</v>
          </cell>
          <cell r="AB109" t="e">
            <v>#N/A</v>
          </cell>
          <cell r="AC109" t="e">
            <v>#N/A</v>
          </cell>
          <cell r="AD109" t="str">
            <v>0197-11</v>
          </cell>
          <cell r="AE109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10">
          <cell r="A110" t="str">
            <v>198-11</v>
          </cell>
          <cell r="B110">
            <v>4037</v>
          </cell>
          <cell r="C110" t="str">
            <v>DE.1.0.7.0</v>
          </cell>
          <cell r="D110" t="str">
            <v>204:157445</v>
          </cell>
          <cell r="E110">
            <v>42593.680428240739</v>
          </cell>
          <cell r="F110">
            <v>42593.681250000001</v>
          </cell>
          <cell r="G110">
            <v>1</v>
          </cell>
          <cell r="H110" t="str">
            <v>204:191</v>
          </cell>
          <cell r="I110">
            <v>42593.708067129628</v>
          </cell>
          <cell r="J110">
            <v>0</v>
          </cell>
          <cell r="K110" t="str">
            <v>4037/4038</v>
          </cell>
          <cell r="L110" t="str">
            <v>YOUNG</v>
          </cell>
          <cell r="M110">
            <v>2.6817129626579117E-2</v>
          </cell>
          <cell r="N110">
            <v>38.616666662273929</v>
          </cell>
          <cell r="R110" t="str">
            <v>Trip was only to/from 61st due to an OCS Power Outage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https://search-rtdc-monitor-bjffxe2xuh6vdkpspy63sjmuny.us-east-1.es.amazonaws.com/_plugin/kibana/#/discover/Steve-Slow-Train-Analysis-(2080s-and-2083s)?_g=(refreshInterval:(display:Off,section:0,value:0),time:(from:'2016-08-11 15:19:49-0600',mode:absolute,to:'2016-08-11 17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0" t="str">
            <v>Y</v>
          </cell>
          <cell r="X110">
            <v>1</v>
          </cell>
          <cell r="Y110">
            <v>15.7445</v>
          </cell>
          <cell r="Z110">
            <v>1.9099999999999999E-2</v>
          </cell>
          <cell r="AA110">
            <v>15.7254</v>
          </cell>
          <cell r="AB110" t="e">
            <v>#N/A</v>
          </cell>
          <cell r="AC110" t="e">
            <v>#N/A</v>
          </cell>
          <cell r="AD110" t="str">
            <v>0198-11</v>
          </cell>
          <cell r="AE110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11">
          <cell r="A111" t="str">
            <v>199-11</v>
          </cell>
          <cell r="B111">
            <v>4025</v>
          </cell>
          <cell r="C111" t="str">
            <v>DE.1.0.7.0</v>
          </cell>
          <cell r="D111" t="str">
            <v>204:444</v>
          </cell>
          <cell r="E111">
            <v>42593.666192129633</v>
          </cell>
          <cell r="F111">
            <v>42593.66715277778</v>
          </cell>
          <cell r="G111">
            <v>1</v>
          </cell>
          <cell r="H111" t="str">
            <v>204:158202</v>
          </cell>
          <cell r="I111">
            <v>42593.688993055555</v>
          </cell>
          <cell r="J111">
            <v>0</v>
          </cell>
          <cell r="K111" t="str">
            <v>4025/4026</v>
          </cell>
          <cell r="L111" t="str">
            <v>SHOOK</v>
          </cell>
          <cell r="M111">
            <v>2.1840277775481809E-2</v>
          </cell>
          <cell r="N111">
            <v>31.449999996693805</v>
          </cell>
          <cell r="R111" t="str">
            <v>Trip was only to/from 61st due to an OCS Power Outage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https://search-rtdc-monitor-bjffxe2xuh6vdkpspy63sjmuny.us-east-1.es.amazonaws.com/_plugin/kibana/#/discover/Steve-Slow-Train-Analysis-(2080s-and-2083s)?_g=(refreshInterval:(display:Off,section:0,value:0),time:(from:'2016-08-11 14:59:19-0600',mode:absolute,to:'2016-08-11 17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1" t="str">
            <v>Y</v>
          </cell>
          <cell r="X111">
            <v>1</v>
          </cell>
          <cell r="Y111">
            <v>4.4400000000000002E-2</v>
          </cell>
          <cell r="Z111">
            <v>15.8202</v>
          </cell>
          <cell r="AA111">
            <v>15.7758</v>
          </cell>
          <cell r="AB111" t="e">
            <v>#N/A</v>
          </cell>
          <cell r="AC111" t="e">
            <v>#N/A</v>
          </cell>
          <cell r="AD111" t="str">
            <v>0199-11</v>
          </cell>
          <cell r="AE111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12">
          <cell r="A112" t="str">
            <v>200-11</v>
          </cell>
          <cell r="P112">
            <v>1</v>
          </cell>
          <cell r="R112" t="str">
            <v>Did not initialize</v>
          </cell>
          <cell r="T112" t="str">
            <v>Southbound</v>
          </cell>
          <cell r="X112">
            <v>1</v>
          </cell>
          <cell r="AD112" t="str">
            <v>0200-11</v>
          </cell>
        </row>
        <row r="113">
          <cell r="A113" t="str">
            <v>201-11</v>
          </cell>
          <cell r="B113">
            <v>4031</v>
          </cell>
          <cell r="C113" t="str">
            <v>DE.1.0.7.0</v>
          </cell>
          <cell r="D113" t="str">
            <v>204:672</v>
          </cell>
          <cell r="E113">
            <v>42593.675474537034</v>
          </cell>
          <cell r="F113">
            <v>42593.676099537035</v>
          </cell>
          <cell r="G113">
            <v>0</v>
          </cell>
          <cell r="H113" t="str">
            <v>204:157669</v>
          </cell>
          <cell r="I113">
            <v>42593.697928240741</v>
          </cell>
          <cell r="J113">
            <v>0</v>
          </cell>
          <cell r="K113" t="str">
            <v>4031/4032</v>
          </cell>
          <cell r="L113" t="str">
            <v>NEWELL</v>
          </cell>
          <cell r="M113">
            <v>2.1828703705978114E-2</v>
          </cell>
          <cell r="N113">
            <v>31.433333336608484</v>
          </cell>
          <cell r="R113" t="str">
            <v>Trip was only to/from 61st due to an OCS Power Outage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https://search-rtdc-monitor-bjffxe2xuh6vdkpspy63sjmuny.us-east-1.es.amazonaws.com/_plugin/kibana/#/discover/Steve-Slow-Train-Analysis-(2080s-and-2083s)?_g=(refreshInterval:(display:Off,section:0,value:0),time:(from:'2016-08-11 15:12:41-0600',mode:absolute,to:'2016-08-11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3" t="str">
            <v>Y</v>
          </cell>
          <cell r="X113">
            <v>1</v>
          </cell>
          <cell r="Y113">
            <v>6.7199999999999996E-2</v>
          </cell>
          <cell r="Z113">
            <v>15.7669</v>
          </cell>
          <cell r="AA113">
            <v>15.6997</v>
          </cell>
          <cell r="AB113" t="e">
            <v>#N/A</v>
          </cell>
          <cell r="AC113" t="e">
            <v>#N/A</v>
          </cell>
          <cell r="AD113" t="str">
            <v>0201-11</v>
          </cell>
          <cell r="AE113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14">
          <cell r="A114" t="str">
            <v>202-11</v>
          </cell>
          <cell r="P114">
            <v>1</v>
          </cell>
          <cell r="R114" t="str">
            <v>Did not initialize</v>
          </cell>
          <cell r="T114" t="str">
            <v>Southbound</v>
          </cell>
          <cell r="X114">
            <v>1</v>
          </cell>
          <cell r="AD114" t="str">
            <v>0202-11</v>
          </cell>
        </row>
        <row r="115">
          <cell r="A115" t="str">
            <v>203-11</v>
          </cell>
          <cell r="B115">
            <v>4016</v>
          </cell>
          <cell r="C115" t="str">
            <v>DE.1.0.7.0</v>
          </cell>
          <cell r="D115" t="str">
            <v>204:460</v>
          </cell>
          <cell r="E115">
            <v>42593.68608796296</v>
          </cell>
          <cell r="F115">
            <v>42593.686874999999</v>
          </cell>
          <cell r="G115">
            <v>1</v>
          </cell>
          <cell r="H115" t="str">
            <v>204:160293</v>
          </cell>
          <cell r="I115">
            <v>42593.712777777779</v>
          </cell>
          <cell r="J115">
            <v>0</v>
          </cell>
          <cell r="K115" t="str">
            <v>4015/4016</v>
          </cell>
          <cell r="L115" t="str">
            <v>MOSES</v>
          </cell>
          <cell r="M115">
            <v>2.5902777779265307E-2</v>
          </cell>
          <cell r="N115">
            <v>37.300000002142042</v>
          </cell>
          <cell r="R115" t="str">
            <v>Trip was only to/from 61st due to an OCS Power Outage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https://search-rtdc-monitor-bjffxe2xuh6vdkpspy63sjmuny.us-east-1.es.amazonaws.com/_plugin/kibana/#/discover/Steve-Slow-Train-Analysis-(2080s-and-2083s)?_g=(refreshInterval:(display:Off,section:0,value:0),time:(from:'2016-08-11 15:27:58-0600',mode:absolute,to:'2016-08-11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Y</v>
          </cell>
          <cell r="X115">
            <v>1</v>
          </cell>
          <cell r="Y115">
            <v>4.5999999999999999E-2</v>
          </cell>
          <cell r="Z115">
            <v>16.029299999999999</v>
          </cell>
          <cell r="AA115">
            <v>15.9833</v>
          </cell>
          <cell r="AB115" t="e">
            <v>#N/A</v>
          </cell>
          <cell r="AC115" t="e">
            <v>#N/A</v>
          </cell>
          <cell r="AD115" t="str">
            <v>0203-11</v>
          </cell>
          <cell r="AE115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16">
          <cell r="A116" t="str">
            <v>204-11</v>
          </cell>
          <cell r="B116">
            <v>4015</v>
          </cell>
          <cell r="C116" t="str">
            <v>DE.1.0.7.0</v>
          </cell>
          <cell r="D116" t="str">
            <v>204:232994</v>
          </cell>
          <cell r="E116">
            <v>42593.725277777776</v>
          </cell>
          <cell r="F116">
            <v>42593.726053240738</v>
          </cell>
          <cell r="G116">
            <v>1</v>
          </cell>
          <cell r="H116" t="str">
            <v>204:251</v>
          </cell>
          <cell r="I116">
            <v>42593.759432870371</v>
          </cell>
          <cell r="J116">
            <v>1</v>
          </cell>
          <cell r="K116" t="str">
            <v>4015/4016</v>
          </cell>
          <cell r="L116" t="str">
            <v>MOSES</v>
          </cell>
          <cell r="M116">
            <v>3.3379629632690921E-2</v>
          </cell>
          <cell r="N116">
            <v>48.066666671074927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https://search-rtdc-monitor-bjffxe2xuh6vdkpspy63sjmuny.us-east-1.es.amazonaws.com/_plugin/kibana/#/discover/Steve-Slow-Train-Analysis-(2080s-and-2083s)?_g=(refreshInterval:(display:Off,section:0,value:0),time:(from:'2016-08-11 16:24:24-0600',mode:absolute,to:'2016-08-11 19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23.299399999999999</v>
          </cell>
          <cell r="Z116">
            <v>2.5100000000000001E-2</v>
          </cell>
          <cell r="AA116">
            <v>23.2743</v>
          </cell>
          <cell r="AB116" t="e">
            <v>#N/A</v>
          </cell>
          <cell r="AC116" t="e">
            <v>#N/A</v>
          </cell>
          <cell r="AD116" t="str">
            <v>0204-11</v>
          </cell>
          <cell r="AE116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17">
          <cell r="A117" t="str">
            <v>205-11</v>
          </cell>
          <cell r="B117">
            <v>4014</v>
          </cell>
          <cell r="C117" t="str">
            <v>DE.1.0.7.0</v>
          </cell>
          <cell r="D117" t="str">
            <v>204:442</v>
          </cell>
          <cell r="E117">
            <v>42593.695243055554</v>
          </cell>
          <cell r="F117">
            <v>42593.69630787037</v>
          </cell>
          <cell r="G117">
            <v>1</v>
          </cell>
          <cell r="H117" t="str">
            <v>204:233366</v>
          </cell>
          <cell r="I117">
            <v>42593.728958333333</v>
          </cell>
          <cell r="J117">
            <v>0</v>
          </cell>
          <cell r="K117" t="str">
            <v>4013/4014</v>
          </cell>
          <cell r="L117" t="str">
            <v>SWANSON</v>
          </cell>
          <cell r="M117">
            <v>3.2650462962919846E-2</v>
          </cell>
          <cell r="N117">
            <v>47.016666666604578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https://search-rtdc-monitor-bjffxe2xuh6vdkpspy63sjmuny.us-east-1.es.amazonaws.com/_plugin/kibana/#/discover/Steve-Slow-Train-Analysis-(2080s-and-2083s)?_g=(refreshInterval:(display:Off,section:0,value:0),time:(from:'2016-08-11 15:41:09-0600',mode:absolute,to:'2016-08-11 18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7" t="str">
            <v>N</v>
          </cell>
          <cell r="X117">
            <v>1</v>
          </cell>
          <cell r="Y117">
            <v>4.4200000000000003E-2</v>
          </cell>
          <cell r="Z117">
            <v>23.336600000000001</v>
          </cell>
          <cell r="AA117">
            <v>23.292400000000001</v>
          </cell>
          <cell r="AB117" t="e">
            <v>#N/A</v>
          </cell>
          <cell r="AC117" t="e">
            <v>#N/A</v>
          </cell>
          <cell r="AD117" t="str">
            <v>0205-11</v>
          </cell>
          <cell r="AE117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18">
          <cell r="A118" t="str">
            <v>206-11</v>
          </cell>
          <cell r="B118">
            <v>4013</v>
          </cell>
          <cell r="C118" t="str">
            <v>DE.1.0.7.0</v>
          </cell>
          <cell r="D118" t="str">
            <v>204:233019</v>
          </cell>
          <cell r="E118">
            <v>42593.733206018522</v>
          </cell>
          <cell r="F118">
            <v>42593.733935185184</v>
          </cell>
          <cell r="G118">
            <v>1</v>
          </cell>
          <cell r="H118" t="str">
            <v>204:136</v>
          </cell>
          <cell r="I118">
            <v>42593.772812499999</v>
          </cell>
          <cell r="J118">
            <v>0</v>
          </cell>
          <cell r="K118" t="str">
            <v>4013/4014</v>
          </cell>
          <cell r="L118" t="str">
            <v>SWANSON</v>
          </cell>
          <cell r="M118">
            <v>3.8877314815181307E-2</v>
          </cell>
          <cell r="N118">
            <v>55.983333333861083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https://search-rtdc-monitor-bjffxe2xuh6vdkpspy63sjmuny.us-east-1.es.amazonaws.com/_plugin/kibana/#/discover/Steve-Slow-Train-Analysis-(2080s-and-2083s)?_g=(refreshInterval:(display:Off,section:0,value:0),time:(from:'2016-08-11 16:35:49-0600',mode:absolute,to:'2016-08-11 19:32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8" t="str">
            <v>N</v>
          </cell>
          <cell r="X118">
            <v>1</v>
          </cell>
          <cell r="Y118">
            <v>23.3019</v>
          </cell>
          <cell r="Z118">
            <v>1.3599999999999999E-2</v>
          </cell>
          <cell r="AA118">
            <v>23.2883</v>
          </cell>
          <cell r="AB118" t="e">
            <v>#N/A</v>
          </cell>
          <cell r="AC118" t="e">
            <v>#N/A</v>
          </cell>
          <cell r="AD118" t="str">
            <v>0206-11</v>
          </cell>
          <cell r="AE118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19">
          <cell r="A119" t="str">
            <v>207-11</v>
          </cell>
          <cell r="B119">
            <v>4029</v>
          </cell>
          <cell r="C119" t="str">
            <v>DE.1.0.7.0</v>
          </cell>
          <cell r="D119" t="str">
            <v>204:1496</v>
          </cell>
          <cell r="E119">
            <v>42593.696134259262</v>
          </cell>
          <cell r="F119">
            <v>42593.705729166664</v>
          </cell>
          <cell r="G119">
            <v>13</v>
          </cell>
          <cell r="H119" t="str">
            <v>204:233289</v>
          </cell>
          <cell r="I119">
            <v>42593.746111111112</v>
          </cell>
          <cell r="J119">
            <v>0</v>
          </cell>
          <cell r="K119" t="str">
            <v>4029/4030</v>
          </cell>
          <cell r="L119" t="str">
            <v>SUR</v>
          </cell>
          <cell r="M119">
            <v>4.0381944447290152E-2</v>
          </cell>
          <cell r="N119">
            <v>58.150000004097819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https://search-rtdc-monitor-bjffxe2xuh6vdkpspy63sjmuny.us-east-1.es.amazonaws.com/_plugin/kibana/#/discover/Steve-Slow-Train-Analysis-(2080s-and-2083s)?_g=(refreshInterval:(display:Off,section:0,value:0),time:(from:'2016-08-11 15:42:26-0600',mode:absolute,to:'2016-08-11 18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9" t="str">
            <v>N</v>
          </cell>
          <cell r="X119">
            <v>1</v>
          </cell>
          <cell r="Y119">
            <v>0.14960000000000001</v>
          </cell>
          <cell r="Z119">
            <v>23.328900000000001</v>
          </cell>
          <cell r="AA119">
            <v>23.179300000000001</v>
          </cell>
          <cell r="AB119" t="e">
            <v>#N/A</v>
          </cell>
          <cell r="AC119" t="e">
            <v>#N/A</v>
          </cell>
          <cell r="AD119" t="str">
            <v>0207-11</v>
          </cell>
          <cell r="AE119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20">
          <cell r="A120" t="str">
            <v>208-11</v>
          </cell>
          <cell r="B120">
            <v>4030</v>
          </cell>
          <cell r="K120" t="str">
            <v>4029/4030</v>
          </cell>
          <cell r="L120" t="e">
            <v>#N/A</v>
          </cell>
          <cell r="M120">
            <v>0</v>
          </cell>
          <cell r="P120">
            <v>1</v>
          </cell>
          <cell r="R120" t="str">
            <v>Did not initialize</v>
          </cell>
          <cell r="S120">
            <v>0</v>
          </cell>
          <cell r="T120" t="str">
            <v>Southbound</v>
          </cell>
          <cell r="U120">
            <v>0</v>
          </cell>
          <cell r="V120" t="e">
            <v>#VALUE!</v>
          </cell>
          <cell r="W120" t="str">
            <v>Y</v>
          </cell>
          <cell r="X120">
            <v>1</v>
          </cell>
          <cell r="Y120" t="e">
            <v>#VALUE!</v>
          </cell>
          <cell r="AD120" t="str">
            <v>0208-11</v>
          </cell>
        </row>
        <row r="121">
          <cell r="A121" t="str">
            <v>209-11</v>
          </cell>
          <cell r="B121">
            <v>4027</v>
          </cell>
          <cell r="C121" t="str">
            <v>DE.1.0.7.0</v>
          </cell>
          <cell r="D121" t="str">
            <v>204:1171</v>
          </cell>
          <cell r="E121">
            <v>42593.715486111112</v>
          </cell>
          <cell r="F121">
            <v>42593.716504629629</v>
          </cell>
          <cell r="G121">
            <v>1</v>
          </cell>
          <cell r="H121" t="str">
            <v>204:233306</v>
          </cell>
          <cell r="I121">
            <v>42593.761388888888</v>
          </cell>
          <cell r="J121">
            <v>0</v>
          </cell>
          <cell r="K121" t="str">
            <v>4027/4028</v>
          </cell>
          <cell r="L121" t="str">
            <v>STAMBAUGH</v>
          </cell>
          <cell r="M121">
            <v>4.4884259259561077E-2</v>
          </cell>
          <cell r="N121">
            <v>64.633333333767951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https://search-rtdc-monitor-bjffxe2xuh6vdkpspy63sjmuny.us-east-1.es.amazonaws.com/_plugin/kibana/#/discover/Steve-Slow-Train-Analysis-(2080s-and-2083s)?_g=(refreshInterval:(display:Off,section:0,value:0),time:(from:'2016-08-11 16:10:18-0600',mode:absolute,to:'2016-08-11 19:16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1" t="str">
            <v>N</v>
          </cell>
          <cell r="X121">
            <v>1</v>
          </cell>
          <cell r="Y121">
            <v>0.1171</v>
          </cell>
          <cell r="Z121">
            <v>23.3306</v>
          </cell>
          <cell r="AA121">
            <v>23.2135</v>
          </cell>
          <cell r="AB121" t="e">
            <v>#N/A</v>
          </cell>
          <cell r="AC121" t="e">
            <v>#N/A</v>
          </cell>
          <cell r="AD121" t="str">
            <v>0209-11</v>
          </cell>
          <cell r="AE121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22">
          <cell r="A122" t="str">
            <v>210-11</v>
          </cell>
          <cell r="B122">
            <v>4029</v>
          </cell>
          <cell r="K122" t="str">
            <v>4029/4030</v>
          </cell>
          <cell r="L122" t="str">
            <v>SUR</v>
          </cell>
          <cell r="M122">
            <v>0</v>
          </cell>
          <cell r="P122">
            <v>1</v>
          </cell>
          <cell r="R122" t="str">
            <v>Did not initialize</v>
          </cell>
          <cell r="S122">
            <v>0</v>
          </cell>
          <cell r="T122" t="str">
            <v>Southbound</v>
          </cell>
          <cell r="U122">
            <v>0</v>
          </cell>
          <cell r="V122" t="e">
            <v>#VALUE!</v>
          </cell>
          <cell r="W122" t="e">
            <v>#VALUE!</v>
          </cell>
          <cell r="X122">
            <v>1</v>
          </cell>
          <cell r="Y122" t="e">
            <v>#VALUE!</v>
          </cell>
          <cell r="Z122" t="e">
            <v>#VALUE!</v>
          </cell>
          <cell r="AA122" t="e">
            <v>#VALUE!</v>
          </cell>
          <cell r="AB122" t="e">
            <v>#N/A</v>
          </cell>
          <cell r="AC122" t="e">
            <v>#N/A</v>
          </cell>
          <cell r="AD122" t="str">
            <v>0210-11</v>
          </cell>
          <cell r="AE122" t="str">
            <v>aws s3 cp s3://rtdc.mdm.uploadarchive/RTDC4029/1900-01-00/ "%USERPROFILE%\AppData\Local\Temp\OnboardLogs"\RTDC4029\1900-01-00 --recursive &amp; "%USERPROFILE%\Documents\GitHub\mrs-test-scripts\Headless Mode &amp; Sideloading\WalkAndUnGZ.bat" "%USERPROFILE%\AppData\Local\Temp\OnboardLogs"\RTDC4029\1900-01-00 &amp; aws s3 cp s3://rtdc.mdm.uploadarchive/RTDC4029/1900-01-01/ "%USERPROFILE%\AppData\Local\Temp\OnboardLogs"\RTDC4029\1900-01-01 --recursive &amp; "%USERPROFILE%\Documents\GitHub\mrs-test-scripts\Headless Mode &amp; Sideloading\WalkAndUnGZ.bat" "%USERPROFILE%\AppData\Local\Temp\OnboardLogs"\RTDC4029\1900-01-01</v>
          </cell>
        </row>
        <row r="123">
          <cell r="A123" t="str">
            <v>211-11</v>
          </cell>
          <cell r="B123">
            <v>4038</v>
          </cell>
          <cell r="C123" t="str">
            <v>DE.1.0.7.0</v>
          </cell>
          <cell r="D123" t="str">
            <v>204:517</v>
          </cell>
          <cell r="E123">
            <v>42593.719386574077</v>
          </cell>
          <cell r="F123">
            <v>42593.721585648149</v>
          </cell>
          <cell r="G123">
            <v>3</v>
          </cell>
          <cell r="H123" t="str">
            <v>204:233316</v>
          </cell>
          <cell r="I123">
            <v>42593.775914351849</v>
          </cell>
          <cell r="J123">
            <v>0</v>
          </cell>
          <cell r="K123" t="str">
            <v>4037/4038</v>
          </cell>
          <cell r="L123" t="str">
            <v>YOUNG</v>
          </cell>
          <cell r="M123">
            <v>5.432870369986631E-2</v>
          </cell>
          <cell r="N123">
            <v>78.233333327807486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https://search-rtdc-monitor-bjffxe2xuh6vdkpspy63sjmuny.us-east-1.es.amazonaws.com/_plugin/kibana/#/discover/Steve-Slow-Train-Analysis-(2080s-and-2083s)?_g=(refreshInterval:(display:Off,section:0,value:0),time:(from:'2016-08-11 16:15:55-0600',mode:absolute,to:'2016-08-11 19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3" t="str">
            <v>N</v>
          </cell>
          <cell r="X123">
            <v>1</v>
          </cell>
          <cell r="Y123">
            <v>5.1700000000000003E-2</v>
          </cell>
          <cell r="Z123">
            <v>23.331600000000002</v>
          </cell>
          <cell r="AA123">
            <v>23.279900000000001</v>
          </cell>
          <cell r="AB123" t="e">
            <v>#N/A</v>
          </cell>
          <cell r="AC123" t="e">
            <v>#N/A</v>
          </cell>
          <cell r="AD123" t="str">
            <v>0211-11</v>
          </cell>
          <cell r="AE123" t="str">
    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    </cell>
        </row>
        <row r="124">
          <cell r="A124" t="str">
            <v>212-11</v>
          </cell>
          <cell r="B124">
            <v>4028</v>
          </cell>
          <cell r="C124" t="str">
            <v>DE.1.0.7.0</v>
          </cell>
          <cell r="D124" t="str">
            <v>204:232996</v>
          </cell>
          <cell r="E124">
            <v>42593.767546296294</v>
          </cell>
          <cell r="F124">
            <v>42593.768819444442</v>
          </cell>
          <cell r="G124">
            <v>1</v>
          </cell>
          <cell r="H124" t="str">
            <v>204:141</v>
          </cell>
          <cell r="I124">
            <v>42593.806273148148</v>
          </cell>
          <cell r="J124">
            <v>0</v>
          </cell>
          <cell r="K124" t="str">
            <v>4027/4028</v>
          </cell>
          <cell r="L124" t="str">
            <v>STAMBAUGH</v>
          </cell>
          <cell r="M124">
            <v>3.7453703705978114E-2</v>
          </cell>
          <cell r="N124">
            <v>53.933333336608484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https://search-rtdc-monitor-bjffxe2xuh6vdkpspy63sjmuny.us-east-1.es.amazonaws.com/_plugin/kibana/#/discover/Steve-Slow-Train-Analysis-(2080s-and-2083s)?_g=(refreshInterval:(display:Off,section:0,value:0),time:(from:'2016-08-11 17:25:16-0600',mode:absolute,to:'2016-08-11 20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4" t="str">
            <v>N</v>
          </cell>
          <cell r="X124">
            <v>1</v>
          </cell>
          <cell r="Y124">
            <v>23.299600000000002</v>
          </cell>
          <cell r="Z124">
            <v>1.41E-2</v>
          </cell>
          <cell r="AA124">
            <v>23.285500000000003</v>
          </cell>
          <cell r="AB124" t="e">
            <v>#N/A</v>
          </cell>
          <cell r="AC124" t="e">
            <v>#N/A</v>
          </cell>
          <cell r="AD124" t="str">
            <v>0212-11</v>
          </cell>
          <cell r="AE124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25">
          <cell r="A125" t="str">
            <v>213-11</v>
          </cell>
          <cell r="B125">
            <v>4025</v>
          </cell>
          <cell r="C125" t="str">
            <v>DE.1.0.7.0</v>
          </cell>
          <cell r="D125" t="str">
            <v>204:447</v>
          </cell>
          <cell r="E125">
            <v>42593.734756944446</v>
          </cell>
          <cell r="F125">
            <v>42593.735775462963</v>
          </cell>
          <cell r="G125">
            <v>1</v>
          </cell>
          <cell r="H125" t="str">
            <v>204:233272</v>
          </cell>
          <cell r="I125">
            <v>42593.778495370374</v>
          </cell>
          <cell r="J125">
            <v>1</v>
          </cell>
          <cell r="K125" t="str">
            <v>4025/4026</v>
          </cell>
          <cell r="L125" t="str">
            <v>COOLAHAN</v>
          </cell>
          <cell r="M125">
            <v>4.2719907411083113E-2</v>
          </cell>
          <cell r="N125">
            <v>61.516666671959683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https://search-rtdc-monitor-bjffxe2xuh6vdkpspy63sjmuny.us-east-1.es.amazonaws.com/_plugin/kibana/#/discover/Steve-Slow-Train-Analysis-(2080s-and-2083s)?_g=(refreshInterval:(display:Off,section:0,value:0),time:(from:'2016-08-11 16:38:03-0600',mode:absolute,to:'2016-08-11 19:41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5" t="str">
            <v>N</v>
          </cell>
          <cell r="X125">
            <v>1</v>
          </cell>
          <cell r="Y125">
            <v>4.4699999999999997E-2</v>
          </cell>
          <cell r="Z125">
            <v>23.327200000000001</v>
          </cell>
          <cell r="AA125">
            <v>23.282500000000002</v>
          </cell>
          <cell r="AB125" t="e">
            <v>#N/A</v>
          </cell>
          <cell r="AC125" t="e">
            <v>#N/A</v>
          </cell>
          <cell r="AD125" t="str">
            <v>0213-11</v>
          </cell>
          <cell r="AE125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26">
          <cell r="A126" t="str">
            <v>215-11</v>
          </cell>
          <cell r="B126">
            <v>4031</v>
          </cell>
          <cell r="C126" t="str">
            <v>DE.1.0.7.0</v>
          </cell>
          <cell r="D126" t="str">
            <v>204:1150</v>
          </cell>
          <cell r="E126">
            <v>42593.744537037041</v>
          </cell>
          <cell r="F126">
            <v>42593.745555555557</v>
          </cell>
          <cell r="G126">
            <v>1</v>
          </cell>
          <cell r="H126" t="str">
            <v>204:233360</v>
          </cell>
          <cell r="I126">
            <v>42593.793136574073</v>
          </cell>
          <cell r="J126">
            <v>0</v>
          </cell>
          <cell r="K126" t="str">
            <v>4031/4032</v>
          </cell>
          <cell r="L126" t="str">
            <v>WEBSTER</v>
          </cell>
          <cell r="M126">
            <v>4.758101851621177E-2</v>
          </cell>
          <cell r="N126">
            <v>68.516666663344949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https://search-rtdc-monitor-bjffxe2xuh6vdkpspy63sjmuny.us-east-1.es.amazonaws.com/_plugin/kibana/#/discover/Steve-Slow-Train-Analysis-(2080s-and-2083s)?_g=(refreshInterval:(display:Off,section:0,value:0),time:(from:'2016-08-11 16:52:08-0600',mode:absolute,to:'2016-08-11 20:02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6" t="str">
            <v>N</v>
          </cell>
          <cell r="X126">
            <v>2</v>
          </cell>
          <cell r="Y126">
            <v>0.115</v>
          </cell>
          <cell r="Z126">
            <v>23.335999999999999</v>
          </cell>
          <cell r="AA126">
            <v>23.221</v>
          </cell>
          <cell r="AB126" t="e">
            <v>#N/A</v>
          </cell>
          <cell r="AC126" t="e">
            <v>#N/A</v>
          </cell>
          <cell r="AD126" t="str">
            <v>0215-11</v>
          </cell>
          <cell r="AE126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127">
          <cell r="A127" t="str">
            <v>216-11</v>
          </cell>
          <cell r="B127">
            <v>4037</v>
          </cell>
          <cell r="C127" t="str">
            <v>DE.1.0.7.0</v>
          </cell>
          <cell r="D127" t="str">
            <v>204:232980</v>
          </cell>
          <cell r="E127">
            <v>42593.780821759261</v>
          </cell>
          <cell r="F127">
            <v>42593.783078703702</v>
          </cell>
          <cell r="G127">
            <v>3</v>
          </cell>
          <cell r="H127" t="str">
            <v>204:141</v>
          </cell>
          <cell r="I127">
            <v>42593.824826388889</v>
          </cell>
          <cell r="J127">
            <v>0</v>
          </cell>
          <cell r="K127" t="str">
            <v>4037/4038</v>
          </cell>
          <cell r="L127" t="str">
            <v>YOUNG</v>
          </cell>
          <cell r="M127">
            <v>4.1747685187146999E-2</v>
          </cell>
          <cell r="N127">
            <v>60.116666669491678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https://search-rtdc-monitor-bjffxe2xuh6vdkpspy63sjmuny.us-east-1.es.amazonaws.com/_plugin/kibana/#/discover/Steve-Slow-Train-Analysis-(2080s-and-2083s)?_g=(refreshInterval:(display:Off,section:0,value:0),time:(from:'2016-08-11 17:44:23-0600',mode:absolute,to:'2016-08-11 20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7" t="str">
            <v>N</v>
          </cell>
          <cell r="X127">
            <v>1</v>
          </cell>
          <cell r="Y127">
            <v>23.297999999999998</v>
          </cell>
          <cell r="Z127">
            <v>1.41E-2</v>
          </cell>
          <cell r="AA127">
            <v>23.283899999999999</v>
          </cell>
          <cell r="AB127" t="e">
            <v>#N/A</v>
          </cell>
          <cell r="AC127" t="e">
            <v>#N/A</v>
          </cell>
          <cell r="AD127" t="str">
            <v>0216-11</v>
          </cell>
          <cell r="AE127" t="str">
    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    </cell>
        </row>
        <row r="128">
          <cell r="A128" t="str">
            <v>217-11</v>
          </cell>
          <cell r="B128">
            <v>4016</v>
          </cell>
          <cell r="C128" t="str">
            <v>DE.1.0.7.0</v>
          </cell>
          <cell r="D128" t="str">
            <v>204:539</v>
          </cell>
          <cell r="E128">
            <v>42593.761608796296</v>
          </cell>
          <cell r="F128">
            <v>42593.763101851851</v>
          </cell>
          <cell r="G128">
            <v>2</v>
          </cell>
          <cell r="H128" t="str">
            <v>204:233314</v>
          </cell>
          <cell r="I128">
            <v>42593.826458333337</v>
          </cell>
          <cell r="J128">
            <v>0</v>
          </cell>
          <cell r="K128" t="str">
            <v>4015/4016</v>
          </cell>
          <cell r="L128" t="str">
            <v>LEVIN</v>
          </cell>
          <cell r="M128">
            <v>6.3356481485243421E-2</v>
          </cell>
          <cell r="N128">
            <v>91.233333338750526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https://search-rtdc-monitor-bjffxe2xuh6vdkpspy63sjmuny.us-east-1.es.amazonaws.com/_plugin/kibana/#/discover/Steve-Slow-Train-Analysis-(2080s-and-2083s)?_g=(refreshInterval:(display:Off,section:0,value:0),time:(from:'2016-08-11 17:16:43-0600',mode:absolute,to:'2016-08-11 20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5.3900000000000003E-2</v>
          </cell>
          <cell r="Z128">
            <v>23.331399999999999</v>
          </cell>
          <cell r="AA128">
            <v>23.2775</v>
          </cell>
          <cell r="AB128" t="e">
            <v>#N/A</v>
          </cell>
          <cell r="AC128" t="e">
            <v>#N/A</v>
          </cell>
          <cell r="AD128" t="str">
            <v>0217-11</v>
          </cell>
          <cell r="AE128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29">
          <cell r="A129" t="str">
            <v>218-11</v>
          </cell>
          <cell r="B129">
            <v>4015</v>
          </cell>
          <cell r="K129" t="str">
            <v>4015/4016</v>
          </cell>
          <cell r="P129">
            <v>1</v>
          </cell>
          <cell r="R129" t="str">
            <v>Did not initialize</v>
          </cell>
          <cell r="T129" t="str">
            <v>Southbound</v>
          </cell>
          <cell r="W129" t="e">
            <v>#VALUE!</v>
          </cell>
          <cell r="X129">
            <v>1</v>
          </cell>
          <cell r="Y129" t="e">
            <v>#VALUE!</v>
          </cell>
          <cell r="Z129" t="e">
            <v>#VALUE!</v>
          </cell>
          <cell r="AA129" t="e">
            <v>#VALUE!</v>
          </cell>
          <cell r="AB129" t="e">
            <v>#N/A</v>
          </cell>
          <cell r="AC129" t="e">
            <v>#N/A</v>
          </cell>
          <cell r="AD129" t="str">
            <v>0218-11</v>
          </cell>
          <cell r="AE129" t="str">
    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    </cell>
        </row>
        <row r="130">
          <cell r="A130" t="str">
            <v>219-11</v>
          </cell>
          <cell r="B130">
            <v>4014</v>
          </cell>
          <cell r="C130" t="str">
            <v>DE.1.0.7.0</v>
          </cell>
          <cell r="D130" t="str">
            <v>204:471</v>
          </cell>
          <cell r="E130">
            <v>42593.776331018518</v>
          </cell>
          <cell r="F130">
            <v>42593.777303240742</v>
          </cell>
          <cell r="G130">
            <v>1</v>
          </cell>
          <cell r="H130" t="str">
            <v>204:233274</v>
          </cell>
          <cell r="I130">
            <v>42593.841550925928</v>
          </cell>
          <cell r="J130">
            <v>0</v>
          </cell>
          <cell r="K130" t="str">
            <v>4013/4014</v>
          </cell>
          <cell r="L130" t="str">
            <v>STURGEON</v>
          </cell>
          <cell r="M130">
            <v>6.4247685186273884E-2</v>
          </cell>
          <cell r="N130">
            <v>92.516666668234393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https://search-rtdc-monitor-bjffxe2xuh6vdkpspy63sjmuny.us-east-1.es.amazonaws.com/_plugin/kibana/#/discover/Steve-Slow-Train-Analysis-(2080s-and-2083s)?_g=(refreshInterval:(display:Off,section:0,value:0),time:(from:'2016-08-11 17:37:55-0600',mode:absolute,to:'2016-08-11 21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4.7100000000000003E-2</v>
          </cell>
          <cell r="Z130">
            <v>23.327400000000001</v>
          </cell>
          <cell r="AA130">
            <v>23.2803</v>
          </cell>
          <cell r="AB130" t="e">
            <v>#N/A</v>
          </cell>
          <cell r="AC130" t="e">
            <v>#N/A</v>
          </cell>
          <cell r="AD130" t="str">
            <v>0219-11</v>
          </cell>
          <cell r="AE130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31">
          <cell r="A131" t="str">
            <v>220-11</v>
          </cell>
          <cell r="B131">
            <v>4026</v>
          </cell>
          <cell r="C131" t="str">
            <v>DE.1.0.7.0</v>
          </cell>
          <cell r="D131" t="str">
            <v>204:232955</v>
          </cell>
          <cell r="E131">
            <v>42593.817256944443</v>
          </cell>
          <cell r="F131">
            <v>42593.818171296298</v>
          </cell>
          <cell r="G131">
            <v>1</v>
          </cell>
          <cell r="H131" t="str">
            <v>204:181</v>
          </cell>
          <cell r="I131">
            <v>42593.851782407408</v>
          </cell>
          <cell r="J131">
            <v>1</v>
          </cell>
          <cell r="K131" t="str">
            <v>4025/4026</v>
          </cell>
          <cell r="L131" t="str">
            <v>COOLAHAN</v>
          </cell>
          <cell r="M131">
            <v>3.3611111110076308E-2</v>
          </cell>
          <cell r="N131">
            <v>48.399999998509884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https://search-rtdc-monitor-bjffxe2xuh6vdkpspy63sjmuny.us-east-1.es.amazonaws.com/_plugin/kibana/#/discover/Steve-Slow-Train-Analysis-(2080s-and-2083s)?_g=(refreshInterval:(display:Off,section:0,value:0),time:(from:'2016-08-11 18:36:51-0600',mode:absolute,to:'2016-08-11 21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1" t="str">
            <v>N</v>
          </cell>
          <cell r="X131">
            <v>1</v>
          </cell>
          <cell r="Y131">
            <v>23.295500000000001</v>
          </cell>
          <cell r="Z131">
            <v>1.8100000000000002E-2</v>
          </cell>
          <cell r="AA131">
            <v>23.2774</v>
          </cell>
          <cell r="AB131" t="e">
            <v>#N/A</v>
          </cell>
          <cell r="AC131" t="e">
            <v>#N/A</v>
          </cell>
          <cell r="AD131" t="str">
            <v>0220-11</v>
          </cell>
          <cell r="AE131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32">
          <cell r="A132" t="str">
            <v>221-11</v>
          </cell>
          <cell r="B132">
            <v>4030</v>
          </cell>
          <cell r="C132" t="str">
            <v>DE.1.0.7.0</v>
          </cell>
          <cell r="D132" t="str">
            <v>204:232955</v>
          </cell>
          <cell r="E132">
            <v>42593.817256944443</v>
          </cell>
          <cell r="J132">
            <v>1</v>
          </cell>
          <cell r="K132" t="str">
            <v>4029/4030</v>
          </cell>
          <cell r="L132" t="e">
            <v>#N/A</v>
          </cell>
          <cell r="M132">
            <v>0</v>
          </cell>
          <cell r="P132">
            <v>1</v>
          </cell>
          <cell r="R132" t="str">
            <v>Did not initialize</v>
          </cell>
          <cell r="S132">
            <v>0</v>
          </cell>
          <cell r="T132" t="str">
            <v>NorthBound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https://search-rtdc-monitor-bjffxe2xuh6vdkpspy63sjmuny.us-east-1.es.amazonaws.com/_plugin/kibana/#/discover/Steve-Slow-Train-Analysis-(2080s-and-2083s)?_g=(refreshInterval:(display:Off,section:0,value:0),time:(from:'2016-08-11 18:36:51-0600',mode:absolute,to:'1900-01-00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e">
            <v>#VALUE!</v>
          </cell>
          <cell r="X132">
            <v>1</v>
          </cell>
          <cell r="Y132">
            <v>23.295500000000001</v>
          </cell>
          <cell r="Z132" t="e">
            <v>#VALUE!</v>
          </cell>
          <cell r="AA132" t="e">
            <v>#VALUE!</v>
          </cell>
          <cell r="AB132" t="e">
            <v>#N/A</v>
          </cell>
          <cell r="AC132" t="e">
            <v>#N/A</v>
          </cell>
          <cell r="AD132" t="str">
            <v>0221-11</v>
          </cell>
          <cell r="AE132" t="str">
            <v>aws s3 cp s3://rtdc.mdm.uploadarchive/RTDC4030/1900-01-00/ "%USERPROFILE%\AppData\Local\Temp\OnboardLogs"\RTDC4030\1900-01-00 --recursive &amp; "%USERPROFILE%\Documents\GitHub\mrs-test-scripts\Headless Mode &amp; Sideloading\WalkAndUnGZ.bat" "%USERPROFILE%\AppData\Local\Temp\OnboardLogs"\RTDC4030\1900-01-00 &amp; aws s3 cp s3://rtdc.mdm.uploadarchive/RTDC4030/1900-01-01/ "%USERPROFILE%\AppData\Local\Temp\OnboardLogs"\RTDC4030\1900-01-01 --recursive &amp; "%USERPROFILE%\Documents\GitHub\mrs-test-scripts\Headless Mode &amp; Sideloading\WalkAndUnGZ.bat" "%USERPROFILE%\AppData\Local\Temp\OnboardLogs"\RTDC4030\1900-01-01</v>
          </cell>
        </row>
        <row r="133">
          <cell r="A133" t="str">
            <v>222-11</v>
          </cell>
          <cell r="B133">
            <v>4032</v>
          </cell>
          <cell r="C133" t="str">
            <v>DE.1.0.7.0</v>
          </cell>
          <cell r="D133" t="str">
            <v>204:233040</v>
          </cell>
          <cell r="E133">
            <v>42593.823460648149</v>
          </cell>
          <cell r="F133">
            <v>42593.824560185189</v>
          </cell>
          <cell r="G133">
            <v>1</v>
          </cell>
          <cell r="H133" t="str">
            <v>204:149</v>
          </cell>
          <cell r="I133">
            <v>42593.869733796295</v>
          </cell>
          <cell r="J133">
            <v>2</v>
          </cell>
          <cell r="K133" t="str">
            <v>4031/4032</v>
          </cell>
          <cell r="L133" t="str">
            <v>HAITHCOX</v>
          </cell>
          <cell r="M133">
            <v>4.517361110629281E-2</v>
          </cell>
          <cell r="N133">
            <v>65.049999993061647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23.303999999999998</v>
          </cell>
          <cell r="Z133">
            <v>1.49E-2</v>
          </cell>
          <cell r="AA133">
            <v>23.289099999999998</v>
          </cell>
          <cell r="AB133">
            <v>28061</v>
          </cell>
          <cell r="AC133" t="str">
            <v>SIGNAL</v>
          </cell>
          <cell r="AD133" t="str">
            <v>0222-11</v>
          </cell>
          <cell r="AE133" t="str">
    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    </cell>
        </row>
        <row r="134">
          <cell r="A134" t="str">
            <v>223-11</v>
          </cell>
          <cell r="B134">
            <v>4029</v>
          </cell>
          <cell r="C134" t="str">
            <v>DE.1.0.7.0</v>
          </cell>
          <cell r="D134" t="str">
            <v>204:497</v>
          </cell>
          <cell r="E134">
            <v>42593.801562499997</v>
          </cell>
          <cell r="F134">
            <v>42593.803356481483</v>
          </cell>
          <cell r="G134">
            <v>2</v>
          </cell>
          <cell r="H134" t="str">
            <v>204:233206</v>
          </cell>
          <cell r="I134">
            <v>42593.855358796296</v>
          </cell>
          <cell r="J134">
            <v>0</v>
          </cell>
          <cell r="K134" t="str">
            <v>4029/4030</v>
          </cell>
          <cell r="L134" t="str">
            <v>SUR</v>
          </cell>
          <cell r="M134">
            <v>5.2002314812853001E-2</v>
          </cell>
          <cell r="N134">
            <v>74.883333330508322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https://search-rtdc-monitor-bjffxe2xuh6vdkpspy63sjmuny.us-east-1.es.amazonaws.com/_plugin/kibana/#/discover/Steve-Slow-Train-Analysis-(2080s-and-2083s)?_g=(refreshInterval:(display:Off,section:0,value:0),time:(from:'2016-08-11 18:14:15-0600',mode:absolute,to:'2016-08-11 21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4" t="str">
            <v>N</v>
          </cell>
          <cell r="X134">
            <v>1</v>
          </cell>
          <cell r="Y134">
            <v>4.9700000000000001E-2</v>
          </cell>
          <cell r="Z134">
            <v>23.320599999999999</v>
          </cell>
          <cell r="AA134">
            <v>23.270899999999997</v>
          </cell>
          <cell r="AB134" t="e">
            <v>#N/A</v>
          </cell>
          <cell r="AC134" t="e">
            <v>#N/A</v>
          </cell>
          <cell r="AD134" t="str">
            <v>0223-11</v>
          </cell>
          <cell r="AE134" t="str">
    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    </cell>
        </row>
        <row r="135">
          <cell r="A135" t="str">
            <v>224-11</v>
          </cell>
          <cell r="B135">
            <v>4015</v>
          </cell>
          <cell r="C135" t="str">
            <v>DE.1.0.7.0</v>
          </cell>
          <cell r="D135" t="str">
            <v>204:232996</v>
          </cell>
          <cell r="E135">
            <v>42593.844074074077</v>
          </cell>
          <cell r="F135">
            <v>42593.844965277778</v>
          </cell>
          <cell r="G135">
            <v>1</v>
          </cell>
          <cell r="H135" t="str">
            <v>204:167</v>
          </cell>
          <cell r="I135">
            <v>42593.87767361111</v>
          </cell>
          <cell r="J135">
            <v>0</v>
          </cell>
          <cell r="K135" t="str">
            <v>4015/4016</v>
          </cell>
          <cell r="L135" t="str">
            <v>LEVIN</v>
          </cell>
          <cell r="M135">
            <v>3.2708333332266193E-2</v>
          </cell>
          <cell r="N135">
            <v>47.099999998463318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https://search-rtdc-monitor-bjffxe2xuh6vdkpspy63sjmuny.us-east-1.es.amazonaws.com/_plugin/kibana/#/discover/Steve-Slow-Train-Analysis-(2080s-and-2083s)?_g=(refreshInterval:(display:Off,section:0,value:0),time:(from:'2016-08-11 19:15:28-0600',mode:absolute,to:'2016-08-11 22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5" t="str">
            <v>N</v>
          </cell>
          <cell r="X135">
            <v>1</v>
          </cell>
          <cell r="Y135">
            <v>23.299600000000002</v>
          </cell>
          <cell r="Z135">
            <v>1.67E-2</v>
          </cell>
          <cell r="AA135">
            <v>23.282900000000001</v>
          </cell>
          <cell r="AB135" t="e">
            <v>#N/A</v>
          </cell>
          <cell r="AC135" t="e">
            <v>#N/A</v>
          </cell>
          <cell r="AD135" t="str">
            <v>0224-11</v>
          </cell>
          <cell r="AE135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36">
          <cell r="A136" t="str">
            <v>225-11</v>
          </cell>
          <cell r="B136">
            <v>4027</v>
          </cell>
          <cell r="C136" t="str">
            <v>DE.1.0.7.0</v>
          </cell>
          <cell r="D136" t="str">
            <v>204:444</v>
          </cell>
          <cell r="E136">
            <v>42593.829513888886</v>
          </cell>
          <cell r="F136">
            <v>42593.830266203702</v>
          </cell>
          <cell r="G136">
            <v>1</v>
          </cell>
          <cell r="H136" t="str">
            <v>204:233312</v>
          </cell>
          <cell r="I136">
            <v>42593.866354166668</v>
          </cell>
          <cell r="J136">
            <v>0</v>
          </cell>
          <cell r="K136" t="str">
            <v>4027/4028</v>
          </cell>
          <cell r="L136" t="str">
            <v>STAMBAUGH</v>
          </cell>
          <cell r="M136">
            <v>3.6087962966121268E-2</v>
          </cell>
          <cell r="N136">
            <v>51.966666671214625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https://search-rtdc-monitor-bjffxe2xuh6vdkpspy63sjmuny.us-east-1.es.amazonaws.com/_plugin/kibana/#/discover/Steve-Slow-Train-Analysis-(2080s-and-2083s)?_g=(refreshInterval:(display:Off,section:0,value:0),time:(from:'2016-08-11 18:54:30-0600',mode:absolute,to:'2016-08-11 21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6" t="str">
            <v>N</v>
          </cell>
          <cell r="X136">
            <v>1</v>
          </cell>
          <cell r="Y136">
            <v>4.4400000000000002E-2</v>
          </cell>
          <cell r="Z136">
            <v>23.331199999999999</v>
          </cell>
          <cell r="AA136">
            <v>23.286799999999999</v>
          </cell>
          <cell r="AB136" t="e">
            <v>#N/A</v>
          </cell>
          <cell r="AC136" t="e">
            <v>#N/A</v>
          </cell>
          <cell r="AD136" t="str">
            <v>0225-11</v>
          </cell>
          <cell r="AE136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37">
          <cell r="A137" t="str">
            <v>226-11</v>
          </cell>
          <cell r="B137">
            <v>4013</v>
          </cell>
          <cell r="C137" t="str">
            <v>DE.1.0.7.0</v>
          </cell>
          <cell r="D137" t="str">
            <v>204:232973</v>
          </cell>
          <cell r="E137">
            <v>42593.864074074074</v>
          </cell>
          <cell r="F137">
            <v>42593.865682870368</v>
          </cell>
          <cell r="G137">
            <v>2</v>
          </cell>
          <cell r="H137" t="str">
            <v>204:158</v>
          </cell>
          <cell r="I137">
            <v>42593.900335648148</v>
          </cell>
          <cell r="J137">
            <v>0</v>
          </cell>
          <cell r="K137" t="str">
            <v>4013/4014</v>
          </cell>
          <cell r="L137" t="str">
            <v>STURGEON</v>
          </cell>
          <cell r="M137">
            <v>3.4652777780138422E-2</v>
          </cell>
          <cell r="N137">
            <v>49.900000003399327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https://search-rtdc-monitor-bjffxe2xuh6vdkpspy63sjmuny.us-east-1.es.amazonaws.com/_plugin/kibana/#/discover/Steve-Slow-Train-Analysis-(2080s-and-2083s)?_g=(refreshInterval:(display:Off,section:0,value:0),time:(from:'2016-08-11 19:44:16-0600',mode:absolute,to:'2016-08-11 22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7" t="str">
            <v>N</v>
          </cell>
          <cell r="X137">
            <v>1</v>
          </cell>
          <cell r="Y137">
            <v>23.2973</v>
          </cell>
          <cell r="Z137">
            <v>1.5800000000000002E-2</v>
          </cell>
          <cell r="AA137">
            <v>23.281500000000001</v>
          </cell>
          <cell r="AB137" t="e">
            <v>#N/A</v>
          </cell>
          <cell r="AC137" t="e">
            <v>#N/A</v>
          </cell>
          <cell r="AD137" t="str">
            <v>0226-11</v>
          </cell>
          <cell r="AE137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38">
          <cell r="A138" t="str">
            <v>227-11</v>
          </cell>
          <cell r="B138">
            <v>4025</v>
          </cell>
          <cell r="C138" t="str">
            <v>DE.1.0.7.0</v>
          </cell>
          <cell r="D138" t="str">
            <v>204:471</v>
          </cell>
          <cell r="E138">
            <v>42593.855682870373</v>
          </cell>
          <cell r="F138">
            <v>42593.856828703705</v>
          </cell>
          <cell r="G138">
            <v>1</v>
          </cell>
          <cell r="H138" t="str">
            <v>204:233293</v>
          </cell>
          <cell r="I138">
            <v>42593.886724537035</v>
          </cell>
          <cell r="J138">
            <v>0</v>
          </cell>
          <cell r="K138" t="str">
            <v>4025/4026</v>
          </cell>
          <cell r="L138" t="str">
            <v>COOLAHAN</v>
          </cell>
          <cell r="M138">
            <v>2.9895833329646848E-2</v>
          </cell>
          <cell r="N138">
            <v>43.049999994691461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https://search-rtdc-monitor-bjffxe2xuh6vdkpspy63sjmuny.us-east-1.es.amazonaws.com/_plugin/kibana/#/discover/Steve-Slow-Train-Analysis-(2080s-and-2083s)?_g=(refreshInterval:(display:Off,section:0,value:0),time:(from:'2016-08-11 19:32:11-0600',mode:absolute,to:'2016-08-11 22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8" t="str">
            <v>N</v>
          </cell>
          <cell r="X138">
            <v>1</v>
          </cell>
          <cell r="Y138">
            <v>4.7100000000000003E-2</v>
          </cell>
          <cell r="Z138">
            <v>23.3293</v>
          </cell>
          <cell r="AA138">
            <v>23.2822</v>
          </cell>
          <cell r="AB138" t="e">
            <v>#N/A</v>
          </cell>
          <cell r="AC138" t="e">
            <v>#N/A</v>
          </cell>
          <cell r="AD138" t="str">
            <v>0227-11</v>
          </cell>
          <cell r="AE138" t="str">
    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    </cell>
        </row>
        <row r="139">
          <cell r="A139" t="str">
            <v>228-11</v>
          </cell>
          <cell r="B139">
            <v>4028</v>
          </cell>
          <cell r="C139" t="str">
            <v>DE.1.0.7.0</v>
          </cell>
          <cell r="D139" t="str">
            <v>204:232991</v>
          </cell>
          <cell r="E139">
            <v>42593.890150462961</v>
          </cell>
          <cell r="F139">
            <v>42593.891932870371</v>
          </cell>
          <cell r="G139">
            <v>2</v>
          </cell>
          <cell r="H139" t="str">
            <v>204:221</v>
          </cell>
          <cell r="I139">
            <v>42593.920729166668</v>
          </cell>
          <cell r="J139">
            <v>1</v>
          </cell>
          <cell r="K139" t="str">
            <v>4027/4028</v>
          </cell>
          <cell r="L139" t="str">
            <v>STAMBAUGH</v>
          </cell>
          <cell r="M139">
            <v>2.8796296297514345E-2</v>
          </cell>
          <cell r="N139">
            <v>41.466666668420658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https://search-rtdc-monitor-bjffxe2xuh6vdkpspy63sjmuny.us-east-1.es.amazonaws.com/_plugin/kibana/#/discover/Steve-Slow-Train-Analysis-(2080s-and-2083s)?_g=(refreshInterval:(display:Off,section:0,value:0),time:(from:'2016-08-11 20:21:49-0600',mode:absolute,to:'2016-08-11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9" t="str">
            <v>N</v>
          </cell>
          <cell r="X139">
            <v>1</v>
          </cell>
          <cell r="Y139">
            <v>23.299099999999999</v>
          </cell>
          <cell r="Z139">
            <v>2.2100000000000002E-2</v>
          </cell>
          <cell r="AA139">
            <v>23.277000000000001</v>
          </cell>
          <cell r="AB139" t="e">
            <v>#N/A</v>
          </cell>
          <cell r="AC139" t="e">
            <v>#N/A</v>
          </cell>
          <cell r="AD139" t="str">
            <v>0228-11</v>
          </cell>
          <cell r="AE139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40">
          <cell r="A140" t="str">
            <v>229-11</v>
          </cell>
          <cell r="B140">
            <v>4016</v>
          </cell>
          <cell r="C140" t="str">
            <v>DE.1.0.7.0</v>
          </cell>
          <cell r="D140" t="str">
            <v>204:469</v>
          </cell>
          <cell r="E140">
            <v>42593.878900462965</v>
          </cell>
          <cell r="F140">
            <v>42593.879895833335</v>
          </cell>
          <cell r="G140">
            <v>1</v>
          </cell>
          <cell r="H140" t="str">
            <v>204:233319</v>
          </cell>
          <cell r="I140">
            <v>42593.907071759262</v>
          </cell>
          <cell r="J140">
            <v>0</v>
          </cell>
          <cell r="K140" t="str">
            <v>4015/4016</v>
          </cell>
          <cell r="L140" t="str">
            <v>LEVIN</v>
          </cell>
          <cell r="M140">
            <v>2.7175925926712807E-2</v>
          </cell>
          <cell r="N140">
            <v>39.133333334466442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https://search-rtdc-monitor-bjffxe2xuh6vdkpspy63sjmuny.us-east-1.es.amazonaws.com/_plugin/kibana/#/discover/Steve-Slow-Train-Analysis-(2080s-and-2083s)?_g=(refreshInterval:(display:Off,section:0,value:0),time:(from:'2016-08-11 20:05:37-0600',mode:absolute,to:'2016-08-11 22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0" t="str">
            <v>N</v>
          </cell>
          <cell r="X140">
            <v>1</v>
          </cell>
          <cell r="Y140">
            <v>4.6899999999999997E-2</v>
          </cell>
          <cell r="Z140">
            <v>23.331900000000001</v>
          </cell>
          <cell r="AA140">
            <v>23.285</v>
          </cell>
          <cell r="AB140" t="e">
            <v>#N/A</v>
          </cell>
          <cell r="AC140" t="e">
            <v>#N/A</v>
          </cell>
          <cell r="AD140" t="str">
            <v>0229-11</v>
          </cell>
          <cell r="AE140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41">
          <cell r="A141" t="str">
            <v>230-11</v>
          </cell>
          <cell r="B141">
            <v>4015</v>
          </cell>
          <cell r="C141" t="str">
            <v>DE.1.0.7.0</v>
          </cell>
          <cell r="D141" t="str">
            <v>204:232993</v>
          </cell>
          <cell r="E141">
            <v>42593.909178240741</v>
          </cell>
          <cell r="F141">
            <v>42593.910034722219</v>
          </cell>
          <cell r="G141">
            <v>1</v>
          </cell>
          <cell r="H141" t="str">
            <v>204:134</v>
          </cell>
          <cell r="I141">
            <v>42593.94222222222</v>
          </cell>
          <cell r="J141">
            <v>0</v>
          </cell>
          <cell r="K141" t="str">
            <v>4015/4016</v>
          </cell>
          <cell r="L141" t="str">
            <v>LEVIN</v>
          </cell>
          <cell r="M141">
            <v>3.2187500000873115E-2</v>
          </cell>
          <cell r="N141">
            <v>46.350000001257285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https://search-rtdc-monitor-bjffxe2xuh6vdkpspy63sjmuny.us-east-1.es.amazonaws.com/_plugin/kibana/#/discover/Steve-Slow-Train-Analysis-(2080s-and-2083s)?_g=(refreshInterval:(display:Off,section:0,value:0),time:(from:'2016-08-11 20:49:13-0600',mode:absolute,to:'2016-08-11 23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41" t="str">
            <v>N</v>
          </cell>
          <cell r="X141">
            <v>1</v>
          </cell>
          <cell r="Y141">
            <v>23.299299999999999</v>
          </cell>
          <cell r="Z141">
            <v>1.34E-2</v>
          </cell>
          <cell r="AA141">
            <v>23.285899999999998</v>
          </cell>
          <cell r="AB141" t="e">
            <v>#N/A</v>
          </cell>
          <cell r="AC141" t="e">
            <v>#N/A</v>
          </cell>
          <cell r="AD141" t="str">
            <v>0230-11</v>
          </cell>
          <cell r="AE141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42">
          <cell r="A142" t="str">
            <v>231-11</v>
          </cell>
          <cell r="J142">
            <v>0</v>
          </cell>
          <cell r="K142" t="str">
            <v>-1/</v>
          </cell>
          <cell r="L142" t="e">
            <v>#N/A</v>
          </cell>
          <cell r="M142">
            <v>0</v>
          </cell>
          <cell r="P142">
            <v>1</v>
          </cell>
          <cell r="R142" t="str">
            <v>Did not initialize</v>
          </cell>
          <cell r="S142">
            <v>0</v>
          </cell>
          <cell r="T142" t="str">
            <v>NorthBound</v>
          </cell>
          <cell r="U142">
            <v>0</v>
          </cell>
          <cell r="V142" t="e">
            <v>#VALUE!</v>
          </cell>
          <cell r="W142" t="e">
            <v>#VALUE!</v>
          </cell>
          <cell r="X142">
            <v>1</v>
          </cell>
          <cell r="Y142" t="e">
            <v>#VALUE!</v>
          </cell>
          <cell r="Z142" t="e">
            <v>#VALUE!</v>
          </cell>
          <cell r="AA142" t="e">
            <v>#VALUE!</v>
          </cell>
          <cell r="AB142" t="e">
            <v>#N/A</v>
          </cell>
          <cell r="AC142" t="e">
            <v>#N/A</v>
          </cell>
          <cell r="AD142" t="str">
            <v>0231-11</v>
          </cell>
          <cell r="AE142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3">
          <cell r="A143" t="str">
            <v>232-11</v>
          </cell>
          <cell r="B143">
            <v>4013</v>
          </cell>
          <cell r="C143" t="str">
            <v>DE.1.0.7.0</v>
          </cell>
          <cell r="D143" t="str">
            <v>204:232959</v>
          </cell>
          <cell r="E143">
            <v>42593.935416666667</v>
          </cell>
          <cell r="F143">
            <v>42593.937245370369</v>
          </cell>
          <cell r="G143">
            <v>2</v>
          </cell>
          <cell r="H143" t="str">
            <v>204:161</v>
          </cell>
          <cell r="I143">
            <v>42593.96539351852</v>
          </cell>
          <cell r="J143">
            <v>0</v>
          </cell>
          <cell r="K143" t="str">
            <v>4013/4014</v>
          </cell>
          <cell r="L143" t="str">
            <v>STURGEON</v>
          </cell>
          <cell r="M143">
            <v>2.8148148150648922E-2</v>
          </cell>
          <cell r="N143">
            <v>40.533333336934447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https://search-rtdc-monitor-bjffxe2xuh6vdkpspy63sjmuny.us-east-1.es.amazonaws.com/_plugin/kibana/#/discover/Steve-Slow-Train-Analysis-(2080s-and-2083s)?_g=(refreshInterval:(display:Off,section:0,value:0),time:(from:'2016-08-11 21:27:00-0600',mode:absolute,to:'2016-08-12 00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3" t="str">
            <v>N</v>
          </cell>
          <cell r="X143">
            <v>1</v>
          </cell>
          <cell r="Y143">
            <v>23.2959</v>
          </cell>
          <cell r="Z143">
            <v>1.61E-2</v>
          </cell>
          <cell r="AA143">
            <v>23.279799999999998</v>
          </cell>
          <cell r="AB143" t="e">
            <v>#N/A</v>
          </cell>
          <cell r="AC143" t="e">
            <v>#N/A</v>
          </cell>
          <cell r="AD143" t="str">
            <v>0232-11</v>
          </cell>
          <cell r="AE143" t="str">
    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    </cell>
        </row>
        <row r="144">
          <cell r="A144" t="str">
            <v>233-11</v>
          </cell>
          <cell r="P144">
            <v>1</v>
          </cell>
          <cell r="R144" t="str">
            <v>Did not initialize</v>
          </cell>
          <cell r="S144">
            <v>0</v>
          </cell>
          <cell r="T144" t="str">
            <v>NorthBound</v>
          </cell>
          <cell r="U144">
            <v>0</v>
          </cell>
          <cell r="V144" t="e">
            <v>#VALUE!</v>
          </cell>
          <cell r="W144" t="e">
            <v>#VALUE!</v>
          </cell>
          <cell r="X144">
            <v>1</v>
          </cell>
          <cell r="Y144" t="e">
            <v>#VALUE!</v>
          </cell>
          <cell r="Z144" t="e">
            <v>#VALUE!</v>
          </cell>
          <cell r="AA144" t="e">
            <v>#VALUE!</v>
          </cell>
          <cell r="AB144" t="e">
            <v>#N/A</v>
          </cell>
          <cell r="AC144" t="e">
            <v>#N/A</v>
          </cell>
          <cell r="AD144" t="str">
            <v>0233-11</v>
          </cell>
          <cell r="AE144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5">
          <cell r="A145" t="str">
            <v>234-11</v>
          </cell>
          <cell r="B145">
            <v>4028</v>
          </cell>
          <cell r="C145" t="str">
            <v>DE.1.0.7.0</v>
          </cell>
          <cell r="D145" t="str">
            <v>204:232971</v>
          </cell>
          <cell r="E145">
            <v>42593.954918981479</v>
          </cell>
          <cell r="F145">
            <v>42593.955891203703</v>
          </cell>
          <cell r="G145">
            <v>1</v>
          </cell>
          <cell r="H145" t="str">
            <v>204:165</v>
          </cell>
          <cell r="I145">
            <v>42593.986030092594</v>
          </cell>
          <cell r="J145">
            <v>0</v>
          </cell>
          <cell r="K145" t="str">
            <v>4027/4028</v>
          </cell>
          <cell r="L145" t="str">
            <v>STAMBAUGH</v>
          </cell>
          <cell r="M145">
            <v>3.0138888891087845E-2</v>
          </cell>
          <cell r="N145">
            <v>43.400000003166497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https://search-rtdc-monitor-bjffxe2xuh6vdkpspy63sjmuny.us-east-1.es.amazonaws.com/_plugin/kibana/#/discover/Steve-Slow-Train-Analysis-(2080s-and-2083s)?_g=(refreshInterval:(display:Off,section:0,value:0),time:(from:'2016-08-11 21:55:05-0600',mode:absolute,to:'2016-08-12 00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5" t="str">
            <v>N</v>
          </cell>
          <cell r="X145">
            <v>1</v>
          </cell>
          <cell r="Y145">
            <v>23.2971</v>
          </cell>
          <cell r="Z145">
            <v>1.6500000000000001E-2</v>
          </cell>
          <cell r="AA145">
            <v>23.2806</v>
          </cell>
          <cell r="AB145" t="e">
            <v>#N/A</v>
          </cell>
          <cell r="AC145" t="e">
            <v>#N/A</v>
          </cell>
          <cell r="AD145" t="str">
            <v>0234-11</v>
          </cell>
          <cell r="AE145" t="str">
    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    </cell>
        </row>
        <row r="146">
          <cell r="A146" t="str">
            <v>235-11</v>
          </cell>
          <cell r="P146">
            <v>1</v>
          </cell>
          <cell r="R146" t="str">
            <v>Did not initialize</v>
          </cell>
          <cell r="S146">
            <v>0</v>
          </cell>
          <cell r="T146" t="str">
            <v>NorthBound</v>
          </cell>
          <cell r="U146">
            <v>0</v>
          </cell>
          <cell r="V146" t="e">
            <v>#VALUE!</v>
          </cell>
          <cell r="W146" t="e">
            <v>#VALUE!</v>
          </cell>
          <cell r="X146">
            <v>1</v>
          </cell>
          <cell r="Y146" t="e">
            <v>#VALUE!</v>
          </cell>
          <cell r="Z146" t="e">
            <v>#VALUE!</v>
          </cell>
          <cell r="AA146" t="e">
            <v>#VALUE!</v>
          </cell>
          <cell r="AB146" t="e">
            <v>#N/A</v>
          </cell>
          <cell r="AC146" t="e">
            <v>#N/A</v>
          </cell>
          <cell r="AD146" t="str">
            <v>0235-11</v>
          </cell>
          <cell r="AE146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47">
          <cell r="A147" t="str">
            <v>236-11</v>
          </cell>
          <cell r="B147">
            <v>4026</v>
          </cell>
          <cell r="C147" t="str">
            <v>DE.1.0.7.0</v>
          </cell>
          <cell r="D147" t="str">
            <v>204:232998</v>
          </cell>
          <cell r="E147">
            <v>42593.973368055558</v>
          </cell>
          <cell r="F147">
            <v>42593.974247685182</v>
          </cell>
          <cell r="G147">
            <v>1</v>
          </cell>
          <cell r="H147" t="str">
            <v>204:165</v>
          </cell>
          <cell r="I147">
            <v>42594.004247685189</v>
          </cell>
          <cell r="J147">
            <v>0</v>
          </cell>
          <cell r="K147" t="str">
            <v>4025/4026</v>
          </cell>
          <cell r="L147" t="str">
            <v>ISHMAEL</v>
          </cell>
          <cell r="M147">
            <v>3.0000000006111804E-2</v>
          </cell>
          <cell r="N147">
            <v>43.200000008800998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https://search-rtdc-monitor-bjffxe2xuh6vdkpspy63sjmuny.us-east-1.es.amazonaws.com/_plugin/kibana/#/discover/Steve-Slow-Train-Analysis-(2080s-and-2083s)?_g=(refreshInterval:(display:Off,section:0,value:0),time:(from:'2016-08-11 22:21:39-0600',mode:absolute,to:'2016-08-12 01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7" t="str">
            <v>N</v>
          </cell>
          <cell r="X147">
            <v>1</v>
          </cell>
          <cell r="Y147">
            <v>23.299800000000001</v>
          </cell>
          <cell r="Z147">
            <v>1.6500000000000001E-2</v>
          </cell>
          <cell r="AA147">
            <v>23.283300000000001</v>
          </cell>
          <cell r="AB147" t="e">
            <v>#N/A</v>
          </cell>
          <cell r="AC147" t="e">
            <v>#N/A</v>
          </cell>
          <cell r="AD147" t="str">
            <v>0236-11</v>
          </cell>
          <cell r="AE147" t="str">
    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    </cell>
        </row>
        <row r="148">
          <cell r="A148" t="str">
            <v>237-11</v>
          </cell>
          <cell r="B148">
            <v>4016</v>
          </cell>
          <cell r="C148" t="str">
            <v>DE.1.0.7.0</v>
          </cell>
          <cell r="D148" t="str">
            <v>204:457</v>
          </cell>
          <cell r="E148">
            <v>42593.950659722221</v>
          </cell>
          <cell r="F148">
            <v>42593.951701388891</v>
          </cell>
          <cell r="G148">
            <v>1</v>
          </cell>
          <cell r="H148" t="str">
            <v>204:233315</v>
          </cell>
          <cell r="I148">
            <v>42593.984976851854</v>
          </cell>
          <cell r="J148">
            <v>0</v>
          </cell>
          <cell r="K148" t="str">
            <v>4015/4016</v>
          </cell>
          <cell r="L148" t="str">
            <v>LEVIN</v>
          </cell>
          <cell r="M148">
            <v>3.3275462963501923E-2</v>
          </cell>
          <cell r="N148">
            <v>47.916666667442769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https://search-rtdc-monitor-bjffxe2xuh6vdkpspy63sjmuny.us-east-1.es.amazonaws.com/_plugin/kibana/#/discover/Steve-Slow-Train-Analysis-(2080s-and-2083s)?_g=(refreshInterval:(display:Off,section:0,value:0),time:(from:'2016-08-11 21:48:57-0600',mode:absolute,to:'2016-08-12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8" t="str">
            <v>N</v>
          </cell>
          <cell r="X148">
            <v>1</v>
          </cell>
          <cell r="Y148">
            <v>4.5699999999999998E-2</v>
          </cell>
          <cell r="Z148">
            <v>23.331499999999998</v>
          </cell>
          <cell r="AA148">
            <v>23.285799999999998</v>
          </cell>
          <cell r="AB148" t="e">
            <v>#N/A</v>
          </cell>
          <cell r="AC148" t="e">
            <v>#N/A</v>
          </cell>
          <cell r="AD148" t="str">
            <v>0237-11</v>
          </cell>
          <cell r="AE148" t="str">
    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    </cell>
        </row>
        <row r="149">
          <cell r="A149" t="str">
            <v>238-11</v>
          </cell>
          <cell r="B149">
            <v>4015</v>
          </cell>
          <cell r="C149" t="str">
            <v>DE.1.0.7.0</v>
          </cell>
          <cell r="D149" t="str">
            <v>204:232996</v>
          </cell>
          <cell r="E149">
            <v>42593.992118055554</v>
          </cell>
          <cell r="F149">
            <v>42593.993020833332</v>
          </cell>
          <cell r="G149">
            <v>1</v>
          </cell>
          <cell r="H149" t="str">
            <v>204:147</v>
          </cell>
          <cell r="I149">
            <v>42594.024745370371</v>
          </cell>
          <cell r="J149">
            <v>0</v>
          </cell>
          <cell r="K149" t="str">
            <v>4015/4016</v>
          </cell>
          <cell r="L149" t="str">
            <v>LEVIN</v>
          </cell>
          <cell r="M149">
            <v>3.1724537038826384E-2</v>
          </cell>
          <cell r="N149">
            <v>45.683333335909992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https://search-rtdc-monitor-bjffxe2xuh6vdkpspy63sjmuny.us-east-1.es.amazonaws.com/_plugin/kibana/#/discover/Steve-Slow-Train-Analysis-(2080s-and-2083s)?_g=(refreshInterval:(display:Off,section:0,value:0),time:(from:'2016-08-11 22:48:39-0600',mode:absolute,to:'2016-08-12 01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49" t="str">
            <v>N</v>
          </cell>
          <cell r="X149">
            <v>1</v>
          </cell>
          <cell r="Y149">
            <v>23.299600000000002</v>
          </cell>
          <cell r="Z149">
            <v>1.47E-2</v>
          </cell>
          <cell r="AA149">
            <v>23.2849</v>
          </cell>
          <cell r="AB149" t="e">
            <v>#N/A</v>
          </cell>
          <cell r="AC149" t="e">
            <v>#N/A</v>
          </cell>
          <cell r="AD149" t="str">
            <v>0238-11</v>
          </cell>
          <cell r="AE149" t="str">
    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    </cell>
        </row>
        <row r="150">
          <cell r="A150" t="str">
            <v>239-11</v>
          </cell>
          <cell r="B150">
            <v>4014</v>
          </cell>
          <cell r="C150" t="str">
            <v>DE.1.0.7.0</v>
          </cell>
          <cell r="D150" t="str">
            <v>204:471</v>
          </cell>
          <cell r="E150">
            <v>42593.971805555557</v>
          </cell>
          <cell r="F150">
            <v>42593.972905092596</v>
          </cell>
          <cell r="G150">
            <v>1</v>
          </cell>
          <cell r="H150" t="str">
            <v>204:233293</v>
          </cell>
          <cell r="I150">
            <v>42594.00513888889</v>
          </cell>
          <cell r="J150">
            <v>0</v>
          </cell>
          <cell r="K150" t="str">
            <v>4013/4014</v>
          </cell>
          <cell r="L150" t="str">
            <v>STURGEON</v>
          </cell>
          <cell r="M150">
            <v>3.2233796293439809E-2</v>
          </cell>
          <cell r="N150">
            <v>46.416666662553325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https://search-rtdc-monitor-bjffxe2xuh6vdkpspy63sjmuny.us-east-1.es.amazonaws.com/_plugin/kibana/#/discover/Steve-Slow-Train-Analysis-(2080s-and-2083s)?_g=(refreshInterval:(display:Off,section:0,value:0),time:(from:'2016-08-11 22:19:24-0600',mode:absolute,to:'2016-08-12 01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0" t="str">
            <v>N</v>
          </cell>
          <cell r="X150">
            <v>1</v>
          </cell>
          <cell r="Y150">
            <v>4.7100000000000003E-2</v>
          </cell>
          <cell r="Z150">
            <v>23.3293</v>
          </cell>
          <cell r="AA150">
            <v>23.2822</v>
          </cell>
          <cell r="AB150" t="e">
            <v>#N/A</v>
          </cell>
          <cell r="AC150" t="e">
            <v>#N/A</v>
          </cell>
          <cell r="AD150" t="str">
            <v>0239-11</v>
          </cell>
          <cell r="AE150" t="str">
    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    </cell>
        </row>
        <row r="151">
          <cell r="A151" t="str">
            <v>240-11</v>
          </cell>
          <cell r="B151">
            <v>4013</v>
          </cell>
          <cell r="C151" t="str">
            <v>DE.1.0.7.0</v>
          </cell>
          <cell r="D151" t="str">
            <v>204:232972</v>
          </cell>
          <cell r="E151">
            <v>42594.011087962965</v>
          </cell>
          <cell r="F151">
            <v>42594.012349537035</v>
          </cell>
          <cell r="G151">
            <v>1</v>
          </cell>
          <cell r="H151" t="str">
            <v>204:172</v>
          </cell>
          <cell r="I151">
            <v>42594.046747685185</v>
          </cell>
          <cell r="J151">
            <v>0</v>
          </cell>
          <cell r="K151" t="str">
            <v>4013/4014</v>
          </cell>
          <cell r="L151" t="str">
            <v>STURGEON</v>
          </cell>
          <cell r="M151">
            <v>3.439814814919373E-2</v>
          </cell>
          <cell r="N151">
            <v>49.533333334838971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https://search-rtdc-monitor-bjffxe2xuh6vdkpspy63sjmuny.us-east-1.es.amazonaws.com/_plugin/kibana/#/discover/Steve-Slow-Train-Analysis-(2080s-and-2083s)?_g=(refreshInterval:(display:Off,section:0,value:0),time:(from:'2016-08-11 23:15:58-0600',mode:absolute,to:'2016-08-12 02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1" t="str">
            <v>N</v>
          </cell>
          <cell r="X151">
            <v>1</v>
          </cell>
          <cell r="Y151">
            <v>23.2972</v>
          </cell>
          <cell r="Z151">
            <v>1.72E-2</v>
          </cell>
          <cell r="AA151">
            <v>23.28</v>
          </cell>
          <cell r="AB151" t="e">
            <v>#N/A</v>
          </cell>
          <cell r="AC151" t="e">
            <v>#N/A</v>
          </cell>
          <cell r="AD151" t="str">
            <v>0240-11</v>
          </cell>
          <cell r="AE151" t="str">
    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    </cell>
        </row>
        <row r="152">
          <cell r="A152" t="str">
            <v>241-11</v>
          </cell>
          <cell r="B152">
            <v>4027</v>
          </cell>
          <cell r="C152" t="str">
            <v>DE.1.0.7.0</v>
          </cell>
          <cell r="D152" t="str">
            <v>204:482</v>
          </cell>
          <cell r="E152">
            <v>42593.997233796297</v>
          </cell>
          <cell r="F152">
            <v>42593.99858796296</v>
          </cell>
          <cell r="G152">
            <v>1</v>
          </cell>
          <cell r="H152" t="str">
            <v>204:233288</v>
          </cell>
          <cell r="I152">
            <v>42594.025625000002</v>
          </cell>
          <cell r="J152">
            <v>0</v>
          </cell>
          <cell r="K152" t="str">
            <v>4027/4028</v>
          </cell>
          <cell r="L152" t="str">
            <v>STAMBAUGH</v>
          </cell>
          <cell r="M152">
            <v>2.7037037041736767E-2</v>
          </cell>
          <cell r="N152">
            <v>38.933333340100944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https://search-rtdc-monitor-bjffxe2xuh6vdkpspy63sjmuny.us-east-1.es.amazonaws.com/_plugin/kibana/#/discover/Steve-Slow-Train-Analysis-(2080s-and-2083s)?_g=(refreshInterval:(display:Off,section:0,value:0),time:(from:'2016-08-11 22:56:01-0600',mode:absolute,to:'2016-08-12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2" t="str">
            <v>N</v>
          </cell>
          <cell r="X152">
            <v>1</v>
          </cell>
          <cell r="Y152">
            <v>4.82E-2</v>
          </cell>
          <cell r="Z152">
            <v>23.328800000000001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0241-11</v>
          </cell>
          <cell r="AE152" t="str">
    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    </cell>
        </row>
        <row r="153">
          <cell r="A153" t="str">
            <v>242-11</v>
          </cell>
          <cell r="B153">
            <v>4028</v>
          </cell>
          <cell r="C153" t="str">
            <v>DE.1.0.7.0</v>
          </cell>
          <cell r="D153" t="str">
            <v>204:232990</v>
          </cell>
          <cell r="E153">
            <v>42594.036643518521</v>
          </cell>
          <cell r="F153">
            <v>42594.03765046296</v>
          </cell>
          <cell r="G153">
            <v>1</v>
          </cell>
          <cell r="H153" t="str">
            <v>204:167</v>
          </cell>
          <cell r="I153">
            <v>42594.065613425926</v>
          </cell>
          <cell r="J153">
            <v>0</v>
          </cell>
          <cell r="K153" t="str">
            <v>4027/4028</v>
          </cell>
          <cell r="L153" t="str">
            <v>STAMBAUGH</v>
          </cell>
          <cell r="M153">
            <v>2.7962962965830229E-2</v>
          </cell>
          <cell r="N153">
            <v>40.26666667079553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https://search-rtdc-monitor-bjffxe2xuh6vdkpspy63sjmuny.us-east-1.es.amazonaws.com/_plugin/kibana/#/discover/Steve-Slow-Train-Analysis-(2080s-and-2083s)?_g=(refreshInterval:(display:Off,section:0,value:0),time:(from:'2016-08-11 23:52:46-0600',mode:absolute,to:'2016-08-12 02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3" t="str">
            <v>N</v>
          </cell>
          <cell r="X153">
            <v>1</v>
          </cell>
          <cell r="Y153">
            <v>23.298999999999999</v>
          </cell>
          <cell r="Z153">
            <v>1.67E-2</v>
          </cell>
          <cell r="AA153">
            <v>23.282299999999999</v>
          </cell>
          <cell r="AB153" t="e">
            <v>#N/A</v>
          </cell>
          <cell r="AC153" t="e">
            <v>#N/A</v>
          </cell>
          <cell r="AD153" t="str">
            <v>0242-11</v>
          </cell>
          <cell r="AE153" t="str">
    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    </cell>
        </row>
        <row r="154">
          <cell r="A154" t="str">
            <v>243-11</v>
          </cell>
          <cell r="B154">
            <v>4025</v>
          </cell>
          <cell r="C154" t="str">
            <v>DE.1.0.7.0</v>
          </cell>
          <cell r="D154" t="str">
            <v>204:469</v>
          </cell>
          <cell r="E154">
            <v>42594.016064814816</v>
          </cell>
          <cell r="F154">
            <v>42594.017337962963</v>
          </cell>
          <cell r="G154">
            <v>1</v>
          </cell>
          <cell r="H154" t="str">
            <v>204:233299</v>
          </cell>
          <cell r="I154">
            <v>42594.046550925923</v>
          </cell>
          <cell r="J154">
            <v>0</v>
          </cell>
          <cell r="K154" t="str">
            <v>4025/4026</v>
          </cell>
          <cell r="L154" t="str">
            <v>ISHMAEL</v>
          </cell>
          <cell r="M154">
            <v>2.9212962959718425E-2</v>
          </cell>
          <cell r="N154">
            <v>42.066666661994532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https://search-rtdc-monitor-bjffxe2xuh6vdkpspy63sjmuny.us-east-1.es.amazonaws.com/_plugin/kibana/#/discover/Steve-Slow-Train-Analysis-(2080s-and-2083s)?_g=(refreshInterval:(display:Off,section:0,value:0),time:(from:'2016-08-11 23:23:08-0600',mode:absolute,to:'2016-08-12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4" t="str">
            <v>N</v>
          </cell>
          <cell r="X154">
            <v>1</v>
          </cell>
          <cell r="Y154">
            <v>4.6899999999999997E-2</v>
          </cell>
          <cell r="Z154">
            <v>23.329899999999999</v>
          </cell>
          <cell r="AA154">
            <v>23.282999999999998</v>
          </cell>
          <cell r="AB154" t="e">
            <v>#N/A</v>
          </cell>
          <cell r="AC154" t="e">
            <v>#N/A</v>
          </cell>
          <cell r="AD154" t="str">
            <v>0243-11</v>
          </cell>
          <cell r="AE154" t="str">
    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    </cell>
        </row>
        <row r="155">
          <cell r="A155" t="str">
            <v>244-11</v>
          </cell>
          <cell r="B155">
            <v>4026</v>
          </cell>
          <cell r="C155" t="str">
            <v>DE.1.0.7.0</v>
          </cell>
          <cell r="D155" t="str">
            <v>204:232978</v>
          </cell>
          <cell r="E155">
            <v>42594.056990740741</v>
          </cell>
          <cell r="F155">
            <v>42594.057986111111</v>
          </cell>
          <cell r="G155">
            <v>1</v>
          </cell>
          <cell r="H155" t="str">
            <v>204:172</v>
          </cell>
          <cell r="I155">
            <v>42594.086099537039</v>
          </cell>
          <cell r="J155">
            <v>0</v>
          </cell>
          <cell r="K155" t="str">
            <v>4025/4026</v>
          </cell>
          <cell r="L155" t="str">
            <v>ISHMAEL</v>
          </cell>
          <cell r="M155">
            <v>2.8113425927585922E-2</v>
          </cell>
          <cell r="N155">
            <v>40.483333335723728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https://search-rtdc-monitor-bjffxe2xuh6vdkpspy63sjmuny.us-east-1.es.amazonaws.com/_plugin/kibana/#/discover/Steve-Slow-Train-Analysis-(2080s-and-2083s)?_g=(refreshInterval:(display:Off,section:0,value:0),time:(from:'2016-08-12 00:22:04-0600',mode:absolute,to:'2016-08-12 03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5" t="str">
            <v>N</v>
          </cell>
          <cell r="X155">
            <v>1</v>
          </cell>
          <cell r="Y155">
            <v>23.297799999999999</v>
          </cell>
          <cell r="Z155">
            <v>1.72E-2</v>
          </cell>
          <cell r="AA155">
            <v>23.2806</v>
          </cell>
          <cell r="AB155" t="e">
            <v>#N/A</v>
          </cell>
          <cell r="AC155" t="e">
            <v>#N/A</v>
          </cell>
          <cell r="AD155" t="str">
            <v>0244-11</v>
          </cell>
          <cell r="AE155" t="str">
            <v>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 &amp; aws s3 cp s3://rtdc.mdm.uploadarchive/RTDC4026/2016-08-13/ "%USERPROFILE%\AppData\Local\Temp\OnboardLogs"\RTDC4026\2016-08-13 --recursive &amp; "%USERPROFILE%\Documents\GitHub\mrs-test-scripts\Headless Mode &amp; Sideloading\WalkAndUnGZ.bat" "%USERPROFILE%\AppData\Local\Temp\OnboardLogs"\RTDC4026\2016-08-13</v>
          </cell>
        </row>
        <row r="156">
          <cell r="A156" t="str">
            <v>800-11</v>
          </cell>
          <cell r="B156">
            <v>4004</v>
          </cell>
          <cell r="C156" t="str">
            <v>DE.1.0.7.0</v>
          </cell>
          <cell r="D156" t="str">
            <v>300:58641</v>
          </cell>
          <cell r="E156">
            <v>42593.211689814816</v>
          </cell>
          <cell r="F156">
            <v>42593.21303240741</v>
          </cell>
          <cell r="G156">
            <v>1</v>
          </cell>
          <cell r="H156" t="str">
            <v>204:838</v>
          </cell>
          <cell r="I156">
            <v>42593.225381944445</v>
          </cell>
          <cell r="J156">
            <v>0</v>
          </cell>
          <cell r="K156" t="str">
            <v>4003/4004</v>
          </cell>
          <cell r="L156" t="str">
            <v>YORK</v>
          </cell>
          <cell r="M156">
            <v>1.2349537035333924E-2</v>
          </cell>
          <cell r="N156">
            <v>17.783333330880851</v>
          </cell>
          <cell r="S156">
            <v>1</v>
          </cell>
          <cell r="T156" t="str">
            <v>Southbound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https://search-rtdc-monitor-bjffxe2xuh6vdkpspy63sjmuny.us-east-1.es.amazonaws.com/_plugin/kibana/#/discover/Steve-Slow-Train-Analysis-(2080s-and-2083s)?_g=(refreshInterval:(display:Off,section:0,value:0),time:(from:'2016-08-11 04:04:50-0600',mode:absolute,to:'2016-08-11 06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56" t="str">
            <v>N</v>
          </cell>
          <cell r="X156">
            <v>556</v>
          </cell>
          <cell r="Y156">
            <v>5.8640999999999996</v>
          </cell>
          <cell r="Z156">
            <v>8.3799999999999999E-2</v>
          </cell>
          <cell r="AA156">
            <v>5.7802999999999995</v>
          </cell>
          <cell r="AB156" t="e">
            <v>#N/A</v>
          </cell>
          <cell r="AC156" t="e">
            <v>#N/A</v>
          </cell>
          <cell r="AD156" t="str">
            <v>0800-11</v>
          </cell>
          <cell r="AE15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57">
          <cell r="A157" t="str">
            <v>801-11</v>
          </cell>
          <cell r="B157">
            <v>4003</v>
          </cell>
          <cell r="C157" t="str">
            <v>DE.1.0.7.0</v>
          </cell>
          <cell r="D157" t="str">
            <v>204:1142</v>
          </cell>
          <cell r="E157">
            <v>42593.226944444446</v>
          </cell>
          <cell r="F157">
            <v>42593.228020833332</v>
          </cell>
          <cell r="G157">
            <v>1</v>
          </cell>
          <cell r="H157" t="str">
            <v>300:58941</v>
          </cell>
          <cell r="I157">
            <v>42593.254444444443</v>
          </cell>
          <cell r="J157">
            <v>0</v>
          </cell>
          <cell r="K157" t="str">
            <v>4003/4004</v>
          </cell>
          <cell r="L157" t="str">
            <v>YORK</v>
          </cell>
          <cell r="M157">
            <v>2.6423611110658385E-2</v>
          </cell>
          <cell r="N157">
            <v>38.049999999348074</v>
          </cell>
          <cell r="S157">
            <v>1</v>
          </cell>
          <cell r="T157" t="str">
            <v>NorthBound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https://search-rtdc-monitor-bjffxe2xuh6vdkpspy63sjmuny.us-east-1.es.amazonaws.com/_plugin/kibana/#/discover/Steve-Slow-Train-Analysis-(2080s-and-2083s)?_g=(refreshInterval:(display:Off,section:0,value:0),time:(from:'2016-08-11 04:26:48-0600',mode:absolute,to:'2016-08-11 07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57" t="str">
            <v>N</v>
          </cell>
          <cell r="X157">
            <v>1</v>
          </cell>
          <cell r="Y157">
            <v>0.1142</v>
          </cell>
          <cell r="Z157">
            <v>5.8940999999999999</v>
          </cell>
          <cell r="AA157">
            <v>5.7798999999999996</v>
          </cell>
          <cell r="AB157" t="e">
            <v>#N/A</v>
          </cell>
          <cell r="AC157" t="e">
            <v>#N/A</v>
          </cell>
          <cell r="AD157" t="str">
            <v>0801-11</v>
          </cell>
          <cell r="AE157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58">
          <cell r="A158" t="str">
            <v>802-11</v>
          </cell>
          <cell r="B158">
            <v>4004</v>
          </cell>
          <cell r="C158" t="str">
            <v>DE.1.0.7.0</v>
          </cell>
          <cell r="D158" t="str">
            <v>300:58634</v>
          </cell>
          <cell r="E158">
            <v>42593.255706018521</v>
          </cell>
          <cell r="F158">
            <v>42593.256597222222</v>
          </cell>
          <cell r="G158">
            <v>1</v>
          </cell>
          <cell r="H158" t="str">
            <v>204:803</v>
          </cell>
          <cell r="I158">
            <v>42593.267314814817</v>
          </cell>
          <cell r="J158">
            <v>0</v>
          </cell>
          <cell r="K158" t="str">
            <v>4003/4004</v>
          </cell>
          <cell r="L158" t="str">
            <v>YORK</v>
          </cell>
          <cell r="M158">
            <v>1.0717592595028691E-2</v>
          </cell>
          <cell r="N158">
            <v>15.433333336841315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https://search-rtdc-monitor-bjffxe2xuh6vdkpspy63sjmuny.us-east-1.es.amazonaws.com/_plugin/kibana/#/discover/Steve-Slow-Train-Analysis-(2080s-and-2083s)?_g=(refreshInterval:(display:Off,section:0,value:0),time:(from:'2016-08-11 05:08:13-0600',mode:absolute,to:'2016-08-11 07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58" t="str">
            <v>N</v>
          </cell>
          <cell r="X158">
            <v>1</v>
          </cell>
          <cell r="Y158">
            <v>5.8634000000000004</v>
          </cell>
          <cell r="Z158">
            <v>8.0299999999999996E-2</v>
          </cell>
          <cell r="AA158">
            <v>5.7831000000000001</v>
          </cell>
          <cell r="AB158" t="e">
            <v>#N/A</v>
          </cell>
          <cell r="AC158" t="e">
            <v>#N/A</v>
          </cell>
          <cell r="AD158" t="str">
            <v>0802-11</v>
          </cell>
          <cell r="AE158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59">
          <cell r="A159" t="str">
            <v>803-11</v>
          </cell>
          <cell r="B159">
            <v>4042</v>
          </cell>
          <cell r="C159" t="str">
            <v>DE.1.0.7.0</v>
          </cell>
          <cell r="D159" t="str">
            <v>204:971</v>
          </cell>
          <cell r="E159">
            <v>42593.257870370369</v>
          </cell>
          <cell r="F159">
            <v>42593.259120370371</v>
          </cell>
          <cell r="G159">
            <v>1</v>
          </cell>
          <cell r="H159" t="str">
            <v>300:58888</v>
          </cell>
          <cell r="I159">
            <v>42593.274861111109</v>
          </cell>
          <cell r="J159">
            <v>0</v>
          </cell>
          <cell r="K159" t="str">
            <v>4041/4042</v>
          </cell>
          <cell r="L159" t="str">
            <v>OUN</v>
          </cell>
          <cell r="M159">
            <v>1.5740740738692693E-2</v>
          </cell>
          <cell r="N159">
            <v>22.666666663717479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https://search-rtdc-monitor-bjffxe2xuh6vdkpspy63sjmuny.us-east-1.es.amazonaws.com/_plugin/kibana/#/discover/Steve-Slow-Train-Analysis-(2080s-and-2083s)?_g=(refreshInterval:(display:Off,section:0,value:0),time:(from:'2016-08-11 05:11:20-0600',mode:absolute,to:'2016-08-11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9" t="str">
            <v>N</v>
          </cell>
          <cell r="X159">
            <v>1</v>
          </cell>
          <cell r="Y159">
            <v>9.7100000000000006E-2</v>
          </cell>
          <cell r="Z159">
            <v>5.8887999999999998</v>
          </cell>
          <cell r="AA159">
            <v>5.7916999999999996</v>
          </cell>
          <cell r="AB159" t="e">
            <v>#N/A</v>
          </cell>
          <cell r="AC159" t="e">
            <v>#N/A</v>
          </cell>
          <cell r="AD159" t="str">
            <v>0803-11</v>
          </cell>
          <cell r="AE15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0">
          <cell r="A160" t="str">
            <v>804-11</v>
          </cell>
          <cell r="B160">
            <v>4041</v>
          </cell>
          <cell r="C160" t="str">
            <v>DE.1.0.7.0</v>
          </cell>
          <cell r="D160" t="str">
            <v>300:58585</v>
          </cell>
          <cell r="E160">
            <v>42593.27652777778</v>
          </cell>
          <cell r="F160">
            <v>42593.277777777781</v>
          </cell>
          <cell r="G160">
            <v>1</v>
          </cell>
          <cell r="H160" t="str">
            <v>204:713</v>
          </cell>
          <cell r="I160">
            <v>42593.28869212963</v>
          </cell>
          <cell r="J160">
            <v>0</v>
          </cell>
          <cell r="K160" t="str">
            <v>4041/4042</v>
          </cell>
          <cell r="L160" t="str">
            <v>OUN</v>
          </cell>
          <cell r="M160">
            <v>1.0914351849351078E-2</v>
          </cell>
          <cell r="N160">
            <v>15.716666663065553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https://search-rtdc-monitor-bjffxe2xuh6vdkpspy63sjmuny.us-east-1.es.amazonaws.com/_plugin/kibana/#/discover/Steve-Slow-Train-Analysis-(2080s-and-2083s)?_g=(refreshInterval:(display:Off,section:0,value:0),time:(from:'2016-08-11 05:38:12-0600',mode:absolute,to:'2016-08-11 07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</v>
          </cell>
          <cell r="Y160">
            <v>5.8585000000000003</v>
          </cell>
          <cell r="Z160">
            <v>7.1300000000000002E-2</v>
          </cell>
          <cell r="AA160">
            <v>5.7872000000000003</v>
          </cell>
          <cell r="AB160" t="e">
            <v>#N/A</v>
          </cell>
          <cell r="AC160" t="e">
            <v>#N/A</v>
          </cell>
          <cell r="AD160" t="str">
            <v>0804-11</v>
          </cell>
          <cell r="AE16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1">
          <cell r="A161" t="str">
            <v>805-11</v>
          </cell>
          <cell r="B161">
            <v>4003</v>
          </cell>
          <cell r="C161" t="str">
            <v>DE.1.0.7.0</v>
          </cell>
          <cell r="D161" t="str">
            <v>204:1091</v>
          </cell>
          <cell r="E161">
            <v>42593.26902777778</v>
          </cell>
          <cell r="F161">
            <v>42593.269652777781</v>
          </cell>
          <cell r="G161">
            <v>0</v>
          </cell>
          <cell r="H161" t="str">
            <v>300:58944</v>
          </cell>
          <cell r="I161">
            <v>42593.29482638889</v>
          </cell>
          <cell r="J161">
            <v>0</v>
          </cell>
          <cell r="K161" t="str">
            <v>4003/4004</v>
          </cell>
          <cell r="L161" t="str">
            <v>YORK</v>
          </cell>
          <cell r="M161">
            <v>2.5173611109494232E-2</v>
          </cell>
          <cell r="N161">
            <v>36.249999997671694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https://search-rtdc-monitor-bjffxe2xuh6vdkpspy63sjmuny.us-east-1.es.amazonaws.com/_plugin/kibana/#/discover/Steve-Slow-Train-Analysis-(2080s-and-2083s)?_g=(refreshInterval:(display:Off,section:0,value:0),time:(from:'2016-08-11 05:27:24-0600',mode:absolute,to:'2016-08-11 08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61" t="str">
            <v>N</v>
          </cell>
          <cell r="X161">
            <v>1</v>
          </cell>
          <cell r="Y161">
            <v>0.1091</v>
          </cell>
          <cell r="Z161">
            <v>5.8944000000000001</v>
          </cell>
          <cell r="AA161">
            <v>5.7853000000000003</v>
          </cell>
          <cell r="AB161" t="e">
            <v>#N/A</v>
          </cell>
          <cell r="AC161" t="e">
            <v>#N/A</v>
          </cell>
          <cell r="AD161" t="str">
            <v>0805-11</v>
          </cell>
          <cell r="AE161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62">
          <cell r="A162" t="str">
            <v>806-11</v>
          </cell>
          <cell r="B162">
            <v>4004</v>
          </cell>
          <cell r="C162" t="str">
            <v>DE.1.0.7.0</v>
          </cell>
          <cell r="D162" t="str">
            <v>300:58632</v>
          </cell>
          <cell r="E162">
            <v>42593.295856481483</v>
          </cell>
          <cell r="F162">
            <v>42593.296585648146</v>
          </cell>
          <cell r="G162">
            <v>1</v>
          </cell>
          <cell r="H162" t="str">
            <v>204:803</v>
          </cell>
          <cell r="I162">
            <v>42593.308854166666</v>
          </cell>
          <cell r="J162">
            <v>0</v>
          </cell>
          <cell r="K162" t="str">
            <v>4003/4004</v>
          </cell>
          <cell r="L162" t="str">
            <v>YORK</v>
          </cell>
          <cell r="M162">
            <v>1.226851851970423E-2</v>
          </cell>
          <cell r="N162">
            <v>17.666666668374091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https://search-rtdc-monitor-bjffxe2xuh6vdkpspy63sjmuny.us-east-1.es.amazonaws.com/_plugin/kibana/#/discover/Steve-Slow-Train-Analysis-(2080s-and-2083s)?_g=(refreshInterval:(display:Off,section:0,value:0),time:(from:'2016-08-11 06:06:02-0600',mode:absolute,to:'2016-08-11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62" t="str">
            <v>N</v>
          </cell>
          <cell r="X162">
            <v>1</v>
          </cell>
          <cell r="Y162">
            <v>5.8632</v>
          </cell>
          <cell r="Z162">
            <v>8.0299999999999996E-2</v>
          </cell>
          <cell r="AA162">
            <v>5.7828999999999997</v>
          </cell>
          <cell r="AB162" t="e">
            <v>#N/A</v>
          </cell>
          <cell r="AC162" t="e">
            <v>#N/A</v>
          </cell>
          <cell r="AD162" t="str">
            <v>0806-11</v>
          </cell>
          <cell r="AE162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63">
          <cell r="A163" t="str">
            <v>807-11</v>
          </cell>
          <cell r="B163">
            <v>4042</v>
          </cell>
          <cell r="C163" t="str">
            <v>DE.1.0.7.0</v>
          </cell>
          <cell r="D163" t="str">
            <v>204:978</v>
          </cell>
          <cell r="E163">
            <v>42593.301979166667</v>
          </cell>
          <cell r="F163">
            <v>42593.30300925926</v>
          </cell>
          <cell r="G163">
            <v>1</v>
          </cell>
          <cell r="H163" t="str">
            <v>300:58922</v>
          </cell>
          <cell r="I163">
            <v>42593.316504629627</v>
          </cell>
          <cell r="J163">
            <v>0</v>
          </cell>
          <cell r="K163" t="str">
            <v>4041/4042</v>
          </cell>
          <cell r="L163" t="str">
            <v>OUN</v>
          </cell>
          <cell r="M163">
            <v>1.3495370367309079E-2</v>
          </cell>
          <cell r="N163">
            <v>19.433333328925073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https://search-rtdc-monitor-bjffxe2xuh6vdkpspy63sjmuny.us-east-1.es.amazonaws.com/_plugin/kibana/#/discover/Steve-Slow-Train-Analysis-(2080s-and-2083s)?_g=(refreshInterval:(display:Off,section:0,value:0),time:(from:'2016-08-11 06:14:51-0600',mode:absolute,to:'2016-08-11 08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3" t="str">
            <v>N</v>
          </cell>
          <cell r="X163">
            <v>1</v>
          </cell>
          <cell r="Y163">
            <v>9.7799999999999998E-2</v>
          </cell>
          <cell r="Z163">
            <v>5.8921999999999999</v>
          </cell>
          <cell r="AA163">
            <v>5.7943999999999996</v>
          </cell>
          <cell r="AB163" t="e">
            <v>#N/A</v>
          </cell>
          <cell r="AC163" t="e">
            <v>#N/A</v>
          </cell>
          <cell r="AD163" t="str">
            <v>0807-11</v>
          </cell>
          <cell r="AE16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4">
          <cell r="A164" t="str">
            <v>808-11</v>
          </cell>
          <cell r="B164">
            <v>4041</v>
          </cell>
          <cell r="C164" t="str">
            <v>DE.1.0.7.0</v>
          </cell>
          <cell r="D164" t="str">
            <v>300:58608</v>
          </cell>
          <cell r="E164">
            <v>42593.317858796298</v>
          </cell>
          <cell r="F164">
            <v>42593.31890046296</v>
          </cell>
          <cell r="G164">
            <v>1</v>
          </cell>
          <cell r="H164" t="str">
            <v>204:694</v>
          </cell>
          <cell r="I164">
            <v>42593.330196759256</v>
          </cell>
          <cell r="J164">
            <v>0</v>
          </cell>
          <cell r="K164" t="str">
            <v>4041/4042</v>
          </cell>
          <cell r="L164" t="str">
            <v>OUN</v>
          </cell>
          <cell r="M164">
            <v>1.1296296295768116E-2</v>
          </cell>
          <cell r="N164">
            <v>16.266666665906087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https://search-rtdc-monitor-bjffxe2xuh6vdkpspy63sjmuny.us-east-1.es.amazonaws.com/_plugin/kibana/#/discover/Steve-Slow-Train-Analysis-(2080s-and-2083s)?_g=(refreshInterval:(display:Off,section:0,value:0),time:(from:'2016-08-11 06:37:43-0600',mode:absolute,to:'2016-08-11 08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4" t="str">
            <v>N</v>
          </cell>
          <cell r="X164">
            <v>1</v>
          </cell>
          <cell r="Y164">
            <v>5.8608000000000002</v>
          </cell>
          <cell r="Z164">
            <v>6.9400000000000003E-2</v>
          </cell>
          <cell r="AA164">
            <v>5.7914000000000003</v>
          </cell>
          <cell r="AB164" t="e">
            <v>#N/A</v>
          </cell>
          <cell r="AC164" t="e">
            <v>#N/A</v>
          </cell>
          <cell r="AD164" t="str">
            <v>0808-11</v>
          </cell>
          <cell r="AE16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5">
          <cell r="A165" t="str">
            <v>809-11</v>
          </cell>
          <cell r="B165">
            <v>4003</v>
          </cell>
          <cell r="C165" t="str">
            <v>DE.1.0.7.0</v>
          </cell>
          <cell r="D165" t="str">
            <v>204:1091</v>
          </cell>
          <cell r="E165">
            <v>42593.310543981483</v>
          </cell>
          <cell r="F165">
            <v>42593.311284722222</v>
          </cell>
          <cell r="G165">
            <v>1</v>
          </cell>
          <cell r="H165" t="str">
            <v>300:58929</v>
          </cell>
          <cell r="I165">
            <v>42593.336504629631</v>
          </cell>
          <cell r="J165">
            <v>0</v>
          </cell>
          <cell r="K165" t="str">
            <v>4003/4004</v>
          </cell>
          <cell r="L165" t="str">
            <v>YORK</v>
          </cell>
          <cell r="M165">
            <v>2.5219907409336884E-2</v>
          </cell>
          <cell r="N165">
            <v>36.316666669445112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https://search-rtdc-monitor-bjffxe2xuh6vdkpspy63sjmuny.us-east-1.es.amazonaws.com/_plugin/kibana/#/discover/Steve-Slow-Train-Analysis-(2080s-and-2083s)?_g=(refreshInterval:(display:Off,section:0,value:0),time:(from:'2016-08-11 06:27:11-0600',mode:absolute,to:'2016-08-11 09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65" t="str">
            <v>N</v>
          </cell>
          <cell r="X165">
            <v>1</v>
          </cell>
          <cell r="Y165">
            <v>0.1091</v>
          </cell>
          <cell r="Z165">
            <v>5.8929</v>
          </cell>
          <cell r="AA165">
            <v>5.7838000000000003</v>
          </cell>
          <cell r="AB165" t="e">
            <v>#N/A</v>
          </cell>
          <cell r="AC165" t="e">
            <v>#N/A</v>
          </cell>
          <cell r="AD165" t="str">
            <v>0809-11</v>
          </cell>
          <cell r="AE165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66">
          <cell r="A166" t="str">
            <v>810-11</v>
          </cell>
          <cell r="B166">
            <v>4004</v>
          </cell>
          <cell r="C166" t="str">
            <v>DE.1.0.7.0</v>
          </cell>
          <cell r="D166" t="str">
            <v>300:58615</v>
          </cell>
          <cell r="E166">
            <v>42593.337291666663</v>
          </cell>
          <cell r="F166">
            <v>42593.338067129633</v>
          </cell>
          <cell r="G166">
            <v>1</v>
          </cell>
          <cell r="H166" t="str">
            <v>204:813</v>
          </cell>
          <cell r="I166">
            <v>42593.35087962963</v>
          </cell>
          <cell r="J166">
            <v>0</v>
          </cell>
          <cell r="K166" t="str">
            <v>4003/4004</v>
          </cell>
          <cell r="L166" t="str">
            <v>YORK</v>
          </cell>
          <cell r="M166">
            <v>1.2812499997380655E-2</v>
          </cell>
          <cell r="N166">
            <v>18.449999996228144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https://search-rtdc-monitor-bjffxe2xuh6vdkpspy63sjmuny.us-east-1.es.amazonaws.com/_plugin/kibana/#/discover/Steve-Slow-Train-Analysis-(2080s-and-2083s)?_g=(refreshInterval:(display:Off,section:0,value:0),time:(from:'2016-08-11 07:05:42-0600',mode:absolute,to:'2016-08-11 09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66" t="str">
            <v>N</v>
          </cell>
          <cell r="X166">
            <v>1</v>
          </cell>
          <cell r="Y166">
            <v>5.8615000000000004</v>
          </cell>
          <cell r="Z166">
            <v>8.1299999999999997E-2</v>
          </cell>
          <cell r="AA166">
            <v>5.7802000000000007</v>
          </cell>
          <cell r="AB166" t="e">
            <v>#N/A</v>
          </cell>
          <cell r="AC166" t="e">
            <v>#N/A</v>
          </cell>
          <cell r="AD166" t="str">
            <v>0810-11</v>
          </cell>
          <cell r="AE16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67">
          <cell r="A167" t="str">
            <v>811-11</v>
          </cell>
          <cell r="B167">
            <v>4042</v>
          </cell>
          <cell r="C167" t="str">
            <v>DE.1.0.7.0</v>
          </cell>
          <cell r="D167" t="str">
            <v>204:993</v>
          </cell>
          <cell r="E167">
            <v>42593.343460648146</v>
          </cell>
          <cell r="F167">
            <v>42593.344467592593</v>
          </cell>
          <cell r="G167">
            <v>1</v>
          </cell>
          <cell r="H167" t="str">
            <v>300:58873</v>
          </cell>
          <cell r="I167">
            <v>42593.359224537038</v>
          </cell>
          <cell r="J167">
            <v>0</v>
          </cell>
          <cell r="K167" t="str">
            <v>4041/4042</v>
          </cell>
          <cell r="L167" t="str">
            <v>OUN</v>
          </cell>
          <cell r="M167">
            <v>1.4756944445252884E-2</v>
          </cell>
          <cell r="N167">
            <v>21.250000001164153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https://search-rtdc-monitor-bjffxe2xuh6vdkpspy63sjmuny.us-east-1.es.amazonaws.com/_plugin/kibana/#/discover/Steve-Slow-Train-Analysis-(2080s-and-2083s)?_g=(refreshInterval:(display:Off,section:0,value:0),time:(from:'2016-08-11 07:14:35-0600',mode:absolute,to:'2016-08-11 09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7" t="str">
            <v>N</v>
          </cell>
          <cell r="X167">
            <v>1</v>
          </cell>
          <cell r="Y167">
            <v>9.9299999999999999E-2</v>
          </cell>
          <cell r="Z167">
            <v>5.8872999999999998</v>
          </cell>
          <cell r="AA167">
            <v>5.7879999999999994</v>
          </cell>
          <cell r="AB167" t="e">
            <v>#N/A</v>
          </cell>
          <cell r="AC167" t="e">
            <v>#N/A</v>
          </cell>
          <cell r="AD167" t="str">
            <v>0811-11</v>
          </cell>
          <cell r="AE16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68">
          <cell r="A168" t="str">
            <v>812-11</v>
          </cell>
          <cell r="B168">
            <v>4041</v>
          </cell>
          <cell r="C168" t="str">
            <v>DE.1.0.7.0</v>
          </cell>
          <cell r="D168" t="str">
            <v>300:58557</v>
          </cell>
          <cell r="E168">
            <v>42593.360358796293</v>
          </cell>
          <cell r="F168">
            <v>42593.361111111109</v>
          </cell>
          <cell r="G168">
            <v>1</v>
          </cell>
          <cell r="H168" t="str">
            <v>300:57316</v>
          </cell>
          <cell r="I168">
            <v>42593.363402777781</v>
          </cell>
          <cell r="J168">
            <v>0</v>
          </cell>
          <cell r="K168" t="str">
            <v>4041/4042</v>
          </cell>
          <cell r="L168" t="str">
            <v>OUN</v>
          </cell>
          <cell r="M168">
            <v>2.2916666712262668E-3</v>
          </cell>
          <cell r="P168">
            <v>3.3000000065658242</v>
          </cell>
          <cell r="R168" t="str">
            <v>Went active too close to Westminster 2S</v>
          </cell>
          <cell r="S168">
            <v>0</v>
          </cell>
          <cell r="T168" t="str">
            <v>Southbound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09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8" t="str">
            <v>Y</v>
          </cell>
          <cell r="X168">
            <v>1</v>
          </cell>
          <cell r="Y168">
            <v>5.8556999999999997</v>
          </cell>
          <cell r="Z168">
            <v>5.7316000000000003</v>
          </cell>
          <cell r="AA168">
            <v>0.12409999999999943</v>
          </cell>
          <cell r="AB168" t="e">
            <v>#N/A</v>
          </cell>
          <cell r="AC168" t="e">
            <v>#N/A</v>
          </cell>
          <cell r="AD168" t="str">
            <v>0812-11</v>
          </cell>
          <cell r="AE16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69">
          <cell r="A169" t="str">
            <v>813-11</v>
          </cell>
          <cell r="B169">
            <v>4042</v>
          </cell>
          <cell r="C169" t="str">
            <v>DE.1.0.7.0</v>
          </cell>
          <cell r="D169" t="str">
            <v>204:976</v>
          </cell>
          <cell r="E169">
            <v>42593.386076388888</v>
          </cell>
          <cell r="F169">
            <v>42593.387083333335</v>
          </cell>
          <cell r="G169">
            <v>1</v>
          </cell>
          <cell r="H169" t="str">
            <v>300:58903</v>
          </cell>
          <cell r="I169">
            <v>42593.40016203704</v>
          </cell>
          <cell r="J169">
            <v>1</v>
          </cell>
          <cell r="K169" t="str">
            <v>4041/4042</v>
          </cell>
          <cell r="L169" t="str">
            <v>OUN</v>
          </cell>
          <cell r="M169">
            <v>1.3078703705104999E-2</v>
          </cell>
          <cell r="N169">
            <v>18.833333335351199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https://search-rtdc-monitor-bjffxe2xuh6vdkpspy63sjmuny.us-east-1.es.amazonaws.com/_plugin/kibana/#/discover/Steve-Slow-Train-Analysis-(2080s-and-2083s)?_g=(refreshInterval:(display:Off,section:0,value:0),time:(from:'2016-08-11 08:15:57-0600',mode:absolute,to:'2016-08-11 10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9" t="str">
            <v>N</v>
          </cell>
          <cell r="X169">
            <v>1</v>
          </cell>
          <cell r="Y169">
            <v>9.7600000000000006E-2</v>
          </cell>
          <cell r="Z169">
            <v>5.8902999999999999</v>
          </cell>
          <cell r="AA169">
            <v>5.7927</v>
          </cell>
          <cell r="AB169" t="e">
            <v>#N/A</v>
          </cell>
          <cell r="AC169" t="e">
            <v>#N/A</v>
          </cell>
          <cell r="AD169" t="str">
            <v>0813-11</v>
          </cell>
          <cell r="AE16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0">
          <cell r="A170" t="str">
            <v>814-11</v>
          </cell>
          <cell r="B170">
            <v>4041</v>
          </cell>
          <cell r="C170" t="str">
            <v>DE.1.0.7.0</v>
          </cell>
          <cell r="D170" t="str">
            <v>300:58587</v>
          </cell>
          <cell r="E170">
            <v>42593.401342592595</v>
          </cell>
          <cell r="F170">
            <v>42593.402395833335</v>
          </cell>
          <cell r="G170">
            <v>1</v>
          </cell>
          <cell r="H170" t="str">
            <v>204:675</v>
          </cell>
          <cell r="I170">
            <v>42593.413472222222</v>
          </cell>
          <cell r="J170">
            <v>0</v>
          </cell>
          <cell r="K170" t="str">
            <v>4041/4042</v>
          </cell>
          <cell r="L170" t="str">
            <v>OUN</v>
          </cell>
          <cell r="M170">
            <v>1.1076388887886424E-2</v>
          </cell>
          <cell r="N170">
            <v>15.94999999855645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https://search-rtdc-monitor-bjffxe2xuh6vdkpspy63sjmuny.us-east-1.es.amazonaws.com/_plugin/kibana/#/discover/Steve-Slow-Train-Analysis-(2080s-and-2083s)?_g=(refreshInterval:(display:Off,section:0,value:0),time:(from:'2016-08-11 08:37:56-0600',mode:absolute,to:'2016-08-11 10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0" t="str">
            <v>N</v>
          </cell>
          <cell r="X170">
            <v>1</v>
          </cell>
          <cell r="Y170">
            <v>5.8586999999999998</v>
          </cell>
          <cell r="Z170">
            <v>6.7500000000000004E-2</v>
          </cell>
          <cell r="AA170">
            <v>5.7911999999999999</v>
          </cell>
          <cell r="AB170" t="e">
            <v>#N/A</v>
          </cell>
          <cell r="AC170" t="e">
            <v>#N/A</v>
          </cell>
          <cell r="AD170" t="str">
            <v>0814-11</v>
          </cell>
          <cell r="AE17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1">
          <cell r="A171" t="str">
            <v>815-11</v>
          </cell>
          <cell r="B171">
            <v>4042</v>
          </cell>
          <cell r="C171" t="str">
            <v>DE.1.0.7.0</v>
          </cell>
          <cell r="D171" t="str">
            <v>204:969</v>
          </cell>
          <cell r="E171">
            <v>42593.427256944444</v>
          </cell>
          <cell r="F171">
            <v>42593.428391203706</v>
          </cell>
          <cell r="G171">
            <v>1</v>
          </cell>
          <cell r="H171" t="str">
            <v>300:58911</v>
          </cell>
          <cell r="I171">
            <v>42593.441770833335</v>
          </cell>
          <cell r="J171">
            <v>1</v>
          </cell>
          <cell r="K171" t="str">
            <v>4041/4042</v>
          </cell>
          <cell r="L171" t="str">
            <v>OUN</v>
          </cell>
          <cell r="M171">
            <v>1.3379629628616385E-2</v>
          </cell>
          <cell r="N171">
            <v>19.266666665207595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https://search-rtdc-monitor-bjffxe2xuh6vdkpspy63sjmuny.us-east-1.es.amazonaws.com/_plugin/kibana/#/discover/Steve-Slow-Train-Analysis-(2080s-and-2083s)?_g=(refreshInterval:(display:Off,section:0,value:0),time:(from:'2016-08-11 09:15:15-0600',mode:absolute,to:'2016-08-11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1" t="str">
            <v>N</v>
          </cell>
          <cell r="X171">
            <v>1</v>
          </cell>
          <cell r="Y171">
            <v>9.69E-2</v>
          </cell>
          <cell r="Z171">
            <v>5.8910999999999998</v>
          </cell>
          <cell r="AA171">
            <v>5.7942</v>
          </cell>
          <cell r="AB171" t="e">
            <v>#N/A</v>
          </cell>
          <cell r="AC171" t="e">
            <v>#N/A</v>
          </cell>
          <cell r="AD171" t="str">
            <v>0815-11</v>
          </cell>
          <cell r="AE171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2">
          <cell r="A172" t="str">
            <v>816-11</v>
          </cell>
          <cell r="B172">
            <v>4041</v>
          </cell>
          <cell r="C172" t="str">
            <v>DE.1.0.7.0</v>
          </cell>
          <cell r="D172" t="str">
            <v>300:58596</v>
          </cell>
          <cell r="E172">
            <v>42593.443240740744</v>
          </cell>
          <cell r="F172">
            <v>42593.444201388891</v>
          </cell>
          <cell r="G172">
            <v>1</v>
          </cell>
          <cell r="H172" t="str">
            <v>204:698</v>
          </cell>
          <cell r="I172">
            <v>42593.45548611111</v>
          </cell>
          <cell r="J172">
            <v>0</v>
          </cell>
          <cell r="K172" t="str">
            <v>4041/4042</v>
          </cell>
          <cell r="L172" t="str">
            <v>OUN</v>
          </cell>
          <cell r="M172">
            <v>1.1284722218988463E-2</v>
          </cell>
          <cell r="N172">
            <v>16.249999995343387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https://search-rtdc-monitor-bjffxe2xuh6vdkpspy63sjmuny.us-east-1.es.amazonaws.com/_plugin/kibana/#/discover/Steve-Slow-Train-Analysis-(2080s-and-2083s)?_g=(refreshInterval:(display:Off,section:0,value:0),time:(from:'2016-08-11 09:38:16-0600',mode:absolute,to:'2016-08-11 11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2" t="str">
            <v>N</v>
          </cell>
          <cell r="X172">
            <v>1</v>
          </cell>
          <cell r="Y172">
            <v>5.8596000000000004</v>
          </cell>
          <cell r="Z172">
            <v>6.9800000000000001E-2</v>
          </cell>
          <cell r="AA172">
            <v>5.7898000000000005</v>
          </cell>
          <cell r="AB172" t="e">
            <v>#N/A</v>
          </cell>
          <cell r="AC172" t="e">
            <v>#N/A</v>
          </cell>
          <cell r="AD172" t="str">
            <v>0816-11</v>
          </cell>
          <cell r="AE172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3">
          <cell r="A173" t="str">
            <v>817-11</v>
          </cell>
          <cell r="B173">
            <v>4042</v>
          </cell>
          <cell r="C173" t="str">
            <v>DE.1.0.7.0</v>
          </cell>
          <cell r="D173" t="str">
            <v>204:962</v>
          </cell>
          <cell r="E173">
            <v>42593.470358796294</v>
          </cell>
          <cell r="F173">
            <v>42593.471215277779</v>
          </cell>
          <cell r="G173">
            <v>1</v>
          </cell>
          <cell r="H173" t="str">
            <v>300:58911</v>
          </cell>
          <cell r="I173">
            <v>42593.483298611114</v>
          </cell>
          <cell r="J173">
            <v>0</v>
          </cell>
          <cell r="K173" t="str">
            <v>4041/4042</v>
          </cell>
          <cell r="L173" t="str">
            <v>OUN</v>
          </cell>
          <cell r="M173">
            <v>1.2083333334885538E-2</v>
          </cell>
          <cell r="N173">
            <v>17.400000002235174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https://search-rtdc-monitor-bjffxe2xuh6vdkpspy63sjmuny.us-east-1.es.amazonaws.com/_plugin/kibana/#/discover/Steve-Slow-Train-Analysis-(2080s-and-2083s)?_g=(refreshInterval:(display:Off,section:0,value:0),time:(from:'2016-08-11 10:17:19-0600',mode:absolute,to:'2016-08-11 12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3" t="str">
            <v>N</v>
          </cell>
          <cell r="X173">
            <v>1</v>
          </cell>
          <cell r="Y173">
            <v>9.6199999999999994E-2</v>
          </cell>
          <cell r="Z173">
            <v>5.8910999999999998</v>
          </cell>
          <cell r="AA173">
            <v>5.7949000000000002</v>
          </cell>
          <cell r="AB173" t="e">
            <v>#N/A</v>
          </cell>
          <cell r="AC173" t="e">
            <v>#N/A</v>
          </cell>
          <cell r="AD173" t="str">
            <v>0817-11</v>
          </cell>
          <cell r="AE17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4">
          <cell r="A174" t="str">
            <v>818-11</v>
          </cell>
          <cell r="B174">
            <v>4041</v>
          </cell>
          <cell r="C174" t="str">
            <v>DE.1.0.7.0</v>
          </cell>
          <cell r="D174" t="str">
            <v>300:58591</v>
          </cell>
          <cell r="E174">
            <v>42593.484780092593</v>
          </cell>
          <cell r="F174">
            <v>42593.485763888886</v>
          </cell>
          <cell r="G174">
            <v>1</v>
          </cell>
          <cell r="H174" t="str">
            <v>300:57322</v>
          </cell>
          <cell r="I174">
            <v>42593.486840277779</v>
          </cell>
          <cell r="J174">
            <v>0</v>
          </cell>
          <cell r="K174" t="str">
            <v>4041/4042</v>
          </cell>
          <cell r="L174" t="str">
            <v>OUN</v>
          </cell>
          <cell r="M174">
            <v>1.0763888931251131E-3</v>
          </cell>
          <cell r="P174">
            <v>1.5500000061001629</v>
          </cell>
          <cell r="R174" t="str">
            <v>Went active too close to Westminster 2S</v>
          </cell>
          <cell r="S174">
            <v>0</v>
          </cell>
          <cell r="T174" t="str">
            <v>Southbound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https://search-rtdc-monitor-bjffxe2xuh6vdkpspy63sjmuny.us-east-1.es.amazonaws.com/_plugin/kibana/#/discover/Steve-Slow-Train-Analysis-(2080s-and-2083s)?_g=(refreshInterval:(display:Off,section:0,value:0),time:(from:'2016-08-11 10:38:05-0600',mode:absolute,to:'2016-08-11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4" t="str">
            <v>Y</v>
          </cell>
          <cell r="X174">
            <v>1</v>
          </cell>
          <cell r="Y174">
            <v>5.8590999999999998</v>
          </cell>
          <cell r="Z174">
            <v>5.7321999999999997</v>
          </cell>
          <cell r="AA174">
            <v>0.12690000000000001</v>
          </cell>
          <cell r="AB174" t="e">
            <v>#N/A</v>
          </cell>
          <cell r="AC174" t="e">
            <v>#N/A</v>
          </cell>
          <cell r="AD174" t="str">
            <v>0818-11</v>
          </cell>
          <cell r="AE17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5">
          <cell r="A175" t="str">
            <v>819-11</v>
          </cell>
          <cell r="B175">
            <v>4042</v>
          </cell>
          <cell r="C175" t="str">
            <v>DE.1.0.7.0</v>
          </cell>
          <cell r="D175" t="str">
            <v>204:986</v>
          </cell>
          <cell r="E175">
            <v>42593.512546296297</v>
          </cell>
          <cell r="F175">
            <v>42593.513703703706</v>
          </cell>
          <cell r="G175">
            <v>1</v>
          </cell>
          <cell r="H175" t="str">
            <v>300:58922</v>
          </cell>
          <cell r="I175">
            <v>42593.524930555555</v>
          </cell>
          <cell r="J175">
            <v>0</v>
          </cell>
          <cell r="K175" t="str">
            <v>4041/4042</v>
          </cell>
          <cell r="L175" t="str">
            <v>OUN</v>
          </cell>
          <cell r="M175">
            <v>1.1226851849642117E-2</v>
          </cell>
          <cell r="N175">
            <v>16.166666663484648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https://search-rtdc-monitor-bjffxe2xuh6vdkpspy63sjmuny.us-east-1.es.amazonaws.com/_plugin/kibana/#/discover/Steve-Slow-Train-Analysis-(2080s-and-2083s)?_g=(refreshInterval:(display:Off,section:0,value:0),time:(from:'2016-08-11 11:18:04-0600',mode:absolute,to:'2016-08-11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5" t="str">
            <v>N</v>
          </cell>
          <cell r="X175">
            <v>1</v>
          </cell>
          <cell r="Y175">
            <v>9.8599999999999993E-2</v>
          </cell>
          <cell r="Z175">
            <v>5.8921999999999999</v>
          </cell>
          <cell r="AA175">
            <v>5.7935999999999996</v>
          </cell>
          <cell r="AB175" t="e">
            <v>#N/A</v>
          </cell>
          <cell r="AC175" t="e">
            <v>#N/A</v>
          </cell>
          <cell r="AD175" t="str">
            <v>0819-11</v>
          </cell>
          <cell r="AE175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6">
          <cell r="A176" t="str">
            <v>820-11</v>
          </cell>
          <cell r="B176">
            <v>4041</v>
          </cell>
          <cell r="C176" t="str">
            <v>DE.1.0.7.0</v>
          </cell>
          <cell r="D176" t="str">
            <v>300:58602</v>
          </cell>
          <cell r="E176">
            <v>42593.526053240741</v>
          </cell>
          <cell r="F176">
            <v>42593.526990740742</v>
          </cell>
          <cell r="G176">
            <v>1</v>
          </cell>
          <cell r="H176" t="str">
            <v>204:684</v>
          </cell>
          <cell r="I176">
            <v>42593.538460648146</v>
          </cell>
          <cell r="J176">
            <v>0</v>
          </cell>
          <cell r="K176" t="str">
            <v>4041/4042</v>
          </cell>
          <cell r="L176" t="str">
            <v>OUN</v>
          </cell>
          <cell r="M176">
            <v>1.1469907403807156E-2</v>
          </cell>
          <cell r="N176">
            <v>16.516666661482304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https://search-rtdc-monitor-bjffxe2xuh6vdkpspy63sjmuny.us-east-1.es.amazonaws.com/_plugin/kibana/#/discover/Steve-Slow-Train-Analysis-(2080s-and-2083s)?_g=(refreshInterval:(display:Off,section:0,value:0),time:(from:'2016-08-11 11:37:31-0600',mode:absolute,to:'2016-08-11 13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6" t="str">
            <v>N</v>
          </cell>
          <cell r="X176">
            <v>1</v>
          </cell>
          <cell r="Y176">
            <v>5.8601999999999999</v>
          </cell>
          <cell r="Z176">
            <v>6.8400000000000002E-2</v>
          </cell>
          <cell r="AA176">
            <v>5.7918000000000003</v>
          </cell>
          <cell r="AB176" t="e">
            <v>#N/A</v>
          </cell>
          <cell r="AC176" t="e">
            <v>#N/A</v>
          </cell>
          <cell r="AD176" t="str">
            <v>0820-11</v>
          </cell>
          <cell r="AE176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7">
          <cell r="A177" t="str">
            <v>823-11</v>
          </cell>
          <cell r="B177">
            <v>4042</v>
          </cell>
          <cell r="C177" t="str">
            <v>DE.1.0.7.0</v>
          </cell>
          <cell r="D177" t="str">
            <v>204:981</v>
          </cell>
          <cell r="E177">
            <v>42593.591041666667</v>
          </cell>
          <cell r="F177">
            <v>42593.595300925925</v>
          </cell>
          <cell r="G177">
            <v>6</v>
          </cell>
          <cell r="H177" t="str">
            <v>300:58997</v>
          </cell>
          <cell r="I177">
            <v>42593.608472222222</v>
          </cell>
          <cell r="J177">
            <v>0</v>
          </cell>
          <cell r="K177" t="str">
            <v>4041/4042</v>
          </cell>
          <cell r="L177" t="str">
            <v>HELVIE</v>
          </cell>
          <cell r="M177">
            <v>1.3171296297514345E-2</v>
          </cell>
          <cell r="N177">
            <v>18.966666668420658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https://search-rtdc-monitor-bjffxe2xuh6vdkpspy63sjmuny.us-east-1.es.amazonaws.com/_plugin/kibana/#/discover/Steve-Slow-Train-Analysis-(2080s-and-2083s)?_g=(refreshInterval:(display:Off,section:0,value:0),time:(from:'2016-08-11 13:11:06-0600',mode:absolute,to:'2016-08-11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7" t="str">
            <v>N</v>
          </cell>
          <cell r="X177">
            <v>3</v>
          </cell>
          <cell r="Y177">
            <v>9.8100000000000007E-2</v>
          </cell>
          <cell r="Z177">
            <v>5.8997000000000002</v>
          </cell>
          <cell r="AA177">
            <v>5.8016000000000005</v>
          </cell>
          <cell r="AB177" t="e">
            <v>#N/A</v>
          </cell>
          <cell r="AC177" t="e">
            <v>#N/A</v>
          </cell>
          <cell r="AD177" t="str">
            <v>0823-11</v>
          </cell>
          <cell r="AE17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78">
          <cell r="A178" t="str">
            <v>824-11</v>
          </cell>
          <cell r="B178">
            <v>4041</v>
          </cell>
          <cell r="C178" t="str">
            <v>DE.1.0.7.0</v>
          </cell>
          <cell r="D178" t="str">
            <v>300:58666</v>
          </cell>
          <cell r="E178">
            <v>42593.609409722223</v>
          </cell>
          <cell r="F178">
            <v>42593.61109953704</v>
          </cell>
          <cell r="G178">
            <v>2</v>
          </cell>
          <cell r="H178" t="str">
            <v>300:32219</v>
          </cell>
          <cell r="I178">
            <v>42593.617986111109</v>
          </cell>
          <cell r="J178">
            <v>1</v>
          </cell>
          <cell r="K178" t="str">
            <v>4041/4042</v>
          </cell>
          <cell r="L178" t="str">
            <v>HELVIE</v>
          </cell>
          <cell r="M178">
            <v>6.8865740686305799E-3</v>
          </cell>
          <cell r="P178">
            <v>9.916666658828035</v>
          </cell>
          <cell r="R178" t="str">
            <v>CRMFN 6S was never cleared by dispatcher, TMDS issue?</v>
          </cell>
          <cell r="S178">
            <v>0</v>
          </cell>
          <cell r="T178" t="str">
            <v>Southbound</v>
          </cell>
          <cell r="U178">
            <v>0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https://search-rtdc-monitor-bjffxe2xuh6vdkpspy63sjmuny.us-east-1.es.amazonaws.com/_plugin/kibana/#/discover/Steve-Slow-Train-Analysis-(2080s-and-2083s)?_g=(refreshInterval:(display:Off,section:0,value:0),time:(from:'2016-08-11 13:37:33-0600',mode:absolute,to:'2016-08-11 15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8" t="str">
            <v>Y</v>
          </cell>
          <cell r="X178">
            <v>1</v>
          </cell>
          <cell r="Y178">
            <v>5.8666</v>
          </cell>
          <cell r="Z178">
            <v>3.2219000000000002</v>
          </cell>
          <cell r="AA178">
            <v>2.6446999999999998</v>
          </cell>
          <cell r="AB178" t="e">
            <v>#N/A</v>
          </cell>
          <cell r="AC178" t="e">
            <v>#N/A</v>
          </cell>
          <cell r="AD178" t="str">
            <v>0824-11</v>
          </cell>
          <cell r="AE17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79">
          <cell r="A179" t="str">
            <v>825-11</v>
          </cell>
          <cell r="B179">
            <v>4042</v>
          </cell>
          <cell r="C179" t="str">
            <v>DE.1.0.7.0</v>
          </cell>
          <cell r="D179" t="str">
            <v>204:1065</v>
          </cell>
          <cell r="E179">
            <v>42593.637245370373</v>
          </cell>
          <cell r="F179">
            <v>42593.638541666667</v>
          </cell>
          <cell r="G179">
            <v>1</v>
          </cell>
          <cell r="H179" t="str">
            <v>300:58993</v>
          </cell>
          <cell r="I179">
            <v>42593.649733796294</v>
          </cell>
          <cell r="J179">
            <v>0</v>
          </cell>
          <cell r="K179" t="str">
            <v>4041/4042</v>
          </cell>
          <cell r="L179" t="str">
            <v>HELVIE</v>
          </cell>
          <cell r="M179">
            <v>1.1192129626579117E-2</v>
          </cell>
          <cell r="N179">
            <v>16.116666662273929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https://search-rtdc-monitor-bjffxe2xuh6vdkpspy63sjmuny.us-east-1.es.amazonaws.com/_plugin/kibana/#/discover/Steve-Slow-Train-Analysis-(2080s-and-2083s)?_g=(refreshInterval:(display:Off,section:0,value:0),time:(from:'2016-08-11 14:17:38-0600',mode:absolute,to:'2016-08-11 16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9" t="str">
            <v>N</v>
          </cell>
          <cell r="X179">
            <v>1</v>
          </cell>
          <cell r="Y179">
            <v>0.1065</v>
          </cell>
          <cell r="Z179">
            <v>5.8993000000000002</v>
          </cell>
          <cell r="AA179">
            <v>5.7928000000000006</v>
          </cell>
          <cell r="AB179" t="e">
            <v>#N/A</v>
          </cell>
          <cell r="AC179" t="e">
            <v>#N/A</v>
          </cell>
          <cell r="AD179" t="str">
            <v>0825-11</v>
          </cell>
          <cell r="AE17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0">
          <cell r="A180" t="str">
            <v>826-11</v>
          </cell>
          <cell r="B180">
            <v>4041</v>
          </cell>
          <cell r="C180" t="str">
            <v>DE.1.0.7.0</v>
          </cell>
          <cell r="D180" t="str">
            <v>300:58670</v>
          </cell>
          <cell r="E180">
            <v>42593.650706018518</v>
          </cell>
          <cell r="F180">
            <v>42593.651666666665</v>
          </cell>
          <cell r="G180">
            <v>1</v>
          </cell>
          <cell r="H180" t="str">
            <v>204:838</v>
          </cell>
          <cell r="I180">
            <v>42593.66302083333</v>
          </cell>
          <cell r="J180">
            <v>0</v>
          </cell>
          <cell r="K180" t="str">
            <v>4041/4042</v>
          </cell>
          <cell r="L180" t="str">
            <v>HELVIE</v>
          </cell>
          <cell r="M180">
            <v>1.1354166665114462E-2</v>
          </cell>
          <cell r="N180">
            <v>16.349999997764826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https://search-rtdc-monitor-bjffxe2xuh6vdkpspy63sjmuny.us-east-1.es.amazonaws.com/_plugin/kibana/#/discover/Steve-Slow-Train-Analysis-(2080s-and-2083s)?_g=(refreshInterval:(display:Off,section:0,value:0),time:(from:'2016-08-11 14:37:01-0600',mode:absolute,to:'2016-08-11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0" t="str">
            <v>N</v>
          </cell>
          <cell r="X180">
            <v>1</v>
          </cell>
          <cell r="Y180">
            <v>5.867</v>
          </cell>
          <cell r="Z180">
            <v>8.3799999999999999E-2</v>
          </cell>
          <cell r="AA180">
            <v>5.7831999999999999</v>
          </cell>
          <cell r="AB180" t="e">
            <v>#N/A</v>
          </cell>
          <cell r="AC180" t="e">
            <v>#N/A</v>
          </cell>
          <cell r="AD180" t="str">
            <v>0826-11</v>
          </cell>
          <cell r="AE180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1">
          <cell r="A181" t="str">
            <v>827-11</v>
          </cell>
          <cell r="B181">
            <v>4003</v>
          </cell>
          <cell r="C181" t="str">
            <v>DE.1.0.7.0</v>
          </cell>
          <cell r="D181" t="str">
            <v>204:971</v>
          </cell>
          <cell r="E181">
            <v>42593.655185185184</v>
          </cell>
          <cell r="F181">
            <v>42593.65625</v>
          </cell>
          <cell r="G181">
            <v>1</v>
          </cell>
          <cell r="H181" t="str">
            <v>300:58905</v>
          </cell>
          <cell r="I181">
            <v>42593.67083333333</v>
          </cell>
          <cell r="J181">
            <v>0</v>
          </cell>
          <cell r="K181" t="str">
            <v>4003/4004</v>
          </cell>
          <cell r="L181" t="str">
            <v>YORK</v>
          </cell>
          <cell r="M181">
            <v>1.4583333329937886E-2</v>
          </cell>
          <cell r="N181">
            <v>20.999999995110556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https://search-rtdc-monitor-bjffxe2xuh6vdkpspy63sjmuny.us-east-1.es.amazonaws.com/_plugin/kibana/#/discover/Steve-Slow-Train-Analysis-(2080s-and-2083s)?_g=(refreshInterval:(display:Off,section:0,value:0),time:(from:'2016-08-11 14:43:28-0600',mode:absolute,to:'2016-08-11 17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1" t="str">
            <v>N</v>
          </cell>
          <cell r="X181">
            <v>1</v>
          </cell>
          <cell r="Y181">
            <v>9.7100000000000006E-2</v>
          </cell>
          <cell r="Z181">
            <v>5.8905000000000003</v>
          </cell>
          <cell r="AA181">
            <v>5.7934000000000001</v>
          </cell>
          <cell r="AB181" t="e">
            <v>#N/A</v>
          </cell>
          <cell r="AC181" t="e">
            <v>#N/A</v>
          </cell>
          <cell r="AD181" t="str">
            <v>0827-11</v>
          </cell>
          <cell r="AE181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82">
          <cell r="A182" t="str">
            <v>828-11</v>
          </cell>
          <cell r="B182">
            <v>4004</v>
          </cell>
          <cell r="C182" t="str">
            <v>DE.1.0.7.0</v>
          </cell>
          <cell r="D182" t="str">
            <v>300:58589</v>
          </cell>
          <cell r="E182">
            <v>42593.671574074076</v>
          </cell>
          <cell r="F182">
            <v>42593.672418981485</v>
          </cell>
          <cell r="G182">
            <v>1</v>
          </cell>
          <cell r="H182" t="str">
            <v>204:698</v>
          </cell>
          <cell r="I182">
            <v>42593.684930555559</v>
          </cell>
          <cell r="J182">
            <v>0</v>
          </cell>
          <cell r="K182" t="str">
            <v>4003/4004</v>
          </cell>
          <cell r="L182" t="str">
            <v>ROBINSON</v>
          </cell>
          <cell r="M182">
            <v>1.2511574073869269E-2</v>
          </cell>
          <cell r="N182">
            <v>18.016666666371748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https://search-rtdc-monitor-bjffxe2xuh6vdkpspy63sjmuny.us-east-1.es.amazonaws.com/_plugin/kibana/#/discover/Steve-Slow-Train-Analysis-(2080s-and-2083s)?_g=(refreshInterval:(display:Off,section:0,value:0),time:(from:'2016-08-11 15:07:04-0600',mode:absolute,to:'2016-08-11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82" t="str">
            <v>N</v>
          </cell>
          <cell r="X182">
            <v>1</v>
          </cell>
          <cell r="Y182">
            <v>5.8589000000000002</v>
          </cell>
          <cell r="Z182">
            <v>6.9800000000000001E-2</v>
          </cell>
          <cell r="AA182">
            <v>5.7891000000000004</v>
          </cell>
          <cell r="AB182" t="e">
            <v>#N/A</v>
          </cell>
          <cell r="AC182" t="e">
            <v>#N/A</v>
          </cell>
          <cell r="AD182" t="str">
            <v>0828-11</v>
          </cell>
          <cell r="AE182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83">
          <cell r="A183" t="str">
            <v>829-11</v>
          </cell>
          <cell r="B183">
            <v>4042</v>
          </cell>
          <cell r="C183" t="str">
            <v>DE.1.0.7.0</v>
          </cell>
          <cell r="D183" t="str">
            <v>204:1139</v>
          </cell>
          <cell r="E183">
            <v>42593.677870370368</v>
          </cell>
          <cell r="F183">
            <v>42593.678819444445</v>
          </cell>
          <cell r="G183">
            <v>1</v>
          </cell>
          <cell r="H183" t="str">
            <v>300:58954</v>
          </cell>
          <cell r="I183">
            <v>42593.690763888888</v>
          </cell>
          <cell r="J183">
            <v>0</v>
          </cell>
          <cell r="K183" t="str">
            <v>4041/4042</v>
          </cell>
          <cell r="L183" t="str">
            <v>HELVIE</v>
          </cell>
          <cell r="M183">
            <v>1.1944444442633539E-2</v>
          </cell>
          <cell r="N183">
            <v>17.199999997392297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https://search-rtdc-monitor-bjffxe2xuh6vdkpspy63sjmuny.us-east-1.es.amazonaws.com/_plugin/kibana/#/discover/Steve-Slow-Train-Analysis-(2080s-and-2083s)?_g=(refreshInterval:(display:Off,section:0,value:0),time:(from:'2016-08-11 15:16:08-0600',mode:absolute,to:'2016-08-11 17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3" t="str">
            <v>N</v>
          </cell>
          <cell r="X183">
            <v>1</v>
          </cell>
          <cell r="Y183">
            <v>0.1139</v>
          </cell>
          <cell r="Z183">
            <v>5.8954000000000004</v>
          </cell>
          <cell r="AA183">
            <v>5.7815000000000003</v>
          </cell>
          <cell r="AB183" t="e">
            <v>#N/A</v>
          </cell>
          <cell r="AC183" t="e">
            <v>#N/A</v>
          </cell>
          <cell r="AD183" t="str">
            <v>0829-11</v>
          </cell>
          <cell r="AE183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4">
          <cell r="A184" t="str">
            <v>830-11</v>
          </cell>
          <cell r="B184">
            <v>4041</v>
          </cell>
          <cell r="C184" t="str">
            <v>DE.1.0.7.0</v>
          </cell>
          <cell r="D184" t="str">
            <v>300:58636</v>
          </cell>
          <cell r="E184">
            <v>42593.69189814815</v>
          </cell>
          <cell r="F184">
            <v>42593.692708333336</v>
          </cell>
          <cell r="G184">
            <v>1</v>
          </cell>
          <cell r="H184" t="str">
            <v>204:825</v>
          </cell>
          <cell r="I184">
            <v>42593.704606481479</v>
          </cell>
          <cell r="J184">
            <v>0</v>
          </cell>
          <cell r="K184" t="str">
            <v>4041/4042</v>
          </cell>
          <cell r="L184" t="str">
            <v>HELVIE</v>
          </cell>
          <cell r="M184">
            <v>1.1898148142790888E-2</v>
          </cell>
          <cell r="N184">
            <v>17.133333325618878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https://search-rtdc-monitor-bjffxe2xuh6vdkpspy63sjmuny.us-east-1.es.amazonaws.com/_plugin/kibana/#/discover/Steve-Slow-Train-Analysis-(2080s-and-2083s)?_g=(refreshInterval:(display:Off,section:0,value:0),time:(from:'2016-08-11 15:36:20-0600',mode:absolute,to:'2016-08-11 17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4" t="str">
            <v>N</v>
          </cell>
          <cell r="X184">
            <v>1</v>
          </cell>
          <cell r="Y184">
            <v>5.8635999999999999</v>
          </cell>
          <cell r="Z184">
            <v>8.2500000000000004E-2</v>
          </cell>
          <cell r="AA184">
            <v>5.7811000000000003</v>
          </cell>
          <cell r="AB184" t="e">
            <v>#N/A</v>
          </cell>
          <cell r="AC184" t="e">
            <v>#N/A</v>
          </cell>
          <cell r="AD184" t="str">
            <v>0830-11</v>
          </cell>
          <cell r="AE18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5">
          <cell r="A185" t="str">
            <v>831-11</v>
          </cell>
          <cell r="B185">
            <v>4003</v>
          </cell>
          <cell r="C185" t="str">
            <v>DE.1.0.7.0</v>
          </cell>
          <cell r="D185" t="str">
            <v>204:972</v>
          </cell>
          <cell r="E185">
            <v>42593.697546296295</v>
          </cell>
          <cell r="F185">
            <v>42593.698541666665</v>
          </cell>
          <cell r="G185">
            <v>1</v>
          </cell>
          <cell r="H185" t="str">
            <v>300:58897</v>
          </cell>
          <cell r="I185">
            <v>42593.712731481479</v>
          </cell>
          <cell r="J185">
            <v>0</v>
          </cell>
          <cell r="K185" t="str">
            <v>4003/4004</v>
          </cell>
          <cell r="L185" t="str">
            <v>YORK</v>
          </cell>
          <cell r="M185">
            <v>1.4189814814017154E-2</v>
          </cell>
          <cell r="N185">
            <v>20.433333332184702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https://search-rtdc-monitor-bjffxe2xuh6vdkpspy63sjmuny.us-east-1.es.amazonaws.com/_plugin/kibana/#/discover/Steve-Slow-Train-Analysis-(2080s-and-2083s)?_g=(refreshInterval:(display:Off,section:0,value:0),time:(from:'2016-08-11 15:44:28-0600',mode:absolute,to:'2016-08-11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5" t="str">
            <v>N</v>
          </cell>
          <cell r="X185">
            <v>1</v>
          </cell>
          <cell r="Y185">
            <v>9.7199999999999995E-2</v>
          </cell>
          <cell r="Z185">
            <v>5.8897000000000004</v>
          </cell>
          <cell r="AA185">
            <v>5.7925000000000004</v>
          </cell>
          <cell r="AB185" t="e">
            <v>#N/A</v>
          </cell>
          <cell r="AC185" t="e">
            <v>#N/A</v>
          </cell>
          <cell r="AD185" t="str">
            <v>0831-11</v>
          </cell>
          <cell r="AE185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86">
          <cell r="A186" t="str">
            <v>832-11</v>
          </cell>
          <cell r="B186">
            <v>4004</v>
          </cell>
          <cell r="C186" t="str">
            <v>DE.1.0.7.0</v>
          </cell>
          <cell r="D186" t="str">
            <v>300:58579</v>
          </cell>
          <cell r="E186">
            <v>42593.713750000003</v>
          </cell>
          <cell r="F186">
            <v>42593.714560185188</v>
          </cell>
          <cell r="G186">
            <v>1</v>
          </cell>
          <cell r="H186" t="str">
            <v>204:689</v>
          </cell>
          <cell r="I186">
            <v>42593.730891203704</v>
          </cell>
          <cell r="J186">
            <v>0</v>
          </cell>
          <cell r="K186" t="str">
            <v>4003/4004</v>
          </cell>
          <cell r="L186" t="str">
            <v>ROBINSON</v>
          </cell>
          <cell r="M186">
            <v>1.633101851621177E-2</v>
          </cell>
          <cell r="N186">
            <v>23.516666663344949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https://search-rtdc-monitor-bjffxe2xuh6vdkpspy63sjmuny.us-east-1.es.amazonaws.com/_plugin/kibana/#/discover/Steve-Slow-Train-Analysis-(2080s-and-2083s)?_g=(refreshInterval:(display:Off,section:0,value:0),time:(from:'2016-08-11 16:07:48-0600',mode:absolute,to:'2016-08-11 18:32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86" t="str">
            <v>N</v>
          </cell>
          <cell r="X186">
            <v>1</v>
          </cell>
          <cell r="Y186">
            <v>5.8578999999999999</v>
          </cell>
          <cell r="Z186">
            <v>6.8900000000000003E-2</v>
          </cell>
          <cell r="AA186">
            <v>5.7889999999999997</v>
          </cell>
          <cell r="AB186" t="e">
            <v>#N/A</v>
          </cell>
          <cell r="AC186" t="e">
            <v>#N/A</v>
          </cell>
          <cell r="AD186" t="str">
            <v>0832-11</v>
          </cell>
          <cell r="AE18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87">
          <cell r="A187" t="str">
            <v>833-11</v>
          </cell>
          <cell r="B187">
            <v>4042</v>
          </cell>
          <cell r="C187" t="str">
            <v>DE.1.0.7.0</v>
          </cell>
          <cell r="D187" t="str">
            <v>204:1119</v>
          </cell>
          <cell r="E187">
            <v>42593.716990740744</v>
          </cell>
          <cell r="F187">
            <v>42593.717951388891</v>
          </cell>
          <cell r="G187">
            <v>1</v>
          </cell>
          <cell r="H187" t="str">
            <v>300:58914</v>
          </cell>
          <cell r="I187">
            <v>42593.737569444442</v>
          </cell>
          <cell r="J187">
            <v>0</v>
          </cell>
          <cell r="K187" t="str">
            <v>4041/4042</v>
          </cell>
          <cell r="L187" t="str">
            <v>HELVIE</v>
          </cell>
          <cell r="M187">
            <v>1.9618055550381541E-2</v>
          </cell>
          <cell r="N187">
            <v>28.249999992549419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https://search-rtdc-monitor-bjffxe2xuh6vdkpspy63sjmuny.us-east-1.es.amazonaws.com/_plugin/kibana/#/discover/Steve-Slow-Train-Analysis-(2080s-and-2083s)?_g=(refreshInterval:(display:Off,section:0,value:0),time:(from:'2016-08-11 16:12:28-0600',mode:absolute,to:'2016-08-11 18:42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7" t="str">
            <v>N</v>
          </cell>
          <cell r="X187">
            <v>1</v>
          </cell>
          <cell r="Y187">
            <v>0.1119</v>
          </cell>
          <cell r="Z187">
            <v>5.8914</v>
          </cell>
          <cell r="AA187">
            <v>5.7794999999999996</v>
          </cell>
          <cell r="AB187" t="e">
            <v>#N/A</v>
          </cell>
          <cell r="AC187" t="e">
            <v>#N/A</v>
          </cell>
          <cell r="AD187" t="str">
            <v>0833-11</v>
          </cell>
          <cell r="AE18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88">
          <cell r="A188" t="str">
            <v>834-11</v>
          </cell>
          <cell r="B188">
            <v>4041</v>
          </cell>
          <cell r="C188" t="str">
            <v>DE.1.0.7.0</v>
          </cell>
          <cell r="D188" t="str">
            <v>300:58598</v>
          </cell>
          <cell r="E188">
            <v>42593.738182870373</v>
          </cell>
          <cell r="F188">
            <v>42593.738888888889</v>
          </cell>
          <cell r="G188">
            <v>1</v>
          </cell>
          <cell r="H188" t="str">
            <v>204:845</v>
          </cell>
          <cell r="I188">
            <v>42593.747766203705</v>
          </cell>
          <cell r="J188">
            <v>0</v>
          </cell>
          <cell r="K188" t="str">
            <v>4041/4042</v>
          </cell>
          <cell r="L188" t="str">
            <v>HELVIE</v>
          </cell>
          <cell r="M188">
            <v>8.8773148163454607E-3</v>
          </cell>
          <cell r="N188">
            <v>12.783333335537463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https://search-rtdc-monitor-bjffxe2xuh6vdkpspy63sjmuny.us-east-1.es.amazonaws.com/_plugin/kibana/#/discover/Steve-Slow-Train-Analysis-(2080s-and-2083s)?_g=(refreshInterval:(display:Off,section:0,value:0),time:(from:'2016-08-11 16:42:59-0600',mode:absolute,to:'2016-08-11 18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8" t="str">
            <v>N</v>
          </cell>
          <cell r="X188">
            <v>1</v>
          </cell>
          <cell r="Y188">
            <v>5.8597999999999999</v>
          </cell>
          <cell r="Z188">
            <v>8.4500000000000006E-2</v>
          </cell>
          <cell r="AA188">
            <v>5.7752999999999997</v>
          </cell>
          <cell r="AB188" t="e">
            <v>#N/A</v>
          </cell>
          <cell r="AC188" t="e">
            <v>#N/A</v>
          </cell>
          <cell r="AD188" t="str">
            <v>0834-11</v>
          </cell>
          <cell r="AE18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89">
          <cell r="A189" t="str">
            <v>835-11</v>
          </cell>
          <cell r="B189">
            <v>4003</v>
          </cell>
          <cell r="C189" t="str">
            <v>DE.1.0.7.0</v>
          </cell>
          <cell r="D189" t="str">
            <v>204:972</v>
          </cell>
          <cell r="E189">
            <v>42593.739837962959</v>
          </cell>
          <cell r="F189">
            <v>42593.740717592591</v>
          </cell>
          <cell r="G189">
            <v>1</v>
          </cell>
          <cell r="H189" t="str">
            <v>300:58944</v>
          </cell>
          <cell r="I189">
            <v>42593.752847222226</v>
          </cell>
          <cell r="J189">
            <v>0</v>
          </cell>
          <cell r="K189" t="str">
            <v>4003/4004</v>
          </cell>
          <cell r="L189" t="str">
            <v>YORK</v>
          </cell>
          <cell r="M189">
            <v>1.212962963472819E-2</v>
          </cell>
          <cell r="N189">
            <v>17.466666674008593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https://search-rtdc-monitor-bjffxe2xuh6vdkpspy63sjmuny.us-east-1.es.amazonaws.com/_plugin/kibana/#/discover/Steve-Slow-Train-Analysis-(2080s-and-2083s)?_g=(refreshInterval:(display:Off,section:0,value:0),time:(from:'2016-08-11 16:45:22-0600',mode:absolute,to:'2016-08-11 19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89" t="str">
            <v>N</v>
          </cell>
          <cell r="X189">
            <v>1</v>
          </cell>
          <cell r="Y189">
            <v>9.7199999999999995E-2</v>
          </cell>
          <cell r="Z189">
            <v>5.8944000000000001</v>
          </cell>
          <cell r="AA189">
            <v>5.7972000000000001</v>
          </cell>
          <cell r="AB189" t="e">
            <v>#N/A</v>
          </cell>
          <cell r="AC189" t="e">
            <v>#N/A</v>
          </cell>
          <cell r="AD189" t="str">
            <v>0835-11</v>
          </cell>
          <cell r="AE189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90">
          <cell r="A190" t="str">
            <v>836-11</v>
          </cell>
          <cell r="B190">
            <v>4004</v>
          </cell>
          <cell r="C190" t="str">
            <v>DE.1.0.7.0</v>
          </cell>
          <cell r="D190" t="str">
            <v>300:58628</v>
          </cell>
          <cell r="E190">
            <v>42593.753611111111</v>
          </cell>
          <cell r="F190">
            <v>42593.754421296297</v>
          </cell>
          <cell r="G190">
            <v>1</v>
          </cell>
          <cell r="H190" t="str">
            <v>204:633</v>
          </cell>
          <cell r="I190">
            <v>42593.767361111109</v>
          </cell>
          <cell r="J190">
            <v>1</v>
          </cell>
          <cell r="K190" t="str">
            <v>4003/4004</v>
          </cell>
          <cell r="L190" t="str">
            <v>ROBINSON</v>
          </cell>
          <cell r="M190">
            <v>1.2939814812853001E-2</v>
          </cell>
          <cell r="N190">
            <v>18.633333330508322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https://search-rtdc-monitor-bjffxe2xuh6vdkpspy63sjmuny.us-east-1.es.amazonaws.com/_plugin/kibana/#/discover/Steve-Slow-Train-Analysis-(2080s-and-2083s)?_g=(refreshInterval:(display:Off,section:0,value:0),time:(from:'2016-08-11 17:05:12-0600',mode:absolute,to:'2016-08-11 19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190" t="str">
            <v>N</v>
          </cell>
          <cell r="X190">
            <v>1</v>
          </cell>
          <cell r="Y190">
            <v>5.8628</v>
          </cell>
          <cell r="Z190">
            <v>6.3299999999999995E-2</v>
          </cell>
          <cell r="AA190">
            <v>5.7995000000000001</v>
          </cell>
          <cell r="AB190" t="e">
            <v>#N/A</v>
          </cell>
          <cell r="AC190" t="e">
            <v>#N/A</v>
          </cell>
          <cell r="AD190" t="str">
            <v>0836-11</v>
          </cell>
          <cell r="AE190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191">
          <cell r="A191" t="str">
            <v>837-11</v>
          </cell>
          <cell r="B191">
            <v>4042</v>
          </cell>
          <cell r="C191" t="str">
            <v>DE.1.0.7.0</v>
          </cell>
          <cell r="D191" t="str">
            <v>204:1139</v>
          </cell>
          <cell r="E191">
            <v>42593.755520833336</v>
          </cell>
          <cell r="F191">
            <v>42593.756238425929</v>
          </cell>
          <cell r="G191">
            <v>1</v>
          </cell>
          <cell r="H191" t="str">
            <v>300:58941</v>
          </cell>
          <cell r="I191">
            <v>42593.77447916667</v>
          </cell>
          <cell r="J191">
            <v>0</v>
          </cell>
          <cell r="K191" t="str">
            <v>4041/4042</v>
          </cell>
          <cell r="L191" t="str">
            <v>HELVIE</v>
          </cell>
          <cell r="M191">
            <v>1.8240740741021E-2</v>
          </cell>
          <cell r="N191">
            <v>26.26666666707024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https://search-rtdc-monitor-bjffxe2xuh6vdkpspy63sjmuny.us-east-1.es.amazonaws.com/_plugin/kibana/#/discover/Steve-Slow-Train-Analysis-(2080s-and-2083s)?_g=(refreshInterval:(display:Off,section:0,value:0),time:(from:'2016-08-11 17:07:57-0600',mode:absolute,to:'2016-08-11 19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1" t="str">
            <v>N</v>
          </cell>
          <cell r="X191">
            <v>1</v>
          </cell>
          <cell r="Y191">
            <v>0.1139</v>
          </cell>
          <cell r="Z191">
            <v>5.8940999999999999</v>
          </cell>
          <cell r="AA191">
            <v>5.7801999999999998</v>
          </cell>
          <cell r="AB191" t="e">
            <v>#N/A</v>
          </cell>
          <cell r="AC191" t="e">
            <v>#N/A</v>
          </cell>
          <cell r="AD191" t="str">
            <v>0837-11</v>
          </cell>
          <cell r="AE191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2">
          <cell r="A192" t="str">
            <v>838-11</v>
          </cell>
          <cell r="B192">
            <v>4041</v>
          </cell>
          <cell r="C192" t="str">
            <v>DE.1.0.7.0</v>
          </cell>
          <cell r="D192" t="str">
            <v>300:58624</v>
          </cell>
          <cell r="E192">
            <v>42593.775902777779</v>
          </cell>
          <cell r="F192">
            <v>42593.777106481481</v>
          </cell>
          <cell r="G192">
            <v>1</v>
          </cell>
          <cell r="H192" t="str">
            <v>204:850</v>
          </cell>
          <cell r="I192">
            <v>42593.787951388891</v>
          </cell>
          <cell r="J192">
            <v>0</v>
          </cell>
          <cell r="K192" t="str">
            <v>4041/4042</v>
          </cell>
          <cell r="L192" t="str">
            <v>HELVIE</v>
          </cell>
          <cell r="M192">
            <v>1.0844907410501037E-2</v>
          </cell>
          <cell r="N192">
            <v>15.616666671121493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https://search-rtdc-monitor-bjffxe2xuh6vdkpspy63sjmuny.us-east-1.es.amazonaws.com/_plugin/kibana/#/discover/Steve-Slow-Train-Analysis-(2080s-and-2083s)?_g=(refreshInterval:(display:Off,section:0,value:0),time:(from:'2016-08-11 17:37:18-0600',mode:absolute,to:'2016-08-11 19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2" t="str">
            <v>N</v>
          </cell>
          <cell r="X192">
            <v>1</v>
          </cell>
          <cell r="Y192">
            <v>5.8624000000000001</v>
          </cell>
          <cell r="Z192">
            <v>8.5000000000000006E-2</v>
          </cell>
          <cell r="AA192">
            <v>5.7774000000000001</v>
          </cell>
          <cell r="AB192" t="e">
            <v>#N/A</v>
          </cell>
          <cell r="AC192" t="e">
            <v>#N/A</v>
          </cell>
          <cell r="AD192" t="str">
            <v>0838-11</v>
          </cell>
          <cell r="AE192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3">
          <cell r="A193" t="str">
            <v>839-11</v>
          </cell>
          <cell r="B193">
            <v>4003</v>
          </cell>
          <cell r="C193" t="str">
            <v>DE.1.0.7.0</v>
          </cell>
          <cell r="D193" t="str">
            <v>204:923</v>
          </cell>
          <cell r="E193">
            <v>42593.780891203707</v>
          </cell>
          <cell r="F193">
            <v>42593.782141203701</v>
          </cell>
          <cell r="G193">
            <v>1</v>
          </cell>
          <cell r="H193" t="str">
            <v>300:58961</v>
          </cell>
          <cell r="I193">
            <v>42593.795393518521</v>
          </cell>
          <cell r="J193">
            <v>0</v>
          </cell>
          <cell r="K193" t="str">
            <v>4003/4004</v>
          </cell>
          <cell r="L193" t="str">
            <v>YORK</v>
          </cell>
          <cell r="M193">
            <v>1.3252314820419997E-2</v>
          </cell>
          <cell r="N193">
            <v>19.083333341404796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https://search-rtdc-monitor-bjffxe2xuh6vdkpspy63sjmuny.us-east-1.es.amazonaws.com/_plugin/kibana/#/discover/Steve-Slow-Train-Analysis-(2080s-and-2083s)?_g=(refreshInterval:(display:Off,section:0,value:0),time:(from:'2016-08-11 17:44:29-0600',mode:absolute,to:'2016-08-11 20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    </cell>
          <cell r="W193" t="str">
            <v>N</v>
          </cell>
          <cell r="X193">
            <v>1</v>
          </cell>
          <cell r="Y193">
            <v>9.2299999999999993E-2</v>
          </cell>
          <cell r="Z193">
            <v>5.8960999999999997</v>
          </cell>
          <cell r="AA193">
            <v>5.8037999999999998</v>
          </cell>
          <cell r="AB193" t="e">
            <v>#N/A</v>
          </cell>
          <cell r="AC193" t="e">
            <v>#N/A</v>
          </cell>
          <cell r="AD193" t="str">
            <v>0839-11</v>
          </cell>
          <cell r="AE193" t="str">
    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    </cell>
        </row>
        <row r="194">
          <cell r="A194" t="str">
            <v>840-11</v>
          </cell>
          <cell r="B194">
            <v>4041</v>
          </cell>
          <cell r="C194" t="str">
            <v>DE.1.0.7.0</v>
          </cell>
          <cell r="D194" t="str">
            <v>300:58621</v>
          </cell>
          <cell r="E194">
            <v>42593.816574074073</v>
          </cell>
          <cell r="F194">
            <v>42593.817337962966</v>
          </cell>
          <cell r="G194">
            <v>1</v>
          </cell>
          <cell r="H194" t="str">
            <v>204:838</v>
          </cell>
          <cell r="I194">
            <v>42593.829444444447</v>
          </cell>
          <cell r="J194">
            <v>0</v>
          </cell>
          <cell r="K194" t="str">
            <v>4041/4042</v>
          </cell>
          <cell r="L194" t="str">
            <v>HELVIE</v>
          </cell>
          <cell r="M194">
            <v>1.2106481481168885E-2</v>
          </cell>
          <cell r="N194">
            <v>17.433333332883194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https://search-rtdc-monitor-bjffxe2xuh6vdkpspy63sjmuny.us-east-1.es.amazonaws.com/_plugin/kibana/#/discover/Steve-Slow-Train-Analysis-(2080s-and-2083s)?_g=(refreshInterval:(display:Off,section:0,value:0),time:(from:'2016-08-11 18:35:52-0600',mode:absolute,to:'2016-08-11 20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4" t="str">
            <v>N</v>
          </cell>
          <cell r="X194">
            <v>1</v>
          </cell>
          <cell r="Y194">
            <v>5.8620999999999999</v>
          </cell>
          <cell r="Z194">
            <v>8.3799999999999999E-2</v>
          </cell>
          <cell r="AA194">
            <v>5.7782999999999998</v>
          </cell>
          <cell r="AB194" t="e">
            <v>#N/A</v>
          </cell>
          <cell r="AC194" t="e">
            <v>#N/A</v>
          </cell>
          <cell r="AD194" t="str">
            <v>0840-11</v>
          </cell>
          <cell r="AE194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5">
          <cell r="A195" t="str">
            <v>841-11</v>
          </cell>
          <cell r="B195">
            <v>4042</v>
          </cell>
          <cell r="C195" t="str">
            <v>DE.1.0.7.0</v>
          </cell>
          <cell r="D195" t="str">
            <v>204:1128</v>
          </cell>
          <cell r="E195">
            <v>42593.801990740743</v>
          </cell>
          <cell r="F195">
            <v>42593.802800925929</v>
          </cell>
          <cell r="G195">
            <v>1</v>
          </cell>
          <cell r="H195" t="str">
            <v>300:58931</v>
          </cell>
          <cell r="I195">
            <v>42593.815601851849</v>
          </cell>
          <cell r="J195">
            <v>0</v>
          </cell>
          <cell r="K195" t="str">
            <v>4041/4042</v>
          </cell>
          <cell r="L195" t="str">
            <v>HELVIE</v>
          </cell>
          <cell r="M195">
            <v>1.2800925920601003E-2</v>
          </cell>
          <cell r="N195">
            <v>18.433333325665444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https://search-rtdc-monitor-bjffxe2xuh6vdkpspy63sjmuny.us-east-1.es.amazonaws.com/_plugin/kibana/#/discover/Steve-Slow-Train-Analysis-(2080s-and-2083s)?_g=(refreshInterval:(display:Off,section:0,value:0),time:(from:'2016-08-11 18:14:52-0600',mode:absolute,to:'2016-08-11 20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5" t="str">
            <v>N</v>
          </cell>
          <cell r="X195">
            <v>1</v>
          </cell>
          <cell r="Y195">
            <v>0.1128</v>
          </cell>
          <cell r="Z195">
            <v>5.8930999999999996</v>
          </cell>
          <cell r="AA195">
            <v>5.7802999999999995</v>
          </cell>
          <cell r="AB195" t="e">
            <v>#N/A</v>
          </cell>
          <cell r="AC195" t="e">
            <v>#N/A</v>
          </cell>
          <cell r="AD195" t="str">
            <v>0841-11</v>
          </cell>
          <cell r="AE195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6">
          <cell r="A196" t="str">
            <v>842-11</v>
          </cell>
          <cell r="B196">
            <v>4041</v>
          </cell>
          <cell r="C196" t="str">
            <v>DE.1.0.7.0</v>
          </cell>
          <cell r="D196" t="str">
            <v>300:58688</v>
          </cell>
          <cell r="E196">
            <v>42593.858865740738</v>
          </cell>
          <cell r="F196">
            <v>42593.859780092593</v>
          </cell>
          <cell r="G196">
            <v>1</v>
          </cell>
          <cell r="H196" t="str">
            <v>204:850</v>
          </cell>
          <cell r="I196">
            <v>42593.871145833335</v>
          </cell>
          <cell r="J196">
            <v>0</v>
          </cell>
          <cell r="K196" t="str">
            <v>4041/4042</v>
          </cell>
          <cell r="L196" t="str">
            <v>HELVIE</v>
          </cell>
          <cell r="M196">
            <v>1.1365740741894115E-2</v>
          </cell>
          <cell r="N196">
            <v>16.366666668327525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https://search-rtdc-monitor-bjffxe2xuh6vdkpspy63sjmuny.us-east-1.es.amazonaws.com/_plugin/kibana/#/discover/Steve-Slow-Train-Analysis-(2080s-and-2083s)?_g=(refreshInterval:(display:Off,section:0,value:0),time:(from:'2016-08-11 19:36:46-0600',mode:absolute,to:'2016-08-11 21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6" t="str">
            <v>N</v>
          </cell>
          <cell r="X196">
            <v>1</v>
          </cell>
          <cell r="Y196">
            <v>5.8688000000000002</v>
          </cell>
          <cell r="Z196">
            <v>8.5000000000000006E-2</v>
          </cell>
          <cell r="AA196">
            <v>5.7838000000000003</v>
          </cell>
          <cell r="AB196" t="e">
            <v>#N/A</v>
          </cell>
          <cell r="AC196" t="e">
            <v>#N/A</v>
          </cell>
          <cell r="AD196" t="str">
            <v>0842-11</v>
          </cell>
          <cell r="AE196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7">
          <cell r="A197" t="str">
            <v>843-11</v>
          </cell>
          <cell r="B197">
            <v>4042</v>
          </cell>
          <cell r="C197" t="str">
            <v>DE.1.0.7.0</v>
          </cell>
          <cell r="D197" t="str">
            <v>204:1123</v>
          </cell>
          <cell r="E197">
            <v>42593.844085648147</v>
          </cell>
          <cell r="F197">
            <v>42593.845046296294</v>
          </cell>
          <cell r="G197">
            <v>1</v>
          </cell>
          <cell r="H197" t="str">
            <v>300:59010</v>
          </cell>
          <cell r="I197">
            <v>42593.857673611114</v>
          </cell>
          <cell r="J197">
            <v>0</v>
          </cell>
          <cell r="K197" t="str">
            <v>4041/4042</v>
          </cell>
          <cell r="L197" t="str">
            <v>HELVIE</v>
          </cell>
          <cell r="M197">
            <v>1.262731481983792E-2</v>
          </cell>
          <cell r="N197">
            <v>18.183333340566605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https://search-rtdc-monitor-bjffxe2xuh6vdkpspy63sjmuny.us-east-1.es.amazonaws.com/_plugin/kibana/#/discover/Steve-Slow-Train-Analysis-(2080s-and-2083s)?_g=(refreshInterval:(display:Off,section:0,value:0),time:(from:'2016-08-11 19:15:29-0600',mode:absolute,to:'2016-08-11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7" t="str">
            <v>N</v>
          </cell>
          <cell r="X197">
            <v>1</v>
          </cell>
          <cell r="Y197">
            <v>0.1123</v>
          </cell>
          <cell r="Z197">
            <v>5.9009999999999998</v>
          </cell>
          <cell r="AA197">
            <v>5.7886999999999995</v>
          </cell>
          <cell r="AB197" t="e">
            <v>#N/A</v>
          </cell>
          <cell r="AC197" t="e">
            <v>#N/A</v>
          </cell>
          <cell r="AD197" t="str">
            <v>0843-11</v>
          </cell>
          <cell r="AE197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198">
          <cell r="A198" t="str">
            <v>844-11</v>
          </cell>
          <cell r="B198">
            <v>4041</v>
          </cell>
          <cell r="C198" t="str">
            <v>DE.1.0.7.0</v>
          </cell>
          <cell r="D198" t="str">
            <v>300:58579</v>
          </cell>
          <cell r="E198">
            <v>42593.90152777778</v>
          </cell>
          <cell r="F198">
            <v>42593.902280092596</v>
          </cell>
          <cell r="G198">
            <v>1</v>
          </cell>
          <cell r="H198" t="str">
            <v>300:57755</v>
          </cell>
          <cell r="I198">
            <v>42593.904780092591</v>
          </cell>
          <cell r="J198">
            <v>1</v>
          </cell>
          <cell r="K198" t="str">
            <v>4041/4042</v>
          </cell>
          <cell r="L198" t="str">
            <v>HELVIE</v>
          </cell>
          <cell r="M198">
            <v>2.4999999950523488E-3</v>
          </cell>
          <cell r="P198">
            <v>3.5999999928753823</v>
          </cell>
          <cell r="R198" t="str">
            <v>Wi-MAX outage</v>
          </cell>
          <cell r="S198">
            <v>0</v>
          </cell>
          <cell r="T198" t="str">
            <v>Southbound</v>
          </cell>
          <cell r="U198">
            <v>0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https://search-rtdc-monitor-bjffxe2xuh6vdkpspy63sjmuny.us-east-1.es.amazonaws.com/_plugin/kibana/#/discover/Steve-Slow-Train-Analysis-(2080s-and-2083s)?_g=(refreshInterval:(display:Off,section:0,value:0),time:(from:'2016-08-11 20:38:12-0600',mode:absolute,to:'2016-08-11 22:42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8" t="str">
            <v>Y</v>
          </cell>
          <cell r="X198">
            <v>1</v>
          </cell>
          <cell r="Y198">
            <v>5.8578999999999999</v>
          </cell>
          <cell r="Z198">
            <v>5.7755000000000001</v>
          </cell>
          <cell r="AA198">
            <v>8.2399999999999807E-2</v>
          </cell>
          <cell r="AB198" t="e">
            <v>#N/A</v>
          </cell>
          <cell r="AC198" t="e">
            <v>#N/A</v>
          </cell>
          <cell r="AD198" t="str">
            <v>0844-11</v>
          </cell>
          <cell r="AE19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  <row r="199">
          <cell r="A199" t="str">
            <v>845-11</v>
          </cell>
          <cell r="B199">
            <v>4042</v>
          </cell>
          <cell r="C199" t="str">
            <v>DE.1.0.7.0</v>
          </cell>
          <cell r="D199" t="str">
            <v>204:1142</v>
          </cell>
          <cell r="E199">
            <v>42593.879675925928</v>
          </cell>
          <cell r="F199">
            <v>42593.880798611113</v>
          </cell>
          <cell r="G199">
            <v>1</v>
          </cell>
          <cell r="H199" t="str">
            <v>300:58905</v>
          </cell>
          <cell r="I199">
            <v>42593.900729166664</v>
          </cell>
          <cell r="J199">
            <v>0</v>
          </cell>
          <cell r="K199" t="str">
            <v>4041/4042</v>
          </cell>
          <cell r="L199" t="str">
            <v>HELVIE</v>
          </cell>
          <cell r="M199">
            <v>1.993055555067258E-2</v>
          </cell>
          <cell r="N199">
            <v>28.699999992968515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https://search-rtdc-monitor-bjffxe2xuh6vdkpspy63sjmuny.us-east-1.es.amazonaws.com/_plugin/kibana/#/discover/Steve-Slow-Train-Analysis-(2080s-and-2083s)?_g=(refreshInterval:(display:Off,section:0,value:0),time:(from:'2016-08-11 20:06:44-0600',mode:absolute,to:'2016-08-11 22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9" t="str">
            <v>N</v>
          </cell>
          <cell r="X199">
            <v>1</v>
          </cell>
          <cell r="Y199">
            <v>0.1142</v>
          </cell>
          <cell r="Z199">
            <v>5.8905000000000003</v>
          </cell>
          <cell r="AA199">
            <v>5.7763</v>
          </cell>
          <cell r="AB199" t="e">
            <v>#N/A</v>
          </cell>
          <cell r="AC199" t="e">
            <v>#N/A</v>
          </cell>
          <cell r="AD199" t="str">
            <v>0845-11</v>
          </cell>
          <cell r="AE199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200">
          <cell r="A200" t="str">
            <v>847-11</v>
          </cell>
          <cell r="B200">
            <v>4042</v>
          </cell>
          <cell r="C200" t="str">
            <v>DE.1.0.7.0</v>
          </cell>
          <cell r="D200" t="str">
            <v>204:958</v>
          </cell>
          <cell r="E200">
            <v>42593.925023148149</v>
          </cell>
          <cell r="F200">
            <v>42593.926041666666</v>
          </cell>
          <cell r="G200">
            <v>1</v>
          </cell>
          <cell r="H200" t="str">
            <v>300:58937</v>
          </cell>
          <cell r="I200">
            <v>42593.942650462966</v>
          </cell>
          <cell r="J200">
            <v>0</v>
          </cell>
          <cell r="K200" t="str">
            <v>4041/4042</v>
          </cell>
          <cell r="L200" t="str">
            <v>HELVIE</v>
          </cell>
          <cell r="M200">
            <v>1.6608796300715767E-2</v>
          </cell>
          <cell r="N200">
            <v>23.916666673030704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https://search-rtdc-monitor-bjffxe2xuh6vdkpspy63sjmuny.us-east-1.es.amazonaws.com/_plugin/kibana/#/discover/Steve-Slow-Train-Analysis-(2080s-and-2083s)?_g=(refreshInterval:(display:Off,section:0,value:0),time:(from:'2016-08-11 21:12:02-0600',mode:absolute,to:'2016-08-11 23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2</v>
          </cell>
          <cell r="Y200">
            <v>9.5799999999999996E-2</v>
          </cell>
          <cell r="Z200">
            <v>5.8936999999999999</v>
          </cell>
          <cell r="AA200">
            <v>5.7979000000000003</v>
          </cell>
          <cell r="AB200" t="e">
            <v>#N/A</v>
          </cell>
          <cell r="AC200" t="e">
            <v>#N/A</v>
          </cell>
          <cell r="AD200" t="str">
            <v>0847-11</v>
          </cell>
          <cell r="AE200" t="str">
    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    </cell>
        </row>
        <row r="201">
          <cell r="A201" t="str">
            <v>307-11</v>
          </cell>
          <cell r="B201">
            <v>4031</v>
          </cell>
          <cell r="C201" t="str">
            <v>DE.1.0.7.0</v>
          </cell>
          <cell r="D201" t="str">
            <v>204:455</v>
          </cell>
          <cell r="E201">
            <v>42593.872337962966</v>
          </cell>
          <cell r="F201">
            <v>42593.876145833332</v>
          </cell>
          <cell r="G201">
            <v>5</v>
          </cell>
          <cell r="H201" t="str">
            <v>204:781</v>
          </cell>
          <cell r="I201">
            <v>42593.883310185185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7.1643518531345762E-3</v>
          </cell>
          <cell r="N201">
            <v>10.31666666851379</v>
          </cell>
          <cell r="S201">
            <v>0</v>
          </cell>
          <cell r="T201" t="str">
            <v>NorthBound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https://search-rtdc-monitor-bjffxe2xuh6vdkpspy63sjmuny.us-east-1.es.amazonaws.com/_plugin/kibana/#/discover/Steve-Slow-Train-Analysis-(2080s-and-2083s)?_g=(refreshInterval:(display:Off,section:0,value:0),time:(from:'2016-08-11 19:56:10-0600',mode:absolute,to:'2016-08-11 22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1" t="str">
            <v>Y</v>
          </cell>
          <cell r="X201">
            <v>63</v>
          </cell>
          <cell r="Y201">
            <v>4.5499999999999999E-2</v>
          </cell>
          <cell r="Z201">
            <v>7.8100000000000003E-2</v>
          </cell>
          <cell r="AA201">
            <v>3.2600000000000004E-2</v>
          </cell>
          <cell r="AB201" t="e">
            <v>#N/A</v>
          </cell>
          <cell r="AC201" t="e">
            <v>#N/A</v>
          </cell>
          <cell r="AD201" t="str">
            <v>0307-11</v>
          </cell>
          <cell r="AE201" t="str">
    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    </cell>
        </row>
        <row r="202">
          <cell r="A202" t="str">
            <v>311-11</v>
          </cell>
          <cell r="B202">
            <v>4014</v>
          </cell>
          <cell r="C202" t="str">
            <v>DE.1.0.7.0</v>
          </cell>
          <cell r="D202" t="str">
            <v>204:458</v>
          </cell>
          <cell r="E202">
            <v>42594.049618055556</v>
          </cell>
          <cell r="F202">
            <v>42594.050717592596</v>
          </cell>
          <cell r="G202">
            <v>1</v>
          </cell>
          <cell r="H202" t="str">
            <v>300:22697</v>
          </cell>
          <cell r="I202">
            <v>42594.059641203705</v>
          </cell>
          <cell r="J202">
            <v>0</v>
          </cell>
          <cell r="K202" t="str">
            <v>4013/4014</v>
          </cell>
          <cell r="L202" t="str">
            <v>STURGEON</v>
          </cell>
          <cell r="M202">
            <v>8.923611108912155E-3</v>
          </cell>
          <cell r="N202">
            <v>12.849999996833503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https://search-rtdc-monitor-bjffxe2xuh6vdkpspy63sjmuny.us-east-1.es.amazonaws.com/_plugin/kibana/#/discover/Steve-Slow-Train-Analysis-(2080s-and-2083s)?_g=(refreshInterval:(display:Off,section:0,value:0),time:(from:'2016-08-12 00:11:27-0600',mode:absolute,to:'2016-08-12 02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2" t="str">
            <v>Y</v>
          </cell>
          <cell r="X202">
            <v>4</v>
          </cell>
          <cell r="Y202">
            <v>4.58E-2</v>
          </cell>
          <cell r="Z202">
            <v>2.2696999999999998</v>
          </cell>
          <cell r="AA202">
            <v>2.2239</v>
          </cell>
          <cell r="AB202" t="e">
            <v>#N/A</v>
          </cell>
          <cell r="AC202" t="e">
            <v>#N/A</v>
          </cell>
          <cell r="AD202" t="str">
            <v>0311-11</v>
          </cell>
          <cell r="AE202" t="str">
    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    </cell>
        </row>
        <row r="203">
          <cell r="A203" t="str">
            <v>315-11</v>
          </cell>
          <cell r="B203">
            <v>4025</v>
          </cell>
          <cell r="C203" t="str">
            <v>DE.1.0.7.0</v>
          </cell>
          <cell r="D203" t="str">
            <v>204:489</v>
          </cell>
          <cell r="E203">
            <v>42594.087685185186</v>
          </cell>
          <cell r="F203">
            <v>42594.089050925926</v>
          </cell>
          <cell r="G203">
            <v>1</v>
          </cell>
          <cell r="H203" t="str">
            <v>300:23308</v>
          </cell>
          <cell r="I203">
            <v>42594.100300925929</v>
          </cell>
          <cell r="J203">
            <v>0</v>
          </cell>
          <cell r="K203" t="str">
            <v>4025/4026</v>
          </cell>
          <cell r="L203" t="str">
            <v>ISHMAE</v>
          </cell>
          <cell r="M203">
            <v>1.1250000003201421E-2</v>
          </cell>
          <cell r="N203">
            <v>16.200000004610047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https://search-rtdc-monitor-bjffxe2xuh6vdkpspy63sjmuny.us-east-1.es.amazonaws.com/_plugin/kibana/#/discover/Steve-Slow-Train-Analysis-(2080s-and-2083s)?_g=(refreshInterval:(display:Off,section:0,value:0),time:(from:'2016-08-12 01:06:16-0600',mode:absolute,to:'2016-08-12 03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3" t="str">
            <v>Y</v>
          </cell>
          <cell r="X203">
            <v>4</v>
          </cell>
          <cell r="Y203">
            <v>4.8899999999999999E-2</v>
          </cell>
          <cell r="Z203">
            <v>2.3308</v>
          </cell>
          <cell r="AA203">
            <v>2.2818999999999998</v>
          </cell>
          <cell r="AB203" t="e">
            <v>#N/A</v>
          </cell>
          <cell r="AC203" t="e">
            <v>#N/A</v>
          </cell>
          <cell r="AD203" t="str">
            <v>0315-11</v>
          </cell>
          <cell r="AE203" t="str">
    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    </cell>
        </row>
        <row r="204">
          <cell r="A204" t="str">
            <v>50-11</v>
          </cell>
          <cell r="B204">
            <v>4021</v>
          </cell>
          <cell r="C204" t="str">
            <v>DE.1.0.7.0</v>
          </cell>
          <cell r="D204" t="str">
            <v>300:24559</v>
          </cell>
          <cell r="E204">
            <v>42593.426168981481</v>
          </cell>
          <cell r="F204">
            <v>42593.430601851855</v>
          </cell>
          <cell r="G204">
            <v>6</v>
          </cell>
          <cell r="H204" t="str">
            <v>300:24053</v>
          </cell>
          <cell r="I204">
            <v>42593.431956018518</v>
          </cell>
          <cell r="J204">
            <v>1</v>
          </cell>
          <cell r="K204" t="str">
            <v>4021/4022</v>
          </cell>
          <cell r="L204" t="str">
            <v>SWANSON</v>
          </cell>
          <cell r="M204">
            <v>1.3541666630771942E-3</v>
          </cell>
          <cell r="N204">
            <v>1.9499999948311597</v>
          </cell>
          <cell r="S204">
            <v>0</v>
          </cell>
          <cell r="T204" t="e">
            <v>#VALUE!</v>
          </cell>
          <cell r="U204">
            <v>0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https://search-rtdc-monitor-bjffxe2xuh6vdkpspy63sjmuny.us-east-1.es.amazonaws.com/_plugin/kibana/#/discover/Steve-Slow-Train-Analysis-(2080s-and-2083s)?_g=(refreshInterval:(display:Off,section:0,value:0),time:(from:'2016-08-11 09:13:41-0600',mode:absolute,to:'2016-08-11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    </cell>
          <cell r="W204" t="str">
            <v>Y</v>
          </cell>
          <cell r="X204" t="e">
            <v>#VALUE!</v>
          </cell>
          <cell r="Y204">
            <v>2.4559000000000002</v>
          </cell>
          <cell r="Z204">
            <v>2.4053</v>
          </cell>
          <cell r="AA204">
            <v>5.06000000000002E-2</v>
          </cell>
          <cell r="AB204" t="e">
            <v>#N/A</v>
          </cell>
          <cell r="AC204" t="e">
            <v>#N/A</v>
          </cell>
          <cell r="AD204" t="str">
            <v>50-11</v>
          </cell>
          <cell r="AE204" t="str">
    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    </cell>
        </row>
        <row r="205">
          <cell r="A205" t="str">
            <v>52-11</v>
          </cell>
          <cell r="B205">
            <v>4021</v>
          </cell>
          <cell r="C205" t="str">
            <v>DE.1.0.7.0</v>
          </cell>
          <cell r="D205" t="str">
            <v>300:24409</v>
          </cell>
          <cell r="E205">
            <v>42593.503136574072</v>
          </cell>
          <cell r="F205">
            <v>42593.507187499999</v>
          </cell>
          <cell r="G205">
            <v>5</v>
          </cell>
          <cell r="H205" t="str">
            <v>300:24282</v>
          </cell>
          <cell r="I205">
            <v>42593.507881944446</v>
          </cell>
          <cell r="J205">
            <v>1</v>
          </cell>
          <cell r="K205" t="str">
            <v>4021/4022</v>
          </cell>
          <cell r="L205" t="str">
            <v>HAITHCOX</v>
          </cell>
          <cell r="M205">
            <v>6.944444467080757E-4</v>
          </cell>
          <cell r="N205">
            <v>1.000000003259629</v>
          </cell>
          <cell r="S205">
            <v>0</v>
          </cell>
          <cell r="T205" t="e">
            <v>#VALUE!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https://search-rtdc-monitor-bjffxe2xuh6vdkpspy63sjmuny.us-east-1.es.amazonaws.com/_plugin/kibana/#/discover/Steve-Slow-Train-Analysis-(2080s-and-2083s)?_g=(refreshInterval:(display:Off,section:0,value:0),time:(from:'2016-08-11 11:04:31-0600',mode:absolute,to:'2016-08-11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    </cell>
          <cell r="W205" t="str">
            <v>Y</v>
          </cell>
          <cell r="X205" t="e">
            <v>#VALUE!</v>
          </cell>
          <cell r="Y205">
            <v>2.4409000000000001</v>
          </cell>
          <cell r="Z205">
            <v>2.4281999999999999</v>
          </cell>
          <cell r="AA205">
            <v>1.2700000000000156E-2</v>
          </cell>
          <cell r="AB205" t="e">
            <v>#N/A</v>
          </cell>
          <cell r="AC205" t="e">
            <v>#N/A</v>
          </cell>
          <cell r="AD205" t="str">
            <v>52-11</v>
          </cell>
          <cell r="AE205" t="str">
    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    </cell>
        </row>
        <row r="206">
          <cell r="A206" t="str">
            <v>904-11</v>
          </cell>
          <cell r="B206">
            <v>4004</v>
          </cell>
          <cell r="C206" t="str">
            <v>DE.1.0.7.0</v>
          </cell>
          <cell r="D206" t="str">
            <v>300:23569</v>
          </cell>
          <cell r="E206">
            <v>42593.634062500001</v>
          </cell>
          <cell r="F206">
            <v>42593.638518518521</v>
          </cell>
          <cell r="G206">
            <v>6</v>
          </cell>
          <cell r="H206" t="str">
            <v>204:682</v>
          </cell>
          <cell r="I206">
            <v>42593.645428240743</v>
          </cell>
          <cell r="J206">
            <v>0</v>
          </cell>
          <cell r="K206" t="str">
            <v>4003/4004</v>
          </cell>
          <cell r="L206" t="str">
            <v>ROBINSON</v>
          </cell>
          <cell r="M206">
            <v>6.9097222221898846E-3</v>
          </cell>
          <cell r="N206">
            <v>9.9499999999534339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https://search-rtdc-monitor-bjffxe2xuh6vdkpspy63sjmuny.us-east-1.es.amazonaws.com/_plugin/kibana/#/discover/Steve-Slow-Train-Analysis-(2080s-and-2083s)?_g=(refreshInterval:(display:Off,section:0,value:0),time:(from:'2016-08-11 14:13:03-0600',mode:absolute,to:'2016-08-11 16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206" t="str">
            <v>Y</v>
          </cell>
          <cell r="X206">
            <v>57</v>
          </cell>
          <cell r="Y206">
            <v>2.3569</v>
          </cell>
          <cell r="Z206">
            <v>6.8199999999999997E-2</v>
          </cell>
          <cell r="AA206">
            <v>2.2887</v>
          </cell>
          <cell r="AB206" t="e">
            <v>#N/A</v>
          </cell>
          <cell r="AC206" t="e">
            <v>#N/A</v>
          </cell>
          <cell r="AD206" t="str">
            <v>0904-11</v>
          </cell>
          <cell r="AE206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207">
          <cell r="A207" t="str">
            <v>906-11</v>
          </cell>
          <cell r="B207">
            <v>4004</v>
          </cell>
          <cell r="C207" t="str">
            <v>DE.1.0.7.0</v>
          </cell>
          <cell r="D207" t="str">
            <v>300:58645</v>
          </cell>
          <cell r="E207">
            <v>42593.796365740738</v>
          </cell>
          <cell r="F207">
            <v>42593.797256944446</v>
          </cell>
          <cell r="G207">
            <v>1</v>
          </cell>
          <cell r="H207" t="str">
            <v>300:28791</v>
          </cell>
          <cell r="I207">
            <v>42593.802719907406</v>
          </cell>
          <cell r="J207">
            <v>0</v>
          </cell>
          <cell r="K207" t="str">
            <v>4003/4004</v>
          </cell>
          <cell r="L207" t="str">
            <v>ROBINSON</v>
          </cell>
          <cell r="M207">
            <v>5.4629629594273865E-3</v>
          </cell>
          <cell r="N207">
            <v>7.8666666615754366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https://search-rtdc-monitor-bjffxe2xuh6vdkpspy63sjmuny.us-east-1.es.amazonaws.com/_plugin/kibana/#/discover/Steve-Slow-Train-Analysis-(2080s-and-2083s)?_g=(refreshInterval:(display:Off,section:0,value:0),time:(from:'2016-08-11 18:06:46-0600',mode:absolute,to:'2016-08-11 20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    </cell>
          <cell r="W207" t="str">
            <v>Y</v>
          </cell>
          <cell r="X207">
            <v>2</v>
          </cell>
          <cell r="Y207">
            <v>5.8644999999999996</v>
          </cell>
          <cell r="Z207">
            <v>2.8791000000000002</v>
          </cell>
          <cell r="AA207">
            <v>2.9853999999999994</v>
          </cell>
          <cell r="AB207" t="e">
            <v>#N/A</v>
          </cell>
          <cell r="AC207" t="e">
            <v>#N/A</v>
          </cell>
          <cell r="AD207" t="str">
            <v>0906-11</v>
          </cell>
          <cell r="AE207" t="str">
    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    </cell>
        </row>
        <row r="208">
          <cell r="A208" t="str">
            <v>908-11</v>
          </cell>
          <cell r="B208">
            <v>4041</v>
          </cell>
          <cell r="C208" t="str">
            <v>DE.1.0.7.0</v>
          </cell>
          <cell r="D208" t="str">
            <v>300:58619</v>
          </cell>
          <cell r="E208">
            <v>42593.943773148145</v>
          </cell>
          <cell r="F208">
            <v>42593.944745370369</v>
          </cell>
          <cell r="G208">
            <v>1</v>
          </cell>
          <cell r="H208" t="str">
            <v>300:21606</v>
          </cell>
          <cell r="I208">
            <v>42593.94972222222</v>
          </cell>
          <cell r="J208">
            <v>0</v>
          </cell>
          <cell r="K208" t="str">
            <v>4041/4042</v>
          </cell>
          <cell r="L208" t="str">
            <v>ROBINSON</v>
          </cell>
          <cell r="M208">
            <v>4.9768518510973081E-3</v>
          </cell>
          <cell r="N208">
            <v>7.1666666655801237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https://search-rtdc-monitor-bjffxe2xuh6vdkpspy63sjmuny.us-east-1.es.amazonaws.com/_plugin/kibana/#/discover/Steve-Slow-Train-Analysis-(2080s-and-2083s)?_g=(refreshInterval:(display:Off,section:0,value:0),time:(from:'2016-08-11 21:39:02-0600',mode:absolute,to:'2016-08-11 23:47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8" t="str">
            <v>Y</v>
          </cell>
          <cell r="X208">
            <v>2</v>
          </cell>
          <cell r="Y208">
            <v>5.8619000000000003</v>
          </cell>
          <cell r="Z208">
            <v>2.1606000000000001</v>
          </cell>
          <cell r="AA208">
            <v>3.7013000000000003</v>
          </cell>
          <cell r="AB208" t="e">
            <v>#N/A</v>
          </cell>
          <cell r="AC208" t="e">
            <v>#N/A</v>
          </cell>
          <cell r="AD208" t="str">
            <v>0908-11</v>
          </cell>
          <cell r="AE208" t="str">
    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    </cell>
        </row>
      </sheetData>
      <sheetData sheetId="1" refreshError="1"/>
      <sheetData sheetId="2" refreshError="1"/>
      <sheetData sheetId="3">
        <row r="1">
          <cell r="C1" t="str">
            <v>103-11</v>
          </cell>
          <cell r="D1">
            <v>1110000</v>
          </cell>
          <cell r="E1" t="str">
            <v>STARKS</v>
          </cell>
        </row>
        <row r="2">
          <cell r="C2" t="str">
            <v>102-11</v>
          </cell>
          <cell r="D2">
            <v>2010000</v>
          </cell>
          <cell r="E2" t="str">
            <v>MAELZER</v>
          </cell>
        </row>
        <row r="3">
          <cell r="C3" t="str">
            <v>105-11</v>
          </cell>
          <cell r="D3">
            <v>1310000</v>
          </cell>
          <cell r="E3" t="str">
            <v>MALAVE</v>
          </cell>
        </row>
        <row r="4">
          <cell r="C4" t="str">
            <v>107-11</v>
          </cell>
          <cell r="D4">
            <v>1760000</v>
          </cell>
          <cell r="E4" t="str">
            <v>STRICKLAND</v>
          </cell>
        </row>
        <row r="5">
          <cell r="C5" t="str">
            <v>105-11</v>
          </cell>
          <cell r="D5">
            <v>1310000</v>
          </cell>
          <cell r="E5" t="str">
            <v>MALAVE</v>
          </cell>
        </row>
        <row r="6">
          <cell r="C6" t="str">
            <v>104-11</v>
          </cell>
          <cell r="D6">
            <v>1110000</v>
          </cell>
          <cell r="E6" t="str">
            <v>STARKS</v>
          </cell>
        </row>
        <row r="7">
          <cell r="C7" t="str">
            <v>109-11</v>
          </cell>
          <cell r="D7">
            <v>900000</v>
          </cell>
          <cell r="E7" t="str">
            <v>ROCHA</v>
          </cell>
        </row>
        <row r="8">
          <cell r="C8" t="str">
            <v>104-11</v>
          </cell>
          <cell r="D8">
            <v>1110000</v>
          </cell>
          <cell r="E8" t="str">
            <v>STARKS</v>
          </cell>
        </row>
        <row r="9">
          <cell r="C9" t="str">
            <v>104-11</v>
          </cell>
          <cell r="D9">
            <v>1110000</v>
          </cell>
          <cell r="E9" t="str">
            <v>STARKS</v>
          </cell>
        </row>
        <row r="10">
          <cell r="C10" t="str">
            <v>111-11</v>
          </cell>
          <cell r="D10">
            <v>1360000</v>
          </cell>
          <cell r="E10" t="str">
            <v>SANTIZO</v>
          </cell>
        </row>
        <row r="11">
          <cell r="C11" t="str">
            <v>800-11</v>
          </cell>
          <cell r="D11">
            <v>1830000</v>
          </cell>
          <cell r="E11" t="str">
            <v>YORK</v>
          </cell>
        </row>
        <row r="12">
          <cell r="C12" t="str">
            <v>106-11</v>
          </cell>
          <cell r="D12">
            <v>1310000</v>
          </cell>
          <cell r="E12" t="str">
            <v>MALAVE</v>
          </cell>
        </row>
        <row r="13">
          <cell r="C13" t="str">
            <v>106-11</v>
          </cell>
          <cell r="D13">
            <v>1310000</v>
          </cell>
          <cell r="E13" t="str">
            <v>MALAVE</v>
          </cell>
        </row>
        <row r="14">
          <cell r="C14" t="str">
            <v>113-11</v>
          </cell>
          <cell r="D14">
            <v>2010000</v>
          </cell>
          <cell r="E14" t="str">
            <v>MAELZER</v>
          </cell>
        </row>
        <row r="15">
          <cell r="C15" t="str">
            <v>108-11</v>
          </cell>
          <cell r="D15">
            <v>1760000</v>
          </cell>
          <cell r="E15" t="str">
            <v>STRICKLAND</v>
          </cell>
        </row>
        <row r="16">
          <cell r="C16" t="str">
            <v>801-11</v>
          </cell>
          <cell r="D16">
            <v>1830000</v>
          </cell>
          <cell r="E16" t="str">
            <v>YORK</v>
          </cell>
        </row>
        <row r="17">
          <cell r="C17" t="str">
            <v>115-11</v>
          </cell>
          <cell r="D17">
            <v>1190000</v>
          </cell>
          <cell r="E17" t="str">
            <v>BRANNON</v>
          </cell>
        </row>
        <row r="18">
          <cell r="C18" t="str">
            <v>115-11</v>
          </cell>
          <cell r="D18">
            <v>1190000</v>
          </cell>
          <cell r="E18" t="str">
            <v>BRANNON</v>
          </cell>
        </row>
        <row r="19">
          <cell r="C19" t="str">
            <v>110-11</v>
          </cell>
          <cell r="D19">
            <v>900000</v>
          </cell>
          <cell r="E19" t="str">
            <v>ROCHA</v>
          </cell>
        </row>
        <row r="20">
          <cell r="C20" t="str">
            <v>117-11</v>
          </cell>
          <cell r="D20">
            <v>1110000</v>
          </cell>
          <cell r="E20" t="str">
            <v>STARKS</v>
          </cell>
        </row>
        <row r="21">
          <cell r="C21" t="str">
            <v>112-11</v>
          </cell>
          <cell r="D21">
            <v>1360000</v>
          </cell>
          <cell r="E21" t="str">
            <v>SANTIZO</v>
          </cell>
        </row>
        <row r="22">
          <cell r="C22" t="str">
            <v>119-11</v>
          </cell>
          <cell r="D22">
            <v>1310000</v>
          </cell>
          <cell r="E22" t="str">
            <v>MALAVE</v>
          </cell>
        </row>
        <row r="23">
          <cell r="C23" t="str">
            <v>114-11</v>
          </cell>
          <cell r="D23">
            <v>2010000</v>
          </cell>
          <cell r="E23" t="str">
            <v>MAELZER</v>
          </cell>
        </row>
        <row r="24">
          <cell r="C24" t="str">
            <v>802-11</v>
          </cell>
          <cell r="D24">
            <v>1830000</v>
          </cell>
          <cell r="E24" t="str">
            <v>YORK</v>
          </cell>
        </row>
        <row r="25">
          <cell r="C25" t="str">
            <v>121-11</v>
          </cell>
          <cell r="D25">
            <v>1760000</v>
          </cell>
          <cell r="E25" t="str">
            <v>STRICKLAND</v>
          </cell>
        </row>
        <row r="26">
          <cell r="C26" t="str">
            <v>803-11</v>
          </cell>
          <cell r="D26">
            <v>2110000</v>
          </cell>
          <cell r="E26" t="str">
            <v>OUN</v>
          </cell>
        </row>
        <row r="27">
          <cell r="C27" t="str">
            <v>116-11</v>
          </cell>
          <cell r="D27">
            <v>1190000</v>
          </cell>
          <cell r="E27" t="str">
            <v>BRANNON</v>
          </cell>
        </row>
        <row r="28">
          <cell r="C28" t="str">
            <v>805-11</v>
          </cell>
          <cell r="D28">
            <v>1830000</v>
          </cell>
          <cell r="E28" t="str">
            <v>YORK</v>
          </cell>
        </row>
        <row r="29">
          <cell r="C29" t="str">
            <v>123-11</v>
          </cell>
          <cell r="D29">
            <v>900000</v>
          </cell>
          <cell r="E29" t="str">
            <v>ROCHA</v>
          </cell>
        </row>
        <row r="30">
          <cell r="C30" t="str">
            <v>118-11</v>
          </cell>
          <cell r="D30">
            <v>1110000</v>
          </cell>
          <cell r="E30" t="str">
            <v>STARKS</v>
          </cell>
        </row>
        <row r="31">
          <cell r="C31" t="str">
            <v>804-11</v>
          </cell>
          <cell r="D31">
            <v>2110000</v>
          </cell>
          <cell r="E31" t="str">
            <v>OUN</v>
          </cell>
        </row>
        <row r="32">
          <cell r="C32" t="str">
            <v>125-11</v>
          </cell>
          <cell r="D32">
            <v>1360000</v>
          </cell>
          <cell r="E32" t="str">
            <v>SANTIZO</v>
          </cell>
        </row>
        <row r="33">
          <cell r="C33" t="str">
            <v>120-11</v>
          </cell>
          <cell r="D33">
            <v>1310000</v>
          </cell>
          <cell r="E33" t="str">
            <v>MALAVE</v>
          </cell>
        </row>
        <row r="34">
          <cell r="C34" t="str">
            <v>127-11</v>
          </cell>
          <cell r="D34">
            <v>2010000</v>
          </cell>
          <cell r="E34" t="str">
            <v>MAELZER</v>
          </cell>
        </row>
        <row r="35">
          <cell r="C35" t="str">
            <v>806-11</v>
          </cell>
          <cell r="D35">
            <v>1830000</v>
          </cell>
          <cell r="E35" t="str">
            <v>YORK</v>
          </cell>
        </row>
        <row r="36">
          <cell r="C36" t="str">
            <v>129-11</v>
          </cell>
          <cell r="D36">
            <v>1190000</v>
          </cell>
          <cell r="E36" t="str">
            <v>BRANNON</v>
          </cell>
        </row>
        <row r="37">
          <cell r="C37" t="str">
            <v>122-11</v>
          </cell>
          <cell r="D37">
            <v>1760000</v>
          </cell>
          <cell r="E37" t="str">
            <v>STRICKLAND</v>
          </cell>
        </row>
        <row r="38">
          <cell r="C38" t="str">
            <v>807-11</v>
          </cell>
          <cell r="D38">
            <v>2110000</v>
          </cell>
          <cell r="E38" t="str">
            <v>OUN</v>
          </cell>
        </row>
        <row r="39">
          <cell r="C39" t="str">
            <v>126-11</v>
          </cell>
          <cell r="D39">
            <v>1360000</v>
          </cell>
          <cell r="E39" t="str">
            <v>SANTIZO</v>
          </cell>
        </row>
        <row r="40">
          <cell r="C40" t="str">
            <v>124-11</v>
          </cell>
          <cell r="D40">
            <v>900000</v>
          </cell>
          <cell r="E40" t="str">
            <v>ROCHA</v>
          </cell>
        </row>
        <row r="41">
          <cell r="C41" t="str">
            <v>809-11</v>
          </cell>
          <cell r="D41">
            <v>1830000</v>
          </cell>
          <cell r="E41" t="str">
            <v>YORK</v>
          </cell>
        </row>
        <row r="42">
          <cell r="C42" t="str">
            <v>131-11</v>
          </cell>
          <cell r="D42">
            <v>1110000</v>
          </cell>
          <cell r="E42" t="str">
            <v>STARKS</v>
          </cell>
        </row>
        <row r="43">
          <cell r="C43" t="str">
            <v>808-11</v>
          </cell>
          <cell r="D43">
            <v>2110000</v>
          </cell>
          <cell r="E43" t="str">
            <v>OUN</v>
          </cell>
        </row>
        <row r="44">
          <cell r="C44" t="str">
            <v>133-11</v>
          </cell>
          <cell r="D44">
            <v>1310000</v>
          </cell>
          <cell r="E44" t="str">
            <v>MALAVE</v>
          </cell>
        </row>
        <row r="45">
          <cell r="C45" t="str">
            <v>128-11</v>
          </cell>
          <cell r="D45">
            <v>2010000</v>
          </cell>
          <cell r="E45" t="str">
            <v>MAELZER</v>
          </cell>
        </row>
        <row r="46">
          <cell r="C46" t="str">
            <v>133-11</v>
          </cell>
          <cell r="D46">
            <v>1310000</v>
          </cell>
          <cell r="E46" t="str">
            <v>MALAVE</v>
          </cell>
        </row>
        <row r="47">
          <cell r="C47" t="str">
            <v>135-11</v>
          </cell>
          <cell r="D47">
            <v>1760000</v>
          </cell>
          <cell r="E47" t="str">
            <v>STRICKLAND</v>
          </cell>
        </row>
        <row r="48">
          <cell r="C48" t="str">
            <v>130-11</v>
          </cell>
          <cell r="D48">
            <v>1190000</v>
          </cell>
          <cell r="E48" t="str">
            <v>BRANNON</v>
          </cell>
        </row>
        <row r="49">
          <cell r="C49" t="str">
            <v>810-11</v>
          </cell>
          <cell r="D49">
            <v>1830000</v>
          </cell>
          <cell r="E49" t="str">
            <v>YORK</v>
          </cell>
        </row>
        <row r="50">
          <cell r="C50" t="str">
            <v>137-11</v>
          </cell>
          <cell r="D50">
            <v>900000</v>
          </cell>
          <cell r="E50" t="str">
            <v>ROCHA</v>
          </cell>
        </row>
        <row r="51">
          <cell r="C51" t="str">
            <v>811-11</v>
          </cell>
          <cell r="D51">
            <v>2110000</v>
          </cell>
          <cell r="E51" t="str">
            <v>OUN</v>
          </cell>
        </row>
        <row r="52">
          <cell r="C52" t="str">
            <v>132-11</v>
          </cell>
          <cell r="D52">
            <v>1110000</v>
          </cell>
          <cell r="E52" t="str">
            <v>STARKS</v>
          </cell>
        </row>
        <row r="53">
          <cell r="C53" t="str">
            <v>139-11</v>
          </cell>
          <cell r="D53">
            <v>1360000</v>
          </cell>
          <cell r="E53" t="str">
            <v>SANTIZO</v>
          </cell>
        </row>
        <row r="54">
          <cell r="C54" t="str">
            <v>134-11</v>
          </cell>
          <cell r="D54">
            <v>1310000</v>
          </cell>
          <cell r="E54" t="str">
            <v>MALAVE</v>
          </cell>
        </row>
        <row r="55">
          <cell r="C55" t="str">
            <v>134-11</v>
          </cell>
          <cell r="D55">
            <v>1310000</v>
          </cell>
          <cell r="E55" t="str">
            <v>MALAVE</v>
          </cell>
        </row>
        <row r="56">
          <cell r="C56" t="str">
            <v>812-11</v>
          </cell>
          <cell r="D56">
            <v>2110000</v>
          </cell>
          <cell r="E56" t="str">
            <v>OUN</v>
          </cell>
        </row>
        <row r="57">
          <cell r="C57" t="str">
            <v>141-11</v>
          </cell>
          <cell r="D57">
            <v>2010000</v>
          </cell>
          <cell r="E57" t="str">
            <v>MAELZER</v>
          </cell>
        </row>
        <row r="58">
          <cell r="C58" t="str">
            <v>143-11</v>
          </cell>
          <cell r="D58">
            <v>1190000</v>
          </cell>
          <cell r="E58" t="str">
            <v>BRANNON</v>
          </cell>
        </row>
        <row r="59">
          <cell r="C59" t="str">
            <v>149-11</v>
          </cell>
          <cell r="D59">
            <v>1760000</v>
          </cell>
          <cell r="E59" t="str">
            <v>STRICKLAND</v>
          </cell>
        </row>
        <row r="60">
          <cell r="C60" t="str">
            <v>149-11</v>
          </cell>
          <cell r="D60">
            <v>1760000</v>
          </cell>
          <cell r="E60" t="str">
            <v>STRICKLAND</v>
          </cell>
        </row>
        <row r="61">
          <cell r="C61" t="str">
            <v>136-11</v>
          </cell>
          <cell r="D61">
            <v>1760000</v>
          </cell>
          <cell r="E61" t="str">
            <v>STRICKLAND</v>
          </cell>
        </row>
        <row r="62">
          <cell r="C62" t="str">
            <v>136-11</v>
          </cell>
          <cell r="D62">
            <v>1760000</v>
          </cell>
          <cell r="E62" t="str">
            <v>STRICKLAND</v>
          </cell>
        </row>
        <row r="63">
          <cell r="C63" t="str">
            <v>138-11</v>
          </cell>
          <cell r="D63">
            <v>900000</v>
          </cell>
          <cell r="E63" t="str">
            <v>ROCHA</v>
          </cell>
        </row>
        <row r="64">
          <cell r="C64" t="str">
            <v>145-11</v>
          </cell>
          <cell r="D64">
            <v>1110000</v>
          </cell>
          <cell r="E64" t="str">
            <v>STARKS</v>
          </cell>
        </row>
        <row r="65">
          <cell r="C65" t="str">
            <v>813-11</v>
          </cell>
          <cell r="D65">
            <v>2110000</v>
          </cell>
          <cell r="E65" t="str">
            <v>OUN</v>
          </cell>
        </row>
        <row r="66">
          <cell r="C66" t="str">
            <v>140-11</v>
          </cell>
          <cell r="D66">
            <v>1360000</v>
          </cell>
          <cell r="E66" t="str">
            <v>SANTIZO</v>
          </cell>
        </row>
        <row r="67">
          <cell r="C67" t="str">
            <v>147-11</v>
          </cell>
          <cell r="D67">
            <v>1310000</v>
          </cell>
          <cell r="E67" t="str">
            <v>MALAVE</v>
          </cell>
        </row>
        <row r="68">
          <cell r="C68" t="str">
            <v>142-11</v>
          </cell>
          <cell r="D68">
            <v>2010000</v>
          </cell>
          <cell r="E68" t="str">
            <v>MAELZER</v>
          </cell>
        </row>
        <row r="69">
          <cell r="C69" t="str">
            <v>814-11</v>
          </cell>
          <cell r="D69">
            <v>2110000</v>
          </cell>
          <cell r="E69" t="str">
            <v>OUN</v>
          </cell>
        </row>
        <row r="70">
          <cell r="C70" t="str">
            <v>149-11</v>
          </cell>
          <cell r="D70">
            <v>1760000</v>
          </cell>
          <cell r="E70" t="str">
            <v>STRICKLAND</v>
          </cell>
        </row>
        <row r="71">
          <cell r="C71" t="str">
            <v>144-11</v>
          </cell>
          <cell r="D71">
            <v>1190000</v>
          </cell>
          <cell r="E71" t="str">
            <v>BRANNON</v>
          </cell>
        </row>
        <row r="72">
          <cell r="C72" t="str">
            <v>151-11</v>
          </cell>
          <cell r="D72">
            <v>900000</v>
          </cell>
          <cell r="E72" t="str">
            <v>ROCHA</v>
          </cell>
        </row>
        <row r="73">
          <cell r="C73" t="str">
            <v>146-11</v>
          </cell>
          <cell r="D73">
            <v>1110000</v>
          </cell>
          <cell r="E73" t="str">
            <v>STARKS</v>
          </cell>
        </row>
        <row r="74">
          <cell r="C74" t="str">
            <v>153-11</v>
          </cell>
          <cell r="D74">
            <v>1360000</v>
          </cell>
          <cell r="E74" t="str">
            <v>SANTIZO</v>
          </cell>
        </row>
        <row r="75">
          <cell r="C75" t="str">
            <v>815-11</v>
          </cell>
          <cell r="D75">
            <v>2110000</v>
          </cell>
          <cell r="E75" t="str">
            <v>OUN</v>
          </cell>
        </row>
        <row r="76">
          <cell r="C76" t="str">
            <v>50-11</v>
          </cell>
          <cell r="D76">
            <v>2150000</v>
          </cell>
          <cell r="E76" t="str">
            <v>SWANSON</v>
          </cell>
        </row>
        <row r="77">
          <cell r="C77" t="str">
            <v>148-11</v>
          </cell>
          <cell r="D77">
            <v>1310000</v>
          </cell>
          <cell r="E77" t="str">
            <v>MALAVE</v>
          </cell>
        </row>
        <row r="78">
          <cell r="C78" t="str">
            <v>155-11</v>
          </cell>
          <cell r="D78">
            <v>1830000</v>
          </cell>
          <cell r="E78" t="str">
            <v>YORK</v>
          </cell>
        </row>
        <row r="79">
          <cell r="C79" t="str">
            <v>816-11</v>
          </cell>
          <cell r="D79">
            <v>2110000</v>
          </cell>
          <cell r="E79" t="str">
            <v>OUN</v>
          </cell>
        </row>
        <row r="80">
          <cell r="C80" t="str">
            <v>157-11</v>
          </cell>
          <cell r="D80">
            <v>1190000</v>
          </cell>
          <cell r="E80" t="str">
            <v>BRANNON</v>
          </cell>
        </row>
        <row r="81">
          <cell r="C81" t="str">
            <v>152-11</v>
          </cell>
          <cell r="D81">
            <v>900000</v>
          </cell>
          <cell r="E81" t="str">
            <v>ROCHA</v>
          </cell>
        </row>
        <row r="82">
          <cell r="C82" t="str">
            <v>159-11</v>
          </cell>
          <cell r="D82">
            <v>2150000</v>
          </cell>
          <cell r="E82" t="str">
            <v>SWANSON</v>
          </cell>
        </row>
        <row r="83">
          <cell r="C83" t="str">
            <v>817-11</v>
          </cell>
          <cell r="D83">
            <v>2110000</v>
          </cell>
          <cell r="E83" t="str">
            <v>OUN</v>
          </cell>
        </row>
        <row r="84">
          <cell r="C84" t="str">
            <v>161-11</v>
          </cell>
          <cell r="D84">
            <v>2020000</v>
          </cell>
          <cell r="E84" t="str">
            <v>SHOOK</v>
          </cell>
        </row>
        <row r="85">
          <cell r="C85" t="str">
            <v>156-11</v>
          </cell>
          <cell r="D85">
            <v>1830000</v>
          </cell>
          <cell r="E85" t="str">
            <v>YORK</v>
          </cell>
        </row>
        <row r="86">
          <cell r="C86" t="str">
            <v>818-11</v>
          </cell>
          <cell r="D86">
            <v>2110000</v>
          </cell>
          <cell r="E86" t="str">
            <v>OUN</v>
          </cell>
        </row>
        <row r="87">
          <cell r="C87" t="str">
            <v>160-11</v>
          </cell>
          <cell r="D87">
            <v>2150000</v>
          </cell>
          <cell r="E87" t="str">
            <v>SWANSON</v>
          </cell>
        </row>
        <row r="88">
          <cell r="C88" t="str">
            <v>165-11</v>
          </cell>
          <cell r="D88">
            <v>1810000</v>
          </cell>
          <cell r="E88" t="str">
            <v>NEWELL</v>
          </cell>
        </row>
        <row r="89">
          <cell r="C89" t="str">
            <v>167-11</v>
          </cell>
          <cell r="D89">
            <v>2040000</v>
          </cell>
          <cell r="E89" t="str">
            <v>MOSES</v>
          </cell>
        </row>
        <row r="90">
          <cell r="C90" t="str">
            <v>52-11</v>
          </cell>
          <cell r="D90">
            <v>2090000</v>
          </cell>
          <cell r="E90" t="str">
            <v>HAITHCOX</v>
          </cell>
        </row>
        <row r="91">
          <cell r="C91" t="str">
            <v>158-11</v>
          </cell>
          <cell r="D91">
            <v>1190000</v>
          </cell>
          <cell r="E91" t="str">
            <v>BRANNON</v>
          </cell>
        </row>
        <row r="92">
          <cell r="C92" t="str">
            <v>162-11</v>
          </cell>
          <cell r="D92">
            <v>2020000</v>
          </cell>
          <cell r="E92" t="str">
            <v>SHOOK</v>
          </cell>
        </row>
        <row r="93">
          <cell r="C93" t="str">
            <v>819-11</v>
          </cell>
          <cell r="D93">
            <v>2110000</v>
          </cell>
          <cell r="E93" t="str">
            <v>OUN</v>
          </cell>
        </row>
        <row r="94">
          <cell r="C94" t="str">
            <v>173-11</v>
          </cell>
          <cell r="D94">
            <v>2150000</v>
          </cell>
          <cell r="E94" t="str">
            <v>SWANSON</v>
          </cell>
        </row>
        <row r="95">
          <cell r="C95" t="str">
            <v>164-11</v>
          </cell>
          <cell r="D95">
            <v>1360000</v>
          </cell>
          <cell r="E95" t="str">
            <v>SANTIZO</v>
          </cell>
        </row>
        <row r="96">
          <cell r="C96" t="str">
            <v>171-11</v>
          </cell>
          <cell r="D96">
            <v>2150000</v>
          </cell>
          <cell r="E96" t="str">
            <v>SWANSON</v>
          </cell>
        </row>
        <row r="97">
          <cell r="C97" t="str">
            <v>166-11</v>
          </cell>
          <cell r="D97">
            <v>1810000</v>
          </cell>
          <cell r="E97" t="str">
            <v>NEWELL</v>
          </cell>
        </row>
        <row r="98">
          <cell r="C98" t="str">
            <v>820-11</v>
          </cell>
          <cell r="D98">
            <v>2110000</v>
          </cell>
          <cell r="E98" t="str">
            <v>OUN</v>
          </cell>
        </row>
        <row r="99">
          <cell r="C99" t="str">
            <v>173-11</v>
          </cell>
          <cell r="D99">
            <v>1140000</v>
          </cell>
          <cell r="E99" t="str">
            <v>YOUNG</v>
          </cell>
        </row>
        <row r="100">
          <cell r="C100" t="str">
            <v>168-11</v>
          </cell>
          <cell r="D100">
            <v>2040000</v>
          </cell>
          <cell r="E100" t="str">
            <v>MOSES</v>
          </cell>
        </row>
        <row r="101">
          <cell r="C101" t="str">
            <v>168-11</v>
          </cell>
          <cell r="D101">
            <v>2040000</v>
          </cell>
          <cell r="E101" t="str">
            <v>MOSES</v>
          </cell>
        </row>
        <row r="102">
          <cell r="C102" t="str">
            <v>56-11</v>
          </cell>
          <cell r="D102">
            <v>1540000</v>
          </cell>
          <cell r="E102" t="str">
            <v>HELVIE</v>
          </cell>
        </row>
        <row r="103">
          <cell r="C103" t="str">
            <v>175-11</v>
          </cell>
          <cell r="D103">
            <v>2020000</v>
          </cell>
          <cell r="E103" t="str">
            <v>SHOOK</v>
          </cell>
        </row>
        <row r="104">
          <cell r="C104" t="str">
            <v>821-11</v>
          </cell>
          <cell r="D104">
            <v>1540000</v>
          </cell>
          <cell r="E104" t="str">
            <v>HELVIE</v>
          </cell>
        </row>
        <row r="105">
          <cell r="C105" t="str">
            <v>170-11</v>
          </cell>
          <cell r="D105">
            <v>2150000</v>
          </cell>
          <cell r="E105" t="str">
            <v>SWANSON</v>
          </cell>
        </row>
        <row r="106">
          <cell r="C106" t="str">
            <v>177-11</v>
          </cell>
          <cell r="D106">
            <v>1810000</v>
          </cell>
          <cell r="E106" t="str">
            <v>NEWELL</v>
          </cell>
        </row>
        <row r="107">
          <cell r="C107" t="str">
            <v>179-11</v>
          </cell>
          <cell r="D107">
            <v>2040000</v>
          </cell>
          <cell r="E107" t="str">
            <v>MOSES</v>
          </cell>
        </row>
        <row r="108">
          <cell r="C108" t="str">
            <v>174-11</v>
          </cell>
          <cell r="D108">
            <v>1140000</v>
          </cell>
          <cell r="E108" t="str">
            <v>YOUNG</v>
          </cell>
        </row>
        <row r="109">
          <cell r="C109" t="str">
            <v>183-11</v>
          </cell>
          <cell r="D109">
            <v>2150000</v>
          </cell>
          <cell r="E109" t="str">
            <v>SWANSON</v>
          </cell>
        </row>
        <row r="110">
          <cell r="C110" t="str">
            <v>176-11</v>
          </cell>
          <cell r="D110">
            <v>2020000</v>
          </cell>
          <cell r="E110" t="str">
            <v>SHOOK</v>
          </cell>
        </row>
        <row r="111">
          <cell r="C111" t="str">
            <v>178-11</v>
          </cell>
          <cell r="D111">
            <v>1810000</v>
          </cell>
          <cell r="E111" t="str">
            <v>NEWELL</v>
          </cell>
        </row>
        <row r="112">
          <cell r="C112" t="str">
            <v>823-11</v>
          </cell>
          <cell r="D112">
            <v>1540000</v>
          </cell>
          <cell r="E112" t="str">
            <v>HELVIE</v>
          </cell>
        </row>
        <row r="113">
          <cell r="C113" t="str">
            <v>180-11</v>
          </cell>
          <cell r="D113">
            <v>2040000</v>
          </cell>
          <cell r="E113" t="str">
            <v>MOSES</v>
          </cell>
        </row>
        <row r="114">
          <cell r="C114" t="str">
            <v>187-11</v>
          </cell>
          <cell r="D114">
            <v>1140000</v>
          </cell>
          <cell r="E114" t="str">
            <v>YOUNG</v>
          </cell>
        </row>
        <row r="115">
          <cell r="C115" t="str">
            <v>824-11</v>
          </cell>
          <cell r="D115">
            <v>1540000</v>
          </cell>
          <cell r="E115" t="str">
            <v>HELVIE</v>
          </cell>
        </row>
        <row r="116">
          <cell r="C116" t="str">
            <v>182-11</v>
          </cell>
          <cell r="D116">
            <v>2150000</v>
          </cell>
          <cell r="E116" t="str">
            <v>SWANSON</v>
          </cell>
        </row>
        <row r="117">
          <cell r="C117" t="str">
            <v>182-11</v>
          </cell>
          <cell r="D117">
            <v>2150000</v>
          </cell>
          <cell r="E117" t="str">
            <v>SWANSON</v>
          </cell>
        </row>
        <row r="118">
          <cell r="C118" t="str">
            <v>189-11</v>
          </cell>
          <cell r="D118">
            <v>2020000</v>
          </cell>
          <cell r="E118" t="str">
            <v>SHOOK</v>
          </cell>
        </row>
        <row r="119">
          <cell r="C119" t="str">
            <v>182-11</v>
          </cell>
          <cell r="D119">
            <v>2150000</v>
          </cell>
          <cell r="E119" t="str">
            <v>SWANSON</v>
          </cell>
        </row>
        <row r="120">
          <cell r="C120" t="str">
            <v>182-11</v>
          </cell>
          <cell r="D120">
            <v>2150000</v>
          </cell>
          <cell r="E120" t="str">
            <v>SWANSON</v>
          </cell>
        </row>
        <row r="121">
          <cell r="C121" t="str">
            <v>191-11</v>
          </cell>
          <cell r="D121">
            <v>1810000</v>
          </cell>
          <cell r="E121" t="str">
            <v>NEWELL</v>
          </cell>
        </row>
        <row r="122">
          <cell r="C122" t="str">
            <v>191-11</v>
          </cell>
          <cell r="D122">
            <v>1810000</v>
          </cell>
          <cell r="E122" t="str">
            <v>NEWELL</v>
          </cell>
        </row>
        <row r="123">
          <cell r="C123" t="str">
            <v>184-11</v>
          </cell>
          <cell r="D123">
            <v>1140000</v>
          </cell>
          <cell r="E123" t="str">
            <v>YOUNG</v>
          </cell>
        </row>
        <row r="124">
          <cell r="C124" t="str">
            <v>193-11</v>
          </cell>
          <cell r="D124">
            <v>2040000</v>
          </cell>
          <cell r="E124" t="str">
            <v>MOSES</v>
          </cell>
        </row>
        <row r="125">
          <cell r="C125" t="str">
            <v>904-11</v>
          </cell>
          <cell r="D125">
            <v>2140000</v>
          </cell>
          <cell r="E125" t="str">
            <v>ROBINSON</v>
          </cell>
        </row>
        <row r="126">
          <cell r="C126" t="str">
            <v>825-11</v>
          </cell>
          <cell r="D126">
            <v>1540000</v>
          </cell>
          <cell r="E126" t="str">
            <v>HELVIE</v>
          </cell>
        </row>
        <row r="127">
          <cell r="C127" t="str">
            <v>186-11</v>
          </cell>
          <cell r="D127">
            <v>2020000</v>
          </cell>
          <cell r="E127" t="str">
            <v>SHOOK</v>
          </cell>
        </row>
        <row r="128">
          <cell r="C128" t="str">
            <v>186-11</v>
          </cell>
          <cell r="D128">
            <v>2020000</v>
          </cell>
          <cell r="E128" t="str">
            <v>SHOOK</v>
          </cell>
        </row>
        <row r="129">
          <cell r="C129" t="str">
            <v>195-11</v>
          </cell>
          <cell r="D129">
            <v>2150000</v>
          </cell>
          <cell r="E129" t="str">
            <v>SWANSON</v>
          </cell>
        </row>
        <row r="130">
          <cell r="C130" t="str">
            <v>192-11</v>
          </cell>
          <cell r="D130">
            <v>1810000</v>
          </cell>
          <cell r="E130" t="str">
            <v>NEWELL</v>
          </cell>
        </row>
        <row r="131">
          <cell r="C131" t="str">
            <v>188-11</v>
          </cell>
          <cell r="D131">
            <v>1810000</v>
          </cell>
          <cell r="E131" t="str">
            <v>NEWELL</v>
          </cell>
        </row>
        <row r="132">
          <cell r="C132" t="str">
            <v>826-11</v>
          </cell>
          <cell r="D132">
            <v>1540000</v>
          </cell>
          <cell r="E132" t="str">
            <v>HELVIE</v>
          </cell>
        </row>
        <row r="133">
          <cell r="C133" t="str">
            <v>827-11</v>
          </cell>
          <cell r="D133">
            <v>1830000</v>
          </cell>
          <cell r="E133" t="str">
            <v>YORK</v>
          </cell>
        </row>
        <row r="134">
          <cell r="C134" t="str">
            <v>197-11</v>
          </cell>
          <cell r="D134">
            <v>1140000</v>
          </cell>
          <cell r="E134" t="str">
            <v>YOUNG</v>
          </cell>
        </row>
        <row r="135">
          <cell r="C135" t="str">
            <v>190-11</v>
          </cell>
          <cell r="D135">
            <v>2040000</v>
          </cell>
          <cell r="E135" t="str">
            <v>MOSES</v>
          </cell>
        </row>
        <row r="136">
          <cell r="C136" t="str">
            <v>199-11</v>
          </cell>
          <cell r="D136">
            <v>2020000</v>
          </cell>
          <cell r="E136" t="str">
            <v>SHOOK</v>
          </cell>
        </row>
        <row r="137">
          <cell r="C137" t="str">
            <v>160-11</v>
          </cell>
          <cell r="D137">
            <v>2150000</v>
          </cell>
          <cell r="E137" t="str">
            <v>SWANSON</v>
          </cell>
        </row>
        <row r="138">
          <cell r="C138" t="str">
            <v>828-11</v>
          </cell>
          <cell r="D138">
            <v>2140000</v>
          </cell>
          <cell r="E138" t="str">
            <v>ROBINSON</v>
          </cell>
        </row>
        <row r="139">
          <cell r="C139" t="str">
            <v>201-11</v>
          </cell>
          <cell r="D139">
            <v>1810000</v>
          </cell>
          <cell r="E139" t="str">
            <v>NEWELL</v>
          </cell>
        </row>
        <row r="140">
          <cell r="C140" t="str">
            <v>201-11</v>
          </cell>
          <cell r="D140">
            <v>1810000</v>
          </cell>
          <cell r="E140" t="str">
            <v>NEWELL</v>
          </cell>
        </row>
        <row r="141">
          <cell r="C141" t="str">
            <v>829-11</v>
          </cell>
          <cell r="D141">
            <v>1540000</v>
          </cell>
          <cell r="E141" t="str">
            <v>HELVIE</v>
          </cell>
        </row>
        <row r="142">
          <cell r="C142" t="str">
            <v>198-11</v>
          </cell>
          <cell r="D142">
            <v>1140000</v>
          </cell>
          <cell r="E142" t="str">
            <v>YOUNG</v>
          </cell>
        </row>
        <row r="143">
          <cell r="C143" t="str">
            <v>203-11</v>
          </cell>
          <cell r="D143">
            <v>2040000</v>
          </cell>
          <cell r="E143" t="str">
            <v>MOSES</v>
          </cell>
        </row>
        <row r="144">
          <cell r="C144" t="str">
            <v>196-11</v>
          </cell>
          <cell r="D144">
            <v>2020000</v>
          </cell>
          <cell r="E144" t="str">
            <v>SHOOK</v>
          </cell>
        </row>
        <row r="145">
          <cell r="C145" t="str">
            <v>830-11</v>
          </cell>
          <cell r="D145">
            <v>1540000</v>
          </cell>
          <cell r="E145" t="str">
            <v>HELVIE</v>
          </cell>
        </row>
        <row r="146">
          <cell r="C146" t="str">
            <v>205-11</v>
          </cell>
          <cell r="D146">
            <v>2150000</v>
          </cell>
          <cell r="E146" t="str">
            <v>SWANSON</v>
          </cell>
        </row>
        <row r="147">
          <cell r="C147" t="str">
            <v>831-11</v>
          </cell>
          <cell r="D147">
            <v>1830000</v>
          </cell>
          <cell r="E147" t="str">
            <v>YORK</v>
          </cell>
        </row>
        <row r="148">
          <cell r="C148" t="str">
            <v>207-11</v>
          </cell>
          <cell r="D148">
            <v>910000</v>
          </cell>
          <cell r="E148" t="str">
            <v>SUR</v>
          </cell>
        </row>
        <row r="149">
          <cell r="C149" t="str">
            <v>832-11</v>
          </cell>
          <cell r="D149">
            <v>2140000</v>
          </cell>
          <cell r="E149" t="str">
            <v>ROBINSON</v>
          </cell>
        </row>
        <row r="150">
          <cell r="C150" t="str">
            <v>209-11</v>
          </cell>
          <cell r="D150">
            <v>2000000</v>
          </cell>
          <cell r="E150" t="str">
            <v>STAMBAUGH</v>
          </cell>
        </row>
        <row r="151">
          <cell r="C151" t="str">
            <v>833-11</v>
          </cell>
          <cell r="D151">
            <v>1540000</v>
          </cell>
          <cell r="E151" t="str">
            <v>HELVIE</v>
          </cell>
        </row>
        <row r="152">
          <cell r="C152" t="str">
            <v>211-11</v>
          </cell>
          <cell r="D152">
            <v>1140000</v>
          </cell>
          <cell r="E152" t="str">
            <v>YOUNG</v>
          </cell>
        </row>
        <row r="153">
          <cell r="C153" t="str">
            <v>204-11</v>
          </cell>
          <cell r="D153">
            <v>2040000</v>
          </cell>
          <cell r="E153" t="str">
            <v>MOSES</v>
          </cell>
        </row>
        <row r="154">
          <cell r="C154" t="str">
            <v>206-11</v>
          </cell>
          <cell r="D154">
            <v>2150000</v>
          </cell>
          <cell r="E154" t="str">
            <v>SWANSON</v>
          </cell>
        </row>
        <row r="155">
          <cell r="C155" t="str">
            <v>213-11</v>
          </cell>
          <cell r="D155">
            <v>1290000</v>
          </cell>
          <cell r="E155" t="str">
            <v>COOLAHAN</v>
          </cell>
        </row>
        <row r="156">
          <cell r="C156" t="str">
            <v>834-11</v>
          </cell>
          <cell r="D156">
            <v>1540000</v>
          </cell>
          <cell r="E156" t="str">
            <v>HELVIE</v>
          </cell>
        </row>
        <row r="157">
          <cell r="C157" t="str">
            <v>835-11</v>
          </cell>
          <cell r="D157">
            <v>1830000</v>
          </cell>
          <cell r="E157" t="str">
            <v>YORK</v>
          </cell>
        </row>
        <row r="158">
          <cell r="C158" t="str">
            <v>215-11</v>
          </cell>
          <cell r="D158">
            <v>950000</v>
          </cell>
          <cell r="E158" t="str">
            <v>WEBSTER</v>
          </cell>
        </row>
        <row r="159">
          <cell r="C159" t="str">
            <v>215-11</v>
          </cell>
          <cell r="D159">
            <v>950000</v>
          </cell>
          <cell r="E159" t="str">
            <v>WEBSTER</v>
          </cell>
        </row>
        <row r="160">
          <cell r="C160" t="str">
            <v>210-11</v>
          </cell>
          <cell r="D160">
            <v>910000</v>
          </cell>
          <cell r="E160" t="str">
            <v>SUR</v>
          </cell>
        </row>
        <row r="161">
          <cell r="C161" t="str">
            <v>210-11</v>
          </cell>
          <cell r="D161">
            <v>910000</v>
          </cell>
          <cell r="E161" t="str">
            <v>SUR</v>
          </cell>
        </row>
        <row r="162">
          <cell r="C162" t="str">
            <v>836-11</v>
          </cell>
          <cell r="D162">
            <v>2140000</v>
          </cell>
          <cell r="E162" t="str">
            <v>ROBINSON</v>
          </cell>
        </row>
        <row r="163">
          <cell r="C163" t="str">
            <v>210-11</v>
          </cell>
          <cell r="D163">
            <v>910000</v>
          </cell>
          <cell r="E163" t="str">
            <v>SUR</v>
          </cell>
        </row>
        <row r="164">
          <cell r="C164" t="str">
            <v>210-11</v>
          </cell>
          <cell r="D164">
            <v>910000</v>
          </cell>
          <cell r="E164" t="str">
            <v>SUR</v>
          </cell>
        </row>
        <row r="165">
          <cell r="C165" t="str">
            <v>837-11</v>
          </cell>
          <cell r="D165">
            <v>1540000</v>
          </cell>
          <cell r="E165" t="str">
            <v>HELVIE</v>
          </cell>
        </row>
        <row r="166">
          <cell r="C166" t="str">
            <v>217-11</v>
          </cell>
          <cell r="D166">
            <v>1300000</v>
          </cell>
          <cell r="E166" t="str">
            <v>LEVIN</v>
          </cell>
        </row>
        <row r="167">
          <cell r="C167" t="str">
            <v>210-11</v>
          </cell>
          <cell r="D167">
            <v>910000</v>
          </cell>
          <cell r="E167" t="str">
            <v>SUR</v>
          </cell>
        </row>
        <row r="168">
          <cell r="C168" t="str">
            <v>212-11</v>
          </cell>
          <cell r="D168">
            <v>2000000</v>
          </cell>
          <cell r="E168" t="str">
            <v>STAMBAUGH</v>
          </cell>
        </row>
        <row r="169">
          <cell r="C169" t="str">
            <v>210-11</v>
          </cell>
          <cell r="D169">
            <v>910000</v>
          </cell>
          <cell r="E169" t="str">
            <v>SUR</v>
          </cell>
        </row>
        <row r="170">
          <cell r="C170" t="str">
            <v>838-11</v>
          </cell>
          <cell r="D170">
            <v>1540000</v>
          </cell>
          <cell r="E170" t="str">
            <v>HELVIE</v>
          </cell>
        </row>
        <row r="171">
          <cell r="C171" t="str">
            <v>219-11</v>
          </cell>
          <cell r="D171">
            <v>1480000</v>
          </cell>
          <cell r="E171" t="str">
            <v>STURGEON</v>
          </cell>
        </row>
        <row r="172">
          <cell r="C172" t="str">
            <v>214-11</v>
          </cell>
          <cell r="D172">
            <v>1140000</v>
          </cell>
          <cell r="E172" t="str">
            <v>YOUNG</v>
          </cell>
        </row>
        <row r="173">
          <cell r="C173" t="str">
            <v>839-11</v>
          </cell>
          <cell r="D173">
            <v>1830000</v>
          </cell>
          <cell r="E173" t="str">
            <v>YORK</v>
          </cell>
        </row>
        <row r="174">
          <cell r="C174" t="str">
            <v>216-11</v>
          </cell>
          <cell r="D174">
            <v>1140000</v>
          </cell>
          <cell r="E174" t="str">
            <v>YOUNG</v>
          </cell>
        </row>
        <row r="175">
          <cell r="C175" t="str">
            <v>906-11</v>
          </cell>
          <cell r="D175">
            <v>2140000</v>
          </cell>
          <cell r="E175" t="str">
            <v>ROBINSON</v>
          </cell>
        </row>
        <row r="176">
          <cell r="C176" t="str">
            <v>841-11</v>
          </cell>
          <cell r="D176">
            <v>1540000</v>
          </cell>
          <cell r="E176" t="str">
            <v>HELVIE</v>
          </cell>
        </row>
        <row r="177">
          <cell r="C177" t="str">
            <v>223-11</v>
          </cell>
          <cell r="D177">
            <v>910000</v>
          </cell>
          <cell r="E177" t="str">
            <v>SUR</v>
          </cell>
        </row>
        <row r="178">
          <cell r="C178" t="str">
            <v>840-11</v>
          </cell>
          <cell r="D178">
            <v>1540000</v>
          </cell>
          <cell r="E178" t="str">
            <v>HELVIE</v>
          </cell>
        </row>
        <row r="179">
          <cell r="C179" t="str">
            <v>220-11</v>
          </cell>
          <cell r="D179">
            <v>1290000</v>
          </cell>
          <cell r="E179" t="str">
            <v>COOLAHAN</v>
          </cell>
        </row>
        <row r="180">
          <cell r="C180" t="str">
            <v>222-11</v>
          </cell>
          <cell r="D180">
            <v>2090000</v>
          </cell>
          <cell r="E180" t="str">
            <v>HAITHCOX</v>
          </cell>
        </row>
        <row r="181">
          <cell r="C181" t="str">
            <v>225-11</v>
          </cell>
          <cell r="D181">
            <v>2000000</v>
          </cell>
          <cell r="E181" t="str">
            <v>STAMBAUGH</v>
          </cell>
        </row>
        <row r="182">
          <cell r="C182" t="str">
            <v>225-11</v>
          </cell>
          <cell r="D182">
            <v>2000000</v>
          </cell>
          <cell r="E182" t="str">
            <v>STAMBAUGH</v>
          </cell>
        </row>
        <row r="183">
          <cell r="C183" t="str">
            <v>843-11</v>
          </cell>
          <cell r="D183">
            <v>1540000</v>
          </cell>
          <cell r="E183" t="str">
            <v>HELVIE</v>
          </cell>
        </row>
        <row r="184">
          <cell r="C184" t="str">
            <v>224-11</v>
          </cell>
          <cell r="D184">
            <v>1300000</v>
          </cell>
          <cell r="E184" t="str">
            <v>LEVIN</v>
          </cell>
        </row>
        <row r="185">
          <cell r="C185" t="str">
            <v>227-11</v>
          </cell>
          <cell r="D185">
            <v>1290000</v>
          </cell>
          <cell r="E185" t="str">
            <v>COOLAHAN</v>
          </cell>
        </row>
        <row r="186">
          <cell r="C186" t="str">
            <v>842-11</v>
          </cell>
          <cell r="D186">
            <v>1540000</v>
          </cell>
          <cell r="E186" t="str">
            <v>HELVIE</v>
          </cell>
        </row>
        <row r="187">
          <cell r="C187" t="str">
            <v>226-11</v>
          </cell>
          <cell r="D187">
            <v>1480000</v>
          </cell>
          <cell r="E187" t="str">
            <v>STURGEON</v>
          </cell>
        </row>
        <row r="188">
          <cell r="C188" t="str">
            <v>307-11</v>
          </cell>
          <cell r="D188">
            <v>2090000</v>
          </cell>
          <cell r="E188" t="str">
            <v>HAITHCOX</v>
          </cell>
        </row>
        <row r="189">
          <cell r="C189" t="str">
            <v>63-11</v>
          </cell>
          <cell r="D189">
            <v>890000</v>
          </cell>
          <cell r="E189" t="str">
            <v>LOZA</v>
          </cell>
        </row>
        <row r="190">
          <cell r="C190" t="str">
            <v>229-11</v>
          </cell>
          <cell r="D190">
            <v>1300000</v>
          </cell>
          <cell r="E190" t="str">
            <v>LEVIN</v>
          </cell>
        </row>
        <row r="191">
          <cell r="C191" t="str">
            <v>845-11</v>
          </cell>
          <cell r="D191">
            <v>1540000</v>
          </cell>
          <cell r="E191" t="str">
            <v>HELVIE</v>
          </cell>
        </row>
        <row r="192">
          <cell r="C192" t="str">
            <v>303-11</v>
          </cell>
          <cell r="D192">
            <v>910000</v>
          </cell>
          <cell r="E192" t="str">
            <v>SUR</v>
          </cell>
        </row>
        <row r="193">
          <cell r="C193" t="str">
            <v>228-11</v>
          </cell>
          <cell r="D193">
            <v>2000000</v>
          </cell>
          <cell r="E193" t="str">
            <v>STAMBAUGH</v>
          </cell>
        </row>
        <row r="194">
          <cell r="C194" t="str">
            <v>844-11</v>
          </cell>
          <cell r="D194">
            <v>1540000</v>
          </cell>
          <cell r="E194" t="str">
            <v>HELVIE</v>
          </cell>
        </row>
        <row r="195">
          <cell r="C195" t="str">
            <v>230-11</v>
          </cell>
          <cell r="D195">
            <v>1300000</v>
          </cell>
          <cell r="E195" t="str">
            <v>LEVIN</v>
          </cell>
        </row>
        <row r="196">
          <cell r="C196" t="str">
            <v>847-11</v>
          </cell>
          <cell r="D196">
            <v>1540000</v>
          </cell>
          <cell r="E196" t="str">
            <v>HELVIE</v>
          </cell>
        </row>
        <row r="197">
          <cell r="C197" t="str">
            <v>232-11</v>
          </cell>
          <cell r="D197">
            <v>1480000</v>
          </cell>
          <cell r="E197" t="str">
            <v>STURGEON</v>
          </cell>
        </row>
        <row r="198">
          <cell r="C198" t="str">
            <v>908-11</v>
          </cell>
          <cell r="D198">
            <v>2140000</v>
          </cell>
          <cell r="E198" t="str">
            <v>ROBINSON</v>
          </cell>
        </row>
        <row r="199">
          <cell r="C199" t="str">
            <v>237-11</v>
          </cell>
          <cell r="D199">
            <v>1300000</v>
          </cell>
          <cell r="E199" t="str">
            <v>LEVIN</v>
          </cell>
        </row>
        <row r="200">
          <cell r="C200" t="str">
            <v>234-11</v>
          </cell>
          <cell r="D200">
            <v>2000000</v>
          </cell>
          <cell r="E200" t="str">
            <v>STAMBAUGH</v>
          </cell>
        </row>
        <row r="201">
          <cell r="C201" t="str">
            <v>239-11</v>
          </cell>
          <cell r="D201">
            <v>1480000</v>
          </cell>
          <cell r="E201" t="str">
            <v>STURGEON</v>
          </cell>
        </row>
        <row r="202">
          <cell r="C202" t="str">
            <v>236-11</v>
          </cell>
          <cell r="D202">
            <v>2100000</v>
          </cell>
          <cell r="E202" t="str">
            <v>ISHMAEL</v>
          </cell>
        </row>
        <row r="203">
          <cell r="C203" t="str">
            <v>238-11</v>
          </cell>
          <cell r="D203">
            <v>1300000</v>
          </cell>
          <cell r="E203" t="str">
            <v>LEVIN</v>
          </cell>
        </row>
        <row r="204">
          <cell r="C204" t="str">
            <v>241-11</v>
          </cell>
          <cell r="D204">
            <v>2000000</v>
          </cell>
          <cell r="E204" t="str">
            <v>STAMBAUGH</v>
          </cell>
        </row>
        <row r="205">
          <cell r="C205" t="str">
            <v>240-11</v>
          </cell>
          <cell r="D205">
            <v>1480000</v>
          </cell>
          <cell r="E205" t="str">
            <v>STURGEON</v>
          </cell>
        </row>
        <row r="206">
          <cell r="C206" t="str">
            <v>243-11</v>
          </cell>
          <cell r="D206">
            <v>2100000</v>
          </cell>
          <cell r="E206" t="str">
            <v>ISHMAEL</v>
          </cell>
        </row>
        <row r="207">
          <cell r="C207" t="str">
            <v>242-11</v>
          </cell>
          <cell r="D207">
            <v>2000000</v>
          </cell>
          <cell r="E207" t="str">
            <v>STAMBAUGH</v>
          </cell>
        </row>
        <row r="208">
          <cell r="C208" t="str">
            <v>311-11</v>
          </cell>
          <cell r="D208">
            <v>1480000</v>
          </cell>
          <cell r="E208" t="str">
            <v>STURGEON</v>
          </cell>
        </row>
        <row r="209">
          <cell r="C209" t="str">
            <v>244-11</v>
          </cell>
          <cell r="D209">
            <v>2100000</v>
          </cell>
          <cell r="E209" t="str">
            <v>ISHMAEL</v>
          </cell>
        </row>
        <row r="210">
          <cell r="C210" t="str">
            <v>313-11</v>
          </cell>
          <cell r="D210">
            <v>2000000</v>
          </cell>
          <cell r="E210" t="str">
            <v>STAMBAUGH</v>
          </cell>
        </row>
        <row r="211">
          <cell r="C211" t="str">
            <v>315-11</v>
          </cell>
          <cell r="D211">
            <v>2100000</v>
          </cell>
          <cell r="E211" t="str">
            <v>ISHMAE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/>
      <sheetData sheetId="1" refreshError="1"/>
      <sheetData sheetId="2" refreshError="1"/>
      <sheetData sheetId="3">
        <row r="1">
          <cell r="C1" t="str">
            <v>245-12</v>
          </cell>
          <cell r="D1">
            <v>1300000</v>
          </cell>
          <cell r="E1" t="str">
            <v>LEVIN</v>
          </cell>
        </row>
        <row r="2">
          <cell r="C2" t="str">
            <v>242-12</v>
          </cell>
          <cell r="D2">
            <v>2000000</v>
          </cell>
          <cell r="E2" t="str">
            <v>STAMBAUGH</v>
          </cell>
        </row>
        <row r="3">
          <cell r="C3" t="str">
            <v>309-12</v>
          </cell>
          <cell r="D3">
            <v>1230000</v>
          </cell>
          <cell r="E3" t="str">
            <v>YANAI</v>
          </cell>
        </row>
        <row r="4">
          <cell r="C4" t="str">
            <v>244-12</v>
          </cell>
          <cell r="D4">
            <v>2100000</v>
          </cell>
          <cell r="E4" t="str">
            <v>ISHMAEL</v>
          </cell>
        </row>
        <row r="5">
          <cell r="C5" t="str">
            <v>311-12</v>
          </cell>
          <cell r="D5">
            <v>2000000</v>
          </cell>
          <cell r="E5" t="str">
            <v>STAMBAUGH</v>
          </cell>
        </row>
        <row r="6">
          <cell r="C6" t="str">
            <v>246-12</v>
          </cell>
          <cell r="D6">
            <v>1300000</v>
          </cell>
          <cell r="E6" t="str">
            <v>LEVIN</v>
          </cell>
        </row>
        <row r="7">
          <cell r="C7" t="str">
            <v>313-12</v>
          </cell>
          <cell r="D7">
            <v>2100000</v>
          </cell>
          <cell r="E7" t="str">
            <v>ISHMAEL</v>
          </cell>
        </row>
        <row r="8">
          <cell r="C8" t="str">
            <v>315-12</v>
          </cell>
          <cell r="D8">
            <v>1300000</v>
          </cell>
          <cell r="E8" t="str">
            <v>LEVIN</v>
          </cell>
        </row>
        <row r="9">
          <cell r="C9" t="str">
            <v>101-13</v>
          </cell>
          <cell r="D9">
            <v>2010000</v>
          </cell>
          <cell r="E9" t="str">
            <v>MAELZER</v>
          </cell>
        </row>
        <row r="10">
          <cell r="C10" t="str">
            <v>101-13</v>
          </cell>
          <cell r="D10">
            <v>2010000</v>
          </cell>
          <cell r="E10" t="str">
            <v>MAELZER</v>
          </cell>
        </row>
        <row r="11">
          <cell r="C11" t="str">
            <v>103-13</v>
          </cell>
          <cell r="D11">
            <v>1310000</v>
          </cell>
          <cell r="E11" t="str">
            <v>MALAVE</v>
          </cell>
        </row>
        <row r="12">
          <cell r="C12" t="str">
            <v>103-13</v>
          </cell>
          <cell r="D12">
            <v>1310000</v>
          </cell>
          <cell r="E12" t="str">
            <v>MALAVE</v>
          </cell>
        </row>
        <row r="13">
          <cell r="C13" t="str">
            <v>103-13</v>
          </cell>
          <cell r="D13">
            <v>1310000</v>
          </cell>
          <cell r="E13" t="str">
            <v>MALAVE</v>
          </cell>
        </row>
        <row r="14">
          <cell r="C14" t="str">
            <v>107-13</v>
          </cell>
          <cell r="D14">
            <v>1990000</v>
          </cell>
          <cell r="E14" t="str">
            <v>DAVIS</v>
          </cell>
        </row>
        <row r="15">
          <cell r="C15" t="str">
            <v>107-13</v>
          </cell>
          <cell r="D15">
            <v>1990000</v>
          </cell>
          <cell r="E15" t="str">
            <v>DAVIS</v>
          </cell>
        </row>
        <row r="16">
          <cell r="C16" t="str">
            <v>308-13</v>
          </cell>
          <cell r="D16">
            <v>1990000</v>
          </cell>
          <cell r="E16" t="str">
            <v>DAVIS</v>
          </cell>
        </row>
        <row r="17">
          <cell r="C17" t="str">
            <v>308-13</v>
          </cell>
          <cell r="D17">
            <v>1990000</v>
          </cell>
          <cell r="E17" t="str">
            <v>DAVIS</v>
          </cell>
        </row>
        <row r="18">
          <cell r="C18" t="str">
            <v>102-13</v>
          </cell>
          <cell r="D18">
            <v>2010000</v>
          </cell>
          <cell r="E18" t="str">
            <v>MAELZER</v>
          </cell>
        </row>
        <row r="19">
          <cell r="C19" t="str">
            <v>105-13</v>
          </cell>
          <cell r="D19">
            <v>1260000</v>
          </cell>
          <cell r="E19" t="str">
            <v>ACKERMAN</v>
          </cell>
        </row>
        <row r="20">
          <cell r="C20" t="str">
            <v>310-13</v>
          </cell>
          <cell r="D20">
            <v>2030000</v>
          </cell>
          <cell r="E20" t="str">
            <v>KILLION</v>
          </cell>
        </row>
        <row r="21">
          <cell r="C21" t="str">
            <v>107-13</v>
          </cell>
          <cell r="D21">
            <v>1990000</v>
          </cell>
          <cell r="E21" t="str">
            <v>DAVIS</v>
          </cell>
        </row>
        <row r="22">
          <cell r="C22" t="str">
            <v>107-13</v>
          </cell>
          <cell r="D22">
            <v>1990000</v>
          </cell>
          <cell r="E22" t="str">
            <v>DAVIS</v>
          </cell>
        </row>
        <row r="23">
          <cell r="C23" t="str">
            <v>104-13</v>
          </cell>
          <cell r="D23">
            <v>1310000</v>
          </cell>
          <cell r="E23" t="str">
            <v>MALAVE</v>
          </cell>
        </row>
        <row r="24">
          <cell r="C24" t="str">
            <v>109-13</v>
          </cell>
          <cell r="D24">
            <v>2030000</v>
          </cell>
          <cell r="E24" t="str">
            <v>KILLION</v>
          </cell>
        </row>
        <row r="25">
          <cell r="C25" t="str">
            <v>111-13</v>
          </cell>
          <cell r="D25">
            <v>1100000</v>
          </cell>
          <cell r="E25" t="str">
            <v>GEBRETEKLE</v>
          </cell>
        </row>
        <row r="26">
          <cell r="C26" t="str">
            <v>113-13</v>
          </cell>
          <cell r="D26">
            <v>2010000</v>
          </cell>
          <cell r="E26" t="str">
            <v>MAELZER</v>
          </cell>
        </row>
        <row r="27">
          <cell r="C27" t="str">
            <v>106-13</v>
          </cell>
          <cell r="D27">
            <v>1260000</v>
          </cell>
          <cell r="E27" t="str">
            <v>ACKERMAN</v>
          </cell>
        </row>
        <row r="28">
          <cell r="C28" t="str">
            <v>108-13</v>
          </cell>
          <cell r="D28">
            <v>1990000</v>
          </cell>
          <cell r="E28" t="str">
            <v>DAVIS</v>
          </cell>
        </row>
        <row r="29">
          <cell r="C29" t="str">
            <v>110-13</v>
          </cell>
          <cell r="D29">
            <v>2030000</v>
          </cell>
          <cell r="E29" t="str">
            <v>KILLION</v>
          </cell>
        </row>
        <row r="30">
          <cell r="C30" t="str">
            <v>1800-13</v>
          </cell>
          <cell r="D30">
            <v>1830000</v>
          </cell>
          <cell r="E30" t="str">
            <v>YORK</v>
          </cell>
        </row>
        <row r="31">
          <cell r="C31" t="str">
            <v>115-13</v>
          </cell>
          <cell r="D31">
            <v>1740000</v>
          </cell>
          <cell r="E31" t="str">
            <v>STORY</v>
          </cell>
        </row>
        <row r="32">
          <cell r="C32" t="str">
            <v>117-13</v>
          </cell>
          <cell r="D32">
            <v>1310000</v>
          </cell>
          <cell r="E32" t="str">
            <v>MALAVE</v>
          </cell>
        </row>
        <row r="33">
          <cell r="C33" t="str">
            <v>112-13</v>
          </cell>
          <cell r="D33">
            <v>1100000</v>
          </cell>
          <cell r="E33" t="str">
            <v>GEBRETEKLE</v>
          </cell>
        </row>
        <row r="34">
          <cell r="C34" t="str">
            <v>119-13</v>
          </cell>
          <cell r="D34">
            <v>1260000</v>
          </cell>
          <cell r="E34" t="str">
            <v>ACKERMAN</v>
          </cell>
        </row>
        <row r="35">
          <cell r="C35" t="str">
            <v>1801-13</v>
          </cell>
          <cell r="D35">
            <v>1830000</v>
          </cell>
          <cell r="E35" t="str">
            <v>YORK</v>
          </cell>
        </row>
        <row r="36">
          <cell r="C36" t="str">
            <v>114-13</v>
          </cell>
          <cell r="D36">
            <v>2010000</v>
          </cell>
          <cell r="E36" t="str">
            <v>MAELZER</v>
          </cell>
        </row>
        <row r="37">
          <cell r="C37" t="str">
            <v>121-13</v>
          </cell>
          <cell r="D37">
            <v>1990000</v>
          </cell>
          <cell r="E37" t="str">
            <v>DAVIS</v>
          </cell>
        </row>
        <row r="38">
          <cell r="C38" t="str">
            <v>114-13</v>
          </cell>
          <cell r="D38">
            <v>2010000</v>
          </cell>
          <cell r="E38" t="str">
            <v>MAELZER</v>
          </cell>
        </row>
        <row r="39">
          <cell r="C39" t="str">
            <v>116-13</v>
          </cell>
          <cell r="D39">
            <v>1740000</v>
          </cell>
          <cell r="E39" t="str">
            <v>STORY</v>
          </cell>
        </row>
        <row r="40">
          <cell r="C40" t="str">
            <v>123-13</v>
          </cell>
          <cell r="D40">
            <v>2030000</v>
          </cell>
          <cell r="E40" t="str">
            <v>KILLION</v>
          </cell>
        </row>
        <row r="41">
          <cell r="C41" t="str">
            <v>1802-13</v>
          </cell>
          <cell r="D41">
            <v>1830000</v>
          </cell>
          <cell r="E41" t="str">
            <v>YORK</v>
          </cell>
        </row>
        <row r="42">
          <cell r="C42" t="str">
            <v>125-13</v>
          </cell>
          <cell r="D42">
            <v>1100000</v>
          </cell>
          <cell r="E42" t="str">
            <v>GEBRETEKLE</v>
          </cell>
        </row>
        <row r="43">
          <cell r="C43" t="str">
            <v>118-13</v>
          </cell>
          <cell r="D43">
            <v>1310000</v>
          </cell>
          <cell r="E43" t="str">
            <v>MALAVE</v>
          </cell>
        </row>
        <row r="44">
          <cell r="C44" t="str">
            <v>120-13</v>
          </cell>
          <cell r="D44">
            <v>1260000</v>
          </cell>
          <cell r="E44" t="str">
            <v>ACKERMAN</v>
          </cell>
        </row>
        <row r="45">
          <cell r="C45" t="str">
            <v>127-13</v>
          </cell>
          <cell r="D45">
            <v>2010000</v>
          </cell>
          <cell r="E45" t="str">
            <v>MAELZER</v>
          </cell>
        </row>
        <row r="46">
          <cell r="C46" t="str">
            <v>122-13</v>
          </cell>
          <cell r="D46">
            <v>1990000</v>
          </cell>
          <cell r="E46" t="str">
            <v>DAVIS</v>
          </cell>
        </row>
        <row r="47">
          <cell r="C47" t="str">
            <v>129-13</v>
          </cell>
          <cell r="D47">
            <v>1740000</v>
          </cell>
          <cell r="E47" t="str">
            <v>STORY</v>
          </cell>
        </row>
        <row r="48">
          <cell r="C48" t="str">
            <v>1803-13</v>
          </cell>
          <cell r="D48">
            <v>1830000</v>
          </cell>
          <cell r="E48" t="str">
            <v>YORK</v>
          </cell>
        </row>
        <row r="49">
          <cell r="C49" t="str">
            <v>124-13</v>
          </cell>
          <cell r="D49">
            <v>2030000</v>
          </cell>
          <cell r="E49" t="str">
            <v>KILLION</v>
          </cell>
        </row>
        <row r="50">
          <cell r="C50" t="str">
            <v>131-13</v>
          </cell>
          <cell r="D50">
            <v>1310000</v>
          </cell>
          <cell r="E50" t="str">
            <v>MALAVE</v>
          </cell>
        </row>
        <row r="51">
          <cell r="C51" t="str">
            <v>1804-13</v>
          </cell>
          <cell r="D51">
            <v>1830000</v>
          </cell>
          <cell r="E51" t="str">
            <v>YORK</v>
          </cell>
        </row>
        <row r="52">
          <cell r="C52" t="str">
            <v>126-13</v>
          </cell>
          <cell r="D52">
            <v>1100000</v>
          </cell>
          <cell r="E52" t="str">
            <v>GEBRETEKLE</v>
          </cell>
        </row>
        <row r="53">
          <cell r="C53" t="str">
            <v>133-13</v>
          </cell>
          <cell r="D53">
            <v>1260000</v>
          </cell>
          <cell r="E53" t="str">
            <v>ACKERMAN</v>
          </cell>
        </row>
        <row r="54">
          <cell r="C54" t="str">
            <v>128-13</v>
          </cell>
          <cell r="D54">
            <v>2010000</v>
          </cell>
          <cell r="E54" t="str">
            <v>MAELZER</v>
          </cell>
        </row>
        <row r="55">
          <cell r="C55" t="str">
            <v>135-13</v>
          </cell>
          <cell r="D55">
            <v>1990000</v>
          </cell>
          <cell r="E55" t="str">
            <v>DAVIS</v>
          </cell>
        </row>
        <row r="56">
          <cell r="C56" t="str">
            <v>1805-13</v>
          </cell>
          <cell r="D56">
            <v>1830000</v>
          </cell>
          <cell r="E56" t="str">
            <v>YORK</v>
          </cell>
        </row>
        <row r="57">
          <cell r="C57" t="str">
            <v>130-13</v>
          </cell>
          <cell r="D57">
            <v>1740000</v>
          </cell>
          <cell r="E57" t="str">
            <v>STORY</v>
          </cell>
        </row>
        <row r="58">
          <cell r="C58" t="str">
            <v>137-13</v>
          </cell>
          <cell r="D58">
            <v>2030000</v>
          </cell>
          <cell r="E58" t="str">
            <v>KILLION</v>
          </cell>
        </row>
        <row r="59">
          <cell r="C59" t="str">
            <v>132-13</v>
          </cell>
          <cell r="D59">
            <v>1310000</v>
          </cell>
          <cell r="E59" t="str">
            <v>MALAVE</v>
          </cell>
        </row>
        <row r="60">
          <cell r="C60" t="str">
            <v>139-13</v>
          </cell>
          <cell r="D60">
            <v>1100000</v>
          </cell>
          <cell r="E60" t="str">
            <v>GEBRETEKLE</v>
          </cell>
        </row>
        <row r="61">
          <cell r="C61" t="str">
            <v>134-13</v>
          </cell>
          <cell r="D61">
            <v>1260000</v>
          </cell>
          <cell r="E61" t="str">
            <v>ACKERMAN</v>
          </cell>
        </row>
        <row r="62">
          <cell r="C62" t="str">
            <v>1806-13</v>
          </cell>
          <cell r="D62">
            <v>1830000</v>
          </cell>
          <cell r="E62" t="str">
            <v>YORK</v>
          </cell>
        </row>
        <row r="63">
          <cell r="C63" t="str">
            <v>141-13</v>
          </cell>
          <cell r="D63">
            <v>2010000</v>
          </cell>
          <cell r="E63" t="str">
            <v>MAELZER</v>
          </cell>
        </row>
        <row r="64">
          <cell r="C64" t="str">
            <v>136-13</v>
          </cell>
          <cell r="D64">
            <v>1990000</v>
          </cell>
          <cell r="E64" t="str">
            <v>DAVIS</v>
          </cell>
        </row>
        <row r="65">
          <cell r="C65" t="str">
            <v>143-13</v>
          </cell>
          <cell r="D65">
            <v>1740000</v>
          </cell>
          <cell r="E65" t="str">
            <v>STORY</v>
          </cell>
        </row>
        <row r="66">
          <cell r="C66" t="str">
            <v>1807-13</v>
          </cell>
          <cell r="D66">
            <v>1830000</v>
          </cell>
          <cell r="E66" t="str">
            <v>YORK</v>
          </cell>
        </row>
        <row r="67">
          <cell r="C67" t="str">
            <v>138-13</v>
          </cell>
          <cell r="D67">
            <v>2030000</v>
          </cell>
          <cell r="E67" t="str">
            <v>KILLION</v>
          </cell>
        </row>
        <row r="68">
          <cell r="C68" t="str">
            <v>145-13</v>
          </cell>
          <cell r="D68">
            <v>1310000</v>
          </cell>
          <cell r="E68" t="str">
            <v>MALAVE</v>
          </cell>
        </row>
        <row r="69">
          <cell r="C69" t="str">
            <v>140-13</v>
          </cell>
          <cell r="D69">
            <v>1100000</v>
          </cell>
          <cell r="E69" t="str">
            <v>GEBRETEKLE</v>
          </cell>
        </row>
        <row r="70">
          <cell r="C70" t="str">
            <v>147-13</v>
          </cell>
          <cell r="D70">
            <v>1260000</v>
          </cell>
          <cell r="E70" t="str">
            <v>ACKERMAN</v>
          </cell>
        </row>
        <row r="71">
          <cell r="C71" t="str">
            <v>142-13</v>
          </cell>
          <cell r="D71">
            <v>2010000</v>
          </cell>
          <cell r="E71" t="str">
            <v>MAELZER</v>
          </cell>
        </row>
        <row r="72">
          <cell r="C72" t="str">
            <v>1808-13</v>
          </cell>
          <cell r="D72">
            <v>1830000</v>
          </cell>
          <cell r="E72" t="str">
            <v>YORK</v>
          </cell>
        </row>
        <row r="73">
          <cell r="C73" t="str">
            <v>144-13</v>
          </cell>
          <cell r="D73">
            <v>1740000</v>
          </cell>
          <cell r="E73" t="str">
            <v>STORY</v>
          </cell>
        </row>
        <row r="74">
          <cell r="C74" t="str">
            <v>151-13</v>
          </cell>
          <cell r="D74">
            <v>2030000</v>
          </cell>
          <cell r="E74" t="str">
            <v>KILLION</v>
          </cell>
        </row>
        <row r="75">
          <cell r="C75" t="str">
            <v>146-13</v>
          </cell>
          <cell r="D75">
            <v>1310000</v>
          </cell>
          <cell r="E75" t="str">
            <v>MALAVE</v>
          </cell>
        </row>
        <row r="76">
          <cell r="C76" t="str">
            <v>153-13</v>
          </cell>
          <cell r="D76">
            <v>1100000</v>
          </cell>
          <cell r="E76" t="str">
            <v>GEBRETEKLE</v>
          </cell>
        </row>
        <row r="77">
          <cell r="C77" t="str">
            <v>1809-13</v>
          </cell>
          <cell r="D77">
            <v>1830000</v>
          </cell>
          <cell r="E77" t="str">
            <v>YORK</v>
          </cell>
        </row>
        <row r="78">
          <cell r="C78" t="str">
            <v>148-13</v>
          </cell>
          <cell r="D78">
            <v>1260000</v>
          </cell>
          <cell r="E78" t="str">
            <v>ACKERMAN</v>
          </cell>
        </row>
        <row r="79">
          <cell r="C79" t="str">
            <v>155-13</v>
          </cell>
          <cell r="D79">
            <v>1520000</v>
          </cell>
          <cell r="E79" t="str">
            <v>MAYBERRY</v>
          </cell>
        </row>
        <row r="80">
          <cell r="C80" t="str">
            <v>150-13</v>
          </cell>
          <cell r="D80">
            <v>1990000</v>
          </cell>
          <cell r="E80" t="str">
            <v>DAVIS</v>
          </cell>
        </row>
        <row r="81">
          <cell r="C81" t="str">
            <v>1810-13</v>
          </cell>
          <cell r="D81">
            <v>1830000</v>
          </cell>
          <cell r="E81" t="str">
            <v>YORK</v>
          </cell>
        </row>
        <row r="82">
          <cell r="C82" t="str">
            <v>157-13</v>
          </cell>
          <cell r="D82">
            <v>1740000</v>
          </cell>
          <cell r="E82" t="str">
            <v>STORY</v>
          </cell>
        </row>
        <row r="83">
          <cell r="C83" t="str">
            <v>152-13</v>
          </cell>
          <cell r="D83">
            <v>2030000</v>
          </cell>
          <cell r="E83" t="str">
            <v>KILLION</v>
          </cell>
        </row>
        <row r="84">
          <cell r="C84" t="str">
            <v>159-13</v>
          </cell>
          <cell r="D84">
            <v>880000</v>
          </cell>
          <cell r="E84" t="str">
            <v>STEWART</v>
          </cell>
        </row>
        <row r="85">
          <cell r="C85" t="str">
            <v>1811-13</v>
          </cell>
          <cell r="D85">
            <v>1830000</v>
          </cell>
          <cell r="E85" t="str">
            <v>YORK</v>
          </cell>
        </row>
        <row r="86">
          <cell r="C86" t="str">
            <v>154-13</v>
          </cell>
          <cell r="D86">
            <v>1100000</v>
          </cell>
          <cell r="E86" t="str">
            <v>GEBRETEKLE</v>
          </cell>
        </row>
        <row r="87">
          <cell r="C87" t="str">
            <v>161-13</v>
          </cell>
          <cell r="D87">
            <v>1280000</v>
          </cell>
          <cell r="E87" t="str">
            <v>BARTLETT</v>
          </cell>
        </row>
        <row r="88">
          <cell r="C88" t="str">
            <v>155-13</v>
          </cell>
          <cell r="D88">
            <v>1520000</v>
          </cell>
          <cell r="E88" t="str">
            <v>MAYBERRY</v>
          </cell>
        </row>
        <row r="89">
          <cell r="C89" t="str">
            <v>156-13</v>
          </cell>
          <cell r="D89">
            <v>1520000</v>
          </cell>
          <cell r="E89" t="str">
            <v>MAYBERRY</v>
          </cell>
        </row>
        <row r="90">
          <cell r="C90" t="str">
            <v>163-13</v>
          </cell>
          <cell r="D90">
            <v>2040000</v>
          </cell>
          <cell r="E90" t="str">
            <v>MOSES</v>
          </cell>
        </row>
        <row r="91">
          <cell r="C91" t="str">
            <v>158-13</v>
          </cell>
          <cell r="D91">
            <v>1740000</v>
          </cell>
          <cell r="E91" t="str">
            <v>STORY</v>
          </cell>
        </row>
        <row r="92">
          <cell r="C92" t="str">
            <v>165-13</v>
          </cell>
          <cell r="D92">
            <v>2020000</v>
          </cell>
          <cell r="E92" t="str">
            <v>SHOOK</v>
          </cell>
        </row>
        <row r="93">
          <cell r="C93" t="str">
            <v>1812-13</v>
          </cell>
          <cell r="D93">
            <v>1830000</v>
          </cell>
          <cell r="E93" t="str">
            <v>YORK</v>
          </cell>
        </row>
        <row r="94">
          <cell r="C94" t="str">
            <v>160-13</v>
          </cell>
          <cell r="D94">
            <v>880000</v>
          </cell>
          <cell r="E94" t="str">
            <v>STEWART</v>
          </cell>
        </row>
        <row r="95">
          <cell r="C95" t="str">
            <v>167-13</v>
          </cell>
          <cell r="D95">
            <v>1770000</v>
          </cell>
          <cell r="E95" t="str">
            <v>BRUDER</v>
          </cell>
        </row>
        <row r="96">
          <cell r="C96" t="str">
            <v>162-13</v>
          </cell>
          <cell r="D96">
            <v>1280000</v>
          </cell>
          <cell r="E96" t="str">
            <v>BARTLETT</v>
          </cell>
        </row>
        <row r="97">
          <cell r="C97" t="str">
            <v>1813-13</v>
          </cell>
          <cell r="D97">
            <v>1830000</v>
          </cell>
          <cell r="E97" t="str">
            <v>YORK</v>
          </cell>
        </row>
        <row r="98">
          <cell r="C98" t="str">
            <v>169-13</v>
          </cell>
          <cell r="D98">
            <v>1520000</v>
          </cell>
          <cell r="E98" t="str">
            <v>MAYBERRY</v>
          </cell>
        </row>
        <row r="99">
          <cell r="C99" t="str">
            <v>164-13</v>
          </cell>
          <cell r="D99">
            <v>2040000</v>
          </cell>
          <cell r="E99" t="str">
            <v>MOSES</v>
          </cell>
        </row>
        <row r="100">
          <cell r="C100" t="str">
            <v>171-13</v>
          </cell>
          <cell r="D100">
            <v>950000</v>
          </cell>
          <cell r="E100" t="str">
            <v>WEBSTER</v>
          </cell>
        </row>
        <row r="101">
          <cell r="C101" t="str">
            <v>166-13</v>
          </cell>
          <cell r="D101">
            <v>2020000</v>
          </cell>
          <cell r="E101" t="str">
            <v>SHOOK</v>
          </cell>
        </row>
        <row r="102">
          <cell r="C102" t="str">
            <v>1814-13</v>
          </cell>
          <cell r="D102">
            <v>1830000</v>
          </cell>
          <cell r="E102" t="str">
            <v>YORK</v>
          </cell>
        </row>
        <row r="103">
          <cell r="C103" t="str">
            <v>173-13</v>
          </cell>
          <cell r="D103">
            <v>880000</v>
          </cell>
          <cell r="E103" t="str">
            <v>STEWART</v>
          </cell>
        </row>
        <row r="104">
          <cell r="C104" t="str">
            <v>168-13</v>
          </cell>
          <cell r="D104">
            <v>1770000</v>
          </cell>
          <cell r="E104" t="str">
            <v>BRUDER</v>
          </cell>
        </row>
        <row r="105">
          <cell r="C105" t="str">
            <v>175-13</v>
          </cell>
          <cell r="D105">
            <v>1280000</v>
          </cell>
          <cell r="E105" t="str">
            <v>BARTLETT</v>
          </cell>
        </row>
        <row r="106">
          <cell r="C106" t="str">
            <v>1815-13</v>
          </cell>
          <cell r="D106">
            <v>1830000</v>
          </cell>
          <cell r="E106" t="str">
            <v>YORK</v>
          </cell>
        </row>
        <row r="107">
          <cell r="C107" t="str">
            <v>170-13</v>
          </cell>
          <cell r="D107">
            <v>1520000</v>
          </cell>
          <cell r="E107" t="str">
            <v>MAYBERRY</v>
          </cell>
        </row>
        <row r="108">
          <cell r="C108" t="str">
            <v>177-13</v>
          </cell>
          <cell r="D108">
            <v>2040000</v>
          </cell>
          <cell r="E108" t="str">
            <v>MOSES</v>
          </cell>
        </row>
        <row r="109">
          <cell r="C109" t="str">
            <v>172-13</v>
          </cell>
          <cell r="D109">
            <v>950000</v>
          </cell>
          <cell r="E109" t="str">
            <v>WEBSTER</v>
          </cell>
        </row>
        <row r="110">
          <cell r="C110" t="str">
            <v>179-13</v>
          </cell>
          <cell r="D110">
            <v>2020000</v>
          </cell>
          <cell r="E110" t="str">
            <v>SHOOK</v>
          </cell>
        </row>
        <row r="111">
          <cell r="C111" t="str">
            <v>1816-13</v>
          </cell>
          <cell r="D111">
            <v>1830000</v>
          </cell>
          <cell r="E111" t="str">
            <v>YORK</v>
          </cell>
        </row>
        <row r="112">
          <cell r="C112" t="str">
            <v>181-13</v>
          </cell>
          <cell r="D112">
            <v>1770000</v>
          </cell>
          <cell r="E112" t="str">
            <v>BRUDER</v>
          </cell>
        </row>
        <row r="113">
          <cell r="C113" t="str">
            <v>174-13</v>
          </cell>
          <cell r="D113">
            <v>880000</v>
          </cell>
          <cell r="E113" t="str">
            <v>STEWART</v>
          </cell>
        </row>
        <row r="114">
          <cell r="C114" t="str">
            <v>176-13</v>
          </cell>
          <cell r="D114">
            <v>1280000</v>
          </cell>
          <cell r="E114" t="str">
            <v>BARTLETT</v>
          </cell>
        </row>
        <row r="115">
          <cell r="C115" t="str">
            <v>183-13</v>
          </cell>
          <cell r="D115">
            <v>1520000</v>
          </cell>
          <cell r="E115" t="str">
            <v>MAYBERRY</v>
          </cell>
        </row>
        <row r="116">
          <cell r="C116" t="str">
            <v>1817-13</v>
          </cell>
          <cell r="D116">
            <v>1780000</v>
          </cell>
          <cell r="E116" t="str">
            <v>DE LA ROSA</v>
          </cell>
        </row>
        <row r="117">
          <cell r="C117" t="str">
            <v>178-13</v>
          </cell>
          <cell r="D117">
            <v>2040000</v>
          </cell>
          <cell r="E117" t="str">
            <v>MOSES</v>
          </cell>
        </row>
        <row r="118">
          <cell r="C118" t="str">
            <v>185-13</v>
          </cell>
          <cell r="D118">
            <v>950000</v>
          </cell>
          <cell r="E118" t="str">
            <v>WEBSTER</v>
          </cell>
        </row>
        <row r="119">
          <cell r="C119" t="str">
            <v>180-13</v>
          </cell>
          <cell r="D119">
            <v>2020000</v>
          </cell>
          <cell r="E119" t="str">
            <v>SHOOK</v>
          </cell>
        </row>
        <row r="120">
          <cell r="C120" t="str">
            <v>187-13</v>
          </cell>
          <cell r="D120">
            <v>880000</v>
          </cell>
          <cell r="E120" t="str">
            <v>STEWART</v>
          </cell>
        </row>
        <row r="121">
          <cell r="C121" t="str">
            <v>182-13</v>
          </cell>
          <cell r="D121">
            <v>1770000</v>
          </cell>
          <cell r="E121" t="str">
            <v>BRUDER</v>
          </cell>
        </row>
        <row r="122">
          <cell r="C122" t="str">
            <v>1818-13</v>
          </cell>
          <cell r="D122">
            <v>1780000</v>
          </cell>
          <cell r="E122" t="str">
            <v>DE LA ROSA</v>
          </cell>
        </row>
        <row r="123">
          <cell r="C123" t="str">
            <v>189-13</v>
          </cell>
          <cell r="D123">
            <v>1280000</v>
          </cell>
          <cell r="E123" t="str">
            <v>BARTLETT</v>
          </cell>
        </row>
        <row r="124">
          <cell r="C124" t="str">
            <v>184-13</v>
          </cell>
          <cell r="D124">
            <v>1520000</v>
          </cell>
          <cell r="E124" t="str">
            <v>MAYBERRY</v>
          </cell>
        </row>
        <row r="125">
          <cell r="C125" t="str">
            <v>191-13</v>
          </cell>
          <cell r="D125">
            <v>2040000</v>
          </cell>
          <cell r="E125" t="str">
            <v>MOSES</v>
          </cell>
        </row>
        <row r="126">
          <cell r="C126" t="str">
            <v>186-13</v>
          </cell>
          <cell r="D126">
            <v>950000</v>
          </cell>
          <cell r="E126" t="str">
            <v>WEBSTER</v>
          </cell>
        </row>
        <row r="127">
          <cell r="C127" t="str">
            <v>1819-13</v>
          </cell>
          <cell r="D127">
            <v>1780000</v>
          </cell>
          <cell r="E127" t="str">
            <v>DE LA ROSA</v>
          </cell>
        </row>
        <row r="128">
          <cell r="C128" t="str">
            <v>188-13</v>
          </cell>
          <cell r="D128">
            <v>880000</v>
          </cell>
          <cell r="E128" t="str">
            <v>STEWART</v>
          </cell>
        </row>
        <row r="129">
          <cell r="C129" t="str">
            <v>195-13</v>
          </cell>
          <cell r="D129">
            <v>1770000</v>
          </cell>
          <cell r="E129" t="str">
            <v>BRUDER</v>
          </cell>
        </row>
        <row r="130">
          <cell r="C130" t="str">
            <v>193-13</v>
          </cell>
          <cell r="D130">
            <v>2020000</v>
          </cell>
          <cell r="E130" t="str">
            <v>SHOOK</v>
          </cell>
        </row>
        <row r="131">
          <cell r="C131" t="str">
            <v>190-13</v>
          </cell>
          <cell r="D131">
            <v>1280000</v>
          </cell>
          <cell r="E131" t="str">
            <v>BARTLETT</v>
          </cell>
        </row>
        <row r="132">
          <cell r="C132" t="str">
            <v>1820-13</v>
          </cell>
          <cell r="D132">
            <v>1780000</v>
          </cell>
          <cell r="E132" t="str">
            <v>DE LA ROSA</v>
          </cell>
        </row>
        <row r="133">
          <cell r="C133" t="str">
            <v>193-13</v>
          </cell>
          <cell r="D133">
            <v>2020000</v>
          </cell>
          <cell r="E133" t="str">
            <v>SHOOK</v>
          </cell>
        </row>
        <row r="134">
          <cell r="C134" t="str">
            <v>197-13</v>
          </cell>
          <cell r="D134">
            <v>1520000</v>
          </cell>
          <cell r="E134" t="str">
            <v>MAYBERRY</v>
          </cell>
        </row>
        <row r="135">
          <cell r="C135" t="str">
            <v>192-13</v>
          </cell>
          <cell r="D135">
            <v>2040000</v>
          </cell>
          <cell r="E135" t="str">
            <v>MOSES</v>
          </cell>
        </row>
        <row r="136">
          <cell r="C136" t="str">
            <v>199-13</v>
          </cell>
          <cell r="D136">
            <v>950000</v>
          </cell>
          <cell r="E136" t="str">
            <v>WEBSTER</v>
          </cell>
        </row>
        <row r="137">
          <cell r="C137" t="str">
            <v>199-13</v>
          </cell>
          <cell r="D137">
            <v>950000</v>
          </cell>
          <cell r="E137" t="str">
            <v>WEBSTER</v>
          </cell>
        </row>
        <row r="138">
          <cell r="C138" t="str">
            <v>201-13</v>
          </cell>
          <cell r="D138">
            <v>880000</v>
          </cell>
          <cell r="E138" t="str">
            <v>STEWART</v>
          </cell>
        </row>
        <row r="139">
          <cell r="C139" t="str">
            <v>194-13</v>
          </cell>
          <cell r="D139">
            <v>2020000</v>
          </cell>
          <cell r="E139" t="str">
            <v>SHOOK</v>
          </cell>
        </row>
        <row r="140">
          <cell r="C140" t="str">
            <v>1821-13</v>
          </cell>
          <cell r="D140">
            <v>1780000</v>
          </cell>
          <cell r="E140" t="str">
            <v>DE LA ROSA</v>
          </cell>
        </row>
        <row r="141">
          <cell r="C141" t="str">
            <v>196-13</v>
          </cell>
          <cell r="D141">
            <v>1770000</v>
          </cell>
          <cell r="E141" t="str">
            <v>BRUDER</v>
          </cell>
        </row>
        <row r="142">
          <cell r="C142" t="str">
            <v>203-13</v>
          </cell>
          <cell r="D142">
            <v>1280000</v>
          </cell>
          <cell r="E142" t="str">
            <v>BARTLETT</v>
          </cell>
        </row>
        <row r="143">
          <cell r="C143" t="str">
            <v>198-13</v>
          </cell>
          <cell r="D143">
            <v>1520000</v>
          </cell>
          <cell r="E143" t="str">
            <v>MAYBERRY</v>
          </cell>
        </row>
        <row r="144">
          <cell r="C144" t="str">
            <v>1822-13</v>
          </cell>
          <cell r="D144">
            <v>1780000</v>
          </cell>
          <cell r="E144" t="str">
            <v>DE LA ROSA</v>
          </cell>
        </row>
        <row r="145">
          <cell r="C145" t="str">
            <v>207-13</v>
          </cell>
          <cell r="D145">
            <v>1460000</v>
          </cell>
          <cell r="E145" t="str">
            <v>NELSON</v>
          </cell>
        </row>
        <row r="146">
          <cell r="C146" t="str">
            <v>205-13</v>
          </cell>
          <cell r="D146">
            <v>2040000</v>
          </cell>
          <cell r="E146" t="str">
            <v>MOSES</v>
          </cell>
        </row>
        <row r="147">
          <cell r="C147" t="str">
            <v>200-13</v>
          </cell>
          <cell r="D147">
            <v>950000</v>
          </cell>
          <cell r="E147" t="str">
            <v>WEBSTER</v>
          </cell>
        </row>
        <row r="148">
          <cell r="C148" t="str">
            <v>65-13</v>
          </cell>
          <cell r="D148">
            <v>2020000</v>
          </cell>
          <cell r="E148" t="str">
            <v>SHOOK</v>
          </cell>
        </row>
        <row r="149">
          <cell r="C149" t="str">
            <v>202-13</v>
          </cell>
          <cell r="D149">
            <v>880000</v>
          </cell>
          <cell r="E149" t="str">
            <v>STEWART</v>
          </cell>
        </row>
        <row r="150">
          <cell r="C150" t="str">
            <v>209-13</v>
          </cell>
          <cell r="D150">
            <v>1770000</v>
          </cell>
          <cell r="E150" t="str">
            <v>BRUDER</v>
          </cell>
        </row>
        <row r="151">
          <cell r="C151" t="str">
            <v>204-13</v>
          </cell>
          <cell r="D151">
            <v>1280000</v>
          </cell>
          <cell r="E151" t="str">
            <v>BARTLETT</v>
          </cell>
        </row>
        <row r="152">
          <cell r="C152" t="str">
            <v>62-13</v>
          </cell>
          <cell r="D152">
            <v>1810000</v>
          </cell>
          <cell r="E152" t="str">
            <v>NEWELL</v>
          </cell>
        </row>
        <row r="153">
          <cell r="C153" t="str">
            <v>1823-13</v>
          </cell>
          <cell r="D153">
            <v>1780000</v>
          </cell>
          <cell r="E153" t="str">
            <v>DE LA ROSA</v>
          </cell>
        </row>
        <row r="154">
          <cell r="C154" t="str">
            <v>65-13</v>
          </cell>
          <cell r="D154">
            <v>2020000</v>
          </cell>
          <cell r="E154" t="str">
            <v>SHOOK</v>
          </cell>
        </row>
        <row r="155">
          <cell r="C155" t="str">
            <v>211-13</v>
          </cell>
          <cell r="D155">
            <v>1520000</v>
          </cell>
          <cell r="E155" t="str">
            <v>MAYBERRY</v>
          </cell>
        </row>
        <row r="156">
          <cell r="C156" t="str">
            <v>63-13</v>
          </cell>
          <cell r="D156">
            <v>2020000</v>
          </cell>
          <cell r="E156" t="str">
            <v>SHOOK</v>
          </cell>
        </row>
        <row r="157">
          <cell r="C157" t="str">
            <v>206-13</v>
          </cell>
          <cell r="D157">
            <v>2040000</v>
          </cell>
          <cell r="E157" t="str">
            <v>MOSES</v>
          </cell>
        </row>
        <row r="158">
          <cell r="C158" t="str">
            <v>64-13</v>
          </cell>
          <cell r="D158">
            <v>2000000</v>
          </cell>
          <cell r="E158" t="str">
            <v>STAMBAUGH</v>
          </cell>
        </row>
        <row r="159">
          <cell r="C159" t="str">
            <v>1824-13</v>
          </cell>
          <cell r="D159">
            <v>1780000</v>
          </cell>
          <cell r="E159" t="str">
            <v>DE LA ROSA</v>
          </cell>
        </row>
        <row r="160">
          <cell r="C160" t="str">
            <v>213-13</v>
          </cell>
          <cell r="D160">
            <v>1810000</v>
          </cell>
          <cell r="E160" t="str">
            <v>NEWELL</v>
          </cell>
        </row>
        <row r="161">
          <cell r="C161" t="str">
            <v>64-13</v>
          </cell>
          <cell r="D161">
            <v>2000000</v>
          </cell>
          <cell r="E161" t="str">
            <v>STAMBAUGH</v>
          </cell>
        </row>
        <row r="162">
          <cell r="C162" t="str">
            <v>208-13</v>
          </cell>
          <cell r="D162">
            <v>1460000</v>
          </cell>
          <cell r="E162" t="str">
            <v>NELSON</v>
          </cell>
        </row>
        <row r="163">
          <cell r="C163" t="str">
            <v>215-13</v>
          </cell>
          <cell r="D163">
            <v>950000</v>
          </cell>
          <cell r="E163" t="str">
            <v>WEBSTER</v>
          </cell>
        </row>
        <row r="164">
          <cell r="C164" t="str">
            <v>210-13</v>
          </cell>
          <cell r="D164">
            <v>1770000</v>
          </cell>
          <cell r="E164" t="str">
            <v>BRUDER</v>
          </cell>
        </row>
        <row r="165">
          <cell r="C165" t="str">
            <v>64-13</v>
          </cell>
          <cell r="D165">
            <v>880000</v>
          </cell>
          <cell r="E165" t="str">
            <v>STEWART</v>
          </cell>
        </row>
        <row r="166">
          <cell r="C166" t="str">
            <v>217-13</v>
          </cell>
          <cell r="D166">
            <v>2000000</v>
          </cell>
          <cell r="E166" t="str">
            <v>STAMBAUGH</v>
          </cell>
        </row>
        <row r="167">
          <cell r="C167" t="str">
            <v>212-13</v>
          </cell>
          <cell r="D167">
            <v>1520000</v>
          </cell>
          <cell r="E167" t="str">
            <v>MAYBERRY</v>
          </cell>
        </row>
        <row r="168">
          <cell r="C168" t="str">
            <v>1825-13</v>
          </cell>
          <cell r="D168">
            <v>1780000</v>
          </cell>
          <cell r="E168" t="str">
            <v>DE LA ROSA</v>
          </cell>
        </row>
        <row r="169">
          <cell r="C169" t="str">
            <v>214-13</v>
          </cell>
          <cell r="D169">
            <v>1810000</v>
          </cell>
          <cell r="E169" t="str">
            <v>NEWELL</v>
          </cell>
        </row>
        <row r="170">
          <cell r="C170" t="str">
            <v>219-13</v>
          </cell>
          <cell r="D170">
            <v>1480000</v>
          </cell>
          <cell r="E170" t="str">
            <v>STURGEON</v>
          </cell>
        </row>
        <row r="171">
          <cell r="C171" t="str">
            <v>1826-13</v>
          </cell>
          <cell r="D171">
            <v>1780000</v>
          </cell>
          <cell r="E171" t="str">
            <v>DE LA ROSA</v>
          </cell>
        </row>
        <row r="172">
          <cell r="C172" t="str">
            <v>221-13</v>
          </cell>
          <cell r="D172">
            <v>1300000</v>
          </cell>
          <cell r="E172" t="str">
            <v>LEVIN</v>
          </cell>
        </row>
        <row r="173">
          <cell r="C173" t="str">
            <v>216-13</v>
          </cell>
          <cell r="D173">
            <v>950000</v>
          </cell>
          <cell r="E173" t="str">
            <v>WEBSTER</v>
          </cell>
        </row>
        <row r="174">
          <cell r="C174" t="str">
            <v>218-13</v>
          </cell>
          <cell r="D174">
            <v>2000000</v>
          </cell>
          <cell r="E174" t="str">
            <v>STAMBAUGH</v>
          </cell>
        </row>
        <row r="175">
          <cell r="C175" t="str">
            <v>1827-13</v>
          </cell>
          <cell r="D175">
            <v>1780000</v>
          </cell>
          <cell r="E175" t="str">
            <v>DE LA ROSA</v>
          </cell>
        </row>
        <row r="176">
          <cell r="C176" t="str">
            <v>305-13</v>
          </cell>
          <cell r="D176">
            <v>1520000</v>
          </cell>
          <cell r="E176" t="str">
            <v>MAYBERRY</v>
          </cell>
        </row>
        <row r="177">
          <cell r="C177" t="str">
            <v>220-13</v>
          </cell>
          <cell r="D177">
            <v>1480000</v>
          </cell>
          <cell r="E177" t="str">
            <v>STURGEON</v>
          </cell>
        </row>
        <row r="178">
          <cell r="C178" t="str">
            <v>223-13</v>
          </cell>
          <cell r="D178">
            <v>1810000</v>
          </cell>
          <cell r="E178" t="str">
            <v>NEWELL</v>
          </cell>
        </row>
        <row r="179">
          <cell r="C179" t="str">
            <v>1828-13</v>
          </cell>
          <cell r="D179">
            <v>1780000</v>
          </cell>
          <cell r="E179" t="str">
            <v>DE LA ROSA</v>
          </cell>
        </row>
        <row r="180">
          <cell r="C180" t="str">
            <v>307-13</v>
          </cell>
          <cell r="D180">
            <v>950000</v>
          </cell>
          <cell r="E180" t="str">
            <v>WEBSTER</v>
          </cell>
        </row>
        <row r="181">
          <cell r="C181" t="str">
            <v>222-13</v>
          </cell>
          <cell r="D181">
            <v>1300000</v>
          </cell>
          <cell r="E181" t="str">
            <v>LEVIN</v>
          </cell>
        </row>
        <row r="182">
          <cell r="C182" t="str">
            <v>225-13</v>
          </cell>
          <cell r="D182">
            <v>2000000</v>
          </cell>
          <cell r="E182" t="str">
            <v>STAMBAUGH</v>
          </cell>
        </row>
        <row r="183">
          <cell r="C183" t="str">
            <v>224-13</v>
          </cell>
          <cell r="D183">
            <v>1810000</v>
          </cell>
          <cell r="E183" t="str">
            <v>NEWELL</v>
          </cell>
        </row>
        <row r="184">
          <cell r="C184" t="str">
            <v>1829-13</v>
          </cell>
          <cell r="D184">
            <v>1780000</v>
          </cell>
          <cell r="E184" t="str">
            <v>DE LA ROSA</v>
          </cell>
        </row>
        <row r="185">
          <cell r="C185" t="str">
            <v>227-13</v>
          </cell>
          <cell r="D185">
            <v>1480000</v>
          </cell>
          <cell r="E185" t="str">
            <v>STURGEON</v>
          </cell>
        </row>
        <row r="186">
          <cell r="C186" t="str">
            <v>1830-13</v>
          </cell>
          <cell r="D186">
            <v>1780000</v>
          </cell>
          <cell r="E186" t="str">
            <v>DE LA ROSA</v>
          </cell>
        </row>
        <row r="187">
          <cell r="C187" t="str">
            <v>229-13</v>
          </cell>
          <cell r="D187">
            <v>730000</v>
          </cell>
          <cell r="E187" t="str">
            <v>HOMIK</v>
          </cell>
        </row>
        <row r="188">
          <cell r="C188" t="str">
            <v>226-13</v>
          </cell>
          <cell r="D188">
            <v>2000000</v>
          </cell>
          <cell r="E188" t="str">
            <v>STAMBAUGH</v>
          </cell>
        </row>
        <row r="189">
          <cell r="C189" t="str">
            <v>231-13</v>
          </cell>
          <cell r="D189">
            <v>1810000</v>
          </cell>
          <cell r="E189" t="str">
            <v>NEWELL</v>
          </cell>
        </row>
        <row r="190">
          <cell r="C190" t="str">
            <v>1831-13</v>
          </cell>
          <cell r="D190">
            <v>1780000</v>
          </cell>
          <cell r="E190" t="str">
            <v>DE LA ROSA</v>
          </cell>
        </row>
        <row r="191">
          <cell r="C191" t="str">
            <v>227-13</v>
          </cell>
          <cell r="D191">
            <v>1480000</v>
          </cell>
          <cell r="E191" t="str">
            <v>STURGEON</v>
          </cell>
        </row>
        <row r="192">
          <cell r="C192" t="str">
            <v>228-13</v>
          </cell>
          <cell r="D192">
            <v>1480000</v>
          </cell>
          <cell r="E192" t="str">
            <v>STURGEON</v>
          </cell>
        </row>
        <row r="193">
          <cell r="C193" t="str">
            <v>1832-13</v>
          </cell>
          <cell r="D193">
            <v>1780000</v>
          </cell>
          <cell r="E193" t="str">
            <v>DE LA ROSA</v>
          </cell>
        </row>
        <row r="194">
          <cell r="C194" t="str">
            <v>230-13</v>
          </cell>
          <cell r="D194">
            <v>730000</v>
          </cell>
          <cell r="E194" t="str">
            <v>HOMIK</v>
          </cell>
        </row>
        <row r="195">
          <cell r="C195" t="str">
            <v>233-13</v>
          </cell>
          <cell r="D195">
            <v>2000000</v>
          </cell>
          <cell r="E195" t="str">
            <v>STAMBAUGH</v>
          </cell>
        </row>
        <row r="196">
          <cell r="C196" t="str">
            <v>1833-13</v>
          </cell>
          <cell r="D196">
            <v>1780000</v>
          </cell>
          <cell r="E196" t="str">
            <v>DE LA ROSA</v>
          </cell>
        </row>
        <row r="197">
          <cell r="C197" t="str">
            <v>232-13</v>
          </cell>
          <cell r="D197">
            <v>1810000</v>
          </cell>
          <cell r="E197" t="str">
            <v>NEWELL</v>
          </cell>
        </row>
        <row r="198">
          <cell r="C198" t="str">
            <v>235-13</v>
          </cell>
          <cell r="D198">
            <v>1480000</v>
          </cell>
          <cell r="E198" t="str">
            <v>STURGEON</v>
          </cell>
        </row>
        <row r="199">
          <cell r="C199" t="str">
            <v>1902-13</v>
          </cell>
          <cell r="D199">
            <v>1780000</v>
          </cell>
          <cell r="E199" t="str">
            <v>DE LA ROSA</v>
          </cell>
        </row>
        <row r="200">
          <cell r="C200" t="str">
            <v>237-13</v>
          </cell>
          <cell r="D200">
            <v>1300000</v>
          </cell>
          <cell r="E200" t="str">
            <v>LEVIN</v>
          </cell>
        </row>
        <row r="201">
          <cell r="C201" t="str">
            <v>234-13</v>
          </cell>
          <cell r="D201">
            <v>2000000</v>
          </cell>
          <cell r="E201" t="str">
            <v>STAMBAUGH</v>
          </cell>
        </row>
        <row r="202">
          <cell r="C202" t="str">
            <v>239-13</v>
          </cell>
          <cell r="D202">
            <v>1810000</v>
          </cell>
          <cell r="E202" t="str">
            <v>NEWELL</v>
          </cell>
        </row>
        <row r="203">
          <cell r="C203" t="str">
            <v>236-13</v>
          </cell>
          <cell r="D203">
            <v>1480000</v>
          </cell>
          <cell r="E203" t="str">
            <v>STURGEON</v>
          </cell>
        </row>
        <row r="204">
          <cell r="C204" t="str">
            <v>239-13</v>
          </cell>
          <cell r="D204">
            <v>1810000</v>
          </cell>
          <cell r="E204" t="str">
            <v>NEWELL</v>
          </cell>
        </row>
        <row r="205">
          <cell r="C205" t="str">
            <v>241-13</v>
          </cell>
          <cell r="D205">
            <v>2000000</v>
          </cell>
          <cell r="E205" t="str">
            <v>STAMBAUGH</v>
          </cell>
        </row>
        <row r="206">
          <cell r="C206" t="str">
            <v>238-13</v>
          </cell>
          <cell r="D206">
            <v>1300000</v>
          </cell>
          <cell r="E206" t="str">
            <v>LEVIN</v>
          </cell>
        </row>
        <row r="207">
          <cell r="C207" t="str">
            <v>243-13</v>
          </cell>
          <cell r="D207">
            <v>1480000</v>
          </cell>
          <cell r="E207" t="str">
            <v>STURGEON</v>
          </cell>
        </row>
        <row r="208">
          <cell r="C208" t="str">
            <v>240-13</v>
          </cell>
          <cell r="D208">
            <v>1810000</v>
          </cell>
          <cell r="E208" t="str">
            <v>NEWELL</v>
          </cell>
        </row>
        <row r="209">
          <cell r="C209" t="str">
            <v>245-13</v>
          </cell>
          <cell r="D209">
            <v>1300000</v>
          </cell>
          <cell r="E209" t="str">
            <v>LEVIN</v>
          </cell>
        </row>
        <row r="210">
          <cell r="C210" t="str">
            <v>242-13</v>
          </cell>
          <cell r="D210">
            <v>2000000</v>
          </cell>
          <cell r="E210" t="str">
            <v>STAMBAUGH</v>
          </cell>
        </row>
        <row r="211">
          <cell r="C211" t="str">
            <v>309-13</v>
          </cell>
          <cell r="D211">
            <v>1810000</v>
          </cell>
          <cell r="E211" t="str">
            <v>NEWELL</v>
          </cell>
        </row>
        <row r="212">
          <cell r="C212" t="str">
            <v>244-13</v>
          </cell>
          <cell r="D212">
            <v>1480000</v>
          </cell>
          <cell r="E212" t="str">
            <v>STURGEON</v>
          </cell>
        </row>
        <row r="213">
          <cell r="C213" t="str">
            <v>311-13</v>
          </cell>
          <cell r="D213">
            <v>2000000</v>
          </cell>
          <cell r="E213" t="str">
            <v>STAMBAUGH</v>
          </cell>
        </row>
        <row r="214">
          <cell r="C214" t="str">
            <v>246-13</v>
          </cell>
          <cell r="D214">
            <v>1300000</v>
          </cell>
          <cell r="E214" t="str">
            <v>LEVIN</v>
          </cell>
        </row>
        <row r="215">
          <cell r="C215" t="str">
            <v>313-13</v>
          </cell>
          <cell r="D215">
            <v>1480000</v>
          </cell>
          <cell r="E215" t="str">
            <v>STURGEON</v>
          </cell>
        </row>
        <row r="216">
          <cell r="C216" t="str">
            <v>315-13</v>
          </cell>
          <cell r="D216">
            <v>1300000</v>
          </cell>
          <cell r="E216" t="str">
            <v>LEVIN</v>
          </cell>
        </row>
        <row r="217">
          <cell r="C217" t="str">
            <v>302-14</v>
          </cell>
          <cell r="D217">
            <v>2030000</v>
          </cell>
          <cell r="E217" t="str">
            <v>KILLION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101-14</v>
          </cell>
          <cell r="B13">
            <v>4025</v>
          </cell>
          <cell r="C13" t="str">
            <v>DE.1.0.7.0</v>
          </cell>
          <cell r="D13" t="str">
            <v>204:766</v>
          </cell>
          <cell r="E13">
            <v>42596.126423611109</v>
          </cell>
          <cell r="F13">
            <v>42596.128194444442</v>
          </cell>
          <cell r="G13">
            <v>2</v>
          </cell>
          <cell r="H13" t="str">
            <v>204:233293</v>
          </cell>
          <cell r="I13">
            <v>42596.161099537036</v>
          </cell>
          <cell r="J13">
            <v>0</v>
          </cell>
          <cell r="K13" t="str">
            <v>4025/4026</v>
          </cell>
          <cell r="L13" t="str">
            <v>KILLION</v>
          </cell>
          <cell r="M13">
            <v>3.2905092593864538E-2</v>
          </cell>
          <cell r="N13">
            <v>47.383333335164934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https://search-rtdc-monitor-bjffxe2xuh6vdkpspy63sjmuny.us-east-1.es.amazonaws.com/_plugin/kibana/#/discover/Steve-Slow-Train-Analysis-(2080s-and-2083s)?_g=(refreshInterval:(display:Off,section:0,value:0),time:(from:'2016-08-14 02:02:03-0600',mode:absolute,to:'2016-08-14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" t="str">
            <v>N</v>
          </cell>
          <cell r="X13" t="e">
            <v>#VALUE!</v>
          </cell>
          <cell r="Y13">
            <v>7.6600000000000001E-2</v>
          </cell>
          <cell r="Z13">
            <v>23.3293</v>
          </cell>
          <cell r="AA13">
            <v>23.252700000000001</v>
          </cell>
          <cell r="AB13" t="e">
            <v>#N/A</v>
          </cell>
          <cell r="AC13" t="e">
            <v>#N/A</v>
          </cell>
          <cell r="AD13" t="str">
            <v>0101-14</v>
          </cell>
          <cell r="AE1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">
          <cell r="A14" t="str">
            <v>102-14</v>
          </cell>
          <cell r="B14">
            <v>4013</v>
          </cell>
          <cell r="C14" t="str">
            <v>DE.1.0.7.0</v>
          </cell>
          <cell r="D14" t="str">
            <v>204:232650</v>
          </cell>
          <cell r="E14">
            <v>42596.167222222219</v>
          </cell>
          <cell r="F14">
            <v>42596.168078703704</v>
          </cell>
          <cell r="G14">
            <v>1</v>
          </cell>
          <cell r="H14" t="str">
            <v>204:158</v>
          </cell>
          <cell r="I14">
            <v>42596.202673611115</v>
          </cell>
          <cell r="J14">
            <v>0</v>
          </cell>
          <cell r="K14" t="str">
            <v>4013/4014</v>
          </cell>
          <cell r="L14" t="str">
            <v>KILLION</v>
          </cell>
          <cell r="M14">
            <v>3.4594907410792075E-2</v>
          </cell>
          <cell r="N14">
            <v>49.816666671540588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https://search-rtdc-monitor-bjffxe2xuh6vdkpspy63sjmuny.us-east-1.es.amazonaws.com/_plugin/kibana/#/discover/Steve-Slow-Train-Analysis-(2080s-and-2083s)?_g=(refreshInterval:(display:Off,section:0,value:0),time:(from:'2016-08-14 03:00:48-0600',mode:absolute,to:'2016-08-14 05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" t="str">
            <v>N</v>
          </cell>
          <cell r="X14">
            <v>1</v>
          </cell>
          <cell r="Y14">
            <v>23.265000000000001</v>
          </cell>
          <cell r="Z14">
            <v>1.5800000000000002E-2</v>
          </cell>
          <cell r="AA14">
            <v>23.249200000000002</v>
          </cell>
          <cell r="AB14" t="e">
            <v>#N/A</v>
          </cell>
          <cell r="AC14" t="e">
            <v>#N/A</v>
          </cell>
          <cell r="AD14" t="str">
            <v>0102-14</v>
          </cell>
          <cell r="AE1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5">
          <cell r="A15" t="str">
            <v>103-14</v>
          </cell>
          <cell r="B15">
            <v>4029</v>
          </cell>
          <cell r="C15" t="str">
            <v>DE.1.0.7.0</v>
          </cell>
          <cell r="D15" t="str">
            <v>204:650</v>
          </cell>
          <cell r="E15">
            <v>42596.151377314818</v>
          </cell>
          <cell r="F15">
            <v>42596.152499999997</v>
          </cell>
          <cell r="G15">
            <v>1</v>
          </cell>
          <cell r="H15" t="str">
            <v>204:233414</v>
          </cell>
          <cell r="I15">
            <v>42596.183425925927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3.0925925930205267E-2</v>
          </cell>
          <cell r="N15">
            <v>44.533333339495584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https://search-rtdc-monitor-bjffxe2xuh6vdkpspy63sjmuny.us-east-1.es.amazonaws.com/_plugin/kibana/#/discover/Steve-Slow-Train-Analysis-(2080s-and-2083s)?_g=(refreshInterval:(display:Off,section:0,value:0),time:(from:'2016-08-14 02:37:59-0600',mode:absolute,to:'2016-08-14 05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6.5000000000000002E-2</v>
          </cell>
          <cell r="Z15">
            <v>23.3414</v>
          </cell>
          <cell r="AA15">
            <v>23.276399999999999</v>
          </cell>
          <cell r="AB15" t="e">
            <v>#N/A</v>
          </cell>
          <cell r="AC15" t="e">
            <v>#N/A</v>
          </cell>
          <cell r="AD15" t="str">
            <v>0103-14</v>
          </cell>
          <cell r="AE1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6">
          <cell r="A16" t="str">
            <v>104-14</v>
          </cell>
          <cell r="B16">
            <v>4015</v>
          </cell>
          <cell r="C16" t="str">
            <v>DE.1.0.7.0</v>
          </cell>
          <cell r="D16" t="str">
            <v>204:232770</v>
          </cell>
          <cell r="E16">
            <v>42596.189143518517</v>
          </cell>
          <cell r="F16">
            <v>42596.190324074072</v>
          </cell>
          <cell r="G16">
            <v>1</v>
          </cell>
          <cell r="H16" t="str">
            <v>204:121</v>
          </cell>
          <cell r="I16">
            <v>42596.222731481481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3.2407407408754807E-2</v>
          </cell>
          <cell r="N16">
            <v>46.666666668606922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https://search-rtdc-monitor-bjffxe2xuh6vdkpspy63sjmuny.us-east-1.es.amazonaws.com/_plugin/kibana/#/discover/Steve-Slow-Train-Analysis-(2080s-and-2083s)?_g=(refreshInterval:(display:Off,section:0,value:0),time:(from:'2016-08-14 03:32:22-0600',mode:absolute,to:'2016-08-14 06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23.277000000000001</v>
          </cell>
          <cell r="Z16">
            <v>1.21E-2</v>
          </cell>
          <cell r="AA16">
            <v>23.264900000000001</v>
          </cell>
          <cell r="AB16" t="e">
            <v>#N/A</v>
          </cell>
          <cell r="AC16" t="e">
            <v>#N/A</v>
          </cell>
          <cell r="AD16" t="str">
            <v>0104-14</v>
          </cell>
          <cell r="AE16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7">
          <cell r="A17" t="str">
            <v>105-14</v>
          </cell>
          <cell r="B17">
            <v>4011</v>
          </cell>
          <cell r="C17" t="str">
            <v>DE.1.0.7.0</v>
          </cell>
          <cell r="D17" t="str">
            <v>204:728</v>
          </cell>
          <cell r="E17">
            <v>42596.1716087963</v>
          </cell>
          <cell r="F17">
            <v>42596.172453703701</v>
          </cell>
          <cell r="G17">
            <v>1</v>
          </cell>
          <cell r="H17" t="str">
            <v>204:233322</v>
          </cell>
          <cell r="I17">
            <v>42596.202881944446</v>
          </cell>
          <cell r="J17">
            <v>0</v>
          </cell>
          <cell r="K17" t="str">
            <v>4011/4012</v>
          </cell>
          <cell r="L17" t="str">
            <v>MAELZER</v>
          </cell>
          <cell r="M17">
            <v>3.0428240745095536E-2</v>
          </cell>
          <cell r="N17">
            <v>43.816666672937572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https://search-rtdc-monitor-bjffxe2xuh6vdkpspy63sjmuny.us-east-1.es.amazonaws.com/_plugin/kibana/#/discover/Steve-Slow-Train-Analysis-(2080s-and-2083s)?_g=(refreshInterval:(display:Off,section:0,value:0),time:(from:'2016-08-14 03:07:07-0600',mode:absolute,to:'2016-08-14 05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7" t="str">
            <v>N</v>
          </cell>
          <cell r="X17">
            <v>1</v>
          </cell>
          <cell r="Y17">
            <v>7.2800000000000004E-2</v>
          </cell>
          <cell r="Z17">
            <v>23.3322</v>
          </cell>
          <cell r="AA17">
            <v>23.259399999999999</v>
          </cell>
          <cell r="AB17" t="e">
            <v>#N/A</v>
          </cell>
          <cell r="AC17" t="e">
            <v>#N/A</v>
          </cell>
          <cell r="AD17" t="str">
            <v>0105-14</v>
          </cell>
          <cell r="AE1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8">
          <cell r="A18" t="str">
            <v>106-14</v>
          </cell>
          <cell r="B18">
            <v>4032</v>
          </cell>
          <cell r="C18" t="str">
            <v>DE.1.0.7.0</v>
          </cell>
          <cell r="D18" t="str">
            <v>204:232669</v>
          </cell>
          <cell r="E18">
            <v>42596.211782407408</v>
          </cell>
          <cell r="F18">
            <v>42596.213263888887</v>
          </cell>
          <cell r="G18">
            <v>2</v>
          </cell>
          <cell r="H18" t="str">
            <v>204:125</v>
          </cell>
          <cell r="I18">
            <v>42596.243425925924</v>
          </cell>
          <cell r="J18">
            <v>0</v>
          </cell>
          <cell r="K18" t="str">
            <v>4031/4032</v>
          </cell>
          <cell r="L18" t="str">
            <v>MAELZER</v>
          </cell>
          <cell r="M18">
            <v>3.0162037037371192E-2</v>
          </cell>
          <cell r="N18">
            <v>43.433333333814517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https://search-rtdc-monitor-bjffxe2xuh6vdkpspy63sjmuny.us-east-1.es.amazonaws.com/_plugin/kibana/#/discover/Steve-Slow-Train-Analysis-(2080s-and-2083s)?_g=(refreshInterval:(display:Off,section:0,value:0),time:(from:'2016-08-14 04:04:58-0600',mode:absolute,to:'2016-08-14 06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23.2669</v>
          </cell>
          <cell r="Z18">
            <v>1.2500000000000001E-2</v>
          </cell>
          <cell r="AA18">
            <v>23.2544</v>
          </cell>
          <cell r="AB18" t="e">
            <v>#N/A</v>
          </cell>
          <cell r="AC18" t="e">
            <v>#N/A</v>
          </cell>
          <cell r="AD18" t="str">
            <v>0106-14</v>
          </cell>
          <cell r="AE18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19">
          <cell r="A19" t="str">
            <v>107-14</v>
          </cell>
          <cell r="B19">
            <v>4027</v>
          </cell>
          <cell r="C19" t="str">
            <v>DE.1.0.7.0</v>
          </cell>
          <cell r="D19" t="str">
            <v>204:462</v>
          </cell>
          <cell r="E19">
            <v>42596.181550925925</v>
          </cell>
          <cell r="F19">
            <v>42596.18240740741</v>
          </cell>
          <cell r="G19">
            <v>1</v>
          </cell>
          <cell r="H19" t="str">
            <v>204:233323</v>
          </cell>
          <cell r="I19">
            <v>42596.213634259257</v>
          </cell>
          <cell r="J19">
            <v>0</v>
          </cell>
          <cell r="K19" t="str">
            <v>4027/4028</v>
          </cell>
          <cell r="L19" t="str">
            <v>DAVIS</v>
          </cell>
          <cell r="M19">
            <v>3.1226851846440695E-2</v>
          </cell>
          <cell r="N19">
            <v>44.966666658874601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https://search-rtdc-monitor-bjffxe2xuh6vdkpspy63sjmuny.us-east-1.es.amazonaws.com/_plugin/kibana/#/discover/Steve-Slow-Train-Analysis-(2080s-and-2083s)?_g=(refreshInterval:(display:Off,section:0,value:0),time:(from:'2016-08-14 03:21:26-0600',mode:absolute,to:'2016-08-14 06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4.6199999999999998E-2</v>
          </cell>
          <cell r="Z19">
            <v>23.3323</v>
          </cell>
          <cell r="AA19">
            <v>23.286100000000001</v>
          </cell>
          <cell r="AB19" t="e">
            <v>#N/A</v>
          </cell>
          <cell r="AC19" t="e">
            <v>#N/A</v>
          </cell>
          <cell r="AD19" t="str">
            <v>0107-14</v>
          </cell>
          <cell r="AE19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20">
          <cell r="A20" t="str">
            <v>108-14</v>
          </cell>
          <cell r="B20">
            <v>4028</v>
          </cell>
          <cell r="C20" t="str">
            <v>DE.1.0.7.0</v>
          </cell>
          <cell r="D20" t="str">
            <v>204:232996</v>
          </cell>
          <cell r="E20">
            <v>42596.21702546296</v>
          </cell>
          <cell r="F20">
            <v>42596.218599537038</v>
          </cell>
          <cell r="G20">
            <v>2</v>
          </cell>
          <cell r="H20" t="str">
            <v>204:145</v>
          </cell>
          <cell r="I20">
            <v>42596.254537037035</v>
          </cell>
          <cell r="J20">
            <v>0</v>
          </cell>
          <cell r="K20" t="str">
            <v>4027/4028</v>
          </cell>
          <cell r="L20" t="str">
            <v>DAVIS</v>
          </cell>
          <cell r="M20">
            <v>3.5937499997089617E-2</v>
          </cell>
          <cell r="N20">
            <v>51.749999995809048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https://search-rtdc-monitor-bjffxe2xuh6vdkpspy63sjmuny.us-east-1.es.amazonaws.com/_plugin/kibana/#/discover/Steve-Slow-Train-Analysis-(2080s-and-2083s)?_g=(refreshInterval:(display:Off,section:0,value:0),time:(from:'2016-08-14 04:12:31-0600',mode:absolute,to:'2016-08-14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23.299600000000002</v>
          </cell>
          <cell r="Z20">
            <v>1.4500000000000001E-2</v>
          </cell>
          <cell r="AA20">
            <v>23.2851</v>
          </cell>
          <cell r="AB20" t="e">
            <v>#N/A</v>
          </cell>
          <cell r="AC20" t="e">
            <v>#N/A</v>
          </cell>
          <cell r="AD20" t="str">
            <v>0108-14</v>
          </cell>
          <cell r="AE20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21">
          <cell r="A21" t="str">
            <v>109-14</v>
          </cell>
          <cell r="B21">
            <v>4038</v>
          </cell>
          <cell r="C21" t="str">
            <v>DE.1.0.7.0</v>
          </cell>
          <cell r="D21" t="str">
            <v>204:477</v>
          </cell>
          <cell r="E21">
            <v>42596.19630787037</v>
          </cell>
          <cell r="F21">
            <v>42596.197094907409</v>
          </cell>
          <cell r="G21">
            <v>1</v>
          </cell>
          <cell r="H21" t="str">
            <v>204:233284</v>
          </cell>
          <cell r="I21">
            <v>42596.223796296297</v>
          </cell>
          <cell r="J21">
            <v>0</v>
          </cell>
          <cell r="K21" t="str">
            <v>4037/4038</v>
          </cell>
          <cell r="L21" t="str">
            <v>MALAVE</v>
          </cell>
          <cell r="M21">
            <v>2.6701388887886424E-2</v>
          </cell>
          <cell r="N21">
            <v>38.44999999855645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https://search-rtdc-monitor-bjffxe2xuh6vdkpspy63sjmuny.us-east-1.es.amazonaws.com/_plugin/kibana/#/discover/Steve-Slow-Train-Analysis-(2080s-and-2083s)?_g=(refreshInterval:(display:Off,section:0,value:0),time:(from:'2016-08-14 03:42:41-0600',mode:absolute,to:'2016-08-14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N</v>
          </cell>
          <cell r="X21">
            <v>1</v>
          </cell>
          <cell r="Y21">
            <v>4.7699999999999999E-2</v>
          </cell>
          <cell r="Z21">
            <v>23.328399999999998</v>
          </cell>
          <cell r="AA21">
            <v>23.2807</v>
          </cell>
          <cell r="AB21" t="e">
            <v>#N/A</v>
          </cell>
          <cell r="AC21" t="e">
            <v>#N/A</v>
          </cell>
          <cell r="AD21" t="str">
            <v>0109-14</v>
          </cell>
          <cell r="AE2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22">
          <cell r="A22" t="str">
            <v>110-14</v>
          </cell>
          <cell r="B22">
            <v>4037</v>
          </cell>
          <cell r="C22" t="str">
            <v>DE.1.0.7.0</v>
          </cell>
          <cell r="D22" t="str">
            <v>204:232959</v>
          </cell>
          <cell r="E22">
            <v>42596.233981481484</v>
          </cell>
          <cell r="F22">
            <v>42596.235312500001</v>
          </cell>
          <cell r="G22">
            <v>1</v>
          </cell>
          <cell r="H22" t="str">
            <v>204:404</v>
          </cell>
          <cell r="I22">
            <v>42596.264618055553</v>
          </cell>
          <cell r="J22">
            <v>0</v>
          </cell>
          <cell r="K22" t="str">
            <v>4037/4038</v>
          </cell>
          <cell r="L22" t="str">
            <v>MALAVE</v>
          </cell>
          <cell r="M22">
            <v>2.9305555552127771E-2</v>
          </cell>
          <cell r="N22">
            <v>42.19999999506399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https://search-rtdc-monitor-bjffxe2xuh6vdkpspy63sjmuny.us-east-1.es.amazonaws.com/_plugin/kibana/#/discover/Steve-Slow-Train-Analysis-(2080s-and-2083s)?_g=(refreshInterval:(display:Off,section:0,value:0),time:(from:'2016-08-14 04:36:56-0600',mode:absolute,to:'2016-08-14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N</v>
          </cell>
          <cell r="X22">
            <v>1</v>
          </cell>
          <cell r="Y22">
            <v>23.2959</v>
          </cell>
          <cell r="Z22">
            <v>4.0399999999999998E-2</v>
          </cell>
          <cell r="AA22">
            <v>23.255499999999998</v>
          </cell>
          <cell r="AB22" t="e">
            <v>#N/A</v>
          </cell>
          <cell r="AC22" t="e">
            <v>#N/A</v>
          </cell>
          <cell r="AD22" t="str">
            <v>0110-14</v>
          </cell>
          <cell r="AE2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23">
          <cell r="A23" t="str">
            <v>111-14</v>
          </cell>
          <cell r="B23">
            <v>4025</v>
          </cell>
          <cell r="C23" t="str">
            <v>DE.1.0.7.0</v>
          </cell>
          <cell r="D23" t="str">
            <v>204:766</v>
          </cell>
          <cell r="E23">
            <v>42596.206319444442</v>
          </cell>
          <cell r="F23">
            <v>42596.207650462966</v>
          </cell>
          <cell r="G23">
            <v>1</v>
          </cell>
          <cell r="H23" t="str">
            <v>204:233304</v>
          </cell>
          <cell r="I23">
            <v>42596.235347222224</v>
          </cell>
          <cell r="J23">
            <v>0</v>
          </cell>
          <cell r="K23" t="str">
            <v>4025/4026</v>
          </cell>
          <cell r="L23" t="str">
            <v>STRICKLAND</v>
          </cell>
          <cell r="M23">
            <v>2.7696759258105885E-2</v>
          </cell>
          <cell r="N23">
            <v>39.883333331672475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https://search-rtdc-monitor-bjffxe2xuh6vdkpspy63sjmuny.us-east-1.es.amazonaws.com/_plugin/kibana/#/discover/Steve-Slow-Train-Analysis-(2080s-and-2083s)?_g=(refreshInterval:(display:Off,section:0,value:0),time:(from:'2016-08-14 03:57:06-0600',mode:absolute,to:'2016-08-14 06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3" t="str">
            <v>N</v>
          </cell>
          <cell r="X23">
            <v>1</v>
          </cell>
          <cell r="Y23">
            <v>7.6600000000000001E-2</v>
          </cell>
          <cell r="Z23">
            <v>23.330400000000001</v>
          </cell>
          <cell r="AA23">
            <v>23.253800000000002</v>
          </cell>
          <cell r="AB23" t="e">
            <v>#N/A</v>
          </cell>
          <cell r="AC23" t="e">
            <v>#N/A</v>
          </cell>
          <cell r="AD23" t="str">
            <v>0111-14</v>
          </cell>
          <cell r="AE2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24">
          <cell r="A24" t="str">
            <v>112-14</v>
          </cell>
          <cell r="B24">
            <v>4026</v>
          </cell>
          <cell r="C24" t="str">
            <v>DE.1.0.7.0</v>
          </cell>
          <cell r="D24" t="str">
            <v>204:154010</v>
          </cell>
          <cell r="E24">
            <v>42596.242719907408</v>
          </cell>
          <cell r="F24">
            <v>42596.256226851852</v>
          </cell>
          <cell r="G24">
            <v>19</v>
          </cell>
          <cell r="H24" t="str">
            <v>204:1181</v>
          </cell>
          <cell r="I24">
            <v>42596.276967592596</v>
          </cell>
          <cell r="J24">
            <v>0</v>
          </cell>
          <cell r="K24" t="str">
            <v>4025/4026</v>
          </cell>
          <cell r="L24" t="str">
            <v>STRICKLAND</v>
          </cell>
          <cell r="M24">
            <v>2.0740740743349306E-2</v>
          </cell>
          <cell r="P24">
            <v>29.866666670423001</v>
          </cell>
          <cell r="R24" t="str">
            <v>TMDS sent repeated consist updates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https://search-rtdc-monitor-bjffxe2xuh6vdkpspy63sjmuny.us-east-1.es.amazonaws.com/_plugin/kibana/#/discover/Steve-Slow-Train-Analysis-(2080s-and-2083s)?_g=(refreshInterval:(display:Off,section:0,value:0),time:(from:'2016-08-14 04:49:31-0600',mode:absolute,to:'2016-08-14 07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4" t="str">
            <v>Y</v>
          </cell>
          <cell r="X24">
            <v>1</v>
          </cell>
          <cell r="Y24">
            <v>15.401</v>
          </cell>
          <cell r="Z24">
            <v>0.1181</v>
          </cell>
          <cell r="AA24">
            <v>15.2829</v>
          </cell>
          <cell r="AB24" t="e">
            <v>#N/A</v>
          </cell>
          <cell r="AC24" t="e">
            <v>#N/A</v>
          </cell>
          <cell r="AD24" t="str">
            <v>0112-14</v>
          </cell>
          <cell r="AE24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25">
          <cell r="A25" t="str">
            <v>113-14</v>
          </cell>
          <cell r="B25">
            <v>4014</v>
          </cell>
          <cell r="C25" t="str">
            <v>DE.1.0.7.0</v>
          </cell>
          <cell r="D25" t="str">
            <v>204:440</v>
          </cell>
          <cell r="E25">
            <v>42596.209930555553</v>
          </cell>
          <cell r="F25">
            <v>42596.210925925923</v>
          </cell>
          <cell r="G25">
            <v>1</v>
          </cell>
          <cell r="H25" t="str">
            <v>204:233211</v>
          </cell>
          <cell r="I25">
            <v>42596.244212962964</v>
          </cell>
          <cell r="J25">
            <v>0</v>
          </cell>
          <cell r="K25" t="str">
            <v>4013/4014</v>
          </cell>
          <cell r="L25" t="str">
            <v>KILLION</v>
          </cell>
          <cell r="M25">
            <v>3.3287037040281575E-2</v>
          </cell>
          <cell r="N25">
            <v>47.933333338005468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https://search-rtdc-monitor-bjffxe2xuh6vdkpspy63sjmuny.us-east-1.es.amazonaws.com/_plugin/kibana/#/discover/Steve-Slow-Train-Analysis-(2080s-and-2083s)?_g=(refreshInterval:(display:Off,section:0,value:0),time:(from:'2016-08-14 04:02:18-0600',mode:absolute,to:'2016-08-14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4.3999999999999997E-2</v>
          </cell>
          <cell r="Z25">
            <v>23.321100000000001</v>
          </cell>
          <cell r="AA25">
            <v>23.277100000000001</v>
          </cell>
          <cell r="AB25" t="e">
            <v>#N/A</v>
          </cell>
          <cell r="AC25" t="e">
            <v>#N/A</v>
          </cell>
          <cell r="AD25" t="str">
            <v>0113-14</v>
          </cell>
          <cell r="AE25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26">
          <cell r="A26" t="str">
            <v>114-14</v>
          </cell>
          <cell r="B26">
            <v>4013</v>
          </cell>
          <cell r="C26" t="str">
            <v>DE.1.0.7.0</v>
          </cell>
          <cell r="D26" t="str">
            <v>204:232898</v>
          </cell>
          <cell r="E26">
            <v>42596.253761574073</v>
          </cell>
          <cell r="F26">
            <v>42596.255243055559</v>
          </cell>
          <cell r="G26">
            <v>2</v>
          </cell>
          <cell r="H26" t="str">
            <v>204:149</v>
          </cell>
          <cell r="I26">
            <v>42596.284641203703</v>
          </cell>
          <cell r="J26">
            <v>0</v>
          </cell>
          <cell r="K26" t="str">
            <v>4013/4014</v>
          </cell>
          <cell r="L26" t="str">
            <v>KILLION</v>
          </cell>
          <cell r="M26">
            <v>2.9398148144537117E-2</v>
          </cell>
          <cell r="N26">
            <v>42.333333328133449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https://search-rtdc-monitor-bjffxe2xuh6vdkpspy63sjmuny.us-east-1.es.amazonaws.com/_plugin/kibana/#/discover/Steve-Slow-Train-Analysis-(2080s-and-2083s)?_g=(refreshInterval:(display:Off,section:0,value:0),time:(from:'2016-08-14 05:05:25-0600',mode:absolute,to:'2016-08-14 07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6" t="str">
            <v>N</v>
          </cell>
          <cell r="X26">
            <v>1</v>
          </cell>
          <cell r="Y26">
            <v>23.2898</v>
          </cell>
          <cell r="Z26">
            <v>1.49E-2</v>
          </cell>
          <cell r="AA26">
            <v>23.274899999999999</v>
          </cell>
          <cell r="AB26" t="e">
            <v>#N/A</v>
          </cell>
          <cell r="AC26" t="e">
            <v>#N/A</v>
          </cell>
          <cell r="AD26" t="str">
            <v>0114-14</v>
          </cell>
          <cell r="AE26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27">
          <cell r="A27" t="str">
            <v>115-14</v>
          </cell>
          <cell r="B27">
            <v>4029</v>
          </cell>
          <cell r="C27" t="str">
            <v>DE.1.0.7.0</v>
          </cell>
          <cell r="D27" t="str">
            <v>204:759</v>
          </cell>
          <cell r="E27">
            <v>42596.229907407411</v>
          </cell>
          <cell r="F27">
            <v>42596.230532407404</v>
          </cell>
          <cell r="G27">
            <v>0</v>
          </cell>
          <cell r="H27" t="str">
            <v>204:233276</v>
          </cell>
          <cell r="I27">
            <v>42596.254652777781</v>
          </cell>
          <cell r="J27">
            <v>0</v>
          </cell>
          <cell r="K27" t="str">
            <v>4029/4030</v>
          </cell>
          <cell r="L27" t="str">
            <v>YORK</v>
          </cell>
          <cell r="M27">
            <v>2.4120370377204381E-2</v>
          </cell>
          <cell r="N27">
            <v>34.733333343174309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https://search-rtdc-monitor-bjffxe2xuh6vdkpspy63sjmuny.us-east-1.es.amazonaws.com/_plugin/kibana/#/discover/Steve-Slow-Train-Analysis-(2080s-and-2083s)?_g=(refreshInterval:(display:Off,section:0,value:0),time:(from:'2016-08-14 04:31:04-0600',mode:absolute,to:'2016-08-14 07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7.5899999999999995E-2</v>
          </cell>
          <cell r="Z27">
            <v>23.3276</v>
          </cell>
          <cell r="AA27">
            <v>23.2517</v>
          </cell>
          <cell r="AB27" t="e">
            <v>#N/A</v>
          </cell>
          <cell r="AC27" t="e">
            <v>#N/A</v>
          </cell>
          <cell r="AD27" t="str">
            <v>0115-14</v>
          </cell>
          <cell r="AE27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28">
          <cell r="A28" t="str">
            <v>116-14</v>
          </cell>
          <cell r="B28">
            <v>4030</v>
          </cell>
          <cell r="C28" t="str">
            <v>DE.1.0.7.0</v>
          </cell>
          <cell r="D28" t="str">
            <v>204:232960</v>
          </cell>
          <cell r="E28">
            <v>42596.255358796298</v>
          </cell>
          <cell r="F28">
            <v>42596.256273148145</v>
          </cell>
          <cell r="G28">
            <v>1</v>
          </cell>
          <cell r="H28" t="str">
            <v>204:170</v>
          </cell>
          <cell r="I28">
            <v>42596.294004629628</v>
          </cell>
          <cell r="J28">
            <v>0</v>
          </cell>
          <cell r="K28" t="str">
            <v>4029/4030</v>
          </cell>
          <cell r="L28" t="str">
            <v>YORK</v>
          </cell>
          <cell r="M28">
            <v>3.7731481483206153E-2</v>
          </cell>
          <cell r="N28">
            <v>54.33333333581686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https://search-rtdc-monitor-bjffxe2xuh6vdkpspy63sjmuny.us-east-1.es.amazonaws.com/_plugin/kibana/#/discover/Steve-Slow-Train-Analysis-(2080s-and-2083s)?_g=(refreshInterval:(display:Off,section:0,value:0),time:(from:'2016-08-14 05:07:43-0600',mode:absolute,to:'2016-08-14 08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23.295999999999999</v>
          </cell>
          <cell r="Z28">
            <v>1.7000000000000001E-2</v>
          </cell>
          <cell r="AA28">
            <v>23.279</v>
          </cell>
          <cell r="AB28" t="e">
            <v>#N/A</v>
          </cell>
          <cell r="AC28" t="e">
            <v>#N/A</v>
          </cell>
          <cell r="AD28" t="str">
            <v>0116-14</v>
          </cell>
          <cell r="AE28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29">
          <cell r="A29" t="str">
            <v>117-14</v>
          </cell>
          <cell r="B29">
            <v>4016</v>
          </cell>
          <cell r="C29" t="str">
            <v>DE.1.0.7.0</v>
          </cell>
          <cell r="D29" t="str">
            <v>204:435</v>
          </cell>
          <cell r="E29">
            <v>42596.235000000001</v>
          </cell>
          <cell r="F29">
            <v>42596.236319444448</v>
          </cell>
          <cell r="G29">
            <v>1</v>
          </cell>
          <cell r="H29" t="str">
            <v>204:233288</v>
          </cell>
          <cell r="I29">
            <v>42596.26457175926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2.8252314812561963E-2</v>
          </cell>
          <cell r="N29">
            <v>40.683333330089226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https://search-rtdc-monitor-bjffxe2xuh6vdkpspy63sjmuny.us-east-1.es.amazonaws.com/_plugin/kibana/#/discover/Steve-Slow-Train-Analysis-(2080s-and-2083s)?_g=(refreshInterval:(display:Off,section:0,value:0),time:(from:'2016-08-14 04:38:24-0600',mode:absolute,to:'2016-08-14 07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4.3499999999999997E-2</v>
          </cell>
          <cell r="Z29">
            <v>23.328800000000001</v>
          </cell>
          <cell r="AA29">
            <v>23.285299999999999</v>
          </cell>
          <cell r="AB29" t="e">
            <v>#N/A</v>
          </cell>
          <cell r="AC29" t="e">
            <v>#N/A</v>
          </cell>
          <cell r="AD29" t="str">
            <v>0117-14</v>
          </cell>
          <cell r="AE29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30">
          <cell r="A30" t="str">
            <v>118-14</v>
          </cell>
          <cell r="B30">
            <v>4015</v>
          </cell>
          <cell r="C30" t="str">
            <v>DE.1.0.7.0</v>
          </cell>
          <cell r="D30" t="str">
            <v>204:232982</v>
          </cell>
          <cell r="E30">
            <v>42596.271701388891</v>
          </cell>
          <cell r="F30">
            <v>42596.273032407407</v>
          </cell>
          <cell r="G30">
            <v>1</v>
          </cell>
          <cell r="H30" t="str">
            <v>204:127</v>
          </cell>
          <cell r="I30">
            <v>42596.305706018517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3.2673611109203193E-2</v>
          </cell>
          <cell r="N30">
            <v>47.049999997252598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https://search-rtdc-monitor-bjffxe2xuh6vdkpspy63sjmuny.us-east-1.es.amazonaws.com/_plugin/kibana/#/discover/Steve-Slow-Train-Analysis-(2080s-and-2083s)?_g=(refreshInterval:(display:Off,section:0,value:0),time:(from:'2016-08-14 05:31:15-0600',mode:absolute,to:'2016-08-14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23.298200000000001</v>
          </cell>
          <cell r="Z30">
            <v>1.2699999999999999E-2</v>
          </cell>
          <cell r="AA30">
            <v>23.285500000000003</v>
          </cell>
          <cell r="AB30" t="e">
            <v>#N/A</v>
          </cell>
          <cell r="AC30" t="e">
            <v>#N/A</v>
          </cell>
          <cell r="AD30" t="str">
            <v>0118-14</v>
          </cell>
          <cell r="AE30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31">
          <cell r="A31" t="str">
            <v>119-14</v>
          </cell>
          <cell r="B31">
            <v>4011</v>
          </cell>
          <cell r="C31" t="str">
            <v>DE.1.0.7.0</v>
          </cell>
          <cell r="D31" t="str">
            <v>204:712</v>
          </cell>
          <cell r="E31">
            <v>42596.247372685182</v>
          </cell>
          <cell r="F31">
            <v>42596.248483796298</v>
          </cell>
          <cell r="G31">
            <v>1</v>
          </cell>
          <cell r="H31" t="str">
            <v>204:233297</v>
          </cell>
          <cell r="I31">
            <v>42596.27547453704</v>
          </cell>
          <cell r="J31">
            <v>0</v>
          </cell>
          <cell r="K31" t="str">
            <v>4011/4012</v>
          </cell>
          <cell r="L31" t="str">
            <v>MAELZER</v>
          </cell>
          <cell r="M31">
            <v>2.6990740741894115E-2</v>
          </cell>
          <cell r="N31">
            <v>38.866666668327525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https://search-rtdc-monitor-bjffxe2xuh6vdkpspy63sjmuny.us-east-1.es.amazonaws.com/_plugin/kibana/#/discover/Steve-Slow-Train-Analysis-(2080s-and-2083s)?_g=(refreshInterval:(display:Off,section:0,value:0),time:(from:'2016-08-14 04:56:13-0600',mode:absolute,to:'2016-08-14 07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1" t="str">
            <v>N</v>
          </cell>
          <cell r="X31">
            <v>1</v>
          </cell>
          <cell r="Y31">
            <v>7.1199999999999999E-2</v>
          </cell>
          <cell r="Z31">
            <v>23.329699999999999</v>
          </cell>
          <cell r="AA31">
            <v>23.258499999999998</v>
          </cell>
          <cell r="AB31" t="e">
            <v>#N/A</v>
          </cell>
          <cell r="AC31" t="e">
            <v>#N/A</v>
          </cell>
          <cell r="AD31" t="str">
            <v>0119-14</v>
          </cell>
          <cell r="AE31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32">
          <cell r="A32" t="str">
            <v>120-14</v>
          </cell>
          <cell r="B32">
            <v>4012</v>
          </cell>
          <cell r="C32" t="str">
            <v>DE.1.0.7.0</v>
          </cell>
          <cell r="D32" t="str">
            <v>204:232987</v>
          </cell>
          <cell r="E32">
            <v>42596.282673611109</v>
          </cell>
          <cell r="F32">
            <v>42596.283587962964</v>
          </cell>
          <cell r="G32">
            <v>1</v>
          </cell>
          <cell r="H32" t="str">
            <v>204:147</v>
          </cell>
          <cell r="I32">
            <v>42596.315891203703</v>
          </cell>
          <cell r="J32">
            <v>0</v>
          </cell>
          <cell r="K32" t="str">
            <v>4011/4012</v>
          </cell>
          <cell r="L32" t="str">
            <v>MAELZER</v>
          </cell>
          <cell r="M32">
            <v>3.2303240739565808E-2</v>
          </cell>
          <cell r="N32">
            <v>46.516666664974764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https://search-rtdc-monitor-bjffxe2xuh6vdkpspy63sjmuny.us-east-1.es.amazonaws.com/_plugin/kibana/#/discover/Steve-Slow-Train-Analysis-(2080s-and-2083s)?_g=(refreshInterval:(display:Off,section:0,value:0),time:(from:'2016-08-14 05:47:03-0600',mode:absolute,to:'2016-08-14 08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2" t="str">
            <v>N</v>
          </cell>
          <cell r="X32">
            <v>1</v>
          </cell>
          <cell r="Y32">
            <v>23.2987</v>
          </cell>
          <cell r="Z32">
            <v>1.47E-2</v>
          </cell>
          <cell r="AA32">
            <v>23.283999999999999</v>
          </cell>
          <cell r="AB32" t="e">
            <v>#N/A</v>
          </cell>
          <cell r="AC32" t="e">
            <v>#N/A</v>
          </cell>
          <cell r="AD32" t="str">
            <v>0120-14</v>
          </cell>
          <cell r="AE32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33">
          <cell r="A33" t="str">
            <v>121-14</v>
          </cell>
          <cell r="B33">
            <v>4027</v>
          </cell>
          <cell r="C33" t="str">
            <v>DE.1.0.7.0</v>
          </cell>
          <cell r="D33" t="str">
            <v>204:453</v>
          </cell>
          <cell r="E33">
            <v>42596.256180555552</v>
          </cell>
          <cell r="F33">
            <v>42596.257303240738</v>
          </cell>
          <cell r="G33">
            <v>1</v>
          </cell>
          <cell r="H33" t="str">
            <v>204:233297</v>
          </cell>
          <cell r="I33">
            <v>42596.285509259258</v>
          </cell>
          <cell r="J33">
            <v>0</v>
          </cell>
          <cell r="K33" t="str">
            <v>4027/4028</v>
          </cell>
          <cell r="L33" t="str">
            <v>DAVIS</v>
          </cell>
          <cell r="M33">
            <v>2.8206018519995268E-2</v>
          </cell>
          <cell r="N33">
            <v>40.616666668793187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https://search-rtdc-monitor-bjffxe2xuh6vdkpspy63sjmuny.us-east-1.es.amazonaws.com/_plugin/kibana/#/discover/Steve-Slow-Train-Analysis-(2080s-and-2083s)?_g=(refreshInterval:(display:Off,section:0,value:0),time:(from:'2016-08-14 05:08:54-0600',mode:absolute,to:'2016-08-14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4.53E-2</v>
          </cell>
          <cell r="Z33">
            <v>23.329699999999999</v>
          </cell>
          <cell r="AA33">
            <v>23.284399999999998</v>
          </cell>
          <cell r="AB33" t="e">
            <v>#N/A</v>
          </cell>
          <cell r="AC33" t="e">
            <v>#N/A</v>
          </cell>
          <cell r="AD33" t="str">
            <v>0121-14</v>
          </cell>
          <cell r="AE33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34">
          <cell r="A34" t="str">
            <v>122-14</v>
          </cell>
          <cell r="B34">
            <v>4028</v>
          </cell>
          <cell r="C34" t="str">
            <v>DE.1.0.7.0</v>
          </cell>
          <cell r="D34" t="str">
            <v>204:232967</v>
          </cell>
          <cell r="E34">
            <v>42596.292939814812</v>
          </cell>
          <cell r="F34">
            <v>42596.293749999997</v>
          </cell>
          <cell r="G34">
            <v>1</v>
          </cell>
          <cell r="H34" t="str">
            <v>204:149</v>
          </cell>
          <cell r="I34">
            <v>42596.327604166669</v>
          </cell>
          <cell r="J34">
            <v>0</v>
          </cell>
          <cell r="K34" t="str">
            <v>4027/4028</v>
          </cell>
          <cell r="L34" t="str">
            <v>DAVIS</v>
          </cell>
          <cell r="M34">
            <v>3.3854166671517305E-2</v>
          </cell>
          <cell r="N34">
            <v>48.750000006984919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https://search-rtdc-monitor-bjffxe2xuh6vdkpspy63sjmuny.us-east-1.es.amazonaws.com/_plugin/kibana/#/discover/Steve-Slow-Train-Analysis-(2080s-and-2083s)?_g=(refreshInterval:(display:Off,section:0,value:0),time:(from:'2016-08-14 06:01:50-0600',mode:absolute,to:'2016-08-14 08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23.296700000000001</v>
          </cell>
          <cell r="Z34">
            <v>1.49E-2</v>
          </cell>
          <cell r="AA34">
            <v>23.2818</v>
          </cell>
          <cell r="AB34" t="e">
            <v>#N/A</v>
          </cell>
          <cell r="AC34" t="e">
            <v>#N/A</v>
          </cell>
          <cell r="AD34" t="str">
            <v>0122-14</v>
          </cell>
          <cell r="AE34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35">
          <cell r="A35" t="str">
            <v>123-14</v>
          </cell>
          <cell r="B35">
            <v>4038</v>
          </cell>
          <cell r="C35" t="str">
            <v>DE.1.0.7.0</v>
          </cell>
          <cell r="D35" t="str">
            <v>204:721</v>
          </cell>
          <cell r="E35">
            <v>42596.269513888888</v>
          </cell>
          <cell r="F35">
            <v>42596.270428240743</v>
          </cell>
          <cell r="G35">
            <v>1</v>
          </cell>
          <cell r="H35" t="str">
            <v>204:233304</v>
          </cell>
          <cell r="I35">
            <v>42596.296041666668</v>
          </cell>
          <cell r="J35">
            <v>0</v>
          </cell>
          <cell r="K35" t="str">
            <v>4037/4038</v>
          </cell>
          <cell r="L35" t="str">
            <v>MALAVE</v>
          </cell>
          <cell r="M35">
            <v>2.5613425925257616E-2</v>
          </cell>
          <cell r="N35">
            <v>36.883333332370967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https://search-rtdc-monitor-bjffxe2xuh6vdkpspy63sjmuny.us-east-1.es.amazonaws.com/_plugin/kibana/#/discover/Steve-Slow-Train-Analysis-(2080s-and-2083s)?_g=(refreshInterval:(display:Off,section:0,value:0),time:(from:'2016-08-14 05:28:06-0600',mode:absolute,to:'2016-08-14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5" t="str">
            <v>N</v>
          </cell>
          <cell r="X35">
            <v>1</v>
          </cell>
          <cell r="Y35">
            <v>7.2099999999999997E-2</v>
          </cell>
          <cell r="Z35">
            <v>23.330400000000001</v>
          </cell>
          <cell r="AA35">
            <v>23.258300000000002</v>
          </cell>
          <cell r="AB35" t="e">
            <v>#N/A</v>
          </cell>
          <cell r="AC35" t="e">
            <v>#N/A</v>
          </cell>
          <cell r="AD35" t="str">
            <v>0123-14</v>
          </cell>
          <cell r="AE35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36">
          <cell r="A36" t="str">
            <v>124-14</v>
          </cell>
          <cell r="B36">
            <v>4037</v>
          </cell>
          <cell r="C36" t="str">
            <v>DE.1.0.7.0</v>
          </cell>
          <cell r="D36" t="str">
            <v>204:232968</v>
          </cell>
          <cell r="E36">
            <v>42596.307962962965</v>
          </cell>
          <cell r="F36">
            <v>42596.309965277775</v>
          </cell>
          <cell r="G36">
            <v>2</v>
          </cell>
          <cell r="H36" t="str">
            <v>204:156</v>
          </cell>
          <cell r="I36">
            <v>42596.336354166669</v>
          </cell>
          <cell r="J36">
            <v>0</v>
          </cell>
          <cell r="K36" t="str">
            <v>4037/4038</v>
          </cell>
          <cell r="L36" t="str">
            <v>MALAVE</v>
          </cell>
          <cell r="M36">
            <v>2.6388888894871343E-2</v>
          </cell>
          <cell r="N36">
            <v>38.000000008614734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https://search-rtdc-monitor-bjffxe2xuh6vdkpspy63sjmuny.us-east-1.es.amazonaws.com/_plugin/kibana/#/discover/Steve-Slow-Train-Analysis-(2080s-and-2083s)?_g=(refreshInterval:(display:Off,section:0,value:0),time:(from:'2016-08-14 06:23:28-0600',mode:absolute,to:'2016-08-14 09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6" t="str">
            <v>N</v>
          </cell>
          <cell r="X36">
            <v>1</v>
          </cell>
          <cell r="Y36">
            <v>23.296800000000001</v>
          </cell>
          <cell r="Z36">
            <v>1.5599999999999999E-2</v>
          </cell>
          <cell r="AA36">
            <v>23.281200000000002</v>
          </cell>
          <cell r="AB36" t="e">
            <v>#N/A</v>
          </cell>
          <cell r="AC36" t="e">
            <v>#N/A</v>
          </cell>
          <cell r="AD36" t="str">
            <v>0124-14</v>
          </cell>
          <cell r="AE36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37">
          <cell r="A37" t="str">
            <v>125-14</v>
          </cell>
          <cell r="B37">
            <v>4031</v>
          </cell>
          <cell r="C37" t="str">
            <v>DE.1.0.7.0</v>
          </cell>
          <cell r="D37" t="str">
            <v>204:411</v>
          </cell>
          <cell r="E37">
            <v>42596.278587962966</v>
          </cell>
          <cell r="F37">
            <v>42596.279733796298</v>
          </cell>
          <cell r="G37">
            <v>1</v>
          </cell>
          <cell r="H37" t="str">
            <v>204:233280</v>
          </cell>
          <cell r="I37">
            <v>42596.31726851852</v>
          </cell>
          <cell r="J37">
            <v>0</v>
          </cell>
          <cell r="K37" t="str">
            <v>4031/4032</v>
          </cell>
          <cell r="L37" t="str">
            <v>STRICKLAND</v>
          </cell>
          <cell r="M37">
            <v>3.7534722221607808E-2</v>
          </cell>
          <cell r="N37">
            <v>54.049999999115244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https://search-rtdc-monitor-bjffxe2xuh6vdkpspy63sjmuny.us-east-1.es.amazonaws.com/_plugin/kibana/#/discover/Steve-Slow-Train-Analysis-(2080s-and-2083s)?_g=(refreshInterval:(display:Off,section:0,value:0),time:(from:'2016-08-14 05:41:10-0600',mode:absolute,to:'2016-08-14 08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7" t="str">
            <v>N</v>
          </cell>
          <cell r="X37">
            <v>1</v>
          </cell>
          <cell r="Y37">
            <v>4.1099999999999998E-2</v>
          </cell>
          <cell r="Z37">
            <v>23.327999999999999</v>
          </cell>
          <cell r="AA37">
            <v>23.286899999999999</v>
          </cell>
          <cell r="AB37">
            <v>116838</v>
          </cell>
          <cell r="AC37" t="str">
            <v>PERMANENT SPEED RESTRICTION</v>
          </cell>
          <cell r="AD37" t="str">
            <v>0125-14</v>
          </cell>
          <cell r="AE37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38">
          <cell r="A38" t="str">
            <v>126-14</v>
          </cell>
          <cell r="B38">
            <v>4032</v>
          </cell>
          <cell r="C38" t="str">
            <v>DE.1.0.7.0</v>
          </cell>
          <cell r="D38" t="str">
            <v>204:232971</v>
          </cell>
          <cell r="E38">
            <v>42596.315868055557</v>
          </cell>
          <cell r="F38">
            <v>42596.317476851851</v>
          </cell>
          <cell r="G38">
            <v>2</v>
          </cell>
          <cell r="H38" t="str">
            <v>204:167</v>
          </cell>
          <cell r="I38">
            <v>42596.348738425928</v>
          </cell>
          <cell r="J38">
            <v>0</v>
          </cell>
          <cell r="K38" t="str">
            <v>4031/4032</v>
          </cell>
          <cell r="L38" t="str">
            <v>STRICKLAND</v>
          </cell>
          <cell r="M38">
            <v>3.1261574076779652E-2</v>
          </cell>
          <cell r="N38">
            <v>45.016666670562699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https://search-rtdc-monitor-bjffxe2xuh6vdkpspy63sjmuny.us-east-1.es.amazonaws.com/_plugin/kibana/#/discover/Steve-Slow-Train-Analysis-(2080s-and-2083s)?_g=(refreshInterval:(display:Off,section:0,value:0),time:(from:'2016-08-14 06:34:51-0600',mode:absolute,to:'2016-08-14 09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1.67E-2</v>
          </cell>
          <cell r="AA38">
            <v>23.2804</v>
          </cell>
          <cell r="AB38" t="e">
            <v>#N/A</v>
          </cell>
          <cell r="AC38" t="e">
            <v>#N/A</v>
          </cell>
          <cell r="AD38" t="str">
            <v>0126-14</v>
          </cell>
          <cell r="AE38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39">
          <cell r="A39" t="str">
            <v>127-14</v>
          </cell>
          <cell r="B39">
            <v>4014</v>
          </cell>
          <cell r="C39" t="str">
            <v>DE.1.0.7.0</v>
          </cell>
          <cell r="D39" t="str">
            <v>204:519</v>
          </cell>
          <cell r="E39">
            <v>42596.287708333337</v>
          </cell>
          <cell r="F39">
            <v>42596.288807870369</v>
          </cell>
          <cell r="G39">
            <v>1</v>
          </cell>
          <cell r="H39" t="str">
            <v>204:233206</v>
          </cell>
          <cell r="I39">
            <v>42596.317361111112</v>
          </cell>
          <cell r="J39">
            <v>0</v>
          </cell>
          <cell r="K39" t="str">
            <v>4013/4014</v>
          </cell>
          <cell r="L39" t="str">
            <v>KILLION</v>
          </cell>
          <cell r="M39">
            <v>2.8553240743349306E-2</v>
          </cell>
          <cell r="N39">
            <v>41.116666670423001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https://search-rtdc-monitor-bjffxe2xuh6vdkpspy63sjmuny.us-east-1.es.amazonaws.com/_plugin/kibana/#/discover/Steve-Slow-Train-Analysis-(2080s-and-2083s)?_g=(refreshInterval:(display:Off,section:0,value:0),time:(from:'2016-08-14 05:54:18-0600',mode:absolute,to:'2016-08-14 08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5.1900000000000002E-2</v>
          </cell>
          <cell r="Z39">
            <v>23.320599999999999</v>
          </cell>
          <cell r="AA39">
            <v>23.268699999999999</v>
          </cell>
          <cell r="AB39" t="e">
            <v>#N/A</v>
          </cell>
          <cell r="AC39" t="e">
            <v>#N/A</v>
          </cell>
          <cell r="AD39" t="str">
            <v>0127-14</v>
          </cell>
          <cell r="AE39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40">
          <cell r="A40" t="str">
            <v>128-14</v>
          </cell>
          <cell r="B40">
            <v>4013</v>
          </cell>
          <cell r="C40" t="str">
            <v>DE.1.0.7.0</v>
          </cell>
          <cell r="D40" t="str">
            <v>204:232891</v>
          </cell>
          <cell r="E40">
            <v>42596.32335648148</v>
          </cell>
          <cell r="F40">
            <v>42596.324247685188</v>
          </cell>
          <cell r="G40">
            <v>1</v>
          </cell>
          <cell r="H40" t="str">
            <v>204:154</v>
          </cell>
          <cell r="I40">
            <v>42596.357430555552</v>
          </cell>
          <cell r="J40">
            <v>0</v>
          </cell>
          <cell r="K40" t="str">
            <v>4013/4014</v>
          </cell>
          <cell r="L40" t="str">
            <v>KILLION</v>
          </cell>
          <cell r="M40">
            <v>3.3182870363816619E-2</v>
          </cell>
          <cell r="N40">
            <v>47.783333323895931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https://search-rtdc-monitor-bjffxe2xuh6vdkpspy63sjmuny.us-east-1.es.amazonaws.com/_plugin/kibana/#/discover/Steve-Slow-Train-Analysis-(2080s-and-2083s)?_g=(refreshInterval:(display:Off,section:0,value:0),time:(from:'2016-08-14 06:45:38-0600',mode:absolute,to:'2016-08-14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0" t="str">
            <v>N</v>
          </cell>
          <cell r="X40">
            <v>1</v>
          </cell>
          <cell r="Y40">
            <v>23.289100000000001</v>
          </cell>
          <cell r="Z40">
            <v>1.54E-2</v>
          </cell>
          <cell r="AA40">
            <v>23.273700000000002</v>
          </cell>
          <cell r="AB40" t="e">
            <v>#N/A</v>
          </cell>
          <cell r="AC40" t="e">
            <v>#N/A</v>
          </cell>
          <cell r="AD40" t="str">
            <v>0128-14</v>
          </cell>
          <cell r="AE40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41">
          <cell r="A41" t="str">
            <v>129-14</v>
          </cell>
          <cell r="B41">
            <v>4029</v>
          </cell>
          <cell r="C41" t="str">
            <v>DE.1.0.7.0</v>
          </cell>
          <cell r="D41" t="str">
            <v>204:471</v>
          </cell>
          <cell r="E41">
            <v>42596.295092592591</v>
          </cell>
          <cell r="F41">
            <v>42596.295717592591</v>
          </cell>
          <cell r="G41">
            <v>0</v>
          </cell>
          <cell r="H41" t="str">
            <v>204:233289</v>
          </cell>
          <cell r="I41">
            <v>42596.326423611114</v>
          </cell>
          <cell r="J41">
            <v>0</v>
          </cell>
          <cell r="K41" t="str">
            <v>4029/4030</v>
          </cell>
          <cell r="L41" t="str">
            <v>YORK</v>
          </cell>
          <cell r="M41">
            <v>3.0706018522323575E-2</v>
          </cell>
          <cell r="N41">
            <v>44.216666672145948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https://search-rtdc-monitor-bjffxe2xuh6vdkpspy63sjmuny.us-east-1.es.amazonaws.com/_plugin/kibana/#/discover/Steve-Slow-Train-Analysis-(2080s-and-2083s)?_g=(refreshInterval:(display:Off,section:0,value:0),time:(from:'2016-08-14 06:04:56-0600',mode:absolute,to:'2016-08-14 08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1" t="str">
            <v>N</v>
          </cell>
          <cell r="X41">
            <v>1</v>
          </cell>
          <cell r="Y41">
            <v>4.7100000000000003E-2</v>
          </cell>
          <cell r="Z41">
            <v>23.328900000000001</v>
          </cell>
          <cell r="AA41">
            <v>23.2818</v>
          </cell>
          <cell r="AB41" t="e">
            <v>#N/A</v>
          </cell>
          <cell r="AC41" t="e">
            <v>#N/A</v>
          </cell>
          <cell r="AD41" t="str">
            <v>0129-14</v>
          </cell>
          <cell r="AE41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42">
          <cell r="A42" t="str">
            <v>130-14</v>
          </cell>
          <cell r="B42">
            <v>4030</v>
          </cell>
          <cell r="C42" t="str">
            <v>DE.1.0.7.0</v>
          </cell>
          <cell r="D42" t="str">
            <v>204:232977</v>
          </cell>
          <cell r="E42">
            <v>42596.327627314815</v>
          </cell>
          <cell r="F42">
            <v>42596.328634259262</v>
          </cell>
          <cell r="G42">
            <v>1</v>
          </cell>
          <cell r="H42" t="str">
            <v>204:156</v>
          </cell>
          <cell r="I42">
            <v>42596.366990740738</v>
          </cell>
          <cell r="J42">
            <v>0</v>
          </cell>
          <cell r="K42" t="str">
            <v>4029/4030</v>
          </cell>
          <cell r="L42" t="str">
            <v>YORK</v>
          </cell>
          <cell r="M42">
            <v>3.8356481476512272E-2</v>
          </cell>
          <cell r="N42">
            <v>55.233333326177672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https://search-rtdc-monitor-bjffxe2xuh6vdkpspy63sjmuny.us-east-1.es.amazonaws.com/_plugin/kibana/#/discover/Steve-Slow-Train-Analysis-(2080s-and-2083s)?_g=(refreshInterval:(display:Off,section:0,value:0),time:(from:'2016-08-14 06:51:47-0600',mode:absolute,to:'2016-08-14 09:48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2" t="str">
            <v>N</v>
          </cell>
          <cell r="X42">
            <v>1</v>
          </cell>
          <cell r="Y42">
            <v>23.297699999999999</v>
          </cell>
          <cell r="Z42">
            <v>1.5599999999999999E-2</v>
          </cell>
          <cell r="AA42">
            <v>23.2821</v>
          </cell>
          <cell r="AB42" t="e">
            <v>#N/A</v>
          </cell>
          <cell r="AC42" t="e">
            <v>#N/A</v>
          </cell>
          <cell r="AD42" t="str">
            <v>0130-14</v>
          </cell>
          <cell r="AE42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43">
          <cell r="A43" t="str">
            <v>131-14</v>
          </cell>
          <cell r="B43">
            <v>4016</v>
          </cell>
          <cell r="C43" t="str">
            <v>DE.1.0.7.0</v>
          </cell>
          <cell r="D43" t="str">
            <v>204:455</v>
          </cell>
          <cell r="E43">
            <v>42596.30804398148</v>
          </cell>
          <cell r="F43">
            <v>42596.309039351851</v>
          </cell>
          <cell r="G43">
            <v>1</v>
          </cell>
          <cell r="H43" t="str">
            <v>204:233293</v>
          </cell>
          <cell r="I43">
            <v>42596.33730324074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2.8263888889341615E-2</v>
          </cell>
          <cell r="N43">
            <v>40.700000000651926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https://search-rtdc-monitor-bjffxe2xuh6vdkpspy63sjmuny.us-east-1.es.amazonaws.com/_plugin/kibana/#/discover/Steve-Slow-Train-Analysis-(2080s-and-2083s)?_g=(refreshInterval:(display:Off,section:0,value:0),time:(from:'2016-08-14 06:23:35-0600',mode:absolute,to:'2016-08-14 09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4.5499999999999999E-2</v>
          </cell>
          <cell r="Z43">
            <v>23.3293</v>
          </cell>
          <cell r="AA43">
            <v>23.283799999999999</v>
          </cell>
          <cell r="AB43" t="e">
            <v>#N/A</v>
          </cell>
          <cell r="AC43" t="e">
            <v>#N/A</v>
          </cell>
          <cell r="AD43" t="str">
            <v>0131-14</v>
          </cell>
          <cell r="AE43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44">
          <cell r="A44" t="str">
            <v>132-14</v>
          </cell>
          <cell r="B44">
            <v>4015</v>
          </cell>
          <cell r="C44" t="str">
            <v>DE.1.0.7.0</v>
          </cell>
          <cell r="D44" t="str">
            <v>204:233000</v>
          </cell>
          <cell r="E44">
            <v>42596.345810185187</v>
          </cell>
          <cell r="F44">
            <v>42596.346909722219</v>
          </cell>
          <cell r="G44">
            <v>1</v>
          </cell>
          <cell r="H44" t="str">
            <v>204:152</v>
          </cell>
          <cell r="I44">
            <v>42596.378645833334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3.1736111115606036E-2</v>
          </cell>
          <cell r="N44">
            <v>45.700000006472692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https://search-rtdc-monitor-bjffxe2xuh6vdkpspy63sjmuny.us-east-1.es.amazonaws.com/_plugin/kibana/#/discover/Steve-Slow-Train-Analysis-(2080s-and-2083s)?_g=(refreshInterval:(display:Off,section:0,value:0),time:(from:'2016-08-14 07:17:58-0600',mode:absolute,to:'2016-08-14 10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</v>
          </cell>
          <cell r="Z44">
            <v>1.52E-2</v>
          </cell>
          <cell r="AA44">
            <v>23.284800000000001</v>
          </cell>
          <cell r="AB44" t="e">
            <v>#N/A</v>
          </cell>
          <cell r="AC44" t="e">
            <v>#N/A</v>
          </cell>
          <cell r="AD44" t="str">
            <v>0132-14</v>
          </cell>
          <cell r="AE44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45">
          <cell r="A45" t="str">
            <v>133-14</v>
          </cell>
          <cell r="B45">
            <v>4011</v>
          </cell>
          <cell r="C45" t="str">
            <v>DE.1.0.7.0</v>
          </cell>
          <cell r="D45" t="str">
            <v>204:471</v>
          </cell>
          <cell r="E45">
            <v>42596.319131944445</v>
          </cell>
          <cell r="F45">
            <v>42596.321747685186</v>
          </cell>
          <cell r="G45">
            <v>3</v>
          </cell>
          <cell r="H45" t="str">
            <v>204:233288</v>
          </cell>
          <cell r="I45">
            <v>42596.348541666666</v>
          </cell>
          <cell r="J45">
            <v>0</v>
          </cell>
          <cell r="K45" t="str">
            <v>4011/4012</v>
          </cell>
          <cell r="L45" t="str">
            <v>MAELZER</v>
          </cell>
          <cell r="M45">
            <v>2.679398148029577E-2</v>
          </cell>
          <cell r="N45">
            <v>38.583333331625909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https://search-rtdc-monitor-bjffxe2xuh6vdkpspy63sjmuny.us-east-1.es.amazonaws.com/_plugin/kibana/#/discover/Steve-Slow-Train-Analysis-(2080s-and-2083s)?_g=(refreshInterval:(display:Off,section:0,value:0),time:(from:'2016-08-14 06:39:33-0600',mode:absolute,to:'2016-08-14 09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23.328800000000001</v>
          </cell>
          <cell r="AA45">
            <v>23.281700000000001</v>
          </cell>
          <cell r="AB45" t="e">
            <v>#N/A</v>
          </cell>
          <cell r="AC45" t="e">
            <v>#N/A</v>
          </cell>
          <cell r="AD45" t="str">
            <v>0133-14</v>
          </cell>
          <cell r="AE4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46">
          <cell r="A46" t="str">
            <v>134-14</v>
          </cell>
          <cell r="B46">
            <v>4012</v>
          </cell>
          <cell r="C46" t="str">
            <v>DE.1.0.7.0</v>
          </cell>
          <cell r="D46" t="str">
            <v>204:232982</v>
          </cell>
          <cell r="E46">
            <v>42596.355243055557</v>
          </cell>
          <cell r="F46">
            <v>42596.356157407405</v>
          </cell>
          <cell r="G46">
            <v>1</v>
          </cell>
          <cell r="H46" t="str">
            <v>204:143</v>
          </cell>
          <cell r="I46">
            <v>42596.388356481482</v>
          </cell>
          <cell r="J46">
            <v>0</v>
          </cell>
          <cell r="K46" t="str">
            <v>4011/4012</v>
          </cell>
          <cell r="L46" t="str">
            <v>MAELZER</v>
          </cell>
          <cell r="M46">
            <v>3.2199074077652767E-2</v>
          </cell>
          <cell r="N46">
            <v>46.366666671819985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https://search-rtdc-monitor-bjffxe2xuh6vdkpspy63sjmuny.us-east-1.es.amazonaws.com/_plugin/kibana/#/discover/Steve-Slow-Train-Analysis-(2080s-and-2083s)?_g=(refreshInterval:(display:Off,section:0,value:0),time:(from:'2016-08-14 07:31:33-0600',mode:absolute,to:'2016-08-14 10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6" t="str">
            <v>N</v>
          </cell>
          <cell r="X46">
            <v>1</v>
          </cell>
          <cell r="Y46">
            <v>23.298200000000001</v>
          </cell>
          <cell r="Z46">
            <v>1.43E-2</v>
          </cell>
          <cell r="AA46">
            <v>23.283900000000003</v>
          </cell>
          <cell r="AB46" t="e">
            <v>#N/A</v>
          </cell>
          <cell r="AC46" t="e">
            <v>#N/A</v>
          </cell>
          <cell r="AD46" t="str">
            <v>0134-14</v>
          </cell>
          <cell r="AE4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47">
          <cell r="A47" t="str">
            <v>135-14</v>
          </cell>
          <cell r="B47">
            <v>4027</v>
          </cell>
          <cell r="C47" t="str">
            <v>DE.1.0.7.0</v>
          </cell>
          <cell r="D47" t="str">
            <v>204:446</v>
          </cell>
          <cell r="E47">
            <v>42596.328819444447</v>
          </cell>
          <cell r="F47">
            <v>42596.330960648149</v>
          </cell>
          <cell r="G47">
            <v>3</v>
          </cell>
          <cell r="H47" t="str">
            <v>204:233308</v>
          </cell>
          <cell r="I47">
            <v>42596.358530092592</v>
          </cell>
          <cell r="J47">
            <v>0</v>
          </cell>
          <cell r="K47" t="str">
            <v>4027/4028</v>
          </cell>
          <cell r="L47" t="str">
            <v>DAVIS</v>
          </cell>
          <cell r="M47">
            <v>2.7569444442633539E-2</v>
          </cell>
          <cell r="N47">
            <v>39.699999997392297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https://search-rtdc-monitor-bjffxe2xuh6vdkpspy63sjmuny.us-east-1.es.amazonaws.com/_plugin/kibana/#/discover/Steve-Slow-Train-Analysis-(2080s-and-2083s)?_g=(refreshInterval:(display:Off,section:0,value:0),time:(from:'2016-08-14 06:53:30-0600',mode:absolute,to:'2016-08-14 09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7" t="str">
            <v>N</v>
          </cell>
          <cell r="X47">
            <v>1</v>
          </cell>
          <cell r="Y47">
            <v>4.4600000000000001E-2</v>
          </cell>
          <cell r="Z47">
            <v>23.3308</v>
          </cell>
          <cell r="AA47">
            <v>23.286200000000001</v>
          </cell>
          <cell r="AB47" t="e">
            <v>#N/A</v>
          </cell>
          <cell r="AC47" t="e">
            <v>#N/A</v>
          </cell>
          <cell r="AD47" t="str">
            <v>0135-14</v>
          </cell>
          <cell r="AE47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48">
          <cell r="A48" t="str">
            <v>136-14</v>
          </cell>
          <cell r="B48">
            <v>4028</v>
          </cell>
          <cell r="C48" t="str">
            <v>DE.1.0.7.0</v>
          </cell>
          <cell r="D48" t="str">
            <v>204:232993</v>
          </cell>
          <cell r="E48">
            <v>42596.367974537039</v>
          </cell>
          <cell r="F48">
            <v>42596.368819444448</v>
          </cell>
          <cell r="G48">
            <v>1</v>
          </cell>
          <cell r="H48" t="str">
            <v>204:152</v>
          </cell>
          <cell r="I48">
            <v>42596.400671296295</v>
          </cell>
          <cell r="J48">
            <v>0</v>
          </cell>
          <cell r="K48" t="str">
            <v>4027/4028</v>
          </cell>
          <cell r="L48" t="str">
            <v>DAVIS</v>
          </cell>
          <cell r="M48">
            <v>3.1851851847022772E-2</v>
          </cell>
          <cell r="N48">
            <v>45.866666659712791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8" t="str">
            <v>N</v>
          </cell>
          <cell r="X48">
            <v>1</v>
          </cell>
          <cell r="Y48">
            <v>23.299299999999999</v>
          </cell>
          <cell r="Z48">
            <v>1.52E-2</v>
          </cell>
          <cell r="AA48">
            <v>23.284099999999999</v>
          </cell>
          <cell r="AB48">
            <v>4677</v>
          </cell>
          <cell r="AC48" t="str">
            <v>PERMANENT SPEED RESTRICTION</v>
          </cell>
          <cell r="AD48" t="str">
            <v>0136-14</v>
          </cell>
          <cell r="AE48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49">
          <cell r="A49" t="str">
            <v>137-14</v>
          </cell>
          <cell r="B49">
            <v>4038</v>
          </cell>
          <cell r="C49" t="str">
            <v>DE.1.0.7.0</v>
          </cell>
          <cell r="D49" t="str">
            <v>204:466</v>
          </cell>
          <cell r="E49">
            <v>42596.342118055552</v>
          </cell>
          <cell r="F49">
            <v>42596.342951388891</v>
          </cell>
          <cell r="G49">
            <v>1</v>
          </cell>
          <cell r="H49" t="str">
            <v>204:233299</v>
          </cell>
          <cell r="I49">
            <v>42596.36917824074</v>
          </cell>
          <cell r="J49">
            <v>0</v>
          </cell>
          <cell r="K49" t="str">
            <v>4037/4038</v>
          </cell>
          <cell r="L49" t="str">
            <v>MALAVE</v>
          </cell>
          <cell r="M49">
            <v>2.622685184906004E-2</v>
          </cell>
          <cell r="N49">
            <v>37.766666662646458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https://search-rtdc-monitor-bjffxe2xuh6vdkpspy63sjmuny.us-east-1.es.amazonaws.com/_plugin/kibana/#/discover/Steve-Slow-Train-Analysis-(2080s-and-2083s)?_g=(refreshInterval:(display:Off,section:0,value:0),time:(from:'2016-08-14 07:12:39-0600',mode:absolute,to:'2016-08-14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49" t="str">
            <v>N</v>
          </cell>
          <cell r="X49">
            <v>1</v>
          </cell>
          <cell r="Y49">
            <v>4.6600000000000003E-2</v>
          </cell>
          <cell r="Z49">
            <v>23.329899999999999</v>
          </cell>
          <cell r="AA49">
            <v>23.283299999999997</v>
          </cell>
          <cell r="AB49">
            <v>116838</v>
          </cell>
          <cell r="AC49" t="str">
            <v>PERMANENT SPEED RESTRICTION</v>
          </cell>
          <cell r="AD49" t="str">
            <v>0137-14</v>
          </cell>
          <cell r="AE49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50">
          <cell r="A50" t="str">
            <v>138-14</v>
          </cell>
          <cell r="B50">
            <v>4037</v>
          </cell>
          <cell r="C50" t="str">
            <v>DE.1.0.7.0</v>
          </cell>
          <cell r="D50" t="str">
            <v>204:232969</v>
          </cell>
          <cell r="E50">
            <v>42596.381412037037</v>
          </cell>
          <cell r="F50">
            <v>42596.383715277778</v>
          </cell>
          <cell r="G50">
            <v>3</v>
          </cell>
          <cell r="H50" t="str">
            <v>204:154</v>
          </cell>
          <cell r="I50">
            <v>42596.41101851852</v>
          </cell>
          <cell r="J50">
            <v>0</v>
          </cell>
          <cell r="K50" t="str">
            <v>4037/4038</v>
          </cell>
          <cell r="L50" t="str">
            <v>MALAVE</v>
          </cell>
          <cell r="M50">
            <v>2.7303240742185153E-2</v>
          </cell>
          <cell r="N50">
            <v>39.31666666874662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https://search-rtdc-monitor-bjffxe2xuh6vdkpspy63sjmuny.us-east-1.es.amazonaws.com/_plugin/kibana/#/discover/Steve-Slow-Train-Analysis-(2080s-and-2083s)?_g=(refreshInterval:(display:Off,section:0,value:0),time:(from:'2016-08-14 08:09:14-0600',mode:absolute,to:'2016-08-14 10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0" t="str">
            <v>N</v>
          </cell>
          <cell r="X50">
            <v>1</v>
          </cell>
          <cell r="Y50">
            <v>23.296900000000001</v>
          </cell>
          <cell r="Z50">
            <v>1.54E-2</v>
          </cell>
          <cell r="AA50">
            <v>23.281500000000001</v>
          </cell>
          <cell r="AB50" t="e">
            <v>#N/A</v>
          </cell>
          <cell r="AC50" t="e">
            <v>#N/A</v>
          </cell>
          <cell r="AD50" t="str">
            <v>0138-14</v>
          </cell>
          <cell r="AE50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51">
          <cell r="A51" t="str">
            <v>139-14</v>
          </cell>
          <cell r="B51">
            <v>4031</v>
          </cell>
          <cell r="C51" t="str">
            <v>DE.1.0.7.0</v>
          </cell>
          <cell r="D51" t="str">
            <v>204:453</v>
          </cell>
          <cell r="E51">
            <v>42596.349918981483</v>
          </cell>
          <cell r="F51">
            <v>42596.350891203707</v>
          </cell>
          <cell r="G51">
            <v>1</v>
          </cell>
          <cell r="H51" t="str">
            <v>204:233308</v>
          </cell>
          <cell r="I51">
            <v>42596.38181712963</v>
          </cell>
          <cell r="J51">
            <v>0</v>
          </cell>
          <cell r="K51" t="str">
            <v>4031/4032</v>
          </cell>
          <cell r="L51" t="str">
            <v>STRICKLAND</v>
          </cell>
          <cell r="M51">
            <v>3.0925925922929309E-2</v>
          </cell>
          <cell r="N51">
            <v>44.533333329018205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https://search-rtdc-monitor-bjffxe2xuh6vdkpspy63sjmuny.us-east-1.es.amazonaws.com/_plugin/kibana/#/discover/Steve-Slow-Train-Analysis-(2080s-and-2083s)?_g=(refreshInterval:(display:Off,section:0,value:0),time:(from:'2016-08-14 07:23:53-0600',mode:absolute,to:'2016-08-14 10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1" t="str">
            <v>N</v>
          </cell>
          <cell r="X51">
            <v>1</v>
          </cell>
          <cell r="Y51">
            <v>4.53E-2</v>
          </cell>
          <cell r="Z51">
            <v>23.3308</v>
          </cell>
          <cell r="AA51">
            <v>23.285499999999999</v>
          </cell>
          <cell r="AB51" t="e">
            <v>#N/A</v>
          </cell>
          <cell r="AC51" t="e">
            <v>#N/A</v>
          </cell>
          <cell r="AD51" t="str">
            <v>0139-14</v>
          </cell>
          <cell r="AE51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52">
          <cell r="A52" t="str">
            <v>140-14</v>
          </cell>
          <cell r="B52">
            <v>4032</v>
          </cell>
          <cell r="C52" t="str">
            <v>DE.1.0.7.0</v>
          </cell>
          <cell r="D52" t="str">
            <v>204:232985</v>
          </cell>
          <cell r="E52">
            <v>42596.388483796298</v>
          </cell>
          <cell r="F52">
            <v>42596.3909375</v>
          </cell>
          <cell r="G52">
            <v>3</v>
          </cell>
          <cell r="H52" t="str">
            <v>204:185</v>
          </cell>
          <cell r="I52">
            <v>42596.420671296299</v>
          </cell>
          <cell r="J52">
            <v>0</v>
          </cell>
          <cell r="K52" t="str">
            <v>4031/4032</v>
          </cell>
          <cell r="L52" t="str">
            <v>STRICKLAND</v>
          </cell>
          <cell r="M52">
            <v>2.973379629838746E-2</v>
          </cell>
          <cell r="N52">
            <v>42.816666669677943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https://search-rtdc-monitor-bjffxe2xuh6vdkpspy63sjmuny.us-east-1.es.amazonaws.com/_plugin/kibana/#/discover/Steve-Slow-Train-Analysis-(2080s-and-2083s)?_g=(refreshInterval:(display:Off,section:0,value:0),time:(from:'2016-08-14 08:19:25-0600',mode:absolute,to:'2016-08-14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2" t="str">
            <v>N</v>
          </cell>
          <cell r="X52">
            <v>1</v>
          </cell>
          <cell r="Y52">
            <v>23.298500000000001</v>
          </cell>
          <cell r="Z52">
            <v>1.8499999999999999E-2</v>
          </cell>
          <cell r="AA52">
            <v>23.28</v>
          </cell>
          <cell r="AB52" t="e">
            <v>#N/A</v>
          </cell>
          <cell r="AC52" t="e">
            <v>#N/A</v>
          </cell>
          <cell r="AD52" t="str">
            <v>0140-14</v>
          </cell>
          <cell r="AE52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53">
          <cell r="A53" t="str">
            <v>141-14</v>
          </cell>
          <cell r="B53">
            <v>4014</v>
          </cell>
          <cell r="C53" t="str">
            <v>DE.1.0.7.0</v>
          </cell>
          <cell r="D53" t="str">
            <v>204:455</v>
          </cell>
          <cell r="E53">
            <v>42596.358807870369</v>
          </cell>
          <cell r="F53">
            <v>42596.35974537037</v>
          </cell>
          <cell r="G53">
            <v>1</v>
          </cell>
          <cell r="H53" t="str">
            <v>204:233293</v>
          </cell>
          <cell r="I53">
            <v>42596.39199074074</v>
          </cell>
          <cell r="J53">
            <v>0</v>
          </cell>
          <cell r="K53" t="str">
            <v>4013/4014</v>
          </cell>
          <cell r="L53" t="str">
            <v>KILLION</v>
          </cell>
          <cell r="M53">
            <v>3.2245370370219462E-2</v>
          </cell>
          <cell r="N53">
            <v>46.433333333116025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https://search-rtdc-monitor-bjffxe2xuh6vdkpspy63sjmuny.us-east-1.es.amazonaws.com/_plugin/kibana/#/discover/Steve-Slow-Train-Analysis-(2080s-and-2083s)?_g=(refreshInterval:(display:Off,section:0,value:0),time:(from:'2016-08-14 07:36:41-0600',mode:absolute,to:'2016-08-14 10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23.3293</v>
          </cell>
          <cell r="AA53">
            <v>23.283799999999999</v>
          </cell>
          <cell r="AB53" t="e">
            <v>#N/A</v>
          </cell>
          <cell r="AC53" t="e">
            <v>#N/A</v>
          </cell>
          <cell r="AD53" t="str">
            <v>0141-14</v>
          </cell>
          <cell r="AE53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54">
          <cell r="A54" t="str">
            <v>142-14</v>
          </cell>
          <cell r="B54">
            <v>4013</v>
          </cell>
          <cell r="C54" t="str">
            <v>DE.1.0.7.0</v>
          </cell>
          <cell r="D54" t="str">
            <v>204:232986</v>
          </cell>
          <cell r="E54">
            <v>42596.397013888891</v>
          </cell>
          <cell r="F54">
            <v>42596.397928240738</v>
          </cell>
          <cell r="G54">
            <v>1</v>
          </cell>
          <cell r="H54" t="str">
            <v>204:149</v>
          </cell>
          <cell r="I54">
            <v>42596.430775462963</v>
          </cell>
          <cell r="J54">
            <v>0</v>
          </cell>
          <cell r="K54" t="str">
            <v>4013/4014</v>
          </cell>
          <cell r="L54" t="str">
            <v>KILLION</v>
          </cell>
          <cell r="M54">
            <v>3.2847222224518191E-2</v>
          </cell>
          <cell r="N54">
            <v>47.300000003306195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https://search-rtdc-monitor-bjffxe2xuh6vdkpspy63sjmuny.us-east-1.es.amazonaws.com/_plugin/kibana/#/discover/Steve-Slow-Train-Analysis-(2080s-and-2083s)?_g=(refreshInterval:(display:Off,section:0,value:0),time:(from:'2016-08-14 08:31:42-0600',mode:absolute,to:'2016-08-14 11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4" t="str">
            <v>N</v>
          </cell>
          <cell r="X54">
            <v>1</v>
          </cell>
          <cell r="Y54">
            <v>23.2986</v>
          </cell>
          <cell r="Z54">
            <v>1.49E-2</v>
          </cell>
          <cell r="AA54">
            <v>23.2837</v>
          </cell>
          <cell r="AB54" t="e">
            <v>#N/A</v>
          </cell>
          <cell r="AC54" t="e">
            <v>#N/A</v>
          </cell>
          <cell r="AD54" t="str">
            <v>0142-14</v>
          </cell>
          <cell r="AE5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55">
          <cell r="A55" t="str">
            <v>143-14</v>
          </cell>
          <cell r="B55">
            <v>4029</v>
          </cell>
          <cell r="C55" t="str">
            <v>DE.1.0.7.0</v>
          </cell>
          <cell r="D55" t="str">
            <v>204:464</v>
          </cell>
          <cell r="E55">
            <v>42596.368217592593</v>
          </cell>
          <cell r="F55">
            <v>42596.368900462963</v>
          </cell>
          <cell r="G55">
            <v>0</v>
          </cell>
          <cell r="H55" t="str">
            <v>204:233314</v>
          </cell>
          <cell r="I55">
            <v>42596.399699074071</v>
          </cell>
          <cell r="J55">
            <v>0</v>
          </cell>
          <cell r="K55" t="str">
            <v>4029/4030</v>
          </cell>
          <cell r="L55" t="str">
            <v>YORK</v>
          </cell>
          <cell r="M55">
            <v>3.0798611107456964E-2</v>
          </cell>
          <cell r="N55">
            <v>44.349999994738027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https://search-rtdc-monitor-bjffxe2xuh6vdkpspy63sjmuny.us-east-1.es.amazonaws.com/_plugin/kibana/#/discover/Steve-Slow-Train-Analysis-(2080s-and-2083s)?_g=(refreshInterval:(display:Off,section:0,value:0),time:(from:'2016-08-14 07:50:14-0600',mode:absolute,to:'2016-08-14 10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5" t="str">
            <v>N</v>
          </cell>
          <cell r="X55">
            <v>1</v>
          </cell>
          <cell r="Y55">
            <v>4.6399999999999997E-2</v>
          </cell>
          <cell r="Z55">
            <v>23.331399999999999</v>
          </cell>
          <cell r="AA55">
            <v>23.285</v>
          </cell>
          <cell r="AB55" t="e">
            <v>#N/A</v>
          </cell>
          <cell r="AC55" t="e">
            <v>#N/A</v>
          </cell>
          <cell r="AD55" t="str">
            <v>0143-14</v>
          </cell>
          <cell r="AE5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56">
          <cell r="A56" t="str">
            <v>144-14</v>
          </cell>
          <cell r="B56">
            <v>4030</v>
          </cell>
          <cell r="C56" t="str">
            <v>DE.1.0.7.0</v>
          </cell>
          <cell r="D56" t="str">
            <v>204:232989</v>
          </cell>
          <cell r="E56">
            <v>42596.401331018518</v>
          </cell>
          <cell r="F56">
            <v>42596.402337962965</v>
          </cell>
          <cell r="G56">
            <v>1</v>
          </cell>
          <cell r="H56" t="str">
            <v>204:165</v>
          </cell>
          <cell r="I56">
            <v>42596.439895833333</v>
          </cell>
          <cell r="J56">
            <v>0</v>
          </cell>
          <cell r="K56" t="str">
            <v>4029/4030</v>
          </cell>
          <cell r="L56" t="str">
            <v>YORK</v>
          </cell>
          <cell r="M56">
            <v>3.7557870367891155E-2</v>
          </cell>
          <cell r="N56">
            <v>54.083333329763263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https://search-rtdc-monitor-bjffxe2xuh6vdkpspy63sjmuny.us-east-1.es.amazonaws.com/_plugin/kibana/#/discover/Steve-Slow-Train-Analysis-(2080s-and-2083s)?_g=(refreshInterval:(display:Off,section:0,value:0),time:(from:'2016-08-14 08:37:55-0600',mode:absolute,to:'2016-08-14 11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6" t="str">
            <v>N</v>
          </cell>
          <cell r="X56">
            <v>1</v>
          </cell>
          <cell r="Y56">
            <v>23.2989</v>
          </cell>
          <cell r="Z56">
            <v>1.6500000000000001E-2</v>
          </cell>
          <cell r="AA56">
            <v>23.282399999999999</v>
          </cell>
          <cell r="AB56" t="e">
            <v>#N/A</v>
          </cell>
          <cell r="AC56" t="e">
            <v>#N/A</v>
          </cell>
          <cell r="AD56" t="str">
            <v>0144-14</v>
          </cell>
          <cell r="AE5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57">
          <cell r="A57" t="str">
            <v>145-14</v>
          </cell>
          <cell r="B57">
            <v>4016</v>
          </cell>
          <cell r="C57" t="str">
            <v>DE.1.0.7.0</v>
          </cell>
          <cell r="D57" t="str">
            <v>204:453</v>
          </cell>
          <cell r="E57">
            <v>42596.380555555559</v>
          </cell>
          <cell r="F57">
            <v>42596.381666666668</v>
          </cell>
          <cell r="G57">
            <v>1</v>
          </cell>
          <cell r="H57" t="str">
            <v>204:233305</v>
          </cell>
          <cell r="I57">
            <v>42596.410115740742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2.8449074074160308E-2</v>
          </cell>
          <cell r="N57">
            <v>40.966666666790843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https://search-rtdc-monitor-bjffxe2xuh6vdkpspy63sjmuny.us-east-1.es.amazonaws.com/_plugin/kibana/#/discover/Steve-Slow-Train-Analysis-(2080s-and-2083s)?_g=(refreshInterval:(display:Off,section:0,value:0),time:(from:'2016-08-14 08:08:00-0600',mode:absolute,to:'2016-08-14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4.53E-2</v>
          </cell>
          <cell r="Z57">
            <v>23.330500000000001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0145-14</v>
          </cell>
          <cell r="AE57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58">
          <cell r="A58" t="str">
            <v>146-14</v>
          </cell>
          <cell r="B58">
            <v>4015</v>
          </cell>
          <cell r="C58" t="str">
            <v>DE.1.0.7.0</v>
          </cell>
          <cell r="D58" t="str">
            <v>204:232982</v>
          </cell>
          <cell r="E58">
            <v>42596.417824074073</v>
          </cell>
          <cell r="F58">
            <v>42596.418773148151</v>
          </cell>
          <cell r="G58">
            <v>1</v>
          </cell>
          <cell r="H58" t="str">
            <v>204:141</v>
          </cell>
          <cell r="I58">
            <v>42596.454814814817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3.6041666666278616E-2</v>
          </cell>
          <cell r="N58">
            <v>51.899999999441206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https://search-rtdc-monitor-bjffxe2xuh6vdkpspy63sjmuny.us-east-1.es.amazonaws.com/_plugin/kibana/#/discover/Steve-Slow-Train-Analysis-(2080s-and-2083s)?_g=(refreshInterval:(display:Off,section:0,value:0),time:(from:'2016-08-14 09:01:40-0600',mode:absolute,to:'2016-08-14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1.41E-2</v>
          </cell>
          <cell r="AA58">
            <v>23.284100000000002</v>
          </cell>
          <cell r="AB58" t="e">
            <v>#N/A</v>
          </cell>
          <cell r="AC58" t="e">
            <v>#N/A</v>
          </cell>
          <cell r="AD58" t="str">
            <v>0146-14</v>
          </cell>
          <cell r="AE58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59">
          <cell r="A59" t="str">
            <v>147-14</v>
          </cell>
          <cell r="B59">
            <v>4011</v>
          </cell>
          <cell r="C59" t="str">
            <v>DE.1.0.7.0</v>
          </cell>
          <cell r="D59" t="str">
            <v>204:451</v>
          </cell>
          <cell r="E59">
            <v>42596.390555555554</v>
          </cell>
          <cell r="F59">
            <v>42596.391655092593</v>
          </cell>
          <cell r="G59">
            <v>1</v>
          </cell>
          <cell r="H59" t="str">
            <v>204:233323</v>
          </cell>
          <cell r="I59">
            <v>42596.421284722222</v>
          </cell>
          <cell r="J59">
            <v>0</v>
          </cell>
          <cell r="K59" t="str">
            <v>4011/4012</v>
          </cell>
          <cell r="L59" t="str">
            <v>MAELZER</v>
          </cell>
          <cell r="M59">
            <v>2.9629629629198462E-2</v>
          </cell>
          <cell r="N59">
            <v>42.666666666045785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https://search-rtdc-monitor-bjffxe2xuh6vdkpspy63sjmuny.us-east-1.es.amazonaws.com/_plugin/kibana/#/discover/Steve-Slow-Train-Analysis-(2080s-and-2083s)?_g=(refreshInterval:(display:Off,section:0,value:0),time:(from:'2016-08-14 08:22:24-0600',mode:absolute,to:'2016-08-14 11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23.3323</v>
          </cell>
          <cell r="AA59">
            <v>23.287199999999999</v>
          </cell>
          <cell r="AB59" t="e">
            <v>#N/A</v>
          </cell>
          <cell r="AC59" t="e">
            <v>#N/A</v>
          </cell>
          <cell r="AD59" t="str">
            <v>0147-14</v>
          </cell>
          <cell r="AE59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60">
          <cell r="A60" t="str">
            <v>148-14</v>
          </cell>
          <cell r="B60">
            <v>4012</v>
          </cell>
          <cell r="C60" t="str">
            <v>DE.1.0.7.0</v>
          </cell>
          <cell r="D60" t="str">
            <v>204:232996</v>
          </cell>
          <cell r="E60">
            <v>42596.429814814815</v>
          </cell>
          <cell r="F60">
            <v>42596.431527777779</v>
          </cell>
          <cell r="G60">
            <v>2</v>
          </cell>
          <cell r="H60" t="str">
            <v>204:149</v>
          </cell>
          <cell r="I60">
            <v>42596.466539351852</v>
          </cell>
          <cell r="J60">
            <v>0</v>
          </cell>
          <cell r="K60" t="str">
            <v>4011/4012</v>
          </cell>
          <cell r="L60" t="str">
            <v>MAELZER</v>
          </cell>
          <cell r="M60">
            <v>3.5011574072996154E-2</v>
          </cell>
          <cell r="N60">
            <v>50.416666665114462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https://search-rtdc-monitor-bjffxe2xuh6vdkpspy63sjmuny.us-east-1.es.amazonaws.com/_plugin/kibana/#/discover/Steve-Slow-Train-Analysis-(2080s-and-2083s)?_g=(refreshInterval:(display:Off,section:0,value:0),time:(from:'2016-08-14 09:18:56-0600',mode:absolute,to:'2016-08-14 12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0" t="str">
            <v>N</v>
          </cell>
          <cell r="X60">
            <v>1</v>
          </cell>
          <cell r="Y60">
            <v>23.299600000000002</v>
          </cell>
          <cell r="Z60">
            <v>1.49E-2</v>
          </cell>
          <cell r="AA60">
            <v>23.284700000000001</v>
          </cell>
          <cell r="AB60" t="e">
            <v>#N/A</v>
          </cell>
          <cell r="AC60" t="e">
            <v>#N/A</v>
          </cell>
          <cell r="AD60" t="str">
            <v>0148-14</v>
          </cell>
          <cell r="AE60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61">
          <cell r="A61" t="str">
            <v>149-14</v>
          </cell>
          <cell r="B61">
            <v>4027</v>
          </cell>
          <cell r="C61" t="str">
            <v>DE.1.0.7.0</v>
          </cell>
          <cell r="D61" t="str">
            <v>204:462</v>
          </cell>
          <cell r="E61">
            <v>42596.40283564815</v>
          </cell>
          <cell r="F61">
            <v>42596.403599537036</v>
          </cell>
          <cell r="G61">
            <v>1</v>
          </cell>
          <cell r="H61" t="str">
            <v>204:233312</v>
          </cell>
          <cell r="I61">
            <v>42596.432222222225</v>
          </cell>
          <cell r="J61">
            <v>0</v>
          </cell>
          <cell r="K61" t="str">
            <v>4027/4028</v>
          </cell>
          <cell r="L61" t="str">
            <v>DAVIS</v>
          </cell>
          <cell r="M61">
            <v>2.8622685189475305E-2</v>
          </cell>
          <cell r="N61">
            <v>41.21666667284444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https://search-rtdc-monitor-bjffxe2xuh6vdkpspy63sjmuny.us-east-1.es.amazonaws.com/_plugin/kibana/#/discover/Steve-Slow-Train-Analysis-(2080s-and-2083s)?_g=(refreshInterval:(display:Off,section:0,value:0),time:(from:'2016-08-14 08:40:05-0600',mode:absolute,to:'2016-08-14 11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1" t="str">
            <v>N</v>
          </cell>
          <cell r="X61">
            <v>1</v>
          </cell>
          <cell r="Y61">
            <v>4.6199999999999998E-2</v>
          </cell>
          <cell r="Z61">
            <v>23.331199999999999</v>
          </cell>
          <cell r="AA61">
            <v>23.285</v>
          </cell>
          <cell r="AB61" t="e">
            <v>#N/A</v>
          </cell>
          <cell r="AC61" t="e">
            <v>#N/A</v>
          </cell>
          <cell r="AD61" t="str">
            <v>0149-14</v>
          </cell>
          <cell r="AE61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62">
          <cell r="A62" t="str">
            <v>150-14</v>
          </cell>
          <cell r="B62">
            <v>4028</v>
          </cell>
          <cell r="C62" t="str">
            <v>DE.1.0.7.0</v>
          </cell>
          <cell r="D62" t="str">
            <v>204:232982</v>
          </cell>
          <cell r="E62">
            <v>42596.438634259262</v>
          </cell>
          <cell r="F62">
            <v>42596.439375000002</v>
          </cell>
          <cell r="G62">
            <v>1</v>
          </cell>
          <cell r="H62" t="str">
            <v>204:143</v>
          </cell>
          <cell r="I62">
            <v>42596.485127314816</v>
          </cell>
          <cell r="J62">
            <v>0</v>
          </cell>
          <cell r="K62" t="str">
            <v>4027/4028</v>
          </cell>
          <cell r="L62" t="str">
            <v>DAVIS</v>
          </cell>
          <cell r="M62">
            <v>4.5752314814308193E-2</v>
          </cell>
          <cell r="N62">
            <v>65.883333332603797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https://search-rtdc-monitor-bjffxe2xuh6vdkpspy63sjmuny.us-east-1.es.amazonaws.com/_plugin/kibana/#/discover/Steve-Slow-Train-Analysis-(2080s-and-2083s)?_g=(refreshInterval:(display:Off,section:0,value:0),time:(from:'2016-08-14 09:31:38-0600',mode:absolute,to:'2016-08-14 12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2" t="str">
            <v>N</v>
          </cell>
          <cell r="X62">
            <v>1</v>
          </cell>
          <cell r="Y62">
            <v>23.298200000000001</v>
          </cell>
          <cell r="Z62">
            <v>1.43E-2</v>
          </cell>
          <cell r="AA62">
            <v>23.283900000000003</v>
          </cell>
          <cell r="AB62" t="e">
            <v>#N/A</v>
          </cell>
          <cell r="AC62" t="e">
            <v>#N/A</v>
          </cell>
          <cell r="AD62" t="str">
            <v>0150-14</v>
          </cell>
          <cell r="AE62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63">
          <cell r="A63" t="str">
            <v>151-14</v>
          </cell>
          <cell r="B63">
            <v>4038</v>
          </cell>
          <cell r="C63" t="str">
            <v>DE.1.0.7.0</v>
          </cell>
          <cell r="D63" t="str">
            <v>204:453</v>
          </cell>
          <cell r="E63">
            <v>42596.41547453704</v>
          </cell>
          <cell r="F63">
            <v>42596.416319444441</v>
          </cell>
          <cell r="G63">
            <v>1</v>
          </cell>
          <cell r="H63" t="str">
            <v>204:233295</v>
          </cell>
          <cell r="I63">
            <v>42596.443298611113</v>
          </cell>
          <cell r="J63">
            <v>0</v>
          </cell>
          <cell r="K63" t="str">
            <v>4037/4038</v>
          </cell>
          <cell r="L63" t="str">
            <v>MALAVE</v>
          </cell>
          <cell r="M63">
            <v>2.697916667239042E-2</v>
          </cell>
          <cell r="N63">
            <v>38.850000008242205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https://search-rtdc-monitor-bjffxe2xuh6vdkpspy63sjmuny.us-east-1.es.amazonaws.com/_plugin/kibana/#/discover/Steve-Slow-Train-Analysis-(2080s-and-2083s)?_g=(refreshInterval:(display:Off,section:0,value:0),time:(from:'2016-08-14 08:58:17-0600',mode:absolute,to:'2016-08-14 11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3" t="str">
            <v>N</v>
          </cell>
          <cell r="X63">
            <v>1</v>
          </cell>
          <cell r="Y63">
            <v>4.53E-2</v>
          </cell>
          <cell r="Z63">
            <v>23.329499999999999</v>
          </cell>
          <cell r="AA63">
            <v>23.284199999999998</v>
          </cell>
          <cell r="AB63" t="e">
            <v>#N/A</v>
          </cell>
          <cell r="AC63" t="e">
            <v>#N/A</v>
          </cell>
          <cell r="AD63" t="str">
            <v>0151-14</v>
          </cell>
          <cell r="AE6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64">
          <cell r="A64" t="str">
            <v>152-14</v>
          </cell>
          <cell r="B64">
            <v>4037</v>
          </cell>
          <cell r="C64" t="str">
            <v>DE.1.0.7.0</v>
          </cell>
          <cell r="D64" t="str">
            <v>204:232983</v>
          </cell>
          <cell r="E64">
            <v>42596.454155092593</v>
          </cell>
          <cell r="F64">
            <v>42596.455821759257</v>
          </cell>
          <cell r="G64">
            <v>2</v>
          </cell>
          <cell r="H64" t="str">
            <v>204:156</v>
          </cell>
          <cell r="I64">
            <v>42596.49287037037</v>
          </cell>
          <cell r="J64">
            <v>0</v>
          </cell>
          <cell r="K64" t="str">
            <v>4037/4038</v>
          </cell>
          <cell r="L64" t="str">
            <v>MALAVE</v>
          </cell>
          <cell r="M64">
            <v>3.704861111327773E-2</v>
          </cell>
          <cell r="N64">
            <v>53.350000003119931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https://search-rtdc-monitor-bjffxe2xuh6vdkpspy63sjmuny.us-east-1.es.amazonaws.com/_plugin/kibana/#/discover/Steve-Slow-Train-Analysis-(2080s-and-2083s)?_g=(refreshInterval:(display:Off,section:0,value:0),time:(from:'2016-08-14 09:53:59-0600',mode:absolute,to:'2016-08-14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4" t="str">
            <v>N</v>
          </cell>
          <cell r="X64">
            <v>1</v>
          </cell>
          <cell r="Y64">
            <v>23.298300000000001</v>
          </cell>
          <cell r="Z64">
            <v>1.5599999999999999E-2</v>
          </cell>
          <cell r="AA64">
            <v>23.282700000000002</v>
          </cell>
          <cell r="AB64" t="e">
            <v>#N/A</v>
          </cell>
          <cell r="AC64" t="e">
            <v>#N/A</v>
          </cell>
          <cell r="AD64" t="str">
            <v>0152-14</v>
          </cell>
          <cell r="AE6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65">
          <cell r="A65" t="str">
            <v>153-14</v>
          </cell>
          <cell r="B65">
            <v>4031</v>
          </cell>
          <cell r="C65" t="str">
            <v>DE.1.0.7.0</v>
          </cell>
          <cell r="D65" t="str">
            <v>204:477</v>
          </cell>
          <cell r="E65">
            <v>42596.422696759262</v>
          </cell>
          <cell r="F65">
            <v>42596.424490740741</v>
          </cell>
          <cell r="G65">
            <v>2</v>
          </cell>
          <cell r="H65" t="str">
            <v>204:233343</v>
          </cell>
          <cell r="I65">
            <v>42596.455416666664</v>
          </cell>
          <cell r="J65">
            <v>0</v>
          </cell>
          <cell r="K65" t="str">
            <v>4031/4032</v>
          </cell>
          <cell r="L65" t="str">
            <v>STRICKLAND</v>
          </cell>
          <cell r="M65">
            <v>3.0925925922929309E-2</v>
          </cell>
          <cell r="N65">
            <v>44.533333329018205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5" t="str">
            <v>N</v>
          </cell>
          <cell r="X65">
            <v>1</v>
          </cell>
          <cell r="Y65">
            <v>4.7699999999999999E-2</v>
          </cell>
          <cell r="Z65">
            <v>23.334299999999999</v>
          </cell>
          <cell r="AA65">
            <v>23.2866</v>
          </cell>
          <cell r="AB65">
            <v>116838</v>
          </cell>
          <cell r="AC65" t="str">
            <v>PERMANENT SPEED RESTRICTION</v>
          </cell>
          <cell r="AD65" t="str">
            <v>0153-14</v>
          </cell>
          <cell r="AE65" t="str">
    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    </cell>
        </row>
        <row r="66">
          <cell r="A66" t="str">
            <v>154-14</v>
          </cell>
          <cell r="B66">
            <v>4032</v>
          </cell>
          <cell r="C66" t="str">
            <v>DE.1.0.7.0</v>
          </cell>
          <cell r="D66" t="str">
            <v>204:232980</v>
          </cell>
          <cell r="E66">
            <v>42596.462418981479</v>
          </cell>
          <cell r="F66">
            <v>42596.463402777779</v>
          </cell>
          <cell r="G66">
            <v>1</v>
          </cell>
          <cell r="H66" t="str">
            <v>204:1175</v>
          </cell>
          <cell r="I66">
            <v>42596.499837962961</v>
          </cell>
          <cell r="J66">
            <v>0</v>
          </cell>
          <cell r="K66" t="str">
            <v>4031/4032</v>
          </cell>
          <cell r="L66" t="str">
            <v>STRICKLAND</v>
          </cell>
          <cell r="M66">
            <v>3.6435185182199348E-2</v>
          </cell>
          <cell r="N66">
            <v>52.466666662367061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6" t="str">
            <v>N</v>
          </cell>
          <cell r="X66">
            <v>1</v>
          </cell>
          <cell r="Y66">
            <v>23.297999999999998</v>
          </cell>
          <cell r="Z66">
            <v>0.11749999999999999</v>
          </cell>
          <cell r="AA66">
            <v>23.180499999999999</v>
          </cell>
          <cell r="AB66">
            <v>119716</v>
          </cell>
          <cell r="AC66" t="str">
            <v>PERMANENT SPEED RESTRICTION</v>
          </cell>
          <cell r="AD66" t="str">
            <v>0154-14</v>
          </cell>
          <cell r="AE66" t="str">
    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    </cell>
        </row>
        <row r="67">
          <cell r="A67" t="str">
            <v>155-14</v>
          </cell>
          <cell r="B67">
            <v>4014</v>
          </cell>
          <cell r="C67" t="str">
            <v>DE.1.0.7.0</v>
          </cell>
          <cell r="D67" t="str">
            <v>204:446</v>
          </cell>
          <cell r="E67">
            <v>42596.434166666666</v>
          </cell>
          <cell r="F67">
            <v>42596.437800925924</v>
          </cell>
          <cell r="G67">
            <v>5</v>
          </cell>
          <cell r="H67" t="str">
            <v>204:233287</v>
          </cell>
          <cell r="I67">
            <v>42596.472349537034</v>
          </cell>
          <cell r="J67">
            <v>0</v>
          </cell>
          <cell r="K67" t="str">
            <v>4013/4014</v>
          </cell>
          <cell r="L67" t="str">
            <v>MAYBERRY</v>
          </cell>
          <cell r="M67">
            <v>3.4548611110949423E-2</v>
          </cell>
          <cell r="N67">
            <v>49.749999999767169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https://search-rtdc-monitor-bjffxe2xuh6vdkpspy63sjmuny.us-east-1.es.amazonaws.com/_plugin/kibana/#/discover/Steve-Slow-Train-Analysis-(2080s-and-2083s)?_g=(refreshInterval:(display:Off,section:0,value:0),time:(from:'2016-08-14 09:25:12-0600',mode:absolute,to:'2016-08-14 12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4.4600000000000001E-2</v>
          </cell>
          <cell r="Z67">
            <v>23.328700000000001</v>
          </cell>
          <cell r="AA67">
            <v>23.284100000000002</v>
          </cell>
          <cell r="AB67" t="e">
            <v>#N/A</v>
          </cell>
          <cell r="AC67" t="e">
            <v>#N/A</v>
          </cell>
          <cell r="AD67" t="str">
            <v>0155-14</v>
          </cell>
          <cell r="AE67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68">
          <cell r="A68" t="str">
            <v>156-14</v>
          </cell>
          <cell r="B68">
            <v>4013</v>
          </cell>
          <cell r="C68" t="str">
            <v>DE.1.0.7.0</v>
          </cell>
          <cell r="D68" t="str">
            <v>204:232970</v>
          </cell>
          <cell r="E68">
            <v>42596.474456018521</v>
          </cell>
          <cell r="F68">
            <v>42596.477152777778</v>
          </cell>
          <cell r="G68">
            <v>3</v>
          </cell>
          <cell r="H68" t="str">
            <v>204:163</v>
          </cell>
          <cell r="I68">
            <v>42596.505532407406</v>
          </cell>
          <cell r="J68">
            <v>0</v>
          </cell>
          <cell r="K68" t="str">
            <v>4013/4014</v>
          </cell>
          <cell r="L68" t="str">
            <v>MAYBERRY</v>
          </cell>
          <cell r="M68">
            <v>2.8379629628034309E-2</v>
          </cell>
          <cell r="N68">
            <v>40.866666664369404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https://search-rtdc-monitor-bjffxe2xuh6vdkpspy63sjmuny.us-east-1.es.amazonaws.com/_plugin/kibana/#/discover/Steve-Slow-Train-Analysis-(2080s-and-2083s)?_g=(refreshInterval:(display:Off,section:0,value:0),time:(from:'2016-08-14 10:23:13-0600',mode:absolute,to:'2016-08-14 13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8" t="str">
            <v>N</v>
          </cell>
          <cell r="X68">
            <v>1</v>
          </cell>
          <cell r="Y68">
            <v>23.297000000000001</v>
          </cell>
          <cell r="Z68">
            <v>1.6299999999999999E-2</v>
          </cell>
          <cell r="AA68">
            <v>23.2807</v>
          </cell>
          <cell r="AB68" t="e">
            <v>#N/A</v>
          </cell>
          <cell r="AC68" t="e">
            <v>#N/A</v>
          </cell>
          <cell r="AD68" t="str">
            <v>0156-14</v>
          </cell>
          <cell r="AE68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69">
          <cell r="A69" t="str">
            <v>157-14</v>
          </cell>
          <cell r="B69">
            <v>4029</v>
          </cell>
          <cell r="C69" t="str">
            <v>DE.1.0.7.0</v>
          </cell>
          <cell r="D69" t="str">
            <v>204:453</v>
          </cell>
          <cell r="E69">
            <v>42596.44090277778</v>
          </cell>
          <cell r="F69">
            <v>42596.442025462966</v>
          </cell>
          <cell r="G69">
            <v>1</v>
          </cell>
          <cell r="H69" t="str">
            <v>204:233286</v>
          </cell>
          <cell r="I69">
            <v>42596.47828703704</v>
          </cell>
          <cell r="J69">
            <v>0</v>
          </cell>
          <cell r="K69" t="str">
            <v>4029/4030</v>
          </cell>
          <cell r="L69" t="str">
            <v>YORK</v>
          </cell>
          <cell r="M69">
            <v>3.6261574074160308E-2</v>
          </cell>
          <cell r="N69">
            <v>52.216666666790843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https://search-rtdc-monitor-bjffxe2xuh6vdkpspy63sjmuny.us-east-1.es.amazonaws.com/_plugin/kibana/#/discover/Steve-Slow-Train-Analysis-(2080s-and-2083s)?_g=(refreshInterval:(display:Off,section:0,value:0),time:(from:'2016-08-14 09:34:54-0600',mode:absolute,to:'2016-08-14 12:28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9" t="str">
            <v>N</v>
          </cell>
          <cell r="X69">
            <v>1</v>
          </cell>
          <cell r="Y69">
            <v>4.53E-2</v>
          </cell>
          <cell r="Z69">
            <v>23.328600000000002</v>
          </cell>
          <cell r="AA69">
            <v>23.283300000000001</v>
          </cell>
          <cell r="AB69" t="e">
            <v>#N/A</v>
          </cell>
          <cell r="AC69" t="e">
            <v>#N/A</v>
          </cell>
          <cell r="AD69" t="str">
            <v>0157-14</v>
          </cell>
          <cell r="AE69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70">
          <cell r="A70" t="str">
            <v>158-14</v>
          </cell>
          <cell r="B70">
            <v>4030</v>
          </cell>
          <cell r="C70" t="str">
            <v>DE.1.0.7.0</v>
          </cell>
          <cell r="D70" t="str">
            <v>204:232969</v>
          </cell>
          <cell r="E70">
            <v>42596.48300925926</v>
          </cell>
          <cell r="F70">
            <v>42596.483854166669</v>
          </cell>
          <cell r="G70">
            <v>1</v>
          </cell>
          <cell r="H70" t="str">
            <v>204:150</v>
          </cell>
          <cell r="I70">
            <v>42596.512569444443</v>
          </cell>
          <cell r="J70">
            <v>0</v>
          </cell>
          <cell r="K70" t="str">
            <v>4029/4030</v>
          </cell>
          <cell r="L70" t="str">
            <v>YORK</v>
          </cell>
          <cell r="M70">
            <v>2.8715277774608694E-2</v>
          </cell>
          <cell r="N70">
            <v>41.349999995436519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https://search-rtdc-monitor-bjffxe2xuh6vdkpspy63sjmuny.us-east-1.es.amazonaws.com/_plugin/kibana/#/discover/Steve-Slow-Train-Analysis-(2080s-and-2083s)?_g=(refreshInterval:(display:Off,section:0,value:0),time:(from:'2016-08-14 10:35:32-0600',mode:absolute,to:'2016-08-14 13:18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0" t="str">
            <v>N</v>
          </cell>
          <cell r="X70">
            <v>1</v>
          </cell>
          <cell r="Y70">
            <v>23.296900000000001</v>
          </cell>
          <cell r="Z70">
            <v>1.4999999999999999E-2</v>
          </cell>
          <cell r="AA70">
            <v>23.2819</v>
          </cell>
          <cell r="AB70" t="e">
            <v>#N/A</v>
          </cell>
          <cell r="AC70" t="e">
            <v>#N/A</v>
          </cell>
          <cell r="AD70" t="str">
            <v>0158-14</v>
          </cell>
          <cell r="AE70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71">
          <cell r="A71" t="str">
            <v>159-14</v>
          </cell>
          <cell r="B71">
            <v>4016</v>
          </cell>
          <cell r="C71" t="str">
            <v>DE.1.0.7.0</v>
          </cell>
          <cell r="D71" t="str">
            <v>204:591</v>
          </cell>
          <cell r="E71">
            <v>42596.457152777781</v>
          </cell>
          <cell r="F71">
            <v>42596.459178240744</v>
          </cell>
          <cell r="G71">
            <v>2</v>
          </cell>
          <cell r="H71" t="str">
            <v>204:233310</v>
          </cell>
          <cell r="I71">
            <v>42596.48574074074</v>
          </cell>
          <cell r="J71">
            <v>0</v>
          </cell>
          <cell r="K71" t="str">
            <v>4015/4016</v>
          </cell>
          <cell r="L71" t="str">
            <v>STEWART</v>
          </cell>
          <cell r="M71">
            <v>2.6562499995634425E-2</v>
          </cell>
          <cell r="N71">
            <v>38.249999993713573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https://search-rtdc-monitor-bjffxe2xuh6vdkpspy63sjmuny.us-east-1.es.amazonaws.com/_plugin/kibana/#/discover/Steve-Slow-Train-Analysis-(2080s-and-2083s)?_g=(refreshInterval:(display:Off,section:0,value:0),time:(from:'2016-08-14 09:58:18-0600',mode:absolute,to:'2016-08-14 12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1" t="str">
            <v>N</v>
          </cell>
          <cell r="X71">
            <v>1</v>
          </cell>
          <cell r="Y71">
            <v>5.91E-2</v>
          </cell>
          <cell r="Z71">
            <v>23.331</v>
          </cell>
          <cell r="AA71">
            <v>23.271899999999999</v>
          </cell>
          <cell r="AB71" t="e">
            <v>#N/A</v>
          </cell>
          <cell r="AC71" t="e">
            <v>#N/A</v>
          </cell>
          <cell r="AD71" t="str">
            <v>0159-14</v>
          </cell>
          <cell r="AE71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72">
          <cell r="A72" t="str">
            <v>160-14</v>
          </cell>
          <cell r="B72">
            <v>4015</v>
          </cell>
          <cell r="C72" t="str">
            <v>DE.1.0.7.0</v>
          </cell>
          <cell r="D72" t="str">
            <v>204:232983</v>
          </cell>
          <cell r="E72">
            <v>42596.492696759262</v>
          </cell>
          <cell r="F72">
            <v>42596.493773148148</v>
          </cell>
          <cell r="G72">
            <v>1</v>
          </cell>
          <cell r="H72" t="str">
            <v>204:161</v>
          </cell>
          <cell r="I72">
            <v>42596.527708333335</v>
          </cell>
          <cell r="J72">
            <v>0</v>
          </cell>
          <cell r="K72" t="str">
            <v>4015/4016</v>
          </cell>
          <cell r="L72" t="str">
            <v>STEWART</v>
          </cell>
          <cell r="M72">
            <v>3.3935185187146999E-2</v>
          </cell>
          <cell r="N72">
            <v>48.866666669491678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https://search-rtdc-monitor-bjffxe2xuh6vdkpspy63sjmuny.us-east-1.es.amazonaws.com/_plugin/kibana/#/discover/Steve-Slow-Train-Analysis-(2080s-and-2083s)?_g=(refreshInterval:(display:Off,section:0,value:0),time:(from:'2016-08-14 10:49:29-0600',mode:absolute,to:'2016-08-14 13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2" t="str">
            <v>N</v>
          </cell>
          <cell r="X72">
            <v>1</v>
          </cell>
          <cell r="Y72">
            <v>23.298300000000001</v>
          </cell>
          <cell r="Z72">
            <v>1.61E-2</v>
          </cell>
          <cell r="AA72">
            <v>23.2822</v>
          </cell>
          <cell r="AB72">
            <v>58904</v>
          </cell>
          <cell r="AC72" t="str">
            <v>GRADE CROSSING</v>
          </cell>
          <cell r="AD72" t="str">
            <v>0160-14</v>
          </cell>
          <cell r="AE72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73">
          <cell r="A73" t="str">
            <v>161-14</v>
          </cell>
          <cell r="B73">
            <v>4011</v>
          </cell>
          <cell r="C73" t="str">
            <v>DE.1.0.7.0</v>
          </cell>
          <cell r="D73" t="str">
            <v>204:433</v>
          </cell>
          <cell r="E73">
            <v>42596.467499999999</v>
          </cell>
          <cell r="F73">
            <v>42596.468553240738</v>
          </cell>
          <cell r="G73">
            <v>1</v>
          </cell>
          <cell r="H73" t="str">
            <v>204:233305</v>
          </cell>
          <cell r="I73">
            <v>42596.500925925924</v>
          </cell>
          <cell r="J73">
            <v>0</v>
          </cell>
          <cell r="K73" t="str">
            <v>4011/4012</v>
          </cell>
          <cell r="L73" t="str">
            <v>BARTLETT</v>
          </cell>
          <cell r="M73">
            <v>3.2372685185691807E-2</v>
          </cell>
          <cell r="N73">
            <v>46.616666667396203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https://search-rtdc-monitor-bjffxe2xuh6vdkpspy63sjmuny.us-east-1.es.amazonaws.com/_plugin/kibana/#/discover/Steve-Slow-Train-Analysis-(2080s-and-2083s)?_g=(refreshInterval:(display:Off,section:0,value:0),time:(from:'2016-08-14 10:13:12-0600',mode:absolute,to:'2016-08-14 13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3" t="str">
            <v>N</v>
          </cell>
          <cell r="X73">
            <v>1</v>
          </cell>
          <cell r="Y73">
            <v>4.3299999999999998E-2</v>
          </cell>
          <cell r="Z73">
            <v>23.330500000000001</v>
          </cell>
          <cell r="AA73">
            <v>23.287200000000002</v>
          </cell>
          <cell r="AB73" t="e">
            <v>#N/A</v>
          </cell>
          <cell r="AC73" t="e">
            <v>#N/A</v>
          </cell>
          <cell r="AD73" t="str">
            <v>0161-14</v>
          </cell>
          <cell r="AE73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74">
          <cell r="A74" t="str">
            <v>162-14</v>
          </cell>
          <cell r="B74">
            <v>4012</v>
          </cell>
          <cell r="C74" t="str">
            <v>DE.1.0.7.0</v>
          </cell>
          <cell r="D74" t="str">
            <v>204:232986</v>
          </cell>
          <cell r="E74">
            <v>42596.504803240743</v>
          </cell>
          <cell r="F74">
            <v>42596.50608796296</v>
          </cell>
          <cell r="G74">
            <v>1</v>
          </cell>
          <cell r="H74" t="str">
            <v>204:178</v>
          </cell>
          <cell r="I74">
            <v>42596.538402777776</v>
          </cell>
          <cell r="J74">
            <v>0</v>
          </cell>
          <cell r="K74" t="str">
            <v>4011/4012</v>
          </cell>
          <cell r="L74" t="str">
            <v>BARTLETT</v>
          </cell>
          <cell r="M74">
            <v>3.2314814816345461E-2</v>
          </cell>
          <cell r="N74">
            <v>46.533333335537463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https://search-rtdc-monitor-bjffxe2xuh6vdkpspy63sjmuny.us-east-1.es.amazonaws.com/_plugin/kibana/#/discover/Steve-Slow-Train-Analysis-(2080s-and-2083s)?_g=(refreshInterval:(display:Off,section:0,value:0),time:(from:'2016-08-14 11:06:55-0600',mode:absolute,to:'2016-08-14 13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4" t="str">
            <v>N</v>
          </cell>
          <cell r="X74">
            <v>1</v>
          </cell>
          <cell r="Y74">
            <v>23.2986</v>
          </cell>
          <cell r="Z74">
            <v>1.78E-2</v>
          </cell>
          <cell r="AA74">
            <v>23.280799999999999</v>
          </cell>
          <cell r="AB74" t="e">
            <v>#N/A</v>
          </cell>
          <cell r="AC74" t="e">
            <v>#N/A</v>
          </cell>
          <cell r="AD74" t="str">
            <v>0162-14</v>
          </cell>
          <cell r="AE74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75">
          <cell r="A75" t="str">
            <v>163-14</v>
          </cell>
          <cell r="B75">
            <v>4025</v>
          </cell>
          <cell r="C75" t="str">
            <v>DE.1.0.7.0</v>
          </cell>
          <cell r="D75" t="str">
            <v>204:466</v>
          </cell>
          <cell r="E75">
            <v>42596.477534722224</v>
          </cell>
          <cell r="F75">
            <v>42596.478842592594</v>
          </cell>
          <cell r="G75">
            <v>1</v>
          </cell>
          <cell r="H75" t="str">
            <v>204:233304</v>
          </cell>
          <cell r="I75">
            <v>42596.504513888889</v>
          </cell>
          <cell r="J75">
            <v>0</v>
          </cell>
          <cell r="K75" t="str">
            <v>4025/4026</v>
          </cell>
          <cell r="L75" t="str">
            <v>BRUDER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https://search-rtdc-monitor-bjffxe2xuh6vdkpspy63sjmuny.us-east-1.es.amazonaws.com/_plugin/kibana/#/discover/Steve-Slow-Train-Analysis-(2080s-and-2083s)?_g=(refreshInterval:(display:Off,section:0,value:0),time:(from:'2016-08-14 10:27:39-0600',mode:absolute,to:'2016-08-14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5" t="str">
            <v>N</v>
          </cell>
          <cell r="X75">
            <v>1</v>
          </cell>
          <cell r="Y75">
            <v>4.6600000000000003E-2</v>
          </cell>
          <cell r="Z75">
            <v>23.330400000000001</v>
          </cell>
          <cell r="AA75">
            <v>23.283799999999999</v>
          </cell>
          <cell r="AB75" t="e">
            <v>#N/A</v>
          </cell>
          <cell r="AC75" t="e">
            <v>#N/A</v>
          </cell>
          <cell r="AD75" t="str">
            <v>0163-14</v>
          </cell>
          <cell r="AE75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76">
          <cell r="A76" t="str">
            <v>164-14</v>
          </cell>
          <cell r="B76">
            <v>4026</v>
          </cell>
          <cell r="C76" t="str">
            <v>DE.1.0.7.0</v>
          </cell>
          <cell r="D76" t="str">
            <v>204:232993</v>
          </cell>
          <cell r="E76">
            <v>42596.507997685185</v>
          </cell>
          <cell r="F76">
            <v>42596.509675925925</v>
          </cell>
          <cell r="G76">
            <v>2</v>
          </cell>
          <cell r="H76" t="str">
            <v>204:150</v>
          </cell>
          <cell r="I76">
            <v>42596.548333333332</v>
          </cell>
          <cell r="J76">
            <v>0</v>
          </cell>
          <cell r="K76" t="str">
            <v>4025/4026</v>
          </cell>
          <cell r="L76" t="str">
            <v>BRUDER</v>
          </cell>
          <cell r="M76">
            <v>3.8657407407299615E-2</v>
          </cell>
          <cell r="N76">
            <v>55.666666666511446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https://search-rtdc-monitor-bjffxe2xuh6vdkpspy63sjmuny.us-east-1.es.amazonaws.com/_plugin/kibana/#/discover/Steve-Slow-Train-Analysis-(2080s-and-2083s)?_g=(refreshInterval:(display:Off,section:0,value:0),time:(from:'2016-08-14 11:11:31-0600',mode:absolute,to:'2016-08-14 14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6" t="str">
            <v>N</v>
          </cell>
          <cell r="X76">
            <v>1</v>
          </cell>
          <cell r="Y76">
            <v>23.299299999999999</v>
          </cell>
          <cell r="Z76">
            <v>1.4999999999999999E-2</v>
          </cell>
          <cell r="AA76">
            <v>23.284299999999998</v>
          </cell>
          <cell r="AB76" t="e">
            <v>#N/A</v>
          </cell>
          <cell r="AC76" t="e">
            <v>#N/A</v>
          </cell>
          <cell r="AD76" t="str">
            <v>0164-14</v>
          </cell>
          <cell r="AE76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77">
          <cell r="A77" t="str">
            <v>165-14</v>
          </cell>
          <cell r="B77">
            <v>4027</v>
          </cell>
          <cell r="C77" t="str">
            <v>DE.1.0.7.0</v>
          </cell>
          <cell r="D77" t="str">
            <v>204:471</v>
          </cell>
          <cell r="E77">
            <v>42596.489050925928</v>
          </cell>
          <cell r="F77">
            <v>42596.490011574075</v>
          </cell>
          <cell r="G77">
            <v>1</v>
          </cell>
          <cell r="H77" t="str">
            <v>204:233320</v>
          </cell>
          <cell r="I77">
            <v>42596.517013888886</v>
          </cell>
          <cell r="J77">
            <v>0</v>
          </cell>
          <cell r="K77" t="str">
            <v>4027/4028</v>
          </cell>
          <cell r="L77" t="str">
            <v>MOSES</v>
          </cell>
          <cell r="M77">
            <v>2.700231481139781E-2</v>
          </cell>
          <cell r="N77">
            <v>38.883333328412846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https://search-rtdc-monitor-bjffxe2xuh6vdkpspy63sjmuny.us-east-1.es.amazonaws.com/_plugin/kibana/#/discover/Steve-Slow-Train-Analysis-(2080s-and-2083s)?_g=(refreshInterval:(display:Off,section:0,value:0),time:(from:'2016-08-14 10:44:14-0600',mode:absolute,to:'2016-08-14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4.7100000000000003E-2</v>
          </cell>
          <cell r="Z77">
            <v>23.332000000000001</v>
          </cell>
          <cell r="AA77">
            <v>23.2849</v>
          </cell>
          <cell r="AB77">
            <v>17867</v>
          </cell>
          <cell r="AC77" t="str">
            <v>PERMANENT SPEED RESTRICTION</v>
          </cell>
          <cell r="AD77" t="str">
            <v>0165-14</v>
          </cell>
          <cell r="AE77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78">
          <cell r="A78" t="str">
            <v>166-14</v>
          </cell>
          <cell r="B78">
            <v>4028</v>
          </cell>
          <cell r="C78" t="str">
            <v>DE.1.0.7.0</v>
          </cell>
          <cell r="D78" t="str">
            <v>204:233005</v>
          </cell>
          <cell r="E78">
            <v>42596.525416666664</v>
          </cell>
          <cell r="F78">
            <v>42596.526898148149</v>
          </cell>
          <cell r="G78">
            <v>2</v>
          </cell>
          <cell r="H78" t="str">
            <v>204:134</v>
          </cell>
          <cell r="I78">
            <v>42596.559328703705</v>
          </cell>
          <cell r="J78">
            <v>0</v>
          </cell>
          <cell r="K78" t="str">
            <v>4027/4028</v>
          </cell>
          <cell r="L78" t="str">
            <v>MOSES</v>
          </cell>
          <cell r="M78">
            <v>3.2430555555038154E-2</v>
          </cell>
          <cell r="N78">
            <v>46.699999999254942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https://search-rtdc-monitor-bjffxe2xuh6vdkpspy63sjmuny.us-east-1.es.amazonaws.com/_plugin/kibana/#/discover/Steve-Slow-Train-Analysis-(2080s-and-2083s)?_g=(refreshInterval:(display:Off,section:0,value:0),time:(from:'2016-08-14 11:36:36-0600',mode:absolute,to:'2016-08-14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23.3005</v>
          </cell>
          <cell r="Z78">
            <v>1.34E-2</v>
          </cell>
          <cell r="AA78">
            <v>23.287099999999999</v>
          </cell>
          <cell r="AB78" t="e">
            <v>#N/A</v>
          </cell>
          <cell r="AC78" t="e">
            <v>#N/A</v>
          </cell>
          <cell r="AD78" t="str">
            <v>0166-14</v>
          </cell>
          <cell r="AE78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79">
          <cell r="A79" t="str">
            <v>167-14</v>
          </cell>
          <cell r="B79">
            <v>4038</v>
          </cell>
          <cell r="C79" t="str">
            <v>DE.1.0.7.0</v>
          </cell>
          <cell r="D79" t="str">
            <v>204:482</v>
          </cell>
          <cell r="E79">
            <v>42596.496377314812</v>
          </cell>
          <cell r="F79">
            <v>42596.497708333336</v>
          </cell>
          <cell r="G79">
            <v>1</v>
          </cell>
          <cell r="H79" t="str">
            <v>204:233327</v>
          </cell>
          <cell r="I79">
            <v>42596.527939814812</v>
          </cell>
          <cell r="J79">
            <v>0</v>
          </cell>
          <cell r="K79" t="str">
            <v>4037/4038</v>
          </cell>
          <cell r="L79" t="str">
            <v>YOUNG</v>
          </cell>
          <cell r="M79">
            <v>3.0231481476221234E-2</v>
          </cell>
          <cell r="N79">
            <v>43.533333325758576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https://search-rtdc-monitor-bjffxe2xuh6vdkpspy63sjmuny.us-east-1.es.amazonaws.com/_plugin/kibana/#/discover/Steve-Slow-Train-Analysis-(2080s-and-2083s)?_g=(refreshInterval:(display:Off,section:0,value:0),time:(from:'2016-08-14 10:54:47-0600',mode:absolute,to:'2016-08-14 13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4.82E-2</v>
          </cell>
          <cell r="Z79">
            <v>23.332699999999999</v>
          </cell>
          <cell r="AA79">
            <v>23.284499999999998</v>
          </cell>
          <cell r="AB79" t="e">
            <v>#N/A</v>
          </cell>
          <cell r="AC79" t="e">
            <v>#N/A</v>
          </cell>
          <cell r="AD79" t="str">
            <v>0167-14</v>
          </cell>
          <cell r="AE79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80">
          <cell r="A80" t="str">
            <v>168-14</v>
          </cell>
          <cell r="B80">
            <v>4037</v>
          </cell>
          <cell r="C80" t="str">
            <v>DE.1.0.7.0</v>
          </cell>
          <cell r="D80" t="str">
            <v>204:233013</v>
          </cell>
          <cell r="E80">
            <v>42596.530925925923</v>
          </cell>
          <cell r="F80">
            <v>42596.531956018516</v>
          </cell>
          <cell r="G80">
            <v>1</v>
          </cell>
          <cell r="H80" t="str">
            <v>204:214</v>
          </cell>
          <cell r="I80">
            <v>42596.569155092591</v>
          </cell>
          <cell r="J80">
            <v>0</v>
          </cell>
          <cell r="K80" t="str">
            <v>4037/4038</v>
          </cell>
          <cell r="L80" t="str">
            <v>YOUNG</v>
          </cell>
          <cell r="M80">
            <v>3.7199074075033423E-2</v>
          </cell>
          <cell r="N80">
            <v>53.566666668048128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https://search-rtdc-monitor-bjffxe2xuh6vdkpspy63sjmuny.us-east-1.es.amazonaws.com/_plugin/kibana/#/discover/Steve-Slow-Train-Analysis-(2080s-and-2083s)?_g=(refreshInterval:(display:Off,section:0,value:0),time:(from:'2016-08-14 11:44:32-0600',mode:absolute,to:'2016-08-14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23.301300000000001</v>
          </cell>
          <cell r="Z80">
            <v>2.1399999999999999E-2</v>
          </cell>
          <cell r="AA80">
            <v>23.279900000000001</v>
          </cell>
          <cell r="AB80" t="e">
            <v>#N/A</v>
          </cell>
          <cell r="AC80" t="e">
            <v>#N/A</v>
          </cell>
          <cell r="AD80" t="str">
            <v>0168-14</v>
          </cell>
          <cell r="AE80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81">
          <cell r="A81" t="str">
            <v>169-14</v>
          </cell>
          <cell r="B81">
            <v>4014</v>
          </cell>
          <cell r="C81" t="str">
            <v>DE.1.0.7.0</v>
          </cell>
          <cell r="D81" t="str">
            <v>204:475</v>
          </cell>
          <cell r="E81">
            <v>42596.506701388891</v>
          </cell>
          <cell r="F81">
            <v>42596.507847222223</v>
          </cell>
          <cell r="G81">
            <v>1</v>
          </cell>
          <cell r="H81" t="str">
            <v>204:233289</v>
          </cell>
          <cell r="I81">
            <v>42596.538761574076</v>
          </cell>
          <cell r="J81">
            <v>0</v>
          </cell>
          <cell r="K81" t="str">
            <v>4013/4014</v>
          </cell>
          <cell r="L81" t="str">
            <v>MAYBERRY</v>
          </cell>
          <cell r="M81">
            <v>3.0914351853425615E-2</v>
          </cell>
          <cell r="N81">
            <v>44.516666668932885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https://search-rtdc-monitor-bjffxe2xuh6vdkpspy63sjmuny.us-east-1.es.amazonaws.com/_plugin/kibana/#/discover/Steve-Slow-Train-Analysis-(2080s-and-2083s)?_g=(refreshInterval:(display:Off,section:0,value:0),time:(from:'2016-08-14 11:09:39-0600',mode:absolute,to:'2016-08-14 13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4.7500000000000001E-2</v>
          </cell>
          <cell r="Z81">
            <v>23.328900000000001</v>
          </cell>
          <cell r="AA81">
            <v>23.281400000000001</v>
          </cell>
          <cell r="AB81" t="e">
            <v>#N/A</v>
          </cell>
          <cell r="AC81" t="e">
            <v>#N/A</v>
          </cell>
          <cell r="AD81" t="str">
            <v>0169-14</v>
          </cell>
          <cell r="AE81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82">
          <cell r="A82" t="str">
            <v>170-14</v>
          </cell>
          <cell r="B82">
            <v>4013</v>
          </cell>
          <cell r="C82" t="str">
            <v>DE.1.0.7.0</v>
          </cell>
          <cell r="D82" t="str">
            <v>204:232973</v>
          </cell>
          <cell r="E82">
            <v>42596.544016203705</v>
          </cell>
          <cell r="F82">
            <v>42596.544965277775</v>
          </cell>
          <cell r="G82">
            <v>1</v>
          </cell>
          <cell r="H82" t="str">
            <v>204:141</v>
          </cell>
          <cell r="I82">
            <v>42596.578738425924</v>
          </cell>
          <cell r="J82">
            <v>0</v>
          </cell>
          <cell r="K82" t="str">
            <v>4013/4014</v>
          </cell>
          <cell r="L82" t="str">
            <v>MAYBERRY</v>
          </cell>
          <cell r="M82">
            <v>3.3773148148611654E-2</v>
          </cell>
          <cell r="N82">
            <v>48.633333334000781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https://search-rtdc-monitor-bjffxe2xuh6vdkpspy63sjmuny.us-east-1.es.amazonaws.com/_plugin/kibana/#/discover/Steve-Slow-Train-Analysis-(2080s-and-2083s)?_g=(refreshInterval:(display:Off,section:0,value:0),time:(from:'2016-08-14 12:03:23-0600',mode:absolute,to:'2016-08-14 14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N</v>
          </cell>
          <cell r="X82">
            <v>1</v>
          </cell>
          <cell r="Y82">
            <v>23.2973</v>
          </cell>
          <cell r="Z82">
            <v>1.41E-2</v>
          </cell>
          <cell r="AA82">
            <v>23.283200000000001</v>
          </cell>
          <cell r="AB82" t="e">
            <v>#N/A</v>
          </cell>
          <cell r="AC82" t="e">
            <v>#N/A</v>
          </cell>
          <cell r="AD82" t="str">
            <v>0170-14</v>
          </cell>
          <cell r="AE82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83">
          <cell r="A83" t="str">
            <v>171-14</v>
          </cell>
          <cell r="B83">
            <v>4029</v>
          </cell>
          <cell r="C83" t="str">
            <v>DE.1.0.7.0</v>
          </cell>
          <cell r="D83" t="str">
            <v>204:460</v>
          </cell>
          <cell r="E83">
            <v>42596.517638888887</v>
          </cell>
          <cell r="F83">
            <v>42596.518611111111</v>
          </cell>
          <cell r="G83">
            <v>1</v>
          </cell>
          <cell r="H83" t="str">
            <v>204:233368</v>
          </cell>
          <cell r="I83">
            <v>42596.548738425925</v>
          </cell>
          <cell r="J83">
            <v>0</v>
          </cell>
          <cell r="K83" t="str">
            <v>4029/4030</v>
          </cell>
          <cell r="L83" t="str">
            <v>SHOOK</v>
          </cell>
          <cell r="M83">
            <v>3.0127314814308193E-2</v>
          </cell>
          <cell r="N83">
            <v>43.383333332603797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https://search-rtdc-monitor-bjffxe2xuh6vdkpspy63sjmuny.us-east-1.es.amazonaws.com/_plugin/kibana/#/discover/Steve-Slow-Train-Analysis-(2080s-and-2083s)?_g=(refreshInterval:(display:Off,section:0,value:0),time:(from:'2016-08-14 11:25:24-0600',mode:absolute,to:'2016-08-14 14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3" t="str">
            <v>N</v>
          </cell>
          <cell r="X83">
            <v>1</v>
          </cell>
          <cell r="Y83">
            <v>4.5999999999999999E-2</v>
          </cell>
          <cell r="Z83">
            <v>23.3368</v>
          </cell>
          <cell r="AA83">
            <v>23.290800000000001</v>
          </cell>
          <cell r="AB83" t="e">
            <v>#N/A</v>
          </cell>
          <cell r="AC83" t="e">
            <v>#N/A</v>
          </cell>
          <cell r="AD83" t="str">
            <v>0171-14</v>
          </cell>
          <cell r="AE83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84">
          <cell r="A84" t="str">
            <v>172-14</v>
          </cell>
          <cell r="B84">
            <v>4030</v>
          </cell>
          <cell r="C84" t="str">
            <v>DE.1.0.7.0</v>
          </cell>
          <cell r="D84" t="str">
            <v>204:233064</v>
          </cell>
          <cell r="E84">
            <v>42596.555324074077</v>
          </cell>
          <cell r="F84">
            <v>42596.556458333333</v>
          </cell>
          <cell r="G84">
            <v>1</v>
          </cell>
          <cell r="H84" t="str">
            <v>204:143</v>
          </cell>
          <cell r="I84">
            <v>42596.588946759257</v>
          </cell>
          <cell r="J84">
            <v>0</v>
          </cell>
          <cell r="K84" t="str">
            <v>4029/4030</v>
          </cell>
          <cell r="L84" t="str">
            <v>SHOOK</v>
          </cell>
          <cell r="M84">
            <v>3.2488425924384501E-2</v>
          </cell>
          <cell r="N84">
            <v>46.783333331113681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https://search-rtdc-monitor-bjffxe2xuh6vdkpspy63sjmuny.us-east-1.es.amazonaws.com/_plugin/kibana/#/discover/Steve-Slow-Train-Analysis-(2080s-and-2083s)?_g=(refreshInterval:(display:Off,section:0,value:0),time:(from:'2016-08-14 12:19:40-0600',mode:absolute,to:'2016-08-14 15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4" t="str">
            <v>N</v>
          </cell>
          <cell r="X84">
            <v>1</v>
          </cell>
          <cell r="Y84">
            <v>23.3064</v>
          </cell>
          <cell r="Z84">
            <v>1.43E-2</v>
          </cell>
          <cell r="AA84">
            <v>23.292100000000001</v>
          </cell>
          <cell r="AB84" t="e">
            <v>#N/A</v>
          </cell>
          <cell r="AC84" t="e">
            <v>#N/A</v>
          </cell>
          <cell r="AD84" t="str">
            <v>0172-14</v>
          </cell>
          <cell r="AE84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85">
          <cell r="A85" t="str">
            <v>173-14</v>
          </cell>
          <cell r="B85">
            <v>4016</v>
          </cell>
          <cell r="C85" t="str">
            <v>DE.1.0.7.0</v>
          </cell>
          <cell r="D85" t="str">
            <v>204:455</v>
          </cell>
          <cell r="E85">
            <v>42596.530532407407</v>
          </cell>
          <cell r="F85">
            <v>42596.531539351854</v>
          </cell>
          <cell r="G85">
            <v>1</v>
          </cell>
          <cell r="H85" t="str">
            <v>204:233314</v>
          </cell>
          <cell r="I85">
            <v>42596.559259259258</v>
          </cell>
          <cell r="J85">
            <v>0</v>
          </cell>
          <cell r="K85" t="str">
            <v>4015/4016</v>
          </cell>
          <cell r="L85" t="str">
            <v>STEWART</v>
          </cell>
          <cell r="M85">
            <v>2.7719907404389232E-2</v>
          </cell>
          <cell r="N85">
            <v>39.916666662320495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https://search-rtdc-monitor-bjffxe2xuh6vdkpspy63sjmuny.us-east-1.es.amazonaws.com/_plugin/kibana/#/discover/Steve-Slow-Train-Analysis-(2080s-and-2083s)?_g=(refreshInterval:(display:Off,section:0,value:0),time:(from:'2016-08-14 11:43:58-0600',mode:absolute,to:'2016-08-14 14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5" t="str">
            <v>N</v>
          </cell>
          <cell r="X85">
            <v>1</v>
          </cell>
          <cell r="Y85">
            <v>4.5499999999999999E-2</v>
          </cell>
          <cell r="Z85">
            <v>23.331399999999999</v>
          </cell>
          <cell r="AA85">
            <v>23.285899999999998</v>
          </cell>
          <cell r="AB85" t="e">
            <v>#N/A</v>
          </cell>
          <cell r="AC85" t="e">
            <v>#N/A</v>
          </cell>
          <cell r="AD85" t="str">
            <v>0173-14</v>
          </cell>
          <cell r="AE85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86">
          <cell r="A86" t="str">
            <v>174-14</v>
          </cell>
          <cell r="B86">
            <v>4015</v>
          </cell>
          <cell r="C86" t="str">
            <v>DE.1.0.7.0</v>
          </cell>
          <cell r="D86" t="str">
            <v>204:233001</v>
          </cell>
          <cell r="E86">
            <v>42596.568969907406</v>
          </cell>
          <cell r="F86">
            <v>42596.569791666669</v>
          </cell>
          <cell r="G86">
            <v>1</v>
          </cell>
          <cell r="H86" t="str">
            <v>204:156</v>
          </cell>
          <cell r="I86">
            <v>42596.598391203705</v>
          </cell>
          <cell r="J86">
            <v>0</v>
          </cell>
          <cell r="K86" t="str">
            <v>4015/4016</v>
          </cell>
          <cell r="L86" t="str">
            <v>STEWART</v>
          </cell>
          <cell r="M86">
            <v>2.8599537035916001E-2</v>
          </cell>
          <cell r="N86">
            <v>41.183333331719041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https://search-rtdc-monitor-bjffxe2xuh6vdkpspy63sjmuny.us-east-1.es.amazonaws.com/_plugin/kibana/#/discover/Steve-Slow-Train-Analysis-(2080s-and-2083s)?_g=(refreshInterval:(display:Off,section:0,value:0),time:(from:'2016-08-14 12:39:19-0600',mode:absolute,to:'2016-08-14 15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6" t="str">
            <v>N</v>
          </cell>
          <cell r="X86">
            <v>1</v>
          </cell>
          <cell r="Y86">
            <v>23.3001</v>
          </cell>
          <cell r="Z86">
            <v>1.5599999999999999E-2</v>
          </cell>
          <cell r="AA86">
            <v>23.284500000000001</v>
          </cell>
          <cell r="AB86" t="e">
            <v>#N/A</v>
          </cell>
          <cell r="AC86" t="e">
            <v>#N/A</v>
          </cell>
          <cell r="AD86" t="str">
            <v>0174-14</v>
          </cell>
          <cell r="AE86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87">
          <cell r="A87" t="str">
            <v>175-14</v>
          </cell>
          <cell r="B87">
            <v>4011</v>
          </cell>
          <cell r="C87" t="str">
            <v>DE.1.0.7.0</v>
          </cell>
          <cell r="D87" t="str">
            <v>204:477</v>
          </cell>
          <cell r="E87">
            <v>42596.539444444446</v>
          </cell>
          <cell r="F87">
            <v>42596.540416666663</v>
          </cell>
          <cell r="G87">
            <v>1</v>
          </cell>
          <cell r="H87" t="str">
            <v>204:233293</v>
          </cell>
          <cell r="I87">
            <v>42596.570914351854</v>
          </cell>
          <cell r="J87">
            <v>0</v>
          </cell>
          <cell r="K87" t="str">
            <v>4011/4012</v>
          </cell>
          <cell r="L87" t="str">
            <v>BARTLETT</v>
          </cell>
          <cell r="M87">
            <v>3.0497685191221535E-2</v>
          </cell>
          <cell r="N87">
            <v>43.916666675359011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https://search-rtdc-monitor-bjffxe2xuh6vdkpspy63sjmuny.us-east-1.es.amazonaws.com/_plugin/kibana/#/discover/Steve-Slow-Train-Analysis-(2080s-and-2083s)?_g=(refreshInterval:(display:Off,section:0,value:0),time:(from:'2016-08-14 11:56:48-0600',mode:absolute,to:'2016-08-14 14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7" t="str">
            <v>N</v>
          </cell>
          <cell r="X87">
            <v>1</v>
          </cell>
          <cell r="Y87">
            <v>4.7699999999999999E-2</v>
          </cell>
          <cell r="Z87">
            <v>23.3293</v>
          </cell>
          <cell r="AA87">
            <v>23.281600000000001</v>
          </cell>
          <cell r="AB87" t="e">
            <v>#N/A</v>
          </cell>
          <cell r="AC87" t="e">
            <v>#N/A</v>
          </cell>
          <cell r="AD87" t="str">
            <v>0175-14</v>
          </cell>
          <cell r="AE8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88">
          <cell r="A88" t="str">
            <v>176-14</v>
          </cell>
          <cell r="B88">
            <v>4012</v>
          </cell>
          <cell r="C88" t="str">
            <v>DE.1.0.7.0</v>
          </cell>
          <cell r="D88" t="str">
            <v>204:232979</v>
          </cell>
          <cell r="E88">
            <v>42596.574652777781</v>
          </cell>
          <cell r="F88">
            <v>42596.575497685182</v>
          </cell>
          <cell r="G88">
            <v>1</v>
          </cell>
          <cell r="H88" t="str">
            <v>204:156</v>
          </cell>
          <cell r="I88">
            <v>42596.610543981478</v>
          </cell>
          <cell r="J88">
            <v>0</v>
          </cell>
          <cell r="K88" t="str">
            <v>4011/4012</v>
          </cell>
          <cell r="L88" t="str">
            <v>BARTLETT</v>
          </cell>
          <cell r="M88">
            <v>3.5046296296059154E-2</v>
          </cell>
          <cell r="N88">
            <v>50.466666666325182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https://search-rtdc-monitor-bjffxe2xuh6vdkpspy63sjmuny.us-east-1.es.amazonaws.com/_plugin/kibana/#/discover/Steve-Slow-Train-Analysis-(2080s-and-2083s)?_g=(refreshInterval:(display:Off,section:0,value:0),time:(from:'2016-08-14 12:47:30-0600',mode:absolute,to:'2016-08-14 15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8" t="str">
            <v>N</v>
          </cell>
          <cell r="X88">
            <v>1</v>
          </cell>
          <cell r="Y88">
            <v>23.297899999999998</v>
          </cell>
          <cell r="Z88">
            <v>1.5599999999999999E-2</v>
          </cell>
          <cell r="AA88">
            <v>23.282299999999999</v>
          </cell>
          <cell r="AB88" t="e">
            <v>#N/A</v>
          </cell>
          <cell r="AC88" t="e">
            <v>#N/A</v>
          </cell>
          <cell r="AD88" t="str">
            <v>0176-14</v>
          </cell>
          <cell r="AE88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89">
          <cell r="A89" t="str">
            <v>177-14</v>
          </cell>
          <cell r="B89">
            <v>4025</v>
          </cell>
          <cell r="C89" t="str">
            <v>DE.1.0.7.0</v>
          </cell>
          <cell r="D89" t="str">
            <v>204:442</v>
          </cell>
          <cell r="E89">
            <v>42596.549432870372</v>
          </cell>
          <cell r="F89">
            <v>42596.551168981481</v>
          </cell>
          <cell r="G89">
            <v>2</v>
          </cell>
          <cell r="H89" t="str">
            <v>204:233309</v>
          </cell>
          <cell r="I89">
            <v>42596.577615740738</v>
          </cell>
          <cell r="J89">
            <v>0</v>
          </cell>
          <cell r="K89" t="str">
            <v>4025/4026</v>
          </cell>
          <cell r="L89" t="str">
            <v>BRUDER</v>
          </cell>
          <cell r="M89">
            <v>2.6446759256941732E-2</v>
          </cell>
          <cell r="N89">
            <v>38.083333329996094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https://search-rtdc-monitor-bjffxe2xuh6vdkpspy63sjmuny.us-east-1.es.amazonaws.com/_plugin/kibana/#/discover/Steve-Slow-Train-Analysis-(2080s-and-2083s)?_g=(refreshInterval:(display:Off,section:0,value:0),time:(from:'2016-08-14 12:11:11-0600',mode:absolute,to:'2016-08-14 14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9" t="str">
            <v>N</v>
          </cell>
          <cell r="X89">
            <v>1</v>
          </cell>
          <cell r="Y89">
            <v>4.4200000000000003E-2</v>
          </cell>
          <cell r="Z89">
            <v>23.3309</v>
          </cell>
          <cell r="AA89">
            <v>23.2867</v>
          </cell>
          <cell r="AB89" t="e">
            <v>#N/A</v>
          </cell>
          <cell r="AC89" t="e">
            <v>#N/A</v>
          </cell>
          <cell r="AD89" t="str">
            <v>0177-14</v>
          </cell>
          <cell r="AE89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90">
          <cell r="A90" t="str">
            <v>178-14</v>
          </cell>
          <cell r="B90">
            <v>4026</v>
          </cell>
          <cell r="C90" t="str">
            <v>DE.1.0.7.0</v>
          </cell>
          <cell r="D90" t="str">
            <v>204:232980</v>
          </cell>
          <cell r="E90">
            <v>42596.585243055553</v>
          </cell>
          <cell r="F90">
            <v>42596.586458333331</v>
          </cell>
          <cell r="G90">
            <v>1</v>
          </cell>
          <cell r="H90" t="str">
            <v>204:154</v>
          </cell>
          <cell r="I90">
            <v>42596.617939814816</v>
          </cell>
          <cell r="J90">
            <v>0</v>
          </cell>
          <cell r="K90" t="str">
            <v>4025/4026</v>
          </cell>
          <cell r="L90" t="str">
            <v>BRUDER</v>
          </cell>
          <cell r="M90">
            <v>3.1481481484661344E-2</v>
          </cell>
          <cell r="N90">
            <v>45.333333337912336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https://search-rtdc-monitor-bjffxe2xuh6vdkpspy63sjmuny.us-east-1.es.amazonaws.com/_plugin/kibana/#/discover/Steve-Slow-Train-Analysis-(2080s-and-2083s)?_g=(refreshInterval:(display:Off,section:0,value:0),time:(from:'2016-08-14 13:02:45-0600',mode:absolute,to:'2016-08-14 15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0" t="str">
            <v>N</v>
          </cell>
          <cell r="X90">
            <v>1</v>
          </cell>
          <cell r="Y90">
            <v>23.297999999999998</v>
          </cell>
          <cell r="Z90">
            <v>1.54E-2</v>
          </cell>
          <cell r="AA90">
            <v>23.282599999999999</v>
          </cell>
          <cell r="AB90" t="e">
            <v>#N/A</v>
          </cell>
          <cell r="AC90" t="e">
            <v>#N/A</v>
          </cell>
          <cell r="AD90" t="str">
            <v>0178-14</v>
          </cell>
          <cell r="AE90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91">
          <cell r="A91" t="str">
            <v>179-14</v>
          </cell>
          <cell r="B91">
            <v>4027</v>
          </cell>
          <cell r="C91" t="str">
            <v>DE.1.0.7.0</v>
          </cell>
          <cell r="D91" t="str">
            <v>204:449</v>
          </cell>
          <cell r="E91">
            <v>42596.560682870368</v>
          </cell>
          <cell r="F91">
            <v>42596.561944444446</v>
          </cell>
          <cell r="G91">
            <v>1</v>
          </cell>
          <cell r="H91" t="str">
            <v>204:233327</v>
          </cell>
          <cell r="I91">
            <v>42596.590949074074</v>
          </cell>
          <cell r="J91">
            <v>0</v>
          </cell>
          <cell r="K91" t="str">
            <v>4027/4028</v>
          </cell>
          <cell r="L91" t="str">
            <v>MOSES</v>
          </cell>
          <cell r="M91">
            <v>2.9004629628616385E-2</v>
          </cell>
          <cell r="N91">
            <v>41.766666665207595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4.4900000000000002E-2</v>
          </cell>
          <cell r="Z91">
            <v>23.332699999999999</v>
          </cell>
          <cell r="AA91">
            <v>23.287800000000001</v>
          </cell>
          <cell r="AB91">
            <v>183829</v>
          </cell>
          <cell r="AC91" t="str">
            <v>PERMANENT SPEED RESTRICTION</v>
          </cell>
          <cell r="AD91" t="str">
            <v>0179-14</v>
          </cell>
          <cell r="AE91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92">
          <cell r="A92" t="str">
            <v>180-14</v>
          </cell>
          <cell r="B92">
            <v>4028</v>
          </cell>
          <cell r="C92" t="str">
            <v>DE.1.0.7.0</v>
          </cell>
          <cell r="D92" t="str">
            <v>204:233011</v>
          </cell>
          <cell r="E92">
            <v>42596.599027777775</v>
          </cell>
          <cell r="F92">
            <v>42596.600046296298</v>
          </cell>
          <cell r="G92">
            <v>1</v>
          </cell>
          <cell r="H92" t="str">
            <v>204:160</v>
          </cell>
          <cell r="I92">
            <v>42596.629791666666</v>
          </cell>
          <cell r="J92">
            <v>0</v>
          </cell>
          <cell r="K92" t="str">
            <v>4027/4028</v>
          </cell>
          <cell r="L92" t="str">
            <v>MOSES</v>
          </cell>
          <cell r="M92">
            <v>2.9745370367891155E-2</v>
          </cell>
          <cell r="N92">
            <v>42.833333329763263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https://search-rtdc-monitor-bjffxe2xuh6vdkpspy63sjmuny.us-east-1.es.amazonaws.com/_plugin/kibana/#/discover/Steve-Slow-Train-Analysis-(2080s-and-2083s)?_g=(refreshInterval:(display:Off,section:0,value:0),time:(from:'2016-08-14 13:22:36-0600',mode:absolute,to:'2016-08-14 16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23.301100000000002</v>
          </cell>
          <cell r="Z92">
            <v>1.6E-2</v>
          </cell>
          <cell r="AA92">
            <v>23.285100000000003</v>
          </cell>
          <cell r="AB92" t="e">
            <v>#N/A</v>
          </cell>
          <cell r="AC92" t="e">
            <v>#N/A</v>
          </cell>
          <cell r="AD92" t="str">
            <v>0180-14</v>
          </cell>
          <cell r="AE92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93">
          <cell r="A93" t="str">
            <v>181-14</v>
          </cell>
          <cell r="B93">
            <v>4038</v>
          </cell>
          <cell r="C93" t="str">
            <v>DE.1.0.7.0</v>
          </cell>
          <cell r="D93" t="str">
            <v>204:520</v>
          </cell>
          <cell r="E93">
            <v>42596.570451388892</v>
          </cell>
          <cell r="F93">
            <v>42596.571759259263</v>
          </cell>
          <cell r="G93">
            <v>1</v>
          </cell>
          <cell r="H93" t="str">
            <v>204:233309</v>
          </cell>
          <cell r="I93">
            <v>42596.599166666667</v>
          </cell>
          <cell r="J93">
            <v>0</v>
          </cell>
          <cell r="K93" t="str">
            <v>4037/4038</v>
          </cell>
          <cell r="L93" t="str">
            <v>YOUNG</v>
          </cell>
          <cell r="M93">
            <v>2.7407407404098194E-2</v>
          </cell>
          <cell r="N93">
            <v>39.466666661901399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https://search-rtdc-monitor-bjffxe2xuh6vdkpspy63sjmuny.us-east-1.es.amazonaws.com/_plugin/kibana/#/discover/Steve-Slow-Train-Analysis-(2080s-and-2083s)?_g=(refreshInterval:(display:Off,section:0,value:0),time:(from:'2016-08-14 12:41:27-0600',mode:absolute,to:'2016-08-14 15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5.1999999999999998E-2</v>
          </cell>
          <cell r="Z93">
            <v>23.3309</v>
          </cell>
          <cell r="AA93">
            <v>23.2789</v>
          </cell>
          <cell r="AB93" t="e">
            <v>#N/A</v>
          </cell>
          <cell r="AC93" t="e">
            <v>#N/A</v>
          </cell>
          <cell r="AD93" t="str">
            <v>0181-14</v>
          </cell>
          <cell r="AE9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94">
          <cell r="A94" t="str">
            <v>182-14</v>
          </cell>
          <cell r="B94">
            <v>4037</v>
          </cell>
          <cell r="C94" t="str">
            <v>DE.1.0.7.0</v>
          </cell>
          <cell r="D94" t="str">
            <v>204:233009</v>
          </cell>
          <cell r="E94">
            <v>42596.606666666667</v>
          </cell>
          <cell r="F94">
            <v>42596.607974537037</v>
          </cell>
          <cell r="G94">
            <v>1</v>
          </cell>
          <cell r="H94" t="str">
            <v>204:180</v>
          </cell>
          <cell r="I94">
            <v>42596.641226851854</v>
          </cell>
          <cell r="J94">
            <v>0</v>
          </cell>
          <cell r="K94" t="str">
            <v>4037/4038</v>
          </cell>
          <cell r="L94" t="str">
            <v>YOUNG</v>
          </cell>
          <cell r="M94">
            <v>3.3252314817218576E-2</v>
          </cell>
          <cell r="N94">
            <v>47.883333336794749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https://search-rtdc-monitor-bjffxe2xuh6vdkpspy63sjmuny.us-east-1.es.amazonaws.com/_plugin/kibana/#/discover/Steve-Slow-Train-Analysis-(2080s-and-2083s)?_g=(refreshInterval:(display:Off,section:0,value:0),time:(from:'2016-08-14 13:33:36-0600',mode:absolute,to:'2016-08-14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23.300899999999999</v>
          </cell>
          <cell r="Z94">
            <v>1.7999999999999999E-2</v>
          </cell>
          <cell r="AA94">
            <v>23.282899999999998</v>
          </cell>
          <cell r="AB94" t="e">
            <v>#N/A</v>
          </cell>
          <cell r="AC94" t="e">
            <v>#N/A</v>
          </cell>
          <cell r="AD94" t="str">
            <v>0182-14</v>
          </cell>
          <cell r="AE9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95">
          <cell r="A95" t="str">
            <v>183-14</v>
          </cell>
          <cell r="B95">
            <v>4014</v>
          </cell>
          <cell r="C95" t="str">
            <v>DE.1.0.7.0</v>
          </cell>
          <cell r="D95" t="str">
            <v>204:462</v>
          </cell>
          <cell r="E95">
            <v>42596.580520833333</v>
          </cell>
          <cell r="F95">
            <v>42596.58253472222</v>
          </cell>
          <cell r="G95">
            <v>2</v>
          </cell>
          <cell r="H95" t="str">
            <v>204:233300</v>
          </cell>
          <cell r="I95">
            <v>42596.610300925924</v>
          </cell>
          <cell r="J95">
            <v>0</v>
          </cell>
          <cell r="K95" t="str">
            <v>4013/4014</v>
          </cell>
          <cell r="L95" t="str">
            <v>MAYBERRY</v>
          </cell>
          <cell r="M95">
            <v>2.7766203704231884E-2</v>
          </cell>
          <cell r="N95">
            <v>39.983333334093913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https://search-rtdc-monitor-bjffxe2xuh6vdkpspy63sjmuny.us-east-1.es.amazonaws.com/_plugin/kibana/#/discover/Steve-Slow-Train-Analysis-(2080s-and-2083s)?_g=(refreshInterval:(display:Off,section:0,value:0),time:(from:'2016-08-14 12:55:57-0600',mode:absolute,to:'2016-08-14 15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4.6199999999999998E-2</v>
          </cell>
          <cell r="Z95">
            <v>23.33</v>
          </cell>
          <cell r="AA95">
            <v>23.283799999999999</v>
          </cell>
          <cell r="AB95">
            <v>230436</v>
          </cell>
          <cell r="AC95" t="str">
            <v>PERMANENT SPEED RESTRICTION</v>
          </cell>
          <cell r="AD95" t="str">
            <v>0183-14</v>
          </cell>
          <cell r="AE95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96">
          <cell r="A96" t="str">
            <v>184-14</v>
          </cell>
          <cell r="B96">
            <v>4013</v>
          </cell>
          <cell r="C96" t="str">
            <v>DE.1.0.7.0</v>
          </cell>
          <cell r="D96" t="str">
            <v>204:232981</v>
          </cell>
          <cell r="E96">
            <v>42596.614895833336</v>
          </cell>
          <cell r="F96">
            <v>42596.616087962961</v>
          </cell>
          <cell r="G96">
            <v>1</v>
          </cell>
          <cell r="H96" t="str">
            <v>204:149</v>
          </cell>
          <cell r="I96">
            <v>42596.648842592593</v>
          </cell>
          <cell r="J96">
            <v>0</v>
          </cell>
          <cell r="K96" t="str">
            <v>4013/4014</v>
          </cell>
          <cell r="L96" t="str">
            <v>MAYBERRY</v>
          </cell>
          <cell r="M96">
            <v>3.2754629632108845E-2</v>
          </cell>
          <cell r="N96">
            <v>47.166666670236737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https://search-rtdc-monitor-bjffxe2xuh6vdkpspy63sjmuny.us-east-1.es.amazonaws.com/_plugin/kibana/#/discover/Steve-Slow-Train-Analysis-(2080s-and-2083s)?_g=(refreshInterval:(display:Off,section:0,value:0),time:(from:'2016-08-14 13:45:27-0600',mode:absolute,to:'2016-08-14 16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6" t="str">
            <v>N</v>
          </cell>
          <cell r="X96">
            <v>1</v>
          </cell>
          <cell r="Y96">
            <v>23.298100000000002</v>
          </cell>
          <cell r="Z96">
            <v>1.49E-2</v>
          </cell>
          <cell r="AA96">
            <v>23.283200000000001</v>
          </cell>
          <cell r="AB96" t="e">
            <v>#N/A</v>
          </cell>
          <cell r="AC96" t="e">
            <v>#N/A</v>
          </cell>
          <cell r="AD96" t="str">
            <v>0184-14</v>
          </cell>
          <cell r="AE96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97">
          <cell r="A97" t="str">
            <v>185-14</v>
          </cell>
          <cell r="B97">
            <v>4029</v>
          </cell>
          <cell r="C97" t="str">
            <v>DE.1.0.7.0</v>
          </cell>
          <cell r="D97" t="str">
            <v>204:427</v>
          </cell>
          <cell r="E97">
            <v>42596.59003472222</v>
          </cell>
          <cell r="F97">
            <v>42596.591284722221</v>
          </cell>
          <cell r="G97">
            <v>1</v>
          </cell>
          <cell r="H97" t="str">
            <v>204:233435</v>
          </cell>
          <cell r="I97">
            <v>42596.619479166664</v>
          </cell>
          <cell r="J97">
            <v>0</v>
          </cell>
          <cell r="K97" t="str">
            <v>4029/4030</v>
          </cell>
          <cell r="L97" t="str">
            <v>SHOOK</v>
          </cell>
          <cell r="M97">
            <v>2.8194444443215616E-2</v>
          </cell>
          <cell r="N97">
            <v>40.599999998230487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https://search-rtdc-monitor-bjffxe2xuh6vdkpspy63sjmuny.us-east-1.es.amazonaws.com/_plugin/kibana/#/discover/Steve-Slow-Train-Analysis-(2080s-and-2083s)?_g=(refreshInterval:(display:Off,section:0,value:0),time:(from:'2016-08-14 13:09:39-0600',mode:absolute,to:'2016-08-14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7" t="str">
            <v>N</v>
          </cell>
          <cell r="X97">
            <v>1</v>
          </cell>
          <cell r="Y97">
            <v>4.2700000000000002E-2</v>
          </cell>
          <cell r="Z97">
            <v>23.343499999999999</v>
          </cell>
          <cell r="AA97">
            <v>23.300799999999999</v>
          </cell>
          <cell r="AB97" t="e">
            <v>#N/A</v>
          </cell>
          <cell r="AC97" t="e">
            <v>#N/A</v>
          </cell>
          <cell r="AD97" t="str">
            <v>0185-14</v>
          </cell>
          <cell r="AE97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98">
          <cell r="A98" t="str">
            <v>186-14</v>
          </cell>
          <cell r="B98">
            <v>4030</v>
          </cell>
          <cell r="C98" t="str">
            <v>DE.1.0.7.0</v>
          </cell>
          <cell r="D98" t="str">
            <v>204:233030</v>
          </cell>
          <cell r="E98">
            <v>42596.626666666663</v>
          </cell>
          <cell r="F98">
            <v>42596.627650462964</v>
          </cell>
          <cell r="G98">
            <v>1</v>
          </cell>
          <cell r="H98" t="str">
            <v>204:141</v>
          </cell>
          <cell r="I98">
            <v>42596.659189814818</v>
          </cell>
          <cell r="J98">
            <v>0</v>
          </cell>
          <cell r="K98" t="str">
            <v>4029/4030</v>
          </cell>
          <cell r="L98" t="str">
            <v>SHOOK</v>
          </cell>
          <cell r="M98">
            <v>3.1539351854007691E-2</v>
          </cell>
          <cell r="N98">
            <v>45.416666669771075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https://search-rtdc-monitor-bjffxe2xuh6vdkpspy63sjmuny.us-east-1.es.amazonaws.com/_plugin/kibana/#/discover/Steve-Slow-Train-Analysis-(2080s-and-2083s)?_g=(refreshInterval:(display:Off,section:0,value:0),time:(from:'2016-08-14 14:02:24-0600',mode:absolute,to:'2016-08-14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8" t="str">
            <v>N</v>
          </cell>
          <cell r="X98">
            <v>1</v>
          </cell>
          <cell r="Y98">
            <v>23.303000000000001</v>
          </cell>
          <cell r="Z98">
            <v>1.41E-2</v>
          </cell>
          <cell r="AA98">
            <v>23.288900000000002</v>
          </cell>
          <cell r="AB98" t="e">
            <v>#N/A</v>
          </cell>
          <cell r="AC98" t="e">
            <v>#N/A</v>
          </cell>
          <cell r="AD98" t="str">
            <v>0186-14</v>
          </cell>
          <cell r="AE98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99">
          <cell r="A99" t="str">
            <v>187-14</v>
          </cell>
          <cell r="B99">
            <v>4016</v>
          </cell>
          <cell r="C99" t="str">
            <v>DE.1.0.7.0</v>
          </cell>
          <cell r="D99" t="str">
            <v>204:466</v>
          </cell>
          <cell r="E99">
            <v>42596.601030092592</v>
          </cell>
          <cell r="F99">
            <v>42596.601967592593</v>
          </cell>
          <cell r="G99">
            <v>1</v>
          </cell>
          <cell r="H99" t="str">
            <v>204:233323</v>
          </cell>
          <cell r="I99">
            <v>42596.629976851851</v>
          </cell>
          <cell r="J99">
            <v>0</v>
          </cell>
          <cell r="K99" t="str">
            <v>4015/4016</v>
          </cell>
          <cell r="L99" t="str">
            <v>STEWART</v>
          </cell>
          <cell r="M99">
            <v>2.8009259258396924E-2</v>
          </cell>
          <cell r="N99">
            <v>40.33333333209157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https://search-rtdc-monitor-bjffxe2xuh6vdkpspy63sjmuny.us-east-1.es.amazonaws.com/_plugin/kibana/#/discover/Steve-Slow-Train-Analysis-(2080s-and-2083s)?_g=(refreshInterval:(display:Off,section:0,value:0),time:(from:'2016-08-14 13:25:29-0600',mode:absolute,to:'2016-08-14 16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23.3323</v>
          </cell>
          <cell r="AA99">
            <v>23.285699999999999</v>
          </cell>
          <cell r="AB99" t="e">
            <v>#N/A</v>
          </cell>
          <cell r="AC99" t="e">
            <v>#N/A</v>
          </cell>
          <cell r="AD99" t="str">
            <v>0187-14</v>
          </cell>
          <cell r="AE99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00">
          <cell r="A100" t="str">
            <v>188-14</v>
          </cell>
          <cell r="B100">
            <v>4015</v>
          </cell>
          <cell r="C100" t="str">
            <v>DE.1.0.7.0</v>
          </cell>
          <cell r="D100" t="str">
            <v>204:233006</v>
          </cell>
          <cell r="E100">
            <v>42596.641539351855</v>
          </cell>
          <cell r="F100">
            <v>42596.642476851855</v>
          </cell>
          <cell r="G100">
            <v>1</v>
          </cell>
          <cell r="H100" t="str">
            <v>204:156</v>
          </cell>
          <cell r="I100">
            <v>42596.673981481479</v>
          </cell>
          <cell r="J100">
            <v>0</v>
          </cell>
          <cell r="K100" t="str">
            <v>4015/4016</v>
          </cell>
          <cell r="L100" t="str">
            <v>STEWART</v>
          </cell>
          <cell r="M100">
            <v>3.1504629623668734E-2</v>
          </cell>
          <cell r="N100">
            <v>45.366666658082977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https://search-rtdc-monitor-bjffxe2xuh6vdkpspy63sjmuny.us-east-1.es.amazonaws.com/_plugin/kibana/#/discover/Steve-Slow-Train-Analysis-(2080s-and-2083s)?_g=(refreshInterval:(display:Off,section:0,value:0),time:(from:'2016-08-14 14:23:49-0600',mode:absolute,to:'2016-08-14 17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0" t="str">
            <v>N</v>
          </cell>
          <cell r="X100">
            <v>1</v>
          </cell>
          <cell r="Y100">
            <v>23.300599999999999</v>
          </cell>
          <cell r="Z100">
            <v>1.5599999999999999E-2</v>
          </cell>
          <cell r="AA100">
            <v>23.285</v>
          </cell>
          <cell r="AB100" t="e">
            <v>#N/A</v>
          </cell>
          <cell r="AC100" t="e">
            <v>#N/A</v>
          </cell>
          <cell r="AD100" t="str">
            <v>0188-14</v>
          </cell>
          <cell r="AE100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01">
          <cell r="A101" t="str">
            <v>189-14</v>
          </cell>
          <cell r="B101">
            <v>4011</v>
          </cell>
          <cell r="C101" t="str">
            <v>DE.1.0.7.0</v>
          </cell>
          <cell r="D101" t="str">
            <v>204:473</v>
          </cell>
          <cell r="E101">
            <v>42596.611851851849</v>
          </cell>
          <cell r="F101">
            <v>42596.612847222219</v>
          </cell>
          <cell r="G101">
            <v>1</v>
          </cell>
          <cell r="H101" t="str">
            <v>204:233314</v>
          </cell>
          <cell r="I101">
            <v>42596.6405787037</v>
          </cell>
          <cell r="J101">
            <v>0</v>
          </cell>
          <cell r="K101" t="str">
            <v>4011/4012</v>
          </cell>
          <cell r="L101" t="str">
            <v>BARTLETT</v>
          </cell>
          <cell r="M101">
            <v>2.7731481481168885E-2</v>
          </cell>
          <cell r="N101">
            <v>39.933333332883194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https://search-rtdc-monitor-bjffxe2xuh6vdkpspy63sjmuny.us-east-1.es.amazonaws.com/_plugin/kibana/#/discover/Steve-Slow-Train-Analysis-(2080s-and-2083s)?_g=(refreshInterval:(display:Off,section:0,value:0),time:(from:'2016-08-14 13:41:04-0600',mode:absolute,to:'2016-08-14 16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4.7300000000000002E-2</v>
          </cell>
          <cell r="Z101">
            <v>23.331399999999999</v>
          </cell>
          <cell r="AA101">
            <v>23.284099999999999</v>
          </cell>
          <cell r="AB101" t="e">
            <v>#N/A</v>
          </cell>
          <cell r="AC101" t="e">
            <v>#N/A</v>
          </cell>
          <cell r="AD101" t="str">
            <v>0189-14</v>
          </cell>
          <cell r="AE101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02">
          <cell r="A102" t="str">
            <v>190-14</v>
          </cell>
          <cell r="B102">
            <v>4012</v>
          </cell>
          <cell r="C102" t="str">
            <v>DE.1.0.7.0</v>
          </cell>
          <cell r="D102" t="str">
            <v>204:232980</v>
          </cell>
          <cell r="E102">
            <v>42596.642905092594</v>
          </cell>
          <cell r="F102">
            <v>42596.643854166665</v>
          </cell>
          <cell r="G102">
            <v>1</v>
          </cell>
          <cell r="H102" t="str">
            <v>204:147</v>
          </cell>
          <cell r="I102">
            <v>42596.692361111112</v>
          </cell>
          <cell r="J102">
            <v>0</v>
          </cell>
          <cell r="K102" t="str">
            <v>4011/4012</v>
          </cell>
          <cell r="L102" t="str">
            <v>BARTLETT</v>
          </cell>
          <cell r="M102">
            <v>4.8506944447581191E-2</v>
          </cell>
          <cell r="N102">
            <v>69.850000004516914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https://search-rtdc-monitor-bjffxe2xuh6vdkpspy63sjmuny.us-east-1.es.amazonaws.com/_plugin/kibana/#/discover/Steve-Slow-Train-Analysis-(2080s-and-2083s)?_g=(refreshInterval:(display:Off,section:0,value:0),time:(from:'2016-08-14 14:25:47-0600',mode:absolute,to:'2016-08-14 17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23.297999999999998</v>
          </cell>
          <cell r="Z102">
            <v>1.47E-2</v>
          </cell>
          <cell r="AA102">
            <v>23.283299999999997</v>
          </cell>
          <cell r="AB102" t="e">
            <v>#N/A</v>
          </cell>
          <cell r="AC102" t="e">
            <v>#N/A</v>
          </cell>
          <cell r="AD102" t="str">
            <v>0190-14</v>
          </cell>
          <cell r="AE102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03">
          <cell r="A103" t="str">
            <v>191-14</v>
          </cell>
          <cell r="B103">
            <v>4025</v>
          </cell>
          <cell r="C103" t="str">
            <v>DE.1.0.7.0</v>
          </cell>
          <cell r="D103" t="str">
            <v>204:471</v>
          </cell>
          <cell r="E103">
            <v>42596.620150462964</v>
          </cell>
          <cell r="F103">
            <v>42596.621516203704</v>
          </cell>
          <cell r="G103">
            <v>1</v>
          </cell>
          <cell r="H103" t="str">
            <v>204:233325</v>
          </cell>
          <cell r="I103">
            <v>42596.650567129633</v>
          </cell>
          <cell r="J103">
            <v>0</v>
          </cell>
          <cell r="K103" t="str">
            <v>4025/4026</v>
          </cell>
          <cell r="L103" t="str">
            <v>BRUDER</v>
          </cell>
          <cell r="M103">
            <v>2.9050925928459037E-2</v>
          </cell>
          <cell r="N103">
            <v>41.833333336981013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https://search-rtdc-monitor-bjffxe2xuh6vdkpspy63sjmuny.us-east-1.es.amazonaws.com/_plugin/kibana/#/discover/Steve-Slow-Train-Analysis-(2080s-and-2083s)?_g=(refreshInterval:(display:Off,section:0,value:0),time:(from:'2016-08-14 13:53:01-0600',mode:absolute,to:'2016-08-14 16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3" t="str">
            <v>N</v>
          </cell>
          <cell r="X103">
            <v>1</v>
          </cell>
          <cell r="Y103">
            <v>4.7100000000000003E-2</v>
          </cell>
          <cell r="Z103">
            <v>23.3325</v>
          </cell>
          <cell r="AA103">
            <v>23.285399999999999</v>
          </cell>
          <cell r="AB103" t="e">
            <v>#N/A</v>
          </cell>
          <cell r="AC103" t="e">
            <v>#N/A</v>
          </cell>
          <cell r="AD103" t="str">
            <v>0191-14</v>
          </cell>
          <cell r="AE103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04">
          <cell r="A104" t="str">
            <v>192-14</v>
          </cell>
          <cell r="B104">
            <v>4026</v>
          </cell>
          <cell r="C104" t="str">
            <v>DE.1.0.7.0</v>
          </cell>
          <cell r="D104" t="str">
            <v>204:232998</v>
          </cell>
          <cell r="E104">
            <v>42596.656608796293</v>
          </cell>
          <cell r="F104">
            <v>42596.657407407409</v>
          </cell>
          <cell r="G104">
            <v>1</v>
          </cell>
          <cell r="H104" t="str">
            <v>204:138</v>
          </cell>
          <cell r="I104">
            <v>42596.69939814815</v>
          </cell>
          <cell r="J104">
            <v>0</v>
          </cell>
          <cell r="K104" t="str">
            <v>4025/4026</v>
          </cell>
          <cell r="L104" t="str">
            <v>BRUDER</v>
          </cell>
          <cell r="M104">
            <v>4.1990740741312038E-2</v>
          </cell>
          <cell r="N104">
            <v>60.466666667489335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https://search-rtdc-monitor-bjffxe2xuh6vdkpspy63sjmuny.us-east-1.es.amazonaws.com/_plugin/kibana/#/discover/Steve-Slow-Train-Analysis-(2080s-and-2083s)?_g=(refreshInterval:(display:Off,section:0,value:0),time:(from:'2016-08-14 14:45:31-0600',mode:absolute,to:'2016-08-14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4" t="str">
            <v>N</v>
          </cell>
          <cell r="X104">
            <v>1</v>
          </cell>
          <cell r="Y104">
            <v>23.299800000000001</v>
          </cell>
          <cell r="Z104">
            <v>1.38E-2</v>
          </cell>
          <cell r="AA104">
            <v>23.286000000000001</v>
          </cell>
          <cell r="AB104" t="e">
            <v>#N/A</v>
          </cell>
          <cell r="AC104" t="e">
            <v>#N/A</v>
          </cell>
          <cell r="AD104" t="str">
            <v>0192-14</v>
          </cell>
          <cell r="AE104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05">
          <cell r="A105" t="str">
            <v>193-14</v>
          </cell>
          <cell r="B105">
            <v>4027</v>
          </cell>
          <cell r="C105" t="str">
            <v>DE.1.0.7.0</v>
          </cell>
          <cell r="D105" t="str">
            <v>204:464</v>
          </cell>
          <cell r="E105">
            <v>42596.632986111108</v>
          </cell>
          <cell r="F105">
            <v>42596.634317129632</v>
          </cell>
          <cell r="G105">
            <v>1</v>
          </cell>
          <cell r="H105" t="str">
            <v>204:169176</v>
          </cell>
          <cell r="I105">
            <v>42596.66133101852</v>
          </cell>
          <cell r="J105">
            <v>0</v>
          </cell>
          <cell r="K105" t="str">
            <v>4027/4028</v>
          </cell>
          <cell r="L105" t="str">
            <v>MOSES</v>
          </cell>
          <cell r="M105">
            <v>2.7013888888177462E-2</v>
          </cell>
          <cell r="P105">
            <v>38.899999998975545</v>
          </cell>
          <cell r="R105" t="str">
            <v>False occupancy at EC1752RH 167-1T 1N and EC1678RH 161-1T 1N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Y</v>
          </cell>
          <cell r="X105">
            <v>1</v>
          </cell>
          <cell r="Y105">
            <v>4.6399999999999997E-2</v>
          </cell>
          <cell r="Z105">
            <v>16.9176</v>
          </cell>
          <cell r="AA105">
            <v>16.871200000000002</v>
          </cell>
          <cell r="AB105" t="e">
            <v>#N/A</v>
          </cell>
          <cell r="AC105" t="e">
            <v>#N/A</v>
          </cell>
          <cell r="AD105" t="str">
            <v>0193-14</v>
          </cell>
          <cell r="AE105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106">
          <cell r="A106" t="str">
            <v>194-14</v>
          </cell>
          <cell r="B106">
            <v>4028</v>
          </cell>
          <cell r="C106" t="str">
            <v>DE.1.0.7.0</v>
          </cell>
          <cell r="D106" t="str">
            <v>204:232978</v>
          </cell>
          <cell r="E106">
            <v>42596.675219907411</v>
          </cell>
          <cell r="F106">
            <v>42596.677187499998</v>
          </cell>
          <cell r="G106">
            <v>2</v>
          </cell>
          <cell r="H106" t="str">
            <v>204:154</v>
          </cell>
          <cell r="I106">
            <v>42596.706226851849</v>
          </cell>
          <cell r="J106">
            <v>0</v>
          </cell>
          <cell r="K106" t="str">
            <v>4027/4028</v>
          </cell>
          <cell r="L106" t="str">
            <v>MOSES</v>
          </cell>
          <cell r="M106">
            <v>2.9039351851679385E-2</v>
          </cell>
          <cell r="N106">
            <v>41.816666666418314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https://search-rtdc-monitor-bjffxe2xuh6vdkpspy63sjmuny.us-east-1.es.amazonaws.com/_plugin/kibana/#/discover/Steve-Slow-Train-Analysis-(2080s-and-2083s)?_g=(refreshInterval:(display:Off,section:0,value:0),time:(from:'2016-08-14 15:12:19-0600',mode:absolute,to:'2016-08-14 17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23.297799999999999</v>
          </cell>
          <cell r="Z106">
            <v>1.54E-2</v>
          </cell>
          <cell r="AA106">
            <v>23.282399999999999</v>
          </cell>
          <cell r="AB106" t="e">
            <v>#N/A</v>
          </cell>
          <cell r="AC106" t="e">
            <v>#N/A</v>
          </cell>
          <cell r="AD106" t="str">
            <v>0194-14</v>
          </cell>
          <cell r="AE106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107">
          <cell r="A107" t="str">
            <v>195-14</v>
          </cell>
          <cell r="B107">
            <v>4038</v>
          </cell>
          <cell r="C107" t="str">
            <v>DE.1.0.7.0</v>
          </cell>
          <cell r="D107" t="str">
            <v>204:467</v>
          </cell>
          <cell r="E107">
            <v>42596.642523148148</v>
          </cell>
          <cell r="F107">
            <v>42596.643506944441</v>
          </cell>
          <cell r="G107">
            <v>1</v>
          </cell>
          <cell r="H107" t="str">
            <v>204:233329</v>
          </cell>
          <cell r="I107">
            <v>42596.678749999999</v>
          </cell>
          <cell r="J107">
            <v>0</v>
          </cell>
          <cell r="K107" t="str">
            <v>4037/4038</v>
          </cell>
          <cell r="L107" t="str">
            <v>YOUNG</v>
          </cell>
          <cell r="M107">
            <v>3.5243055557657499E-2</v>
          </cell>
          <cell r="N107">
            <v>50.750000003026798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https://search-rtdc-monitor-bjffxe2xuh6vdkpspy63sjmuny.us-east-1.es.amazonaws.com/_plugin/kibana/#/discover/Steve-Slow-Train-Analysis-(2080s-and-2083s)?_g=(refreshInterval:(display:Off,section:0,value:0),time:(from:'2016-08-14 14:25:14-0600',mode:absolute,to:'2016-08-14 17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4.6699999999999998E-2</v>
          </cell>
          <cell r="Z107">
            <v>23.332899999999999</v>
          </cell>
          <cell r="AA107">
            <v>23.286199999999997</v>
          </cell>
          <cell r="AB107" t="e">
            <v>#N/A</v>
          </cell>
          <cell r="AC107" t="e">
            <v>#N/A</v>
          </cell>
          <cell r="AD107" t="str">
            <v>0195-14</v>
          </cell>
          <cell r="AE107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08">
          <cell r="A108" t="str">
            <v>196-14</v>
          </cell>
          <cell r="B108">
            <v>4037</v>
          </cell>
          <cell r="C108" t="str">
            <v>DE.1.0.7.0</v>
          </cell>
          <cell r="D108" t="str">
            <v>204:233019</v>
          </cell>
          <cell r="E108">
            <v>42596.680335648147</v>
          </cell>
          <cell r="F108">
            <v>42596.681261574071</v>
          </cell>
          <cell r="G108">
            <v>1</v>
          </cell>
          <cell r="H108" t="str">
            <v>204:211</v>
          </cell>
          <cell r="I108">
            <v>42596.713738425926</v>
          </cell>
          <cell r="J108">
            <v>0</v>
          </cell>
          <cell r="K108" t="str">
            <v>4037/4038</v>
          </cell>
          <cell r="L108" t="str">
            <v>YOUNG</v>
          </cell>
          <cell r="M108">
            <v>3.2476851854880806E-2</v>
          </cell>
          <cell r="N108">
            <v>46.766666671028361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https://search-rtdc-monitor-bjffxe2xuh6vdkpspy63sjmuny.us-east-1.es.amazonaws.com/_plugin/kibana/#/discover/Steve-Slow-Train-Analysis-(2080s-and-2083s)?_g=(refreshInterval:(display:Off,section:0,value:0),time:(from:'2016-08-14 15:19:41-0600',mode:absolute,to:'2016-08-14 18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23.3019</v>
          </cell>
          <cell r="Z108">
            <v>2.1100000000000001E-2</v>
          </cell>
          <cell r="AA108">
            <v>23.280799999999999</v>
          </cell>
          <cell r="AB108" t="e">
            <v>#N/A</v>
          </cell>
          <cell r="AC108" t="e">
            <v>#N/A</v>
          </cell>
          <cell r="AD108" t="str">
            <v>0196-14</v>
          </cell>
          <cell r="AE108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09">
          <cell r="A109" t="str">
            <v>197-14</v>
          </cell>
          <cell r="B109">
            <v>4014</v>
          </cell>
          <cell r="C109" t="str">
            <v>DE.1.0.7.0</v>
          </cell>
          <cell r="D109" t="str">
            <v>204:435</v>
          </cell>
          <cell r="E109">
            <v>42596.65042824074</v>
          </cell>
          <cell r="F109">
            <v>42596.654699074075</v>
          </cell>
          <cell r="G109">
            <v>6</v>
          </cell>
          <cell r="H109" t="str">
            <v>204:233288</v>
          </cell>
          <cell r="I109">
            <v>42596.684328703705</v>
          </cell>
          <cell r="J109">
            <v>0</v>
          </cell>
          <cell r="K109" t="str">
            <v>4013/4014</v>
          </cell>
          <cell r="L109" t="str">
            <v>MAYBERRY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https://search-rtdc-monitor-bjffxe2xuh6vdkpspy63sjmuny.us-east-1.es.amazonaws.com/_plugin/kibana/#/discover/Steve-Slow-Train-Analysis-(2080s-and-2083s)?_g=(refreshInterval:(display:Off,section:0,value:0),time:(from:'2016-08-14 14:36:37-0600',mode:absolute,to:'2016-08-14 17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4.3499999999999997E-2</v>
          </cell>
          <cell r="Z109">
            <v>23.328800000000001</v>
          </cell>
          <cell r="AA109">
            <v>23.285299999999999</v>
          </cell>
          <cell r="AB109" t="e">
            <v>#N/A</v>
          </cell>
          <cell r="AC109" t="e">
            <v>#N/A</v>
          </cell>
          <cell r="AD109" t="str">
            <v>0197-14</v>
          </cell>
          <cell r="AE109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110">
          <cell r="A110" t="str">
            <v>198-14</v>
          </cell>
          <cell r="B110">
            <v>4013</v>
          </cell>
          <cell r="C110" t="str">
            <v>DE.1.0.7.0</v>
          </cell>
          <cell r="D110" t="str">
            <v>204:232971</v>
          </cell>
          <cell r="E110">
            <v>42596.692881944444</v>
          </cell>
          <cell r="F110">
            <v>42596.694247685184</v>
          </cell>
          <cell r="G110">
            <v>1</v>
          </cell>
          <cell r="H110" t="str">
            <v>204:152</v>
          </cell>
          <cell r="I110">
            <v>42596.725243055553</v>
          </cell>
          <cell r="J110">
            <v>0</v>
          </cell>
          <cell r="K110" t="str">
            <v>4013/4014</v>
          </cell>
          <cell r="L110" t="str">
            <v>MAYBERRY</v>
          </cell>
          <cell r="M110">
            <v>3.0995370369055308E-2</v>
          </cell>
          <cell r="N110">
            <v>44.633333331439644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https://search-rtdc-monitor-bjffxe2xuh6vdkpspy63sjmuny.us-east-1.es.amazonaws.com/_plugin/kibana/#/discover/Steve-Slow-Train-Analysis-(2080s-and-2083s)?_g=(refreshInterval:(display:Off,section:0,value:0),time:(from:'2016-08-14 15:37:45-0600',mode:absolute,to:'2016-08-14 18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0" t="str">
            <v>N</v>
          </cell>
          <cell r="X110">
            <v>1</v>
          </cell>
          <cell r="Y110">
            <v>23.2971</v>
          </cell>
          <cell r="Z110">
            <v>1.52E-2</v>
          </cell>
          <cell r="AA110">
            <v>23.2819</v>
          </cell>
          <cell r="AB110" t="e">
            <v>#N/A</v>
          </cell>
          <cell r="AC110" t="e">
            <v>#N/A</v>
          </cell>
          <cell r="AD110" t="str">
            <v>0198-14</v>
          </cell>
          <cell r="AE110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11">
          <cell r="A111" t="str">
            <v>199-14</v>
          </cell>
          <cell r="B111">
            <v>4029</v>
          </cell>
          <cell r="C111" t="str">
            <v>DE.1.0.7.0</v>
          </cell>
          <cell r="D111" t="str">
            <v>204:442</v>
          </cell>
          <cell r="E111">
            <v>42596.660312499997</v>
          </cell>
          <cell r="F111">
            <v>42596.661678240744</v>
          </cell>
          <cell r="G111">
            <v>1</v>
          </cell>
          <cell r="H111" t="str">
            <v>204:233383</v>
          </cell>
          <cell r="I111">
            <v>42596.69358796296</v>
          </cell>
          <cell r="J111">
            <v>0</v>
          </cell>
          <cell r="K111" t="str">
            <v>4029/4030</v>
          </cell>
          <cell r="L111" t="str">
            <v>SHOOK</v>
          </cell>
          <cell r="M111">
            <v>3.1909722216369119E-2</v>
          </cell>
          <cell r="N111">
            <v>45.949999991571531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https://search-rtdc-monitor-bjffxe2xuh6vdkpspy63sjmuny.us-east-1.es.amazonaws.com/_plugin/kibana/#/discover/Steve-Slow-Train-Analysis-(2080s-and-2083s)?_g=(refreshInterval:(display:Off,section:0,value:0),time:(from:'2016-08-14 14:50:51-0600',mode:absolute,to:'2016-08-14 17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1" t="str">
            <v>N</v>
          </cell>
          <cell r="X111">
            <v>1</v>
          </cell>
          <cell r="Y111">
            <v>4.4200000000000003E-2</v>
          </cell>
          <cell r="Z111">
            <v>23.3383</v>
          </cell>
          <cell r="AA111">
            <v>23.2941</v>
          </cell>
          <cell r="AB111" t="e">
            <v>#N/A</v>
          </cell>
          <cell r="AC111" t="e">
            <v>#N/A</v>
          </cell>
          <cell r="AD111" t="str">
            <v>0199-14</v>
          </cell>
          <cell r="AE111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12">
          <cell r="A112" t="str">
            <v>200-14</v>
          </cell>
          <cell r="B112">
            <v>4030</v>
          </cell>
          <cell r="C112" t="str">
            <v>DE.1.0.7.0</v>
          </cell>
          <cell r="D112" t="str">
            <v>204:233040</v>
          </cell>
          <cell r="E112">
            <v>42596.700567129628</v>
          </cell>
          <cell r="F112">
            <v>42596.701504629629</v>
          </cell>
          <cell r="G112">
            <v>1</v>
          </cell>
          <cell r="H112" t="str">
            <v>204:141</v>
          </cell>
          <cell r="I112">
            <v>42596.734340277777</v>
          </cell>
          <cell r="J112">
            <v>0</v>
          </cell>
          <cell r="K112" t="str">
            <v>4029/4030</v>
          </cell>
          <cell r="L112" t="str">
            <v>SHOOK</v>
          </cell>
          <cell r="M112">
            <v>3.2835648147738539E-2</v>
          </cell>
          <cell r="N112">
            <v>47.283333332743496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https://search-rtdc-monitor-bjffxe2xuh6vdkpspy63sjmuny.us-east-1.es.amazonaws.com/_plugin/kibana/#/discover/Steve-Slow-Train-Analysis-(2080s-and-2083s)?_g=(refreshInterval:(display:Off,section:0,value:0),time:(from:'2016-08-14 15:48:49-0600',mode:absolute,to:'2016-08-14 18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2" t="str">
            <v>N</v>
          </cell>
          <cell r="X112">
            <v>1</v>
          </cell>
          <cell r="Y112">
            <v>23.303999999999998</v>
          </cell>
          <cell r="Z112">
            <v>1.41E-2</v>
          </cell>
          <cell r="AA112">
            <v>23.289899999999999</v>
          </cell>
          <cell r="AB112" t="e">
            <v>#N/A</v>
          </cell>
          <cell r="AC112" t="e">
            <v>#N/A</v>
          </cell>
          <cell r="AD112" t="str">
            <v>0200-14</v>
          </cell>
          <cell r="AE112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13">
          <cell r="A113" t="str">
            <v>201-14</v>
          </cell>
          <cell r="B113">
            <v>4016</v>
          </cell>
          <cell r="C113" t="str">
            <v>DE.1.0.7.0</v>
          </cell>
          <cell r="D113" t="str">
            <v>204:471</v>
          </cell>
          <cell r="E113">
            <v>42596.67596064815</v>
          </cell>
          <cell r="F113">
            <v>42596.676886574074</v>
          </cell>
          <cell r="G113">
            <v>1</v>
          </cell>
          <cell r="H113" t="str">
            <v>204:233343</v>
          </cell>
          <cell r="I113">
            <v>42596.705185185187</v>
          </cell>
          <cell r="J113">
            <v>0</v>
          </cell>
          <cell r="K113" t="str">
            <v>4015/4016</v>
          </cell>
          <cell r="L113" t="str">
            <v>STEWART</v>
          </cell>
          <cell r="M113">
            <v>2.8298611112404615E-2</v>
          </cell>
          <cell r="N113">
            <v>40.750000001862645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https://search-rtdc-monitor-bjffxe2xuh6vdkpspy63sjmuny.us-east-1.es.amazonaws.com/_plugin/kibana/#/discover/Steve-Slow-Train-Analysis-(2080s-and-2083s)?_g=(refreshInterval:(display:Off,section:0,value:0),time:(from:'2016-08-14 15:13:23-0600',mode:absolute,to:'2016-08-14 17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3" t="str">
            <v>N</v>
          </cell>
          <cell r="X113">
            <v>1</v>
          </cell>
          <cell r="Y113">
            <v>4.7100000000000003E-2</v>
          </cell>
          <cell r="Z113">
            <v>23.334299999999999</v>
          </cell>
          <cell r="AA113">
            <v>23.287199999999999</v>
          </cell>
          <cell r="AB113" t="e">
            <v>#N/A</v>
          </cell>
          <cell r="AC113" t="e">
            <v>#N/A</v>
          </cell>
          <cell r="AD113" t="str">
            <v>0201-14</v>
          </cell>
          <cell r="AE113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14">
          <cell r="A114" t="str">
            <v>202-14</v>
          </cell>
          <cell r="B114">
            <v>4015</v>
          </cell>
          <cell r="C114" t="str">
            <v>DE.1.0.7.0</v>
          </cell>
          <cell r="D114" t="str">
            <v>204:233026</v>
          </cell>
          <cell r="E114">
            <v>42596.715092592596</v>
          </cell>
          <cell r="F114">
            <v>42596.715821759259</v>
          </cell>
          <cell r="G114">
            <v>1</v>
          </cell>
          <cell r="H114" t="str">
            <v>204:158</v>
          </cell>
          <cell r="I114">
            <v>42596.745451388888</v>
          </cell>
          <cell r="J114">
            <v>0</v>
          </cell>
          <cell r="K114" t="str">
            <v>4015/4016</v>
          </cell>
          <cell r="L114" t="str">
            <v>STEWART</v>
          </cell>
          <cell r="M114">
            <v>2.9629629629198462E-2</v>
          </cell>
          <cell r="N114">
            <v>42.666666666045785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https://search-rtdc-monitor-bjffxe2xuh6vdkpspy63sjmuny.us-east-1.es.amazonaws.com/_plugin/kibana/#/discover/Steve-Slow-Train-Analysis-(2080s-and-2083s)?_g=(refreshInterval:(display:Off,section:0,value:0),time:(from:'2016-08-14 16:09:44-0600',mode:absolute,to:'2016-08-14 18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4" t="str">
            <v>N</v>
          </cell>
          <cell r="X114">
            <v>1</v>
          </cell>
          <cell r="Y114">
            <v>23.302600000000002</v>
          </cell>
          <cell r="Z114">
            <v>1.5800000000000002E-2</v>
          </cell>
          <cell r="AA114">
            <v>23.286800000000003</v>
          </cell>
          <cell r="AB114" t="e">
            <v>#N/A</v>
          </cell>
          <cell r="AC114" t="e">
            <v>#N/A</v>
          </cell>
          <cell r="AD114" t="str">
            <v>0202-14</v>
          </cell>
          <cell r="AE114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15">
          <cell r="A115" t="str">
            <v>203-14</v>
          </cell>
          <cell r="B115">
            <v>4011</v>
          </cell>
          <cell r="C115" t="str">
            <v>DE.1.0.7.0</v>
          </cell>
          <cell r="D115" t="str">
            <v>204:449</v>
          </cell>
          <cell r="E115">
            <v>42596.693715277775</v>
          </cell>
          <cell r="F115">
            <v>42596.694768518515</v>
          </cell>
          <cell r="G115">
            <v>1</v>
          </cell>
          <cell r="H115" t="str">
            <v>204:233293</v>
          </cell>
          <cell r="I115">
            <v>42596.722986111112</v>
          </cell>
          <cell r="J115">
            <v>0</v>
          </cell>
          <cell r="K115" t="str">
            <v>4011/4012</v>
          </cell>
          <cell r="L115" t="str">
            <v>BARTLETT</v>
          </cell>
          <cell r="M115">
            <v>2.8217592596774921E-2</v>
          </cell>
          <cell r="N115">
            <v>40.633333339355886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https://search-rtdc-monitor-bjffxe2xuh6vdkpspy63sjmuny.us-east-1.es.amazonaws.com/_plugin/kibana/#/discover/Steve-Slow-Train-Analysis-(2080s-and-2083s)?_g=(refreshInterval:(display:Off,section:0,value:0),time:(from:'2016-08-14 15:38:57-0600',mode:absolute,to:'2016-08-14 18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5" t="str">
            <v>N</v>
          </cell>
          <cell r="X115">
            <v>1</v>
          </cell>
          <cell r="Y115">
            <v>4.4900000000000002E-2</v>
          </cell>
          <cell r="Z115">
            <v>23.3293</v>
          </cell>
          <cell r="AA115">
            <v>23.284400000000002</v>
          </cell>
          <cell r="AB115" t="e">
            <v>#N/A</v>
          </cell>
          <cell r="AC115" t="e">
            <v>#N/A</v>
          </cell>
          <cell r="AD115" t="str">
            <v>0203-14</v>
          </cell>
          <cell r="AE11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16">
          <cell r="A116" t="str">
            <v>204-14</v>
          </cell>
          <cell r="B116">
            <v>4012</v>
          </cell>
          <cell r="C116" t="str">
            <v>DE.1.0.7.0</v>
          </cell>
          <cell r="D116" t="str">
            <v>204:232981</v>
          </cell>
          <cell r="E116">
            <v>42596.724120370367</v>
          </cell>
          <cell r="F116">
            <v>42596.725092592591</v>
          </cell>
          <cell r="G116">
            <v>1</v>
          </cell>
          <cell r="H116" t="str">
            <v>204:192</v>
          </cell>
          <cell r="I116">
            <v>42596.755393518521</v>
          </cell>
          <cell r="J116">
            <v>0</v>
          </cell>
          <cell r="K116" t="str">
            <v>4011/4012</v>
          </cell>
          <cell r="L116" t="str">
            <v>BARTLETT</v>
          </cell>
          <cell r="M116">
            <v>3.030092592962319E-2</v>
          </cell>
          <cell r="N116">
            <v>43.633333338657394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https://search-rtdc-monitor-bjffxe2xuh6vdkpspy63sjmuny.us-east-1.es.amazonaws.com/_plugin/kibana/#/discover/Steve-Slow-Train-Analysis-(2080s-and-2083s)?_g=(refreshInterval:(display:Off,section:0,value:0),time:(from:'2016-08-14 16:22:44-0600',mode:absolute,to:'2016-08-14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6" t="str">
            <v>N</v>
          </cell>
          <cell r="X116">
            <v>1</v>
          </cell>
          <cell r="Y116">
            <v>23.298100000000002</v>
          </cell>
          <cell r="Z116">
            <v>1.9199999999999998E-2</v>
          </cell>
          <cell r="AA116">
            <v>23.2789</v>
          </cell>
          <cell r="AB116" t="e">
            <v>#N/A</v>
          </cell>
          <cell r="AC116" t="e">
            <v>#N/A</v>
          </cell>
          <cell r="AD116" t="str">
            <v>0204-14</v>
          </cell>
          <cell r="AE11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17">
          <cell r="A117" t="str">
            <v>205-14</v>
          </cell>
          <cell r="B117">
            <v>4025</v>
          </cell>
          <cell r="C117" t="str">
            <v>DE.1.0.7.0</v>
          </cell>
          <cell r="D117" t="str">
            <v>204:447</v>
          </cell>
          <cell r="E117">
            <v>42596.700173611112</v>
          </cell>
          <cell r="F117">
            <v>42596.701064814813</v>
          </cell>
          <cell r="G117">
            <v>1</v>
          </cell>
          <cell r="H117" t="str">
            <v>204:233295</v>
          </cell>
          <cell r="I117">
            <v>42596.725578703707</v>
          </cell>
          <cell r="J117">
            <v>0</v>
          </cell>
          <cell r="K117" t="str">
            <v>4025/4026</v>
          </cell>
          <cell r="L117" t="str">
            <v>BRUDER</v>
          </cell>
          <cell r="M117">
            <v>2.4513888893125113E-2</v>
          </cell>
          <cell r="N117">
            <v>35.300000006100163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https://search-rtdc-monitor-bjffxe2xuh6vdkpspy63sjmuny.us-east-1.es.amazonaws.com/_plugin/kibana/#/discover/Steve-Slow-Train-Analysis-(2080s-and-2083s)?_g=(refreshInterval:(display:Off,section:0,value:0),time:(from:'2016-08-14 15:48:15-0600',mode:absolute,to:'2016-08-14 18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7" t="str">
            <v>N</v>
          </cell>
          <cell r="X117">
            <v>1</v>
          </cell>
          <cell r="Y117">
            <v>4.4699999999999997E-2</v>
          </cell>
          <cell r="Z117">
            <v>23.329499999999999</v>
          </cell>
          <cell r="AA117">
            <v>23.284800000000001</v>
          </cell>
          <cell r="AB117" t="e">
            <v>#N/A</v>
          </cell>
          <cell r="AC117" t="e">
            <v>#N/A</v>
          </cell>
          <cell r="AD117" t="str">
            <v>0205-14</v>
          </cell>
          <cell r="AE117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18">
          <cell r="A118" t="str">
            <v>206-14</v>
          </cell>
          <cell r="B118">
            <v>4026</v>
          </cell>
          <cell r="C118" t="str">
            <v>DE.1.0.7.0</v>
          </cell>
          <cell r="D118" t="str">
            <v>204:232971</v>
          </cell>
          <cell r="E118">
            <v>42596.730879629627</v>
          </cell>
          <cell r="F118">
            <v>42596.731828703705</v>
          </cell>
          <cell r="G118">
            <v>1</v>
          </cell>
          <cell r="H118" t="str">
            <v>204:152</v>
          </cell>
          <cell r="I118">
            <v>42596.763541666667</v>
          </cell>
          <cell r="J118">
            <v>0</v>
          </cell>
          <cell r="K118" t="str">
            <v>4025/4026</v>
          </cell>
          <cell r="L118" t="str">
            <v>BRUDER</v>
          </cell>
          <cell r="M118">
            <v>3.1712962962046731E-2</v>
          </cell>
          <cell r="N118">
            <v>45.666666665347293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https://search-rtdc-monitor-bjffxe2xuh6vdkpspy63sjmuny.us-east-1.es.amazonaws.com/_plugin/kibana/#/discover/Steve-Slow-Train-Analysis-(2080s-and-2083s)?_g=(refreshInterval:(display:Off,section:0,value:0),time:(from:'2016-08-14 16:32:28-0600',mode:absolute,to:'2016-08-14 19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8" t="str">
            <v>N</v>
          </cell>
          <cell r="X118">
            <v>1</v>
          </cell>
          <cell r="Y118">
            <v>23.2971</v>
          </cell>
          <cell r="Z118">
            <v>1.52E-2</v>
          </cell>
          <cell r="AA118">
            <v>23.2819</v>
          </cell>
          <cell r="AB118" t="e">
            <v>#N/A</v>
          </cell>
          <cell r="AC118" t="e">
            <v>#N/A</v>
          </cell>
          <cell r="AD118" t="str">
            <v>0206-14</v>
          </cell>
          <cell r="AE118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19">
          <cell r="A119" t="str">
            <v>207-14</v>
          </cell>
          <cell r="B119">
            <v>4027</v>
          </cell>
          <cell r="C119" t="str">
            <v>DE.1.0.7.0</v>
          </cell>
          <cell r="D119" t="str">
            <v>204:449</v>
          </cell>
          <cell r="E119">
            <v>42596.707916666666</v>
          </cell>
          <cell r="F119">
            <v>42596.708912037036</v>
          </cell>
          <cell r="G119">
            <v>1</v>
          </cell>
          <cell r="H119" t="str">
            <v>204:233319</v>
          </cell>
          <cell r="I119">
            <v>42596.735752314817</v>
          </cell>
          <cell r="J119">
            <v>0</v>
          </cell>
          <cell r="K119" t="str">
            <v>4027/4028</v>
          </cell>
          <cell r="L119" t="str">
            <v>MOSES</v>
          </cell>
          <cell r="M119">
            <v>2.6840277780138422E-2</v>
          </cell>
          <cell r="N119">
            <v>38.650000003399327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https://search-rtdc-monitor-bjffxe2xuh6vdkpspy63sjmuny.us-east-1.es.amazonaws.com/_plugin/kibana/#/discover/Steve-Slow-Train-Analysis-(2080s-and-2083s)?_g=(refreshInterval:(display:Off,section:0,value:0),time:(from:'2016-08-14 15:59:24-0600',mode:absolute,to:'2016-08-14 18:39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4.4900000000000002E-2</v>
          </cell>
          <cell r="Z119">
            <v>23.331900000000001</v>
          </cell>
          <cell r="AA119">
            <v>23.287000000000003</v>
          </cell>
          <cell r="AB119" t="e">
            <v>#N/A</v>
          </cell>
          <cell r="AC119" t="e">
            <v>#N/A</v>
          </cell>
          <cell r="AD119" t="str">
            <v>0207-14</v>
          </cell>
          <cell r="AE119" t="str">
    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    </cell>
        </row>
        <row r="120">
          <cell r="A120" t="str">
            <v>208-14</v>
          </cell>
          <cell r="B120">
            <v>4028</v>
          </cell>
          <cell r="C120" t="str">
            <v>DE.1.0.7.0</v>
          </cell>
          <cell r="D120" t="str">
            <v>204:232989</v>
          </cell>
          <cell r="E120">
            <v>42596.743495370371</v>
          </cell>
          <cell r="F120">
            <v>42596.74459490741</v>
          </cell>
          <cell r="G120">
            <v>1</v>
          </cell>
          <cell r="H120" t="str">
            <v>204:227</v>
          </cell>
          <cell r="I120">
            <v>42596.775370370371</v>
          </cell>
          <cell r="J120">
            <v>0</v>
          </cell>
          <cell r="K120" t="str">
            <v>4027/4028</v>
          </cell>
          <cell r="L120" t="str">
            <v>MOSES</v>
          </cell>
          <cell r="M120">
            <v>3.0775462961173616E-2</v>
          </cell>
          <cell r="N120">
            <v>44.316666664090008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https://search-rtdc-monitor-bjffxe2xuh6vdkpspy63sjmuny.us-east-1.es.amazonaws.com/_plugin/kibana/#/discover/Steve-Slow-Train-Analysis-(2080s-and-2083s)?_g=(refreshInterval:(display:Off,section:0,value:0),time:(from:'2016-08-14 16:50:38-0600',mode:absolute,to:'2016-08-14 19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23.2989</v>
          </cell>
          <cell r="Z120">
            <v>2.2700000000000001E-2</v>
          </cell>
          <cell r="AA120">
            <v>23.276199999999999</v>
          </cell>
          <cell r="AB120" t="e">
            <v>#N/A</v>
          </cell>
          <cell r="AC120" t="e">
            <v>#N/A</v>
          </cell>
          <cell r="AD120" t="str">
            <v>0208-14</v>
          </cell>
          <cell r="AE120" t="str">
    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    </cell>
        </row>
        <row r="121">
          <cell r="A121" t="str">
            <v>209-14</v>
          </cell>
          <cell r="B121">
            <v>4038</v>
          </cell>
          <cell r="C121" t="str">
            <v>DE.1.0.7.0</v>
          </cell>
          <cell r="D121" t="str">
            <v>204:544</v>
          </cell>
          <cell r="E121">
            <v>42596.715983796297</v>
          </cell>
          <cell r="F121">
            <v>42596.717233796298</v>
          </cell>
          <cell r="G121">
            <v>1</v>
          </cell>
          <cell r="H121" t="str">
            <v>204:233368</v>
          </cell>
          <cell r="I121">
            <v>42596.743807870371</v>
          </cell>
          <cell r="J121">
            <v>0</v>
          </cell>
          <cell r="K121" t="str">
            <v>4037/4038</v>
          </cell>
          <cell r="L121" t="str">
            <v>STORY</v>
          </cell>
          <cell r="M121">
            <v>2.6574074072414078E-2</v>
          </cell>
          <cell r="N121">
            <v>38.266666664276272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https://search-rtdc-monitor-bjffxe2xuh6vdkpspy63sjmuny.us-east-1.es.amazonaws.com/_plugin/kibana/#/discover/Steve-Slow-Train-Analysis-(2080s-and-2083s)?_g=(refreshInterval:(display:Off,section:0,value:0),time:(from:'2016-08-14 16:11:01-0600',mode:absolute,to:'2016-08-14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5.4399999999999997E-2</v>
          </cell>
          <cell r="Z121">
            <v>23.3368</v>
          </cell>
          <cell r="AA121">
            <v>23.282399999999999</v>
          </cell>
          <cell r="AB121" t="e">
            <v>#N/A</v>
          </cell>
          <cell r="AC121" t="e">
            <v>#N/A</v>
          </cell>
          <cell r="AD121" t="str">
            <v>0209-14</v>
          </cell>
          <cell r="AE12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22">
          <cell r="A122" t="str">
            <v>210-14</v>
          </cell>
          <cell r="B122">
            <v>4037</v>
          </cell>
          <cell r="C122" t="str">
            <v>DE.1.0.7.0</v>
          </cell>
          <cell r="D122" t="str">
            <v>204:233053</v>
          </cell>
          <cell r="E122">
            <v>42596.750034722223</v>
          </cell>
          <cell r="F122">
            <v>42596.751608796294</v>
          </cell>
          <cell r="G122">
            <v>2</v>
          </cell>
          <cell r="H122" t="str">
            <v>204:152</v>
          </cell>
          <cell r="I122">
            <v>42596.786273148151</v>
          </cell>
          <cell r="J122">
            <v>0</v>
          </cell>
          <cell r="K122" t="str">
            <v>4037/4038</v>
          </cell>
          <cell r="L122" t="str">
            <v>STORY</v>
          </cell>
          <cell r="M122">
            <v>3.4664351856918074E-2</v>
          </cell>
          <cell r="N122">
            <v>49.916666673962027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23.305299999999999</v>
          </cell>
          <cell r="Z122">
            <v>1.52E-2</v>
          </cell>
          <cell r="AA122">
            <v>23.290099999999999</v>
          </cell>
          <cell r="AB122">
            <v>75579</v>
          </cell>
          <cell r="AC122" t="str">
            <v>SIGNAL</v>
          </cell>
          <cell r="AD122" t="str">
            <v>0210-14</v>
          </cell>
          <cell r="AE12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23">
          <cell r="A123" t="str">
            <v>211-14</v>
          </cell>
          <cell r="B123">
            <v>4014</v>
          </cell>
          <cell r="C123" t="str">
            <v>DE.1.0.7.0</v>
          </cell>
          <cell r="D123" t="str">
            <v>204:1739</v>
          </cell>
          <cell r="E123">
            <v>42596.728020833332</v>
          </cell>
          <cell r="F123">
            <v>42596.729988425926</v>
          </cell>
          <cell r="G123">
            <v>2</v>
          </cell>
          <cell r="H123" t="str">
            <v>204:233336</v>
          </cell>
          <cell r="I123">
            <v>42596.756238425929</v>
          </cell>
          <cell r="J123">
            <v>0</v>
          </cell>
          <cell r="K123" t="str">
            <v>4013/4014</v>
          </cell>
          <cell r="L123" t="str">
            <v>YOUNG</v>
          </cell>
          <cell r="M123">
            <v>2.6250000002619345E-2</v>
          </cell>
          <cell r="N123">
            <v>37.800000003771856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https://search-rtdc-monitor-bjffxe2xuh6vdkpspy63sjmuny.us-east-1.es.amazonaws.com/_plugin/kibana/#/discover/Steve-Slow-Train-Analysis-(2080s-and-2083s)?_g=(refreshInterval:(display:Off,section:0,value:0),time:(from:'2016-08-14 16:28:21-0600',mode:absolute,to:'2016-08-14 19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0.1739</v>
          </cell>
          <cell r="Z123">
            <v>23.333600000000001</v>
          </cell>
          <cell r="AA123">
            <v>23.159700000000001</v>
          </cell>
          <cell r="AB123" t="e">
            <v>#N/A</v>
          </cell>
          <cell r="AC123" t="e">
            <v>#N/A</v>
          </cell>
          <cell r="AD123" t="str">
            <v>0211-14</v>
          </cell>
          <cell r="AE123" t="str">
    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    </cell>
        </row>
        <row r="124">
          <cell r="A124" t="str">
            <v>212-14</v>
          </cell>
          <cell r="B124">
            <v>4013</v>
          </cell>
          <cell r="C124" t="str">
            <v>DE.1.0.7.0</v>
          </cell>
          <cell r="D124" t="str">
            <v>204:233015</v>
          </cell>
          <cell r="E124">
            <v>42596.758252314816</v>
          </cell>
          <cell r="F124">
            <v>42596.759305555555</v>
          </cell>
          <cell r="G124">
            <v>1</v>
          </cell>
          <cell r="H124" t="str">
            <v>204:130</v>
          </cell>
          <cell r="I124">
            <v>42596.796932870369</v>
          </cell>
          <cell r="J124">
            <v>0</v>
          </cell>
          <cell r="K124" t="str">
            <v>4013/4014</v>
          </cell>
          <cell r="L124" t="str">
            <v>YOUNG</v>
          </cell>
          <cell r="M124">
            <v>3.7627314814017154E-2</v>
          </cell>
          <cell r="N124">
            <v>54.183333332184702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https://search-rtdc-monitor-bjffxe2xuh6vdkpspy63sjmuny.us-east-1.es.amazonaws.com/_plugin/kibana/#/discover/Steve-Slow-Train-Analysis-(2080s-and-2083s)?_g=(refreshInterval:(display:Off,section:0,value:0),time:(from:'2016-08-14 17:11:53-0600',mode:absolute,to:'2016-08-14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4" t="str">
            <v>N</v>
          </cell>
          <cell r="X124">
            <v>1</v>
          </cell>
          <cell r="Y124">
            <v>23.301500000000001</v>
          </cell>
          <cell r="Z124">
            <v>1.2999999999999999E-2</v>
          </cell>
          <cell r="AA124">
            <v>23.288499999999999</v>
          </cell>
          <cell r="AB124" t="e">
            <v>#N/A</v>
          </cell>
          <cell r="AC124" t="e">
            <v>#N/A</v>
          </cell>
          <cell r="AD124" t="str">
            <v>0212-14</v>
          </cell>
          <cell r="AE124" t="str">
    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    </cell>
        </row>
        <row r="125">
          <cell r="A125" t="str">
            <v>213-14</v>
          </cell>
          <cell r="B125">
            <v>4029</v>
          </cell>
          <cell r="C125" t="str">
            <v>DE.1.0.7.0</v>
          </cell>
          <cell r="D125" t="str">
            <v>204:453</v>
          </cell>
          <cell r="E125">
            <v>42596.736030092594</v>
          </cell>
          <cell r="F125">
            <v>42596.740266203706</v>
          </cell>
          <cell r="G125">
            <v>6</v>
          </cell>
          <cell r="H125" t="str">
            <v>204:233311</v>
          </cell>
          <cell r="I125">
            <v>42596.764884259261</v>
          </cell>
          <cell r="J125">
            <v>0</v>
          </cell>
          <cell r="K125" t="str">
            <v>4029/4030</v>
          </cell>
          <cell r="L125" t="str">
            <v>COOLAHAN</v>
          </cell>
          <cell r="M125">
            <v>2.4618055555038154E-2</v>
          </cell>
          <cell r="N125">
            <v>35.449999999254942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https://search-rtdc-monitor-bjffxe2xuh6vdkpspy63sjmuny.us-east-1.es.amazonaws.com/_plugin/kibana/#/discover/Steve-Slow-Train-Analysis-(2080s-and-2083s)?_g=(refreshInterval:(display:Off,section:0,value:0),time:(from:'2016-08-14 16:39:53-0600',mode:absolute,to:'2016-08-14 19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5" t="str">
            <v>N</v>
          </cell>
          <cell r="X125">
            <v>1</v>
          </cell>
          <cell r="Y125">
            <v>4.53E-2</v>
          </cell>
          <cell r="Z125">
            <v>23.331099999999999</v>
          </cell>
          <cell r="AA125">
            <v>23.285799999999998</v>
          </cell>
          <cell r="AB125" t="e">
            <v>#N/A</v>
          </cell>
          <cell r="AC125" t="e">
            <v>#N/A</v>
          </cell>
          <cell r="AD125" t="str">
            <v>0213-14</v>
          </cell>
          <cell r="AE12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26">
          <cell r="A126" t="str">
            <v>214-14</v>
          </cell>
          <cell r="B126">
            <v>4030</v>
          </cell>
          <cell r="C126" t="str">
            <v>DE.1.0.7.0</v>
          </cell>
          <cell r="D126" t="str">
            <v>204:232990</v>
          </cell>
          <cell r="E126">
            <v>42596.773275462961</v>
          </cell>
          <cell r="F126">
            <v>42596.777511574073</v>
          </cell>
          <cell r="G126">
            <v>6</v>
          </cell>
          <cell r="H126" t="str">
            <v>204:181</v>
          </cell>
          <cell r="I126">
            <v>42596.805069444446</v>
          </cell>
          <cell r="J126">
            <v>0</v>
          </cell>
          <cell r="K126" t="str">
            <v>4029/4030</v>
          </cell>
          <cell r="L126" t="str">
            <v>COOLAHAN</v>
          </cell>
          <cell r="M126">
            <v>2.7557870373129845E-2</v>
          </cell>
          <cell r="N126">
            <v>39.683333337306976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https://search-rtdc-monitor-bjffxe2xuh6vdkpspy63sjmuny.us-east-1.es.amazonaws.com/_plugin/kibana/#/discover/Steve-Slow-Train-Analysis-(2080s-and-2083s)?_g=(refreshInterval:(display:Off,section:0,value:0),time:(from:'2016-08-14 17:33:31-0600',mode:absolute,to:'2016-08-14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6" t="str">
            <v>N</v>
          </cell>
          <cell r="X126">
            <v>1</v>
          </cell>
          <cell r="Y126">
            <v>23.298999999999999</v>
          </cell>
          <cell r="Z126">
            <v>1.8100000000000002E-2</v>
          </cell>
          <cell r="AA126">
            <v>23.280899999999999</v>
          </cell>
          <cell r="AB126" t="e">
            <v>#N/A</v>
          </cell>
          <cell r="AC126" t="e">
            <v>#N/A</v>
          </cell>
          <cell r="AD126" t="str">
            <v>0214-14</v>
          </cell>
          <cell r="AE12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27">
          <cell r="A127" t="str">
            <v>215-14</v>
          </cell>
          <cell r="B127">
            <v>4016</v>
          </cell>
          <cell r="C127" t="str">
            <v>DE.1.0.7.0</v>
          </cell>
          <cell r="D127" t="str">
            <v>204:446</v>
          </cell>
          <cell r="E127">
            <v>42596.746770833335</v>
          </cell>
          <cell r="F127">
            <v>42596.748206018521</v>
          </cell>
          <cell r="G127">
            <v>2</v>
          </cell>
          <cell r="H127" t="str">
            <v>204:233363</v>
          </cell>
          <cell r="I127">
            <v>42596.775787037041</v>
          </cell>
          <cell r="J127">
            <v>0</v>
          </cell>
          <cell r="K127" t="str">
            <v>4015/4016</v>
          </cell>
          <cell r="L127" t="str">
            <v>SHOOK</v>
          </cell>
          <cell r="M127">
            <v>2.7581018519413192E-2</v>
          </cell>
          <cell r="N127">
            <v>39.716666667954996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https://search-rtdc-monitor-bjffxe2xuh6vdkpspy63sjmuny.us-east-1.es.amazonaws.com/_plugin/kibana/#/discover/Steve-Slow-Train-Analysis-(2080s-and-2083s)?_g=(refreshInterval:(display:Off,section:0,value:0),time:(from:'2016-08-14 16:55:21-0600',mode:absolute,to:'2016-08-14 19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7" t="str">
            <v>N</v>
          </cell>
          <cell r="X127">
            <v>1</v>
          </cell>
          <cell r="Y127">
            <v>4.4600000000000001E-2</v>
          </cell>
          <cell r="Z127">
            <v>23.336300000000001</v>
          </cell>
          <cell r="AA127">
            <v>23.291700000000002</v>
          </cell>
          <cell r="AB127" t="e">
            <v>#N/A</v>
          </cell>
          <cell r="AC127" t="e">
            <v>#N/A</v>
          </cell>
          <cell r="AD127" t="str">
            <v>0215-14</v>
          </cell>
          <cell r="AE127" t="str">
    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    </cell>
        </row>
        <row r="128">
          <cell r="A128" t="str">
            <v>216-14</v>
          </cell>
          <cell r="B128">
            <v>4015</v>
          </cell>
          <cell r="C128" t="str">
            <v>DE.1.0.7.0</v>
          </cell>
          <cell r="D128" t="str">
            <v>204:233040</v>
          </cell>
          <cell r="E128">
            <v>42596.782881944448</v>
          </cell>
          <cell r="F128">
            <v>42596.783958333333</v>
          </cell>
          <cell r="G128">
            <v>1</v>
          </cell>
          <cell r="H128" t="str">
            <v>204:149</v>
          </cell>
          <cell r="I128">
            <v>42596.815787037034</v>
          </cell>
          <cell r="J128">
            <v>0</v>
          </cell>
          <cell r="K128" t="str">
            <v>4015/4016</v>
          </cell>
          <cell r="L128" t="str">
            <v>SHOOK</v>
          </cell>
          <cell r="M128">
            <v>3.1828703700739425E-2</v>
          </cell>
          <cell r="N128">
            <v>45.833333329064772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https://search-rtdc-monitor-bjffxe2xuh6vdkpspy63sjmuny.us-east-1.es.amazonaws.com/_plugin/kibana/#/discover/Steve-Slow-Train-Analysis-(2080s-and-2083s)?_g=(refreshInterval:(display:Off,section:0,value:0),time:(from:'2016-08-14 17:47:21-0600',mode:absolute,to:'2016-08-14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8" t="str">
            <v>N</v>
          </cell>
          <cell r="X128">
            <v>1</v>
          </cell>
          <cell r="Y128">
            <v>23.303999999999998</v>
          </cell>
          <cell r="Z128">
            <v>1.49E-2</v>
          </cell>
          <cell r="AA128">
            <v>23.289099999999998</v>
          </cell>
          <cell r="AB128" t="e">
            <v>#N/A</v>
          </cell>
          <cell r="AC128" t="e">
            <v>#N/A</v>
          </cell>
          <cell r="AD128" t="str">
            <v>0216-14</v>
          </cell>
          <cell r="AE128" t="str">
    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    </cell>
        </row>
        <row r="129">
          <cell r="A129" t="str">
            <v>217-14</v>
          </cell>
          <cell r="B129">
            <v>4011</v>
          </cell>
          <cell r="C129" t="str">
            <v>DE.1.0.7.0</v>
          </cell>
          <cell r="D129" t="str">
            <v>204:504</v>
          </cell>
          <cell r="E129">
            <v>42596.757731481484</v>
          </cell>
          <cell r="F129">
            <v>42596.758958333332</v>
          </cell>
          <cell r="G129">
            <v>1</v>
          </cell>
          <cell r="H129" t="str">
            <v>204:233312</v>
          </cell>
          <cell r="I129">
            <v>42596.785324074073</v>
          </cell>
          <cell r="J129">
            <v>0</v>
          </cell>
          <cell r="K129" t="str">
            <v>4011/4012</v>
          </cell>
          <cell r="L129" t="str">
            <v>NEWELL</v>
          </cell>
          <cell r="M129">
            <v>2.6365740741312038E-2</v>
          </cell>
          <cell r="N129">
            <v>37.966666667489335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https://search-rtdc-monitor-bjffxe2xuh6vdkpspy63sjmuny.us-east-1.es.amazonaws.com/_plugin/kibana/#/discover/Steve-Slow-Train-Analysis-(2080s-and-2083s)?_g=(refreshInterval:(display:Off,section:0,value:0),time:(from:'2016-08-14 17:11:08-0600',mode:absolute,to:'2016-08-14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9" t="str">
            <v>N</v>
          </cell>
          <cell r="X129">
            <v>1</v>
          </cell>
          <cell r="Y129">
            <v>5.04E-2</v>
          </cell>
          <cell r="Z129">
            <v>23.331199999999999</v>
          </cell>
          <cell r="AA129">
            <v>23.280799999999999</v>
          </cell>
          <cell r="AB129" t="e">
            <v>#N/A</v>
          </cell>
          <cell r="AC129" t="e">
            <v>#N/A</v>
          </cell>
          <cell r="AD129" t="str">
            <v>0217-14</v>
          </cell>
          <cell r="AE129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30">
          <cell r="A130" t="str">
            <v>218-14</v>
          </cell>
          <cell r="B130">
            <v>4012</v>
          </cell>
          <cell r="C130" t="str">
            <v>DE.1.0.7.0</v>
          </cell>
          <cell r="D130" t="str">
            <v>204:232998</v>
          </cell>
          <cell r="E130">
            <v>42596.790706018517</v>
          </cell>
          <cell r="F130">
            <v>42596.79178240741</v>
          </cell>
          <cell r="G130">
            <v>1</v>
          </cell>
          <cell r="H130" t="str">
            <v>204:149</v>
          </cell>
          <cell r="I130">
            <v>42596.826018518521</v>
          </cell>
          <cell r="J130">
            <v>0</v>
          </cell>
          <cell r="K130" t="str">
            <v>4011/4012</v>
          </cell>
          <cell r="L130" t="str">
            <v>NEWELL</v>
          </cell>
          <cell r="M130">
            <v>3.4236111110658385E-2</v>
          </cell>
          <cell r="N130">
            <v>49.299999999348074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https://search-rtdc-monitor-bjffxe2xuh6vdkpspy63sjmuny.us-east-1.es.amazonaws.com/_plugin/kibana/#/discover/Steve-Slow-Train-Analysis-(2080s-and-2083s)?_g=(refreshInterval:(display:Off,section:0,value:0),time:(from:'2016-08-14 17:58:37-0600',mode:absolute,to:'2016-08-14 20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0" t="str">
            <v>N</v>
          </cell>
          <cell r="X130">
            <v>1</v>
          </cell>
          <cell r="Y130">
            <v>23.299800000000001</v>
          </cell>
          <cell r="Z130">
            <v>1.49E-2</v>
          </cell>
          <cell r="AA130">
            <v>23.2849</v>
          </cell>
          <cell r="AB130" t="e">
            <v>#N/A</v>
          </cell>
          <cell r="AC130" t="e">
            <v>#N/A</v>
          </cell>
          <cell r="AD130" t="str">
            <v>0218-14</v>
          </cell>
          <cell r="AE130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31">
          <cell r="A131" t="str">
            <v>219-14</v>
          </cell>
          <cell r="B131">
            <v>4025</v>
          </cell>
          <cell r="C131" t="str">
            <v>DE.1.0.7.0</v>
          </cell>
          <cell r="D131" t="str">
            <v>204:467</v>
          </cell>
          <cell r="E131">
            <v>42596.767256944448</v>
          </cell>
          <cell r="F131">
            <v>42596.768495370372</v>
          </cell>
          <cell r="G131">
            <v>1</v>
          </cell>
          <cell r="H131" t="str">
            <v>204:233208</v>
          </cell>
          <cell r="I131">
            <v>42596.79614583333</v>
          </cell>
          <cell r="J131">
            <v>0</v>
          </cell>
          <cell r="K131" t="str">
            <v>4025/4026</v>
          </cell>
          <cell r="L131" t="str">
            <v>STAMBAUGH</v>
          </cell>
          <cell r="M131">
            <v>2.7650462958263233E-2</v>
          </cell>
          <cell r="N131">
            <v>39.816666659899056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https://search-rtdc-monitor-bjffxe2xuh6vdkpspy63sjmuny.us-east-1.es.amazonaws.com/_plugin/kibana/#/discover/Steve-Slow-Train-Analysis-(2080s-and-2083s)?_g=(refreshInterval:(display:Off,section:0,value:0),time:(from:'2016-08-14 17:24:51-0600',mode:absolute,to:'2016-08-14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1" t="str">
            <v>N</v>
          </cell>
          <cell r="X131">
            <v>1</v>
          </cell>
          <cell r="Y131">
            <v>4.6699999999999998E-2</v>
          </cell>
          <cell r="Z131">
            <v>23.320799999999998</v>
          </cell>
          <cell r="AA131">
            <v>23.274099999999997</v>
          </cell>
          <cell r="AB131" t="e">
            <v>#N/A</v>
          </cell>
          <cell r="AC131" t="e">
            <v>#N/A</v>
          </cell>
          <cell r="AD131" t="str">
            <v>0219-14</v>
          </cell>
          <cell r="AE131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32">
          <cell r="A132" t="str">
            <v>220-14</v>
          </cell>
          <cell r="B132">
            <v>4026</v>
          </cell>
          <cell r="C132" t="str">
            <v>DE.1.0.7.0</v>
          </cell>
          <cell r="D132" t="str">
            <v>204:232887</v>
          </cell>
          <cell r="E132">
            <v>42596.807893518519</v>
          </cell>
          <cell r="F132">
            <v>42596.809548611112</v>
          </cell>
          <cell r="G132">
            <v>2</v>
          </cell>
          <cell r="H132" t="str">
            <v>204:134</v>
          </cell>
          <cell r="I132">
            <v>42596.836562500001</v>
          </cell>
          <cell r="J132">
            <v>0</v>
          </cell>
          <cell r="K132" t="str">
            <v>4025/4026</v>
          </cell>
          <cell r="L132" t="str">
            <v>STAMBAUGH</v>
          </cell>
          <cell r="M132">
            <v>2.7013888888177462E-2</v>
          </cell>
          <cell r="N132">
            <v>38.899999998975545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https://search-rtdc-monitor-bjffxe2xuh6vdkpspy63sjmuny.us-east-1.es.amazonaws.com/_plugin/kibana/#/discover/Steve-Slow-Train-Analysis-(2080s-and-2083s)?_g=(refreshInterval:(display:Off,section:0,value:0),time:(from:'2016-08-14 18:23:22-0600',mode:absolute,to:'2016-08-14 21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2" t="str">
            <v>N</v>
          </cell>
          <cell r="X132">
            <v>1</v>
          </cell>
          <cell r="Y132">
            <v>23.288699999999999</v>
          </cell>
          <cell r="Z132">
            <v>1.34E-2</v>
          </cell>
          <cell r="AA132">
            <v>23.275299999999998</v>
          </cell>
          <cell r="AB132" t="e">
            <v>#N/A</v>
          </cell>
          <cell r="AC132" t="e">
            <v>#N/A</v>
          </cell>
          <cell r="AD132" t="str">
            <v>0220-14</v>
          </cell>
          <cell r="AE132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33">
          <cell r="A133" t="str">
            <v>221-14</v>
          </cell>
          <cell r="B133">
            <v>4038</v>
          </cell>
          <cell r="C133" t="str">
            <v>DE.1.0.7.0</v>
          </cell>
          <cell r="D133" t="str">
            <v>204:467</v>
          </cell>
          <cell r="E133">
            <v>42596.787152777775</v>
          </cell>
          <cell r="F133">
            <v>42596.788148148145</v>
          </cell>
          <cell r="G133">
            <v>1</v>
          </cell>
          <cell r="H133" t="str">
            <v>204:233366</v>
          </cell>
          <cell r="I133">
            <v>42596.816192129627</v>
          </cell>
          <cell r="J133">
            <v>0</v>
          </cell>
          <cell r="K133" t="str">
            <v>4037/4038</v>
          </cell>
          <cell r="L133" t="str">
            <v>STORY</v>
          </cell>
          <cell r="M133">
            <v>2.8043981481459923E-2</v>
          </cell>
          <cell r="N133">
            <v>40.383333333302289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https://search-rtdc-monitor-bjffxe2xuh6vdkpspy63sjmuny.us-east-1.es.amazonaws.com/_plugin/kibana/#/discover/Steve-Slow-Train-Analysis-(2080s-and-2083s)?_g=(refreshInterval:(display:Off,section:0,value:0),time:(from:'2016-08-14 17:53:30-0600',mode:absolute,to:'2016-08-14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3" t="str">
            <v>N</v>
          </cell>
          <cell r="X133">
            <v>1</v>
          </cell>
          <cell r="Y133">
            <v>4.6699999999999998E-2</v>
          </cell>
          <cell r="Z133">
            <v>23.336600000000001</v>
          </cell>
          <cell r="AA133">
            <v>23.289899999999999</v>
          </cell>
          <cell r="AB133" t="e">
            <v>#N/A</v>
          </cell>
          <cell r="AC133" t="e">
            <v>#N/A</v>
          </cell>
          <cell r="AD133" t="str">
            <v>0221-14</v>
          </cell>
          <cell r="AE133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34">
          <cell r="A134" t="str">
            <v>222-14</v>
          </cell>
          <cell r="B134">
            <v>4037</v>
          </cell>
          <cell r="C134" t="str">
            <v>DE.1.0.7.0</v>
          </cell>
          <cell r="D134" t="str">
            <v>204:233047</v>
          </cell>
          <cell r="E134">
            <v>42596.821319444447</v>
          </cell>
          <cell r="F134">
            <v>42596.822337962964</v>
          </cell>
          <cell r="G134">
            <v>1</v>
          </cell>
          <cell r="H134" t="str">
            <v>204:252</v>
          </cell>
          <cell r="I134">
            <v>42596.857789351852</v>
          </cell>
          <cell r="J134">
            <v>0</v>
          </cell>
          <cell r="K134" t="str">
            <v>4037/4038</v>
          </cell>
          <cell r="L134" t="str">
            <v>STORY</v>
          </cell>
          <cell r="M134">
            <v>3.5451388888759539E-2</v>
          </cell>
          <cell r="N134">
            <v>51.049999999813735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https://search-rtdc-monitor-bjffxe2xuh6vdkpspy63sjmuny.us-east-1.es.amazonaws.com/_plugin/kibana/#/discover/Steve-Slow-Train-Analysis-(2080s-and-2083s)?_g=(refreshInterval:(display:Off,section:0,value:0),time:(from:'2016-08-14 18:42:42-0600',mode:absolute,to:'2016-08-14 21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4" t="str">
            <v>N</v>
          </cell>
          <cell r="X134">
            <v>1</v>
          </cell>
          <cell r="Y134">
            <v>23.3047</v>
          </cell>
          <cell r="Z134">
            <v>2.52E-2</v>
          </cell>
          <cell r="AA134">
            <v>23.279499999999999</v>
          </cell>
          <cell r="AB134" t="e">
            <v>#N/A</v>
          </cell>
          <cell r="AC134" t="e">
            <v>#N/A</v>
          </cell>
          <cell r="AD134" t="str">
            <v>0222-14</v>
          </cell>
          <cell r="AE134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35">
          <cell r="A135" t="str">
            <v>223-14</v>
          </cell>
          <cell r="B135">
            <v>4029</v>
          </cell>
          <cell r="C135" t="str">
            <v>DE.1.0.7.0</v>
          </cell>
          <cell r="D135" t="str">
            <v>204:522</v>
          </cell>
          <cell r="E135">
            <v>42596.807384259257</v>
          </cell>
          <cell r="F135">
            <v>42596.808472222219</v>
          </cell>
          <cell r="G135">
            <v>1</v>
          </cell>
          <cell r="H135" t="str">
            <v>204:233306</v>
          </cell>
          <cell r="I135">
            <v>42596.839398148149</v>
          </cell>
          <cell r="J135">
            <v>0</v>
          </cell>
          <cell r="K135" t="str">
            <v>4029/4030</v>
          </cell>
          <cell r="L135" t="str">
            <v>COOLAHAN</v>
          </cell>
          <cell r="M135">
            <v>3.0925925930205267E-2</v>
          </cell>
          <cell r="N135">
            <v>44.533333339495584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https://search-rtdc-monitor-bjffxe2xuh6vdkpspy63sjmuny.us-east-1.es.amazonaws.com/_plugin/kibana/#/discover/Steve-Slow-Train-Analysis-(2080s-and-2083s)?_g=(refreshInterval:(display:Off,section:0,value:0),time:(from:'2016-08-14 18:22:38-0600',mode:absolute,to:'2016-08-14 21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5" t="str">
            <v>N</v>
          </cell>
          <cell r="X135">
            <v>1</v>
          </cell>
          <cell r="Y135">
            <v>5.2200000000000003E-2</v>
          </cell>
          <cell r="Z135">
            <v>23.3306</v>
          </cell>
          <cell r="AA135">
            <v>23.278400000000001</v>
          </cell>
          <cell r="AB135" t="e">
            <v>#N/A</v>
          </cell>
          <cell r="AC135" t="e">
            <v>#N/A</v>
          </cell>
          <cell r="AD135" t="str">
            <v>0223-14</v>
          </cell>
          <cell r="AE135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36">
          <cell r="A136" t="str">
            <v>224-14</v>
          </cell>
          <cell r="B136">
            <v>4030</v>
          </cell>
          <cell r="C136" t="str">
            <v>DE.1.0.7.0</v>
          </cell>
          <cell r="D136" t="str">
            <v>204:232979</v>
          </cell>
          <cell r="E136">
            <v>42596.847488425927</v>
          </cell>
          <cell r="F136">
            <v>42596.849456018521</v>
          </cell>
          <cell r="G136">
            <v>2</v>
          </cell>
          <cell r="H136" t="str">
            <v>204:149</v>
          </cell>
          <cell r="I136">
            <v>42596.880196759259</v>
          </cell>
          <cell r="J136">
            <v>0</v>
          </cell>
          <cell r="K136" t="str">
            <v>4029/4030</v>
          </cell>
          <cell r="L136" t="str">
            <v>COOLAHAN</v>
          </cell>
          <cell r="M136">
            <v>3.0740740738110617E-2</v>
          </cell>
          <cell r="N136">
            <v>44.266666662879288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https://search-rtdc-monitor-bjffxe2xuh6vdkpspy63sjmuny.us-east-1.es.amazonaws.com/_plugin/kibana/#/discover/Steve-Slow-Train-Analysis-(2080s-and-2083s)?_g=(refreshInterval:(display:Off,section:0,value:0),time:(from:'2016-08-14 19:20:23-0600',mode:absolute,to:'2016-08-14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6" t="str">
            <v>N</v>
          </cell>
          <cell r="X136">
            <v>1</v>
          </cell>
          <cell r="Y136">
            <v>23.297899999999998</v>
          </cell>
          <cell r="Z136">
            <v>1.49E-2</v>
          </cell>
          <cell r="AA136">
            <v>23.282999999999998</v>
          </cell>
          <cell r="AB136">
            <v>42961</v>
          </cell>
          <cell r="AC136" t="str">
            <v>GRADE CROSSING</v>
          </cell>
          <cell r="AD136" t="str">
            <v>0224-14</v>
          </cell>
          <cell r="AE136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37">
          <cell r="A137" t="str">
            <v>225-14</v>
          </cell>
          <cell r="B137">
            <v>4011</v>
          </cell>
          <cell r="C137" t="str">
            <v>DE.1.0.7.0</v>
          </cell>
          <cell r="D137" t="str">
            <v>204:480</v>
          </cell>
          <cell r="E137">
            <v>42596.828067129631</v>
          </cell>
          <cell r="F137">
            <v>42596.829016203701</v>
          </cell>
          <cell r="G137">
            <v>1</v>
          </cell>
          <cell r="H137" t="str">
            <v>204:233332</v>
          </cell>
          <cell r="I137">
            <v>42596.858518518522</v>
          </cell>
          <cell r="J137">
            <v>0</v>
          </cell>
          <cell r="K137" t="str">
            <v>4011/4012</v>
          </cell>
          <cell r="L137" t="str">
            <v>NEWELL</v>
          </cell>
          <cell r="M137">
            <v>2.9502314821002074E-2</v>
          </cell>
          <cell r="N137">
            <v>42.483333342242986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https://search-rtdc-monitor-bjffxe2xuh6vdkpspy63sjmuny.us-east-1.es.amazonaws.com/_plugin/kibana/#/discover/Steve-Slow-Train-Analysis-(2080s-and-2083s)?_g=(refreshInterval:(display:Off,section:0,value:0),time:(from:'2016-08-14 18:52:25-0600',mode:absolute,to:'2016-08-14 21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7" t="str">
            <v>N</v>
          </cell>
          <cell r="X137">
            <v>1</v>
          </cell>
          <cell r="Y137">
            <v>4.8000000000000001E-2</v>
          </cell>
          <cell r="Z137">
            <v>23.333200000000001</v>
          </cell>
          <cell r="AA137">
            <v>23.285200000000003</v>
          </cell>
          <cell r="AB137" t="e">
            <v>#N/A</v>
          </cell>
          <cell r="AC137" t="e">
            <v>#N/A</v>
          </cell>
          <cell r="AD137" t="str">
            <v>0225-14</v>
          </cell>
          <cell r="AE137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38">
          <cell r="A138" t="str">
            <v>226-14</v>
          </cell>
          <cell r="B138">
            <v>4012</v>
          </cell>
          <cell r="C138" t="str">
            <v>DE.1.0.7.0</v>
          </cell>
          <cell r="D138" t="str">
            <v>204:233007</v>
          </cell>
          <cell r="E138">
            <v>42596.86</v>
          </cell>
          <cell r="F138">
            <v>42596.860706018517</v>
          </cell>
          <cell r="G138">
            <v>1</v>
          </cell>
          <cell r="H138" t="str">
            <v>204:139</v>
          </cell>
          <cell r="I138">
            <v>42596.898877314816</v>
          </cell>
          <cell r="J138">
            <v>0</v>
          </cell>
          <cell r="K138" t="str">
            <v>4011/4012</v>
          </cell>
          <cell r="L138" t="str">
            <v>NEWELL</v>
          </cell>
          <cell r="M138">
            <v>3.8171296298969537E-2</v>
          </cell>
          <cell r="N138">
            <v>54.966666670516133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https://search-rtdc-monitor-bjffxe2xuh6vdkpspy63sjmuny.us-east-1.es.amazonaws.com/_plugin/kibana/#/discover/Steve-Slow-Train-Analysis-(2080s-and-2083s)?_g=(refreshInterval:(display:Off,section:0,value:0),time:(from:'2016-08-14 19:38:24-0600',mode:absolute,to:'2016-08-14 22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8" t="str">
            <v>N</v>
          </cell>
          <cell r="X138">
            <v>1</v>
          </cell>
          <cell r="Y138">
            <v>23.300699999999999</v>
          </cell>
          <cell r="Z138">
            <v>1.3899999999999999E-2</v>
          </cell>
          <cell r="AA138">
            <v>23.286799999999999</v>
          </cell>
          <cell r="AB138" t="e">
            <v>#N/A</v>
          </cell>
          <cell r="AC138" t="e">
            <v>#N/A</v>
          </cell>
          <cell r="AD138" t="str">
            <v>0226-14</v>
          </cell>
          <cell r="AE138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39">
          <cell r="A139" t="str">
            <v>227-14</v>
          </cell>
          <cell r="B139">
            <v>4025</v>
          </cell>
          <cell r="C139" t="str">
            <v>DE.1.0.7.0</v>
          </cell>
          <cell r="D139" t="str">
            <v>204:440</v>
          </cell>
          <cell r="E139">
            <v>42596.839143518519</v>
          </cell>
          <cell r="F139">
            <v>42596.84070601852</v>
          </cell>
          <cell r="G139">
            <v>2</v>
          </cell>
          <cell r="H139" t="str">
            <v>204:233310</v>
          </cell>
          <cell r="I139">
            <v>42596.879884259259</v>
          </cell>
          <cell r="J139">
            <v>0</v>
          </cell>
          <cell r="K139" t="str">
            <v>4025/4026</v>
          </cell>
          <cell r="L139" t="str">
            <v>STAMBAUGH</v>
          </cell>
          <cell r="M139">
            <v>3.9178240738692693E-2</v>
          </cell>
          <cell r="N139">
            <v>56.416666663717479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https://search-rtdc-monitor-bjffxe2xuh6vdkpspy63sjmuny.us-east-1.es.amazonaws.com/_plugin/kibana/#/discover/Steve-Slow-Train-Analysis-(2080s-and-2083s)?_g=(refreshInterval:(display:Off,section:0,value:0),time:(from:'2016-08-14 19:08:22-0600',mode:absolute,to:'2016-08-14 22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9" t="str">
            <v>N</v>
          </cell>
          <cell r="X139">
            <v>1</v>
          </cell>
          <cell r="Y139">
            <v>4.3999999999999997E-2</v>
          </cell>
          <cell r="Z139">
            <v>23.331</v>
          </cell>
          <cell r="AA139">
            <v>23.286999999999999</v>
          </cell>
          <cell r="AB139" t="e">
            <v>#N/A</v>
          </cell>
          <cell r="AC139" t="e">
            <v>#N/A</v>
          </cell>
          <cell r="AD139" t="str">
            <v>0227-14</v>
          </cell>
          <cell r="AE139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0">
          <cell r="A140" t="str">
            <v>228-14</v>
          </cell>
          <cell r="B140">
            <v>4026</v>
          </cell>
          <cell r="C140" t="str">
            <v>DE.1.0.7.0</v>
          </cell>
          <cell r="D140" t="str">
            <v>204:232998</v>
          </cell>
          <cell r="E140">
            <v>42596.889988425923</v>
          </cell>
          <cell r="F140">
            <v>42596.890810185185</v>
          </cell>
          <cell r="G140">
            <v>1</v>
          </cell>
          <cell r="H140" t="str">
            <v>204:152</v>
          </cell>
          <cell r="I140">
            <v>42596.919652777775</v>
          </cell>
          <cell r="J140">
            <v>0</v>
          </cell>
          <cell r="K140" t="str">
            <v>4025/4026</v>
          </cell>
          <cell r="L140" t="str">
            <v>STAMBAUGH</v>
          </cell>
          <cell r="M140">
            <v>2.884259259008104E-2</v>
          </cell>
          <cell r="N140">
            <v>41.533333329716697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https://search-rtdc-monitor-bjffxe2xuh6vdkpspy63sjmuny.us-east-1.es.amazonaws.com/_plugin/kibana/#/discover/Steve-Slow-Train-Analysis-(2080s-and-2083s)?_g=(refreshInterval:(display:Off,section:0,value:0),time:(from:'2016-08-14 20:21:35-0600',mode:absolute,to:'2016-08-14 23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0" t="str">
            <v>N</v>
          </cell>
          <cell r="X140">
            <v>1</v>
          </cell>
          <cell r="Y140">
            <v>23.299800000000001</v>
          </cell>
          <cell r="Z140">
            <v>1.52E-2</v>
          </cell>
          <cell r="AA140">
            <v>23.284600000000001</v>
          </cell>
          <cell r="AB140" t="e">
            <v>#N/A</v>
          </cell>
          <cell r="AC140" t="e">
            <v>#N/A</v>
          </cell>
          <cell r="AD140" t="str">
            <v>0228-14</v>
          </cell>
          <cell r="AE140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41">
          <cell r="A141" t="str">
            <v>229-14</v>
          </cell>
          <cell r="B141">
            <v>4038</v>
          </cell>
          <cell r="C141" t="str">
            <v>DE.1.0.7.0</v>
          </cell>
          <cell r="D141" t="str">
            <v>204:571</v>
          </cell>
          <cell r="E141">
            <v>42596.8675</v>
          </cell>
          <cell r="F141">
            <v>42596.868414351855</v>
          </cell>
          <cell r="G141">
            <v>1</v>
          </cell>
          <cell r="H141" t="str">
            <v>204:233346</v>
          </cell>
          <cell r="I141">
            <v>42596.900694444441</v>
          </cell>
          <cell r="J141">
            <v>0</v>
          </cell>
          <cell r="K141" t="str">
            <v>4037/4038</v>
          </cell>
          <cell r="L141" t="str">
            <v>STORY</v>
          </cell>
          <cell r="M141">
            <v>3.2280092586006504E-2</v>
          </cell>
          <cell r="N141">
            <v>46.483333323849365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https://search-rtdc-monitor-bjffxe2xuh6vdkpspy63sjmuny.us-east-1.es.amazonaws.com/_plugin/kibana/#/discover/Steve-Slow-Train-Analysis-(2080s-and-2083s)?_g=(refreshInterval:(display:Off,section:0,value:0),time:(from:'2016-08-14 19:49:12-0600',mode:absolute,to:'2016-08-14 22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1" t="str">
            <v>N</v>
          </cell>
          <cell r="X141">
            <v>1</v>
          </cell>
          <cell r="Y141">
            <v>5.7099999999999998E-2</v>
          </cell>
          <cell r="Z141">
            <v>23.334599999999998</v>
          </cell>
          <cell r="AA141">
            <v>23.2775</v>
          </cell>
          <cell r="AB141" t="e">
            <v>#N/A</v>
          </cell>
          <cell r="AC141" t="e">
            <v>#N/A</v>
          </cell>
          <cell r="AD141" t="str">
            <v>0229-14</v>
          </cell>
          <cell r="AE141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42">
          <cell r="A142" t="str">
            <v>230-14</v>
          </cell>
          <cell r="B142">
            <v>4037</v>
          </cell>
          <cell r="C142" t="str">
            <v>DE.1.0.7.0</v>
          </cell>
          <cell r="D142" t="str">
            <v>204:233028</v>
          </cell>
          <cell r="E142">
            <v>42596.90457175926</v>
          </cell>
          <cell r="F142">
            <v>42596.905810185184</v>
          </cell>
          <cell r="G142">
            <v>1</v>
          </cell>
          <cell r="H142" t="str">
            <v>204:170</v>
          </cell>
          <cell r="I142">
            <v>42596.941099537034</v>
          </cell>
          <cell r="J142">
            <v>0</v>
          </cell>
          <cell r="K142" t="str">
            <v>4037/4038</v>
          </cell>
          <cell r="L142" t="str">
            <v>STORY</v>
          </cell>
          <cell r="M142">
            <v>3.5289351850224193E-2</v>
          </cell>
          <cell r="N142">
            <v>50.816666664322838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https://search-rtdc-monitor-bjffxe2xuh6vdkpspy63sjmuny.us-east-1.es.amazonaws.com/_plugin/kibana/#/discover/Steve-Slow-Train-Analysis-(2080s-and-2083s)?_g=(refreshInterval:(display:Off,section:0,value:0),time:(from:'2016-08-14 20:42:35-0600',mode:absolute,to:'2016-08-14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2" t="str">
            <v>N</v>
          </cell>
          <cell r="X142">
            <v>1</v>
          </cell>
          <cell r="Y142">
            <v>23.302800000000001</v>
          </cell>
          <cell r="Z142">
            <v>1.7000000000000001E-2</v>
          </cell>
          <cell r="AA142">
            <v>23.285800000000002</v>
          </cell>
          <cell r="AB142" t="e">
            <v>#N/A</v>
          </cell>
          <cell r="AC142" t="e">
            <v>#N/A</v>
          </cell>
          <cell r="AD142" t="str">
            <v>0230-14</v>
          </cell>
          <cell r="AE142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43">
          <cell r="A143" t="str">
            <v>231-14</v>
          </cell>
          <cell r="B143">
            <v>4029</v>
          </cell>
          <cell r="C143" t="str">
            <v>DE.1.0.7.0</v>
          </cell>
          <cell r="D143" t="str">
            <v>204:460</v>
          </cell>
          <cell r="E143">
            <v>42596.892604166664</v>
          </cell>
          <cell r="F143">
            <v>42596.893506944441</v>
          </cell>
          <cell r="G143">
            <v>1</v>
          </cell>
          <cell r="H143" t="str">
            <v>204:233274</v>
          </cell>
          <cell r="I143">
            <v>42596.92119212963</v>
          </cell>
          <cell r="J143">
            <v>0</v>
          </cell>
          <cell r="K143" t="str">
            <v>4029/4030</v>
          </cell>
          <cell r="L143" t="str">
            <v>COOLAHAN</v>
          </cell>
          <cell r="M143">
            <v>2.768518518860219E-2</v>
          </cell>
          <cell r="N143">
            <v>39.866666671587154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https://search-rtdc-monitor-bjffxe2xuh6vdkpspy63sjmuny.us-east-1.es.amazonaws.com/_plugin/kibana/#/discover/Steve-Slow-Train-Analysis-(2080s-and-2083s)?_g=(refreshInterval:(display:Off,section:0,value:0),time:(from:'2016-08-14 20:25:21-0600',mode:absolute,to:'2016-08-14 23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3" t="str">
            <v>N</v>
          </cell>
          <cell r="X143">
            <v>1</v>
          </cell>
          <cell r="Y143">
            <v>4.5999999999999999E-2</v>
          </cell>
          <cell r="Z143">
            <v>23.327400000000001</v>
          </cell>
          <cell r="AA143">
            <v>23.281400000000001</v>
          </cell>
          <cell r="AB143" t="e">
            <v>#N/A</v>
          </cell>
          <cell r="AC143" t="e">
            <v>#N/A</v>
          </cell>
          <cell r="AD143" t="str">
            <v>0231-14</v>
          </cell>
          <cell r="AE143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44">
          <cell r="A144" t="str">
            <v>232-14</v>
          </cell>
          <cell r="B144">
            <v>4030</v>
          </cell>
          <cell r="C144" t="str">
            <v>DE.1.0.7.0</v>
          </cell>
          <cell r="D144" t="str">
            <v>204:232959</v>
          </cell>
          <cell r="E144">
            <v>42596.927858796298</v>
          </cell>
          <cell r="F144">
            <v>42596.932175925926</v>
          </cell>
          <cell r="G144">
            <v>6</v>
          </cell>
          <cell r="H144" t="str">
            <v>204:160</v>
          </cell>
          <cell r="I144">
            <v>42596.962372685186</v>
          </cell>
          <cell r="J144">
            <v>0</v>
          </cell>
          <cell r="K144" t="str">
            <v>4029/4030</v>
          </cell>
          <cell r="L144" t="str">
            <v>COOLAHAN</v>
          </cell>
          <cell r="M144">
            <v>3.0196759260434192E-2</v>
          </cell>
          <cell r="N144">
            <v>43.483333335025236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https://search-rtdc-monitor-bjffxe2xuh6vdkpspy63sjmuny.us-east-1.es.amazonaws.com/_plugin/kibana/#/discover/Steve-Slow-Train-Analysis-(2080s-and-2083s)?_g=(refreshInterval:(display:Off,section:0,value:0),time:(from:'2016-08-14 21:16:07-0600',mode:absolute,to:'2016-08-15 00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4" t="str">
            <v>N</v>
          </cell>
          <cell r="X144">
            <v>1</v>
          </cell>
          <cell r="Y144">
            <v>23.2959</v>
          </cell>
          <cell r="Z144">
            <v>1.6E-2</v>
          </cell>
          <cell r="AA144">
            <v>23.279900000000001</v>
          </cell>
          <cell r="AB144">
            <v>190834</v>
          </cell>
          <cell r="AC144" t="str">
            <v>PERMANENT SPEED RESTRICTION</v>
          </cell>
          <cell r="AD144" t="str">
            <v>0232-14</v>
          </cell>
          <cell r="AE144" t="str">
    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    </cell>
        </row>
        <row r="145">
          <cell r="A145" t="str">
            <v>233-14</v>
          </cell>
          <cell r="B145">
            <v>4011</v>
          </cell>
          <cell r="C145" t="str">
            <v>DE.1.0.7.0</v>
          </cell>
          <cell r="D145" t="str">
            <v>204:437</v>
          </cell>
          <cell r="E145">
            <v>42596.908692129633</v>
          </cell>
          <cell r="F145">
            <v>42596.909861111111</v>
          </cell>
          <cell r="G145">
            <v>1</v>
          </cell>
          <cell r="H145" t="str">
            <v>204:233278</v>
          </cell>
          <cell r="I145">
            <v>42596.94326388889</v>
          </cell>
          <cell r="J145">
            <v>0</v>
          </cell>
          <cell r="K145" t="str">
            <v>4011/4012</v>
          </cell>
          <cell r="L145" t="str">
            <v>NEWELL</v>
          </cell>
          <cell r="M145">
            <v>3.3402777778974269E-2</v>
          </cell>
          <cell r="N145">
            <v>48.100000001722947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https://search-rtdc-monitor-bjffxe2xuh6vdkpspy63sjmuny.us-east-1.es.amazonaws.com/_plugin/kibana/#/discover/Steve-Slow-Train-Analysis-(2080s-and-2083s)?_g=(refreshInterval:(display:Off,section:0,value:0),time:(from:'2016-08-14 20:48:31-0600',mode:absolute,to:'2016-08-14 23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5" t="str">
            <v>N</v>
          </cell>
          <cell r="X145">
            <v>1</v>
          </cell>
          <cell r="Y145">
            <v>4.3700000000000003E-2</v>
          </cell>
          <cell r="Z145">
            <v>23.3278</v>
          </cell>
          <cell r="AA145">
            <v>23.284099999999999</v>
          </cell>
          <cell r="AB145" t="e">
            <v>#N/A</v>
          </cell>
          <cell r="AC145" t="e">
            <v>#N/A</v>
          </cell>
          <cell r="AD145" t="str">
            <v>0233-14</v>
          </cell>
          <cell r="AE145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46">
          <cell r="A146" t="str">
            <v>234-14</v>
          </cell>
          <cell r="B146">
            <v>4012</v>
          </cell>
          <cell r="C146" t="str">
            <v>DE.1.0.7.0</v>
          </cell>
          <cell r="D146" t="str">
            <v>204:233011</v>
          </cell>
          <cell r="E146">
            <v>42596.952743055554</v>
          </cell>
          <cell r="F146">
            <v>42596.953645833331</v>
          </cell>
          <cell r="G146">
            <v>1</v>
          </cell>
          <cell r="H146" t="str">
            <v>204:141</v>
          </cell>
          <cell r="I146">
            <v>42596.984699074077</v>
          </cell>
          <cell r="J146">
            <v>0</v>
          </cell>
          <cell r="K146" t="str">
            <v>4011/4012</v>
          </cell>
          <cell r="L146" t="str">
            <v>NEWELL</v>
          </cell>
          <cell r="M146">
            <v>3.1053240745677613E-2</v>
          </cell>
          <cell r="N146">
            <v>44.716666673775762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https://search-rtdc-monitor-bjffxe2xuh6vdkpspy63sjmuny.us-east-1.es.amazonaws.com/_plugin/kibana/#/discover/Steve-Slow-Train-Analysis-(2080s-and-2083s)?_g=(refreshInterval:(display:Off,section:0,value:0),time:(from:'2016-08-14 21:51:57-0600',mode:absolute,to:'2016-08-15 00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6" t="str">
            <v>N</v>
          </cell>
          <cell r="X146">
            <v>1</v>
          </cell>
          <cell r="Y146">
            <v>23.301100000000002</v>
          </cell>
          <cell r="Z146">
            <v>1.41E-2</v>
          </cell>
          <cell r="AA146">
            <v>23.287000000000003</v>
          </cell>
          <cell r="AB146" t="e">
            <v>#N/A</v>
          </cell>
          <cell r="AC146" t="e">
            <v>#N/A</v>
          </cell>
          <cell r="AD146" t="str">
            <v>0234-14</v>
          </cell>
          <cell r="AE146" t="str">
    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    </cell>
        </row>
        <row r="147">
          <cell r="A147" t="str">
            <v>235-14</v>
          </cell>
          <cell r="B147">
            <v>4025</v>
          </cell>
          <cell r="C147" t="str">
            <v>DE.1.0.7.0</v>
          </cell>
          <cell r="D147" t="str">
            <v>204:1650</v>
          </cell>
          <cell r="E147">
            <v>42596.934629629628</v>
          </cell>
          <cell r="F147">
            <v>42596.938738425924</v>
          </cell>
          <cell r="G147">
            <v>5</v>
          </cell>
          <cell r="H147" t="str">
            <v>204:1861</v>
          </cell>
          <cell r="I147">
            <v>42596.939664351848</v>
          </cell>
          <cell r="J147">
            <v>0</v>
          </cell>
          <cell r="K147" t="str">
            <v>4025/4026</v>
          </cell>
          <cell r="L147" t="str">
            <v>STAMBAUGH</v>
          </cell>
          <cell r="M147">
            <v>9.2592592409346253E-4</v>
          </cell>
          <cell r="P147">
            <v>31.233333331765607</v>
          </cell>
          <cell r="R147" t="str">
            <v>TMDS sent repeated consist updates</v>
          </cell>
          <cell r="S147">
            <v>1</v>
          </cell>
          <cell r="T147" t="str">
            <v>NorthBound</v>
          </cell>
          <cell r="U147">
            <v>0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https://search-rtdc-monitor-bjffxe2xuh6vdkpspy63sjmuny.us-east-1.es.amazonaws.com/_plugin/kibana/#/discover/Steve-Slow-Train-Analysis-(2080s-and-2083s)?_g=(refreshInterval:(display:Off,section:0,value:0),time:(from:'2016-08-14 21:25:52-0600',mode:absolute,to:'2016-08-14 23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7" t="str">
            <v>Y</v>
          </cell>
          <cell r="X147">
            <v>1</v>
          </cell>
          <cell r="Y147">
            <v>0.16500000000000001</v>
          </cell>
          <cell r="Z147">
            <v>0.18609999999999999</v>
          </cell>
          <cell r="AA147">
            <v>2.109999999999998E-2</v>
          </cell>
          <cell r="AB147">
            <v>1692</v>
          </cell>
          <cell r="AC147" t="str">
            <v>SIGNAL</v>
          </cell>
          <cell r="AD147" t="str">
            <v>0235-14</v>
          </cell>
          <cell r="AE147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8">
          <cell r="A148" t="str">
            <v>235-14</v>
          </cell>
          <cell r="B148">
            <v>4025</v>
          </cell>
          <cell r="C148" t="str">
            <v>DE.1.0.7.0</v>
          </cell>
          <cell r="D148" t="str">
            <v>204:19118</v>
          </cell>
          <cell r="E148">
            <v>42596.942476851851</v>
          </cell>
          <cell r="F148">
            <v>42596.943287037036</v>
          </cell>
          <cell r="G148">
            <v>1</v>
          </cell>
          <cell r="H148" t="str">
            <v>204:233322</v>
          </cell>
          <cell r="I148">
            <v>42596.964050925926</v>
          </cell>
          <cell r="J148">
            <v>0</v>
          </cell>
          <cell r="K148" t="str">
            <v>4025/4026</v>
          </cell>
          <cell r="L148" t="str">
            <v>STAMBAUGH</v>
          </cell>
          <cell r="M148">
            <v>2.0763888889632653E-2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https://search-rtdc-monitor-bjffxe2xuh6vdkpspy63sjmuny.us-east-1.es.amazonaws.com/_plugin/kibana/#/discover/Steve-Slow-Train-Analysis-(2080s-and-2083s)?_g=(refreshInterval:(display:Off,section:0,value:0),time:(from:'2016-08-14 21:37:10-0600',mode:absolute,to:'2016-08-15 00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8" t="str">
            <v>Y</v>
          </cell>
          <cell r="X148">
            <v>0</v>
          </cell>
          <cell r="Y148">
            <v>1.9117999999999999</v>
          </cell>
          <cell r="Z148">
            <v>23.3322</v>
          </cell>
          <cell r="AA148">
            <v>21.420400000000001</v>
          </cell>
          <cell r="AB148">
            <v>1692</v>
          </cell>
          <cell r="AC148" t="str">
            <v>SIGNAL</v>
          </cell>
          <cell r="AD148" t="str">
            <v>0235-14</v>
          </cell>
          <cell r="AE148" t="str">
    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    </cell>
        </row>
        <row r="149">
          <cell r="A149" t="str">
            <v>236-14</v>
          </cell>
          <cell r="B149">
            <v>4026</v>
          </cell>
          <cell r="C149" t="str">
            <v>DE.1.0.7.0</v>
          </cell>
          <cell r="D149" t="str">
            <v>204:233000</v>
          </cell>
          <cell r="E149">
            <v>42596.972962962966</v>
          </cell>
          <cell r="F149">
            <v>42596.973912037036</v>
          </cell>
          <cell r="G149">
            <v>1</v>
          </cell>
          <cell r="H149" t="str">
            <v>204:334</v>
          </cell>
          <cell r="I149">
            <v>42597.003935185188</v>
          </cell>
          <cell r="J149">
            <v>0</v>
          </cell>
          <cell r="K149" t="str">
            <v>4025/4026</v>
          </cell>
          <cell r="L149" t="str">
            <v>STAMBAUGH</v>
          </cell>
          <cell r="M149">
            <v>3.0023148152395152E-2</v>
          </cell>
          <cell r="N149">
            <v>43.233333339449018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https://search-rtdc-monitor-bjffxe2xuh6vdkpspy63sjmuny.us-east-1.es.amazonaws.com/_plugin/kibana/#/discover/Steve-Slow-Train-Analysis-(2080s-and-2083s)?_g=(refreshInterval:(display:Off,section:0,value:0),time:(from:'2016-08-14 22:21:04-0600',mode:absolute,to:'2016-08-15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9" t="str">
            <v>N</v>
          </cell>
          <cell r="X149">
            <v>1</v>
          </cell>
          <cell r="Y149">
            <v>23.3</v>
          </cell>
          <cell r="Z149">
            <v>3.3399999999999999E-2</v>
          </cell>
          <cell r="AA149">
            <v>23.2666</v>
          </cell>
          <cell r="AB149" t="e">
            <v>#N/A</v>
          </cell>
          <cell r="AC149" t="e">
            <v>#N/A</v>
          </cell>
          <cell r="AD149" t="str">
            <v>0236-14</v>
          </cell>
          <cell r="AE149" t="str">
    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    </cell>
        </row>
        <row r="150">
          <cell r="A150" t="str">
            <v>237-14</v>
          </cell>
          <cell r="B150">
            <v>4038</v>
          </cell>
          <cell r="C150" t="str">
            <v>DE.1.0.7.0</v>
          </cell>
          <cell r="D150" t="str">
            <v>204:464</v>
          </cell>
          <cell r="E150">
            <v>42596.954351851855</v>
          </cell>
          <cell r="F150">
            <v>42596.955277777779</v>
          </cell>
          <cell r="G150">
            <v>1</v>
          </cell>
          <cell r="H150" t="str">
            <v>204:233316</v>
          </cell>
          <cell r="I150">
            <v>42596.983263888891</v>
          </cell>
          <cell r="J150">
            <v>0</v>
          </cell>
          <cell r="K150" t="str">
            <v>4037/4038</v>
          </cell>
          <cell r="L150" t="str">
            <v>STORY</v>
          </cell>
          <cell r="M150">
            <v>2.7986111112113576E-2</v>
          </cell>
          <cell r="N150">
            <v>40.30000000144355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https://search-rtdc-monitor-bjffxe2xuh6vdkpspy63sjmuny.us-east-1.es.amazonaws.com/_plugin/kibana/#/discover/Steve-Slow-Train-Analysis-(2080s-and-2083s)?_g=(refreshInterval:(display:Off,section:0,value:0),time:(from:'2016-08-14 21:54:16-0600',mode:absolute,to:'2016-08-15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0" t="str">
            <v>N</v>
          </cell>
          <cell r="X150">
            <v>1</v>
          </cell>
          <cell r="Y150">
            <v>4.6399999999999997E-2</v>
          </cell>
          <cell r="Z150">
            <v>23.331600000000002</v>
          </cell>
          <cell r="AA150">
            <v>23.285200000000003</v>
          </cell>
          <cell r="AB150" t="e">
            <v>#N/A</v>
          </cell>
          <cell r="AC150" t="e">
            <v>#N/A</v>
          </cell>
          <cell r="AD150" t="str">
            <v>0237-14</v>
          </cell>
          <cell r="AE150" t="str">
    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    </cell>
        </row>
        <row r="151">
          <cell r="A151" t="str">
            <v>238-14</v>
          </cell>
          <cell r="B151">
            <v>4037</v>
          </cell>
          <cell r="C151" t="str">
            <v>DE.1.0.7.0</v>
          </cell>
          <cell r="D151" t="str">
            <v>204:233001</v>
          </cell>
          <cell r="E151">
            <v>42596.989317129628</v>
          </cell>
          <cell r="F151">
            <v>42596.990428240744</v>
          </cell>
          <cell r="G151">
            <v>1</v>
          </cell>
          <cell r="H151" t="str">
            <v>204:121</v>
          </cell>
          <cell r="I151">
            <v>42597.026770833334</v>
          </cell>
          <cell r="J151">
            <v>0</v>
          </cell>
          <cell r="K151" t="str">
            <v>4037/4038</v>
          </cell>
          <cell r="L151" t="str">
            <v>STORY</v>
          </cell>
          <cell r="M151">
            <v>3.6342592589790002E-2</v>
          </cell>
          <cell r="N151">
            <v>52.333333329297602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https://search-rtdc-monitor-bjffxe2xuh6vdkpspy63sjmuny.us-east-1.es.amazonaws.com/_plugin/kibana/#/discover/Steve-Slow-Train-Analysis-(2080s-and-2083s)?_g=(refreshInterval:(display:Off,section:0,value:0),time:(from:'2016-08-14 22:44:37-0600',mode:absolute,to:'2016-08-15 01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1" t="str">
            <v>N</v>
          </cell>
          <cell r="X151">
            <v>1</v>
          </cell>
          <cell r="Y151">
            <v>23.3001</v>
          </cell>
          <cell r="Z151">
            <v>1.21E-2</v>
          </cell>
          <cell r="AA151">
            <v>23.288</v>
          </cell>
          <cell r="AB151">
            <v>229055</v>
          </cell>
          <cell r="AC151" t="str">
            <v>PERMANENT SPEED RESTRICTION</v>
          </cell>
          <cell r="AD151" t="str">
            <v>0238-14</v>
          </cell>
          <cell r="AE151" t="str">
    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    </cell>
        </row>
        <row r="152">
          <cell r="A152" t="str">
            <v>239-14</v>
          </cell>
          <cell r="B152">
            <v>4029</v>
          </cell>
          <cell r="C152" t="str">
            <v>DE.1.0.7.0</v>
          </cell>
          <cell r="D152" t="str">
            <v>204:471</v>
          </cell>
          <cell r="E152">
            <v>42596.971747685187</v>
          </cell>
          <cell r="F152">
            <v>42596.972928240742</v>
          </cell>
          <cell r="G152">
            <v>1</v>
          </cell>
          <cell r="H152" t="str">
            <v>204:233324</v>
          </cell>
          <cell r="I152">
            <v>42597.0075462963</v>
          </cell>
          <cell r="J152">
            <v>0</v>
          </cell>
          <cell r="K152" t="str">
            <v>4029/4030</v>
          </cell>
          <cell r="L152" t="str">
            <v>COOPER</v>
          </cell>
          <cell r="M152">
            <v>3.4618055557075422E-2</v>
          </cell>
          <cell r="N152">
            <v>49.850000002188608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https://search-rtdc-monitor-bjffxe2xuh6vdkpspy63sjmuny.us-east-1.es.amazonaws.com/_plugin/kibana/#/discover/Steve-Slow-Train-Analysis-(2080s-and-2083s)?_g=(refreshInterval:(display:Off,section:0,value:0),time:(from:'2016-08-14 22:19:19-0600',mode:absolute,to:'2016-08-15 01:10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2" t="str">
            <v>N</v>
          </cell>
          <cell r="X152">
            <v>1</v>
          </cell>
          <cell r="Y152">
            <v>4.7100000000000003E-2</v>
          </cell>
          <cell r="Z152">
            <v>23.3324</v>
          </cell>
          <cell r="AA152">
            <v>23.285299999999999</v>
          </cell>
          <cell r="AB152" t="e">
            <v>#N/A</v>
          </cell>
          <cell r="AC152" t="e">
            <v>#N/A</v>
          </cell>
          <cell r="AD152" t="str">
            <v>0239-14</v>
          </cell>
          <cell r="AE152" t="str">
    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    </cell>
        </row>
        <row r="153">
          <cell r="A153" t="str">
            <v>240-14</v>
          </cell>
          <cell r="B153">
            <v>4030</v>
          </cell>
          <cell r="C153" t="str">
            <v>DE.1.0.7.0</v>
          </cell>
          <cell r="D153" t="str">
            <v>204:232994</v>
          </cell>
          <cell r="E153">
            <v>42597.01190972222</v>
          </cell>
          <cell r="F153">
            <v>42597.012881944444</v>
          </cell>
          <cell r="G153">
            <v>1</v>
          </cell>
          <cell r="H153" t="str">
            <v>204:180</v>
          </cell>
          <cell r="I153">
            <v>42597.047349537039</v>
          </cell>
          <cell r="J153">
            <v>0</v>
          </cell>
          <cell r="K153" t="str">
            <v>4029/4030</v>
          </cell>
          <cell r="L153" t="str">
            <v>COOPER</v>
          </cell>
          <cell r="M153">
            <v>3.4467592595319729E-2</v>
          </cell>
          <cell r="N153">
            <v>49.63333333726041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https://search-rtdc-monitor-bjffxe2xuh6vdkpspy63sjmuny.us-east-1.es.amazonaws.com/_plugin/kibana/#/discover/Steve-Slow-Train-Analysis-(2080s-and-2083s)?_g=(refreshInterval:(display:Off,section:0,value:0),time:(from:'2016-08-14 23:17:09-0600',mode:absolute,to:'2016-08-15 02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3" t="str">
            <v>N</v>
          </cell>
          <cell r="X153">
            <v>1</v>
          </cell>
          <cell r="Y153">
            <v>23.299399999999999</v>
          </cell>
          <cell r="Z153">
            <v>1.7999999999999999E-2</v>
          </cell>
          <cell r="AA153">
            <v>23.281399999999998</v>
          </cell>
          <cell r="AB153" t="e">
            <v>#N/A</v>
          </cell>
          <cell r="AC153" t="e">
            <v>#N/A</v>
          </cell>
          <cell r="AD153" t="str">
            <v>0240-14</v>
          </cell>
          <cell r="AE153" t="str">
            <v>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 &amp; 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</v>
          </cell>
        </row>
        <row r="154">
          <cell r="A154" t="str">
            <v>241-14</v>
          </cell>
          <cell r="B154">
            <v>4011</v>
          </cell>
          <cell r="C154" t="str">
            <v>DE.1.0.7.0</v>
          </cell>
          <cell r="D154" t="str">
            <v>204:457</v>
          </cell>
          <cell r="E154">
            <v>42596.99527777778</v>
          </cell>
          <cell r="F154">
            <v>42596.995995370373</v>
          </cell>
          <cell r="G154">
            <v>1</v>
          </cell>
          <cell r="H154" t="str">
            <v>204:64704</v>
          </cell>
          <cell r="I154">
            <v>42597.012071759258</v>
          </cell>
          <cell r="J154">
            <v>0</v>
          </cell>
          <cell r="K154" t="str">
            <v>4011/4012</v>
          </cell>
          <cell r="L154" t="str">
            <v>NEWELL</v>
          </cell>
          <cell r="M154">
            <v>1.6076388885267079E-2</v>
          </cell>
          <cell r="N154">
            <v>23.199999985517934</v>
          </cell>
          <cell r="R154" t="str">
            <v>Partial but completed trip, turned around at MP 6.4</v>
          </cell>
          <cell r="S154">
            <v>1</v>
          </cell>
          <cell r="T154" t="str">
            <v>NorthBound</v>
          </cell>
          <cell r="U154">
            <v>9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https://search-rtdc-monitor-bjffxe2xuh6vdkpspy63sjmuny.us-east-1.es.amazonaws.com/_plugin/kibana/#/discover/Steve-Slow-Train-Analysis-(2080s-and-2083s)?_g=(refreshInterval:(display:Off,section:0,value:0),time:(from:'2016-08-14 22:53:12-0600',mode:absolute,to:'2016-08-15 01:17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4" t="str">
            <v>Y</v>
          </cell>
          <cell r="X154">
            <v>1</v>
          </cell>
          <cell r="Y154">
            <v>4.5699999999999998E-2</v>
          </cell>
          <cell r="Z154">
            <v>6.4703999999999997</v>
          </cell>
          <cell r="AA154">
            <v>6.4246999999999996</v>
          </cell>
          <cell r="AB154" t="e">
            <v>#N/A</v>
          </cell>
          <cell r="AC154" t="e">
            <v>#N/A</v>
          </cell>
          <cell r="AD154" t="str">
            <v>0241-14</v>
          </cell>
          <cell r="AE154" t="str">
    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    </cell>
        </row>
        <row r="155">
          <cell r="A155" t="str">
            <v>241-14</v>
          </cell>
          <cell r="B155">
            <v>4011</v>
          </cell>
          <cell r="C155" t="str">
            <v>DE.1.0.7.0</v>
          </cell>
          <cell r="D155" t="str">
            <v>204:64696</v>
          </cell>
          <cell r="E155">
            <v>42597.015787037039</v>
          </cell>
          <cell r="F155">
            <v>42597.016759259262</v>
          </cell>
          <cell r="G155">
            <v>1</v>
          </cell>
          <cell r="H155" t="str">
            <v>204:64698</v>
          </cell>
          <cell r="I155">
            <v>42597.016793981478</v>
          </cell>
          <cell r="J155">
            <v>0</v>
          </cell>
          <cell r="K155" t="str">
            <v>4011/4012</v>
          </cell>
          <cell r="L155" t="str">
            <v>NEWELL</v>
          </cell>
          <cell r="M155">
            <v>3.4722215787041932E-5</v>
          </cell>
          <cell r="T155" t="str">
            <v>NorthBound</v>
          </cell>
          <cell r="U155">
            <v>0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https://search-rtdc-monitor-bjffxe2xuh6vdkpspy63sjmuny.us-east-1.es.amazonaws.com/_plugin/kibana/#/discover/Steve-Slow-Train-Analysis-(2080s-and-2083s)?_g=(refreshInterval:(display:Off,section:0,value:0),time:(from:'2016-08-14 23:22:44-0600',mode:absolute,to:'2016-08-15 01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5" t="str">
            <v>Y</v>
          </cell>
          <cell r="X155">
            <v>0</v>
          </cell>
          <cell r="Y155">
            <v>6.4695999999999998</v>
          </cell>
          <cell r="Z155">
            <v>6.4698000000000002</v>
          </cell>
          <cell r="AA155">
            <v>2.0000000000042206E-4</v>
          </cell>
          <cell r="AB155" t="e">
            <v>#N/A</v>
          </cell>
          <cell r="AC155" t="e">
            <v>#N/A</v>
          </cell>
          <cell r="AD155" t="str">
            <v>0241-14</v>
          </cell>
          <cell r="AE155" t="str">
            <v>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 &amp; 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</v>
          </cell>
        </row>
        <row r="156">
          <cell r="A156" t="str">
            <v>243-14</v>
          </cell>
          <cell r="B156">
            <v>4025</v>
          </cell>
          <cell r="C156" t="str">
            <v>DE.1.0.7.0</v>
          </cell>
          <cell r="D156" t="str">
            <v>204:648</v>
          </cell>
          <cell r="E156">
            <v>42597.016817129632</v>
          </cell>
          <cell r="F156">
            <v>42597.018217592595</v>
          </cell>
          <cell r="G156">
            <v>2</v>
          </cell>
          <cell r="H156" t="str">
            <v>204:128039</v>
          </cell>
          <cell r="I156">
            <v>42597.037349537037</v>
          </cell>
          <cell r="J156">
            <v>0</v>
          </cell>
          <cell r="K156" t="str">
            <v>4025/4026</v>
          </cell>
          <cell r="L156" t="str">
            <v>STAMBAUGH</v>
          </cell>
          <cell r="M156">
            <v>1.9131944442051463E-2</v>
          </cell>
          <cell r="P156">
            <v>27.549999996554106</v>
          </cell>
          <cell r="R156" t="str">
            <v>40th 2N premature downgrade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https://search-rtdc-monitor-bjffxe2xuh6vdkpspy63sjmuny.us-east-1.es.amazonaws.com/_plugin/kibana/#/discover/Steve-Slow-Train-Analysis-(2080s-and-2083s)?_g=(refreshInterval:(display:Off,section:0,value:0),time:(from:'2016-08-14 23:24:13-0600',mode:absolute,to:'2016-08-15 01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6" t="str">
            <v>Y</v>
          </cell>
          <cell r="X156">
            <v>2</v>
          </cell>
          <cell r="Y156">
            <v>6.4799999999999996E-2</v>
          </cell>
          <cell r="Z156">
            <v>12.803900000000001</v>
          </cell>
          <cell r="AA156">
            <v>12.739100000000001</v>
          </cell>
          <cell r="AB156" t="e">
            <v>#N/A</v>
          </cell>
          <cell r="AC156" t="e">
            <v>#N/A</v>
          </cell>
          <cell r="AD156" t="str">
            <v>0243-14</v>
          </cell>
          <cell r="AE156" t="str">
    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    </cell>
        </row>
        <row r="157">
          <cell r="A157" t="str">
            <v>244-14</v>
          </cell>
          <cell r="B157">
            <v>4026</v>
          </cell>
          <cell r="C157" t="str">
            <v>DE.1.0.7.0</v>
          </cell>
          <cell r="D157" t="str">
            <v>204:232996</v>
          </cell>
          <cell r="E157">
            <v>42597.056319444448</v>
          </cell>
          <cell r="F157">
            <v>42597.057268518518</v>
          </cell>
          <cell r="G157">
            <v>1</v>
          </cell>
          <cell r="H157" t="str">
            <v>204:152</v>
          </cell>
          <cell r="I157">
            <v>42597.087164351855</v>
          </cell>
          <cell r="J157">
            <v>0</v>
          </cell>
          <cell r="K157" t="str">
            <v>4025/4026</v>
          </cell>
          <cell r="L157" t="str">
            <v>STAMBAUGH</v>
          </cell>
          <cell r="M157">
            <v>2.9895833336922806E-2</v>
          </cell>
          <cell r="N157">
            <v>43.05000000516884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https://search-rtdc-monitor-bjffxe2xuh6vdkpspy63sjmuny.us-east-1.es.amazonaws.com/_plugin/kibana/#/discover/Steve-Slow-Train-Analysis-(2080s-and-2083s)?_g=(refreshInterval:(display:Off,section:0,value:0),time:(from:'2016-08-15 00:21:06-0600',mode:absolute,to:'2016-08-15 03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7" t="str">
            <v>N</v>
          </cell>
          <cell r="X157">
            <v>1</v>
          </cell>
          <cell r="Y157">
            <v>23.299600000000002</v>
          </cell>
          <cell r="Z157">
            <v>1.52E-2</v>
          </cell>
          <cell r="AA157">
            <v>23.284400000000002</v>
          </cell>
          <cell r="AB157" t="e">
            <v>#N/A</v>
          </cell>
          <cell r="AC157" t="e">
            <v>#N/A</v>
          </cell>
          <cell r="AD157" t="str">
            <v>0244-14</v>
          </cell>
          <cell r="AE157" t="str">
            <v>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 &amp; aws s3 cp s3://rtdc.mdm.uploadarchive/RTDC4026/2016-08-16/ "%USERPROFILE%\AppData\Local\Temp\OnboardLogs"\RTDC4026\2016-08-16 --recursive &amp; "%USERPROFILE%\Documents\GitHub\mrs-test-scripts\Headless Mode &amp; Sideloading\WalkAndUnGZ.bat" "%USERPROFILE%\AppData\Local\Temp\OnboardLogs"\RTDC4026\2016-08-16</v>
          </cell>
        </row>
        <row r="158">
          <cell r="A158" t="str">
            <v>1800-14</v>
          </cell>
          <cell r="B158">
            <v>4019</v>
          </cell>
          <cell r="C158" t="str">
            <v>DE.1.0.7.0</v>
          </cell>
          <cell r="D158" t="str">
            <v>300:58628</v>
          </cell>
          <cell r="E158">
            <v>42596.236284722225</v>
          </cell>
          <cell r="F158">
            <v>42596.237291666665</v>
          </cell>
          <cell r="G158">
            <v>1</v>
          </cell>
          <cell r="H158" t="str">
            <v>204:769</v>
          </cell>
          <cell r="I158">
            <v>42596.247442129628</v>
          </cell>
          <cell r="J158">
            <v>0</v>
          </cell>
          <cell r="K158" t="str">
            <v>4019/4020</v>
          </cell>
          <cell r="L158" t="str">
            <v>STARKS</v>
          </cell>
          <cell r="M158">
            <v>1.0150462963792961E-2</v>
          </cell>
          <cell r="N158">
            <v>14.616666667861864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https://search-rtdc-monitor-bjffxe2xuh6vdkpspy63sjmuny.us-east-1.es.amazonaws.com/_plugin/kibana/#/discover/Steve-Slow-Train-Analysis-(2080s-and-2083s)?_g=(refreshInterval:(display:Off,section:0,value:0),time:(from:'2016-08-14 04:40:15-0600',mode:absolute,to:'2016-08-14 06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8" t="str">
            <v>N</v>
          </cell>
          <cell r="X158">
            <v>1556</v>
          </cell>
          <cell r="Y158">
            <v>5.8628</v>
          </cell>
          <cell r="Z158">
            <v>7.6899999999999996E-2</v>
          </cell>
          <cell r="AA158">
            <v>5.7858999999999998</v>
          </cell>
          <cell r="AB158" t="e">
            <v>#N/A</v>
          </cell>
          <cell r="AC158" t="e">
            <v>#N/A</v>
          </cell>
          <cell r="AD158" t="str">
            <v>1800-14</v>
          </cell>
          <cell r="AE15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59">
          <cell r="A159" t="str">
            <v>1801-14</v>
          </cell>
          <cell r="B159">
            <v>4020</v>
          </cell>
          <cell r="C159" t="str">
            <v>DE.1.0.7.0</v>
          </cell>
          <cell r="D159" t="str">
            <v>204:1027</v>
          </cell>
          <cell r="E159">
            <v>42596.262060185189</v>
          </cell>
          <cell r="F159">
            <v>42596.26284722222</v>
          </cell>
          <cell r="G159">
            <v>1</v>
          </cell>
          <cell r="H159" t="str">
            <v>300:58941</v>
          </cell>
          <cell r="I159">
            <v>42596.274930555555</v>
          </cell>
          <cell r="J159">
            <v>0</v>
          </cell>
          <cell r="K159" t="str">
            <v>4019/4020</v>
          </cell>
          <cell r="L159" t="str">
            <v>STARKS</v>
          </cell>
          <cell r="M159">
            <v>1.2083333334885538E-2</v>
          </cell>
          <cell r="N159">
            <v>17.400000002235174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https://search-rtdc-monitor-bjffxe2xuh6vdkpspy63sjmuny.us-east-1.es.amazonaws.com/_plugin/kibana/#/discover/Steve-Slow-Train-Analysis-(2080s-and-2083s)?_g=(refreshInterval:(display:Off,section:0,value:0),time:(from:'2016-08-14 05:17:22-0600',mode:absolute,to:'2016-08-14 07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9" t="str">
            <v>N</v>
          </cell>
          <cell r="X159">
            <v>1</v>
          </cell>
          <cell r="Y159">
            <v>0.1027</v>
          </cell>
          <cell r="Z159">
            <v>5.8940999999999999</v>
          </cell>
          <cell r="AA159">
            <v>5.7914000000000003</v>
          </cell>
          <cell r="AB159" t="e">
            <v>#N/A</v>
          </cell>
          <cell r="AC159" t="e">
            <v>#N/A</v>
          </cell>
          <cell r="AD159" t="str">
            <v>1801-14</v>
          </cell>
          <cell r="AE15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0">
          <cell r="A160" t="str">
            <v>1802-14</v>
          </cell>
          <cell r="B160">
            <v>4019</v>
          </cell>
          <cell r="C160" t="str">
            <v>DE.1.0.7.0</v>
          </cell>
          <cell r="D160" t="str">
            <v>300:58619</v>
          </cell>
          <cell r="E160">
            <v>42596.275821759256</v>
          </cell>
          <cell r="F160">
            <v>42596.276678240742</v>
          </cell>
          <cell r="G160">
            <v>1</v>
          </cell>
          <cell r="H160" t="str">
            <v>204:656</v>
          </cell>
          <cell r="I160">
            <v>42596.288287037038</v>
          </cell>
          <cell r="J160">
            <v>0</v>
          </cell>
          <cell r="K160" t="str">
            <v>4019/4020</v>
          </cell>
          <cell r="L160" t="str">
            <v>STARKS</v>
          </cell>
          <cell r="M160">
            <v>1.1608796296059154E-2</v>
          </cell>
          <cell r="N160">
            <v>16.716666666325182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https://search-rtdc-monitor-bjffxe2xuh6vdkpspy63sjmuny.us-east-1.es.amazonaws.com/_plugin/kibana/#/discover/Steve-Slow-Train-Analysis-(2080s-and-2083s)?_g=(refreshInterval:(display:Off,section:0,value:0),time:(from:'2016-08-14 05:37:11-0600',mode:absolute,to:'2016-08-14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0" t="str">
            <v>N</v>
          </cell>
          <cell r="X160">
            <v>1</v>
          </cell>
          <cell r="Y160">
            <v>5.8619000000000003</v>
          </cell>
          <cell r="Z160">
            <v>6.5600000000000006E-2</v>
          </cell>
          <cell r="AA160">
            <v>5.7963000000000005</v>
          </cell>
          <cell r="AB160" t="e">
            <v>#N/A</v>
          </cell>
          <cell r="AC160" t="e">
            <v>#N/A</v>
          </cell>
          <cell r="AD160" t="str">
            <v>1802-14</v>
          </cell>
          <cell r="AE16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1">
          <cell r="A161" t="str">
            <v>1803-14</v>
          </cell>
          <cell r="B161">
            <v>4020</v>
          </cell>
          <cell r="C161" t="str">
            <v>DE.1.0.7.0</v>
          </cell>
          <cell r="D161" t="str">
            <v>204:944</v>
          </cell>
          <cell r="E161">
            <v>42596.30327546296</v>
          </cell>
          <cell r="F161">
            <v>42596.304039351853</v>
          </cell>
          <cell r="G161">
            <v>1</v>
          </cell>
          <cell r="H161" t="str">
            <v>300:58933</v>
          </cell>
          <cell r="I161">
            <v>42596.315844907411</v>
          </cell>
          <cell r="J161">
            <v>0</v>
          </cell>
          <cell r="K161" t="str">
            <v>4019/4020</v>
          </cell>
          <cell r="L161" t="str">
            <v>STARKS</v>
          </cell>
          <cell r="M161">
            <v>1.1805555557657499E-2</v>
          </cell>
          <cell r="N161">
            <v>17.000000003026798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https://search-rtdc-monitor-bjffxe2xuh6vdkpspy63sjmuny.us-east-1.es.amazonaws.com/_plugin/kibana/#/discover/Steve-Slow-Train-Analysis-(2080s-and-2083s)?_g=(refreshInterval:(display:Off,section:0,value:0),time:(from:'2016-08-14 06:16:43-0600',mode:absolute,to:'2016-08-14 08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1" t="str">
            <v>N</v>
          </cell>
          <cell r="X161">
            <v>1</v>
          </cell>
          <cell r="Y161">
            <v>9.4399999999999998E-2</v>
          </cell>
          <cell r="Z161">
            <v>5.8933</v>
          </cell>
          <cell r="AA161">
            <v>5.7988999999999997</v>
          </cell>
          <cell r="AB161" t="e">
            <v>#N/A</v>
          </cell>
          <cell r="AC161" t="e">
            <v>#N/A</v>
          </cell>
          <cell r="AD161" t="str">
            <v>1803-14</v>
          </cell>
          <cell r="AE16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2">
          <cell r="A162" t="str">
            <v>1804-14</v>
          </cell>
          <cell r="B162">
            <v>4019</v>
          </cell>
          <cell r="C162" t="str">
            <v>DE.1.0.7.0</v>
          </cell>
          <cell r="D162" t="str">
            <v>300:58619</v>
          </cell>
          <cell r="E162">
            <v>42596.317442129628</v>
          </cell>
          <cell r="F162">
            <v>42596.318356481483</v>
          </cell>
          <cell r="G162">
            <v>1</v>
          </cell>
          <cell r="H162" t="str">
            <v>204:649</v>
          </cell>
          <cell r="I162">
            <v>42596.330428240741</v>
          </cell>
          <cell r="J162">
            <v>0</v>
          </cell>
          <cell r="K162" t="str">
            <v>4019/4020</v>
          </cell>
          <cell r="L162" t="str">
            <v>STARKS</v>
          </cell>
          <cell r="M162">
            <v>1.2071759258105885E-2</v>
          </cell>
          <cell r="N162">
            <v>17.383333331672475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https://search-rtdc-monitor-bjffxe2xuh6vdkpspy63sjmuny.us-east-1.es.amazonaws.com/_plugin/kibana/#/discover/Steve-Slow-Train-Analysis-(2080s-and-2083s)?_g=(refreshInterval:(display:Off,section:0,value:0),time:(from:'2016-08-14 06:37:07-0600',mode:absolute,to:'2016-08-14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2" t="str">
            <v>N</v>
          </cell>
          <cell r="X162">
            <v>1</v>
          </cell>
          <cell r="Y162">
            <v>5.8619000000000003</v>
          </cell>
          <cell r="Z162">
            <v>6.4899999999999999E-2</v>
          </cell>
          <cell r="AA162">
            <v>5.7970000000000006</v>
          </cell>
          <cell r="AB162" t="e">
            <v>#N/A</v>
          </cell>
          <cell r="AC162" t="e">
            <v>#N/A</v>
          </cell>
          <cell r="AD162" t="str">
            <v>1804-14</v>
          </cell>
          <cell r="AE16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3">
          <cell r="A163" t="str">
            <v>1805-14</v>
          </cell>
          <cell r="B163">
            <v>4020</v>
          </cell>
          <cell r="C163" t="str">
            <v>DE.1.0.7.0</v>
          </cell>
          <cell r="D163" t="str">
            <v>204:937</v>
          </cell>
          <cell r="E163">
            <v>42596.347905092596</v>
          </cell>
          <cell r="F163">
            <v>42596.348715277774</v>
          </cell>
          <cell r="G163">
            <v>1</v>
          </cell>
          <cell r="H163" t="str">
            <v>300:58937</v>
          </cell>
          <cell r="I163">
            <v>42596.35800925926</v>
          </cell>
          <cell r="J163">
            <v>0</v>
          </cell>
          <cell r="K163" t="str">
            <v>4019/4020</v>
          </cell>
          <cell r="L163" t="str">
            <v>STARKS</v>
          </cell>
          <cell r="M163">
            <v>9.2939814858254977E-3</v>
          </cell>
          <cell r="N163">
            <v>13.383333339588717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https://search-rtdc-monitor-bjffxe2xuh6vdkpspy63sjmuny.us-east-1.es.amazonaws.com/_plugin/kibana/#/discover/Steve-Slow-Train-Analysis-(2080s-and-2083s)?_g=(refreshInterval:(display:Off,section:0,value:0),time:(from:'2016-08-14 07:20:59-0600',mode:absolute,to:'2016-08-14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3" t="str">
            <v>N</v>
          </cell>
          <cell r="X163">
            <v>1</v>
          </cell>
          <cell r="Y163">
            <v>9.3700000000000006E-2</v>
          </cell>
          <cell r="Z163">
            <v>5.8936999999999999</v>
          </cell>
          <cell r="AA163">
            <v>5.8</v>
          </cell>
          <cell r="AB163" t="e">
            <v>#N/A</v>
          </cell>
          <cell r="AC163" t="e">
            <v>#N/A</v>
          </cell>
          <cell r="AD163" t="str">
            <v>1805-14</v>
          </cell>
          <cell r="AE16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4">
          <cell r="A164" t="str">
            <v>1806-14</v>
          </cell>
          <cell r="B164">
            <v>4019</v>
          </cell>
          <cell r="C164" t="str">
            <v>DE.1.0.7.0</v>
          </cell>
          <cell r="D164" t="str">
            <v>300:58626</v>
          </cell>
          <cell r="E164">
            <v>42596.359039351853</v>
          </cell>
          <cell r="F164">
            <v>42596.359780092593</v>
          </cell>
          <cell r="G164">
            <v>1</v>
          </cell>
          <cell r="H164" t="str">
            <v>204:663</v>
          </cell>
          <cell r="I164">
            <v>42596.37195601852</v>
          </cell>
          <cell r="J164">
            <v>0</v>
          </cell>
          <cell r="K164" t="str">
            <v>4019/4020</v>
          </cell>
          <cell r="L164" t="str">
            <v>STARKS</v>
          </cell>
          <cell r="M164">
            <v>1.2175925927294884E-2</v>
          </cell>
          <cell r="N164">
            <v>17.533333335304633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https://search-rtdc-monitor-bjffxe2xuh6vdkpspy63sjmuny.us-east-1.es.amazonaws.com/_plugin/kibana/#/discover/Steve-Slow-Train-Analysis-(2080s-and-2083s)?_g=(refreshInterval:(display:Off,section:0,value:0),time:(from:'2016-08-14 07:37:01-0600',mode:absolute,to:'2016-08-14 09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4" t="str">
            <v>N</v>
          </cell>
          <cell r="X164">
            <v>1</v>
          </cell>
          <cell r="Y164">
            <v>5.8625999999999996</v>
          </cell>
          <cell r="Z164">
            <v>6.6299999999999998E-2</v>
          </cell>
          <cell r="AA164">
            <v>5.7962999999999996</v>
          </cell>
          <cell r="AB164" t="e">
            <v>#N/A</v>
          </cell>
          <cell r="AC164" t="e">
            <v>#N/A</v>
          </cell>
          <cell r="AD164" t="str">
            <v>1806-14</v>
          </cell>
          <cell r="AE16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5">
          <cell r="A165" t="str">
            <v>1807-14</v>
          </cell>
          <cell r="B165">
            <v>4020</v>
          </cell>
          <cell r="C165" t="str">
            <v>DE.1.0.7.0</v>
          </cell>
          <cell r="D165" t="str">
            <v>204:950</v>
          </cell>
          <cell r="E165">
            <v>42596.387708333335</v>
          </cell>
          <cell r="F165">
            <v>42596.389421296299</v>
          </cell>
          <cell r="G165">
            <v>2</v>
          </cell>
          <cell r="H165" t="str">
            <v>300:58939</v>
          </cell>
          <cell r="I165">
            <v>42596.400046296294</v>
          </cell>
          <cell r="J165">
            <v>0</v>
          </cell>
          <cell r="K165" t="str">
            <v>4019/4020</v>
          </cell>
          <cell r="L165" t="str">
            <v>STARKS</v>
          </cell>
          <cell r="M165">
            <v>1.0624999995343387E-2</v>
          </cell>
          <cell r="N165">
            <v>15.299999993294477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https://search-rtdc-monitor-bjffxe2xuh6vdkpspy63sjmuny.us-east-1.es.amazonaws.com/_plugin/kibana/#/discover/Steve-Slow-Train-Analysis-(2080s-and-2083s)?_g=(refreshInterval:(display:Off,section:0,value:0),time:(from:'2016-08-14 08:18:18-0600',mode:absolute,to:'2016-08-14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5" t="str">
            <v>N</v>
          </cell>
          <cell r="X165">
            <v>1</v>
          </cell>
          <cell r="Y165">
            <v>9.5000000000000001E-2</v>
          </cell>
          <cell r="Z165">
            <v>5.8939000000000004</v>
          </cell>
          <cell r="AA165">
            <v>5.7989000000000006</v>
          </cell>
          <cell r="AB165" t="e">
            <v>#N/A</v>
          </cell>
          <cell r="AC165" t="e">
            <v>#N/A</v>
          </cell>
          <cell r="AD165" t="str">
            <v>1807-14</v>
          </cell>
          <cell r="AE16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6">
          <cell r="A166" t="str">
            <v>1808-14</v>
          </cell>
          <cell r="B166">
            <v>4019</v>
          </cell>
          <cell r="C166" t="str">
            <v>DE.1.0.7.0</v>
          </cell>
          <cell r="D166" t="str">
            <v>300:58613</v>
          </cell>
          <cell r="E166">
            <v>42596.400775462964</v>
          </cell>
          <cell r="F166">
            <v>42596.401585648149</v>
          </cell>
          <cell r="G166">
            <v>1</v>
          </cell>
          <cell r="H166" t="str">
            <v>204:685</v>
          </cell>
          <cell r="I166">
            <v>42596.414155092592</v>
          </cell>
          <cell r="J166">
            <v>0</v>
          </cell>
          <cell r="K166" t="str">
            <v>4019/4020</v>
          </cell>
          <cell r="L166" t="str">
            <v>STARKS</v>
          </cell>
          <cell r="M166">
            <v>1.2569444443215616E-2</v>
          </cell>
          <cell r="N166">
            <v>18.099999998230487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https://search-rtdc-monitor-bjffxe2xuh6vdkpspy63sjmuny.us-east-1.es.amazonaws.com/_plugin/kibana/#/discover/Steve-Slow-Train-Analysis-(2080s-and-2083s)?_g=(refreshInterval:(display:Off,section:0,value:0),time:(from:'2016-08-14 08:37:07-0600',mode:absolute,to:'2016-08-14 10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6" t="str">
            <v>N</v>
          </cell>
          <cell r="X166">
            <v>1</v>
          </cell>
          <cell r="Y166">
            <v>5.8613</v>
          </cell>
          <cell r="Z166">
            <v>6.8500000000000005E-2</v>
          </cell>
          <cell r="AA166">
            <v>5.7927999999999997</v>
          </cell>
          <cell r="AB166" t="e">
            <v>#N/A</v>
          </cell>
          <cell r="AC166" t="e">
            <v>#N/A</v>
          </cell>
          <cell r="AD166" t="str">
            <v>1808-14</v>
          </cell>
          <cell r="AE16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7">
          <cell r="A167" t="str">
            <v>1809-14</v>
          </cell>
          <cell r="B167">
            <v>4020</v>
          </cell>
          <cell r="C167" t="str">
            <v>DE.1.0.7.0</v>
          </cell>
          <cell r="D167" t="str">
            <v>204:976</v>
          </cell>
          <cell r="E167">
            <v>42596.430555555555</v>
          </cell>
          <cell r="F167">
            <v>42596.43141203704</v>
          </cell>
          <cell r="G167">
            <v>1</v>
          </cell>
          <cell r="H167" t="str">
            <v>300:31292</v>
          </cell>
          <cell r="I167">
            <v>42596.441423611112</v>
          </cell>
          <cell r="J167">
            <v>0</v>
          </cell>
          <cell r="K167" t="str">
            <v>4019/4020</v>
          </cell>
          <cell r="L167" t="str">
            <v>STARKS</v>
          </cell>
          <cell r="M167">
            <v>1.0011574071540963E-2</v>
          </cell>
          <cell r="N167">
            <v>14.416666663018987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https://search-rtdc-monitor-bjffxe2xuh6vdkpspy63sjmuny.us-east-1.es.amazonaws.com/_plugin/kibana/#/discover/Steve-Slow-Train-Analysis-(2080s-and-2083s)?_g=(refreshInterval:(display:Off,section:0,value:0),time:(from:'2016-08-14 09:20:00-0600',mode:absolute,to:'2016-08-14 11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7" t="str">
            <v>N</v>
          </cell>
          <cell r="X167">
            <v>1</v>
          </cell>
          <cell r="Y167">
            <v>9.7600000000000006E-2</v>
          </cell>
          <cell r="Z167">
            <v>5.9</v>
          </cell>
          <cell r="AA167">
            <v>5.8024000000000004</v>
          </cell>
          <cell r="AB167" t="e">
            <v>#N/A</v>
          </cell>
          <cell r="AC167" t="e">
            <v>#N/A</v>
          </cell>
          <cell r="AD167" t="str">
            <v>1809-14</v>
          </cell>
          <cell r="AE16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68">
          <cell r="A168" t="str">
            <v>1810-14</v>
          </cell>
          <cell r="B168">
            <v>4019</v>
          </cell>
          <cell r="C168" t="str">
            <v>DE.1.0.7.0</v>
          </cell>
          <cell r="D168" t="str">
            <v>300:58611</v>
          </cell>
          <cell r="E168">
            <v>42596.442187499997</v>
          </cell>
          <cell r="F168">
            <v>42596.443043981482</v>
          </cell>
          <cell r="G168">
            <v>1</v>
          </cell>
          <cell r="H168" t="str">
            <v>204:687</v>
          </cell>
          <cell r="I168">
            <v>42596.455706018518</v>
          </cell>
          <cell r="J168">
            <v>0</v>
          </cell>
          <cell r="K168" t="str">
            <v>4019/4020</v>
          </cell>
          <cell r="L168" t="str">
            <v>STARKS</v>
          </cell>
          <cell r="M168">
            <v>1.2662037035624962E-2</v>
          </cell>
          <cell r="N168">
            <v>18.233333331299946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https://search-rtdc-monitor-bjffxe2xuh6vdkpspy63sjmuny.us-east-1.es.amazonaws.com/_plugin/kibana/#/discover/Steve-Slow-Train-Analysis-(2080s-and-2083s)?_g=(refreshInterval:(display:Off,section:0,value:0),time:(from:'2016-08-14 09:36:45-0600',mode:absolute,to:'2016-08-14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6.8699999999999997E-2</v>
          </cell>
          <cell r="AA168">
            <v>5.7924000000000007</v>
          </cell>
          <cell r="AB168" t="e">
            <v>#N/A</v>
          </cell>
          <cell r="AC168" t="e">
            <v>#N/A</v>
          </cell>
          <cell r="AD168" t="str">
            <v>1810-14</v>
          </cell>
          <cell r="AE16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69">
          <cell r="A169" t="str">
            <v>1811-14</v>
          </cell>
          <cell r="B169">
            <v>4020</v>
          </cell>
          <cell r="C169" t="str">
            <v>DE.1.0.7.0</v>
          </cell>
          <cell r="D169" t="str">
            <v>204:964</v>
          </cell>
          <cell r="E169">
            <v>42596.470185185186</v>
          </cell>
          <cell r="F169">
            <v>42596.471145833333</v>
          </cell>
          <cell r="G169">
            <v>1</v>
          </cell>
          <cell r="H169" t="str">
            <v>300:58928</v>
          </cell>
          <cell r="I169">
            <v>42596.486840277779</v>
          </cell>
          <cell r="J169">
            <v>0</v>
          </cell>
          <cell r="K169" t="str">
            <v>4019/4020</v>
          </cell>
          <cell r="L169" t="str">
            <v>STARKS</v>
          </cell>
          <cell r="M169">
            <v>1.5694444446125999E-2</v>
          </cell>
          <cell r="N169">
            <v>22.600000002421439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https://search-rtdc-monitor-bjffxe2xuh6vdkpspy63sjmuny.us-east-1.es.amazonaws.com/_plugin/kibana/#/discover/Steve-Slow-Train-Analysis-(2080s-and-2083s)?_g=(refreshInterval:(display:Off,section:0,value:0),time:(from:'2016-08-14 10:17:04-0600',mode:absolute,to:'2016-08-14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9" t="str">
            <v>N</v>
          </cell>
          <cell r="X169">
            <v>1</v>
          </cell>
          <cell r="Y169">
            <v>9.64E-2</v>
          </cell>
          <cell r="Z169">
            <v>5.8928000000000003</v>
          </cell>
          <cell r="AA169">
            <v>5.7964000000000002</v>
          </cell>
          <cell r="AB169" t="e">
            <v>#N/A</v>
          </cell>
          <cell r="AC169" t="e">
            <v>#N/A</v>
          </cell>
          <cell r="AD169" t="str">
            <v>1811-14</v>
          </cell>
          <cell r="AE16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0">
          <cell r="A170" t="str">
            <v>1812-14</v>
          </cell>
          <cell r="B170">
            <v>4019</v>
          </cell>
          <cell r="C170" t="str">
            <v>DE.1.0.7.0</v>
          </cell>
          <cell r="D170" t="str">
            <v>300:58613</v>
          </cell>
          <cell r="E170">
            <v>42596.487581018519</v>
          </cell>
          <cell r="F170">
            <v>42596.488333333335</v>
          </cell>
          <cell r="G170">
            <v>1</v>
          </cell>
          <cell r="H170" t="str">
            <v>204:748</v>
          </cell>
          <cell r="I170">
            <v>42596.498680555553</v>
          </cell>
          <cell r="J170">
            <v>0</v>
          </cell>
          <cell r="K170" t="str">
            <v>4019/4020</v>
          </cell>
          <cell r="L170" t="str">
            <v>STARKS</v>
          </cell>
          <cell r="M170">
            <v>1.0347222218115348E-2</v>
          </cell>
          <cell r="N170">
            <v>14.899999994086102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0" t="str">
            <v>N</v>
          </cell>
          <cell r="X170">
            <v>1</v>
          </cell>
          <cell r="Y170">
            <v>5.8613</v>
          </cell>
          <cell r="Z170">
            <v>7.4800000000000005E-2</v>
          </cell>
          <cell r="AA170">
            <v>5.7865000000000002</v>
          </cell>
          <cell r="AB170" t="e">
            <v>#N/A</v>
          </cell>
          <cell r="AC170" t="e">
            <v>#N/A</v>
          </cell>
          <cell r="AD170" t="str">
            <v>1812-14</v>
          </cell>
          <cell r="AE17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1">
          <cell r="A171" t="str">
            <v>1813-14</v>
          </cell>
          <cell r="B171">
            <v>4020</v>
          </cell>
          <cell r="C171" t="str">
            <v>DE.1.0.7.0</v>
          </cell>
          <cell r="D171" t="str">
            <v>204:1041</v>
          </cell>
          <cell r="E171">
            <v>42596.511516203704</v>
          </cell>
          <cell r="F171">
            <v>42596.512291666666</v>
          </cell>
          <cell r="G171">
            <v>1</v>
          </cell>
          <cell r="H171" t="str">
            <v>300:58924</v>
          </cell>
          <cell r="I171">
            <v>42596.530486111114</v>
          </cell>
          <cell r="J171">
            <v>0</v>
          </cell>
          <cell r="K171" t="str">
            <v>4019/4020</v>
          </cell>
          <cell r="L171" t="str">
            <v>STARKS</v>
          </cell>
          <cell r="M171">
            <v>1.8194444448454306E-2</v>
          </cell>
          <cell r="N171">
            <v>26.2000000057742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1" t="str">
            <v>N</v>
          </cell>
          <cell r="X171">
            <v>1</v>
          </cell>
          <cell r="Y171">
            <v>0.1041</v>
          </cell>
          <cell r="Z171">
            <v>5.8924000000000003</v>
          </cell>
          <cell r="AA171">
            <v>5.7883000000000004</v>
          </cell>
          <cell r="AB171" t="e">
            <v>#N/A</v>
          </cell>
          <cell r="AC171" t="e">
            <v>#N/A</v>
          </cell>
          <cell r="AD171" t="str">
            <v>1813-14</v>
          </cell>
          <cell r="AE17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2">
          <cell r="A172" t="str">
            <v>1814-14</v>
          </cell>
          <cell r="B172">
            <v>4019</v>
          </cell>
          <cell r="C172" t="str">
            <v>DE.1.0.7.0</v>
          </cell>
          <cell r="D172" t="str">
            <v>300:58623</v>
          </cell>
          <cell r="E172">
            <v>42596.531631944446</v>
          </cell>
          <cell r="F172">
            <v>42596.532465277778</v>
          </cell>
          <cell r="G172">
            <v>1</v>
          </cell>
          <cell r="H172" t="str">
            <v>204:671</v>
          </cell>
          <cell r="I172">
            <v>42596.542638888888</v>
          </cell>
          <cell r="J172">
            <v>0</v>
          </cell>
          <cell r="K172" t="str">
            <v>4019/4020</v>
          </cell>
          <cell r="L172" t="str">
            <v>STARKS</v>
          </cell>
          <cell r="M172">
            <v>1.0173611110076308E-2</v>
          </cell>
          <cell r="N172">
            <v>14.649999998509884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https://search-rtdc-monitor-bjffxe2xuh6vdkpspy63sjmuny.us-east-1.es.amazonaws.com/_plugin/kibana/#/discover/Steve-Slow-Train-Analysis-(2080s-and-2083s)?_g=(refreshInterval:(display:Off,section:0,value:0),time:(from:'2016-08-14 11:45:33-0600',mode:absolute,to:'2016-08-14 14:01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2" t="str">
            <v>N</v>
          </cell>
          <cell r="X172">
            <v>1</v>
          </cell>
          <cell r="Y172">
            <v>5.8623000000000003</v>
          </cell>
          <cell r="Z172">
            <v>6.7100000000000007E-2</v>
          </cell>
          <cell r="AA172">
            <v>5.7952000000000004</v>
          </cell>
          <cell r="AB172" t="e">
            <v>#N/A</v>
          </cell>
          <cell r="AC172" t="e">
            <v>#N/A</v>
          </cell>
          <cell r="AD172" t="str">
            <v>1814-14</v>
          </cell>
          <cell r="AE17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3">
          <cell r="A173" t="str">
            <v>1815-14</v>
          </cell>
          <cell r="B173">
            <v>4020</v>
          </cell>
          <cell r="C173" t="str">
            <v>DE.1.0.7.0</v>
          </cell>
          <cell r="D173" t="str">
            <v>204:946</v>
          </cell>
          <cell r="E173">
            <v>42596.553553240738</v>
          </cell>
          <cell r="F173">
            <v>42596.55431712963</v>
          </cell>
          <cell r="G173">
            <v>1</v>
          </cell>
          <cell r="H173" t="str">
            <v>300:58929</v>
          </cell>
          <cell r="I173">
            <v>42596.567002314812</v>
          </cell>
          <cell r="J173">
            <v>0</v>
          </cell>
          <cell r="K173" t="str">
            <v>4019/4020</v>
          </cell>
          <cell r="L173" t="str">
            <v>STARKS</v>
          </cell>
          <cell r="M173">
            <v>1.2685185181908309E-2</v>
          </cell>
          <cell r="N173">
            <v>18.266666661947966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3" t="str">
            <v>N</v>
          </cell>
          <cell r="X173">
            <v>1</v>
          </cell>
          <cell r="Y173">
            <v>9.4600000000000004E-2</v>
          </cell>
          <cell r="Z173">
            <v>5.8929</v>
          </cell>
          <cell r="AA173">
            <v>5.7983000000000002</v>
          </cell>
          <cell r="AB173" t="e">
            <v>#N/A</v>
          </cell>
          <cell r="AC173" t="e">
            <v>#N/A</v>
          </cell>
          <cell r="AD173" t="str">
            <v>1815-14</v>
          </cell>
          <cell r="AE17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4">
          <cell r="A174" t="str">
            <v>1816-14</v>
          </cell>
          <cell r="B174">
            <v>4019</v>
          </cell>
          <cell r="C174" t="str">
            <v>DE.1.0.7.0</v>
          </cell>
          <cell r="D174" t="str">
            <v>204:946</v>
          </cell>
          <cell r="E174">
            <v>42596.553553240738</v>
          </cell>
          <cell r="F174">
            <v>42596.568344907406</v>
          </cell>
          <cell r="G174">
            <v>1</v>
          </cell>
          <cell r="H174" t="str">
            <v>300:58929</v>
          </cell>
          <cell r="I174">
            <v>42596.57</v>
          </cell>
          <cell r="J174">
            <v>0</v>
          </cell>
          <cell r="K174" t="str">
            <v>4019/4020</v>
          </cell>
          <cell r="L174" t="str">
            <v>STARKS</v>
          </cell>
          <cell r="M174">
            <v>1.6550925938645378E-3</v>
          </cell>
          <cell r="P174">
            <v>2.3833333351649344</v>
          </cell>
          <cell r="R174" t="str">
            <v>Onboard in-route failure</v>
          </cell>
          <cell r="S174">
            <v>0</v>
          </cell>
          <cell r="T174" t="str">
            <v>Southbound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4" t="str">
            <v>N</v>
          </cell>
          <cell r="X174">
            <v>1</v>
          </cell>
          <cell r="Y174">
            <v>9.4600000000000004E-2</v>
          </cell>
          <cell r="Z174">
            <v>5.8929</v>
          </cell>
          <cell r="AA174">
            <v>5.7983000000000002</v>
          </cell>
          <cell r="AB174" t="e">
            <v>#N/A</v>
          </cell>
          <cell r="AC174" t="e">
            <v>#N/A</v>
          </cell>
          <cell r="AD174" t="str">
            <v>1816-14</v>
          </cell>
          <cell r="AE17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5">
          <cell r="A175" t="str">
            <v>1817-14</v>
          </cell>
          <cell r="B175">
            <v>4020</v>
          </cell>
          <cell r="C175" t="str">
            <v>DE.1.0.7.0</v>
          </cell>
          <cell r="D175" t="str">
            <v>204:937</v>
          </cell>
          <cell r="E175">
            <v>42596.589548611111</v>
          </cell>
          <cell r="F175">
            <v>42596.591099537036</v>
          </cell>
          <cell r="G175">
            <v>2</v>
          </cell>
          <cell r="H175" t="str">
            <v>300:58908</v>
          </cell>
          <cell r="I175">
            <v>42596.610891203702</v>
          </cell>
          <cell r="J175">
            <v>0</v>
          </cell>
          <cell r="K175" t="str">
            <v>4019/4020</v>
          </cell>
          <cell r="L175" t="str">
            <v>NATION</v>
          </cell>
          <cell r="M175">
            <v>1.9791666665696539E-2</v>
          </cell>
          <cell r="N175">
            <v>28.499999998603016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15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5" t="str">
            <v>N</v>
          </cell>
          <cell r="X175">
            <v>1</v>
          </cell>
          <cell r="Y175">
            <v>9.3700000000000006E-2</v>
          </cell>
          <cell r="Z175">
            <v>5.8907999999999996</v>
          </cell>
          <cell r="AA175">
            <v>5.7970999999999995</v>
          </cell>
          <cell r="AB175" t="e">
            <v>#N/A</v>
          </cell>
          <cell r="AC175" t="e">
            <v>#N/A</v>
          </cell>
          <cell r="AD175" t="str">
            <v>1817-14</v>
          </cell>
          <cell r="AE17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6">
          <cell r="A176" t="str">
            <v>1818-14</v>
          </cell>
          <cell r="B176">
            <v>4019</v>
          </cell>
          <cell r="C176" t="str">
            <v>DE.1.0.7.0</v>
          </cell>
          <cell r="D176" t="str">
            <v>204:937</v>
          </cell>
          <cell r="E176">
            <v>42596.589548611111</v>
          </cell>
          <cell r="F176">
            <v>42596.614791666667</v>
          </cell>
          <cell r="G176">
            <v>2</v>
          </cell>
          <cell r="H176" t="str">
            <v>300:58908</v>
          </cell>
          <cell r="I176">
            <v>42596.626539351855</v>
          </cell>
          <cell r="J176">
            <v>0</v>
          </cell>
          <cell r="K176" t="str">
            <v>4019/4020</v>
          </cell>
          <cell r="L176" t="str">
            <v>NATION</v>
          </cell>
          <cell r="M176">
            <v>1.1747685188311152E-2</v>
          </cell>
          <cell r="P176">
            <v>16.916666671168059</v>
          </cell>
          <cell r="R176" t="str">
            <v>Onboard in-route failure</v>
          </cell>
          <cell r="S176">
            <v>0</v>
          </cell>
          <cell r="T176" t="str">
            <v>Southbound</v>
          </cell>
          <cell r="U176">
            <v>0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16:02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6" t="str">
            <v>N</v>
          </cell>
          <cell r="X176">
            <v>1</v>
          </cell>
          <cell r="Y176">
            <v>9.3700000000000006E-2</v>
          </cell>
          <cell r="Z176">
            <v>5.8907999999999996</v>
          </cell>
          <cell r="AA176">
            <v>5.7970999999999995</v>
          </cell>
          <cell r="AB176" t="e">
            <v>#N/A</v>
          </cell>
          <cell r="AC176" t="e">
            <v>#N/A</v>
          </cell>
          <cell r="AD176" t="str">
            <v>1818-14</v>
          </cell>
          <cell r="AE17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7">
          <cell r="A177" t="str">
            <v>1819-14</v>
          </cell>
          <cell r="B177">
            <v>4020</v>
          </cell>
          <cell r="C177" t="str">
            <v>DE.1.0.7.0</v>
          </cell>
          <cell r="D177" t="str">
            <v>204:1116</v>
          </cell>
          <cell r="E177">
            <v>42596.63013888889</v>
          </cell>
          <cell r="F177">
            <v>42596.630960648145</v>
          </cell>
          <cell r="G177">
            <v>1</v>
          </cell>
          <cell r="H177" t="str">
            <v>300:58884</v>
          </cell>
          <cell r="I177">
            <v>42596.650625000002</v>
          </cell>
          <cell r="J177">
            <v>0</v>
          </cell>
          <cell r="K177" t="str">
            <v>4019/4020</v>
          </cell>
          <cell r="L177" t="str">
            <v>NATION</v>
          </cell>
          <cell r="M177">
            <v>1.9664351857500151E-2</v>
          </cell>
          <cell r="N177">
            <v>28.316666674800217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https://search-rtdc-monitor-bjffxe2xuh6vdkpspy63sjmuny.us-east-1.es.amazonaws.com/_plugin/kibana/#/discover/Steve-Slow-Train-Analysis-(2080s-and-2083s)?_g=(refreshInterval:(display:Off,section:0,value:0),time:(from:'2016-08-14 14:07:24-0600',mode:absolute,to:'2016-08-14 16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7" t="str">
            <v>N</v>
          </cell>
          <cell r="X177">
            <v>1</v>
          </cell>
          <cell r="Y177">
            <v>0.1116</v>
          </cell>
          <cell r="Z177">
            <v>5.8883999999999999</v>
          </cell>
          <cell r="AA177">
            <v>5.7767999999999997</v>
          </cell>
          <cell r="AB177" t="e">
            <v>#N/A</v>
          </cell>
          <cell r="AC177" t="e">
            <v>#N/A</v>
          </cell>
          <cell r="AD177" t="str">
            <v>1819-14</v>
          </cell>
          <cell r="AE17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78">
          <cell r="A178" t="str">
            <v>1820-14</v>
          </cell>
          <cell r="B178">
            <v>4019</v>
          </cell>
          <cell r="C178" t="str">
            <v>DE.1.0.7.0</v>
          </cell>
          <cell r="D178" t="str">
            <v>300:57352</v>
          </cell>
          <cell r="E178">
            <v>42596.652824074074</v>
          </cell>
          <cell r="F178">
            <v>42596.653645833336</v>
          </cell>
          <cell r="G178">
            <v>1</v>
          </cell>
          <cell r="H178" t="str">
            <v>300:56348</v>
          </cell>
          <cell r="I178">
            <v>42596.657222222224</v>
          </cell>
          <cell r="J178">
            <v>0</v>
          </cell>
          <cell r="K178" t="str">
            <v>4019/4020</v>
          </cell>
          <cell r="L178" t="str">
            <v>NATION</v>
          </cell>
          <cell r="M178">
            <v>3.5763888881774619E-3</v>
          </cell>
          <cell r="P178">
            <v>5.1499999989755452</v>
          </cell>
          <cell r="R178" t="str">
            <v>Dispatcher sent cutout</v>
          </cell>
          <cell r="S178">
            <v>0</v>
          </cell>
          <cell r="T178" t="str">
            <v>Southbound</v>
          </cell>
          <cell r="U178">
            <v>0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https://search-rtdc-monitor-bjffxe2xuh6vdkpspy63sjmuny.us-east-1.es.amazonaws.com/_plugin/kibana/#/discover/Steve-Slow-Train-Analysis-(2080s-and-2083s)?_g=(refreshInterval:(display:Off,section:0,value:0),time:(from:'2016-08-14 14:40:04-0600',mode:absolute,to:'2016-08-14 16:46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8" t="str">
            <v>Y</v>
          </cell>
          <cell r="X178">
            <v>1</v>
          </cell>
          <cell r="Y178">
            <v>5.7351999999999999</v>
          </cell>
          <cell r="Z178">
            <v>5.6348000000000003</v>
          </cell>
          <cell r="AA178">
            <v>0.1003999999999996</v>
          </cell>
          <cell r="AB178" t="e">
            <v>#N/A</v>
          </cell>
          <cell r="AC178" t="e">
            <v>#N/A</v>
          </cell>
          <cell r="AD178" t="str">
            <v>1820-14</v>
          </cell>
          <cell r="AE17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79">
          <cell r="A179" t="str">
            <v>1821-14</v>
          </cell>
          <cell r="B179">
            <v>4020</v>
          </cell>
          <cell r="C179" t="str">
            <v>DE.1.0.7.0</v>
          </cell>
          <cell r="D179" t="str">
            <v>204:1114</v>
          </cell>
          <cell r="E179">
            <v>42596.671423611115</v>
          </cell>
          <cell r="F179">
            <v>42596.672858796293</v>
          </cell>
          <cell r="G179">
            <v>2</v>
          </cell>
          <cell r="H179" t="str">
            <v>300:58907</v>
          </cell>
          <cell r="I179">
            <v>42596.691365740742</v>
          </cell>
          <cell r="J179">
            <v>0</v>
          </cell>
          <cell r="K179" t="str">
            <v>4019/4020</v>
          </cell>
          <cell r="L179" t="str">
            <v>NATION</v>
          </cell>
          <cell r="M179">
            <v>1.8506944448745344E-2</v>
          </cell>
          <cell r="N179">
            <v>26.650000006193295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https://search-rtdc-monitor-bjffxe2xuh6vdkpspy63sjmuny.us-east-1.es.amazonaws.com/_plugin/kibana/#/discover/Steve-Slow-Train-Analysis-(2080s-and-2083s)?_g=(refreshInterval:(display:Off,section:0,value:0),time:(from:'2016-08-14 15:06:51-0600',mode:absolute,to:'2016-08-14 17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9" t="str">
            <v>N</v>
          </cell>
          <cell r="X179">
            <v>1</v>
          </cell>
          <cell r="Y179">
            <v>0.1114</v>
          </cell>
          <cell r="Z179">
            <v>5.8906999999999998</v>
          </cell>
          <cell r="AA179">
            <v>5.7793000000000001</v>
          </cell>
          <cell r="AB179" t="e">
            <v>#N/A</v>
          </cell>
          <cell r="AC179" t="e">
            <v>#N/A</v>
          </cell>
          <cell r="AD179" t="str">
            <v>1821-14</v>
          </cell>
          <cell r="AE17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0">
          <cell r="A180" t="str">
            <v>1822-14</v>
          </cell>
          <cell r="B180">
            <v>4019</v>
          </cell>
          <cell r="C180" t="str">
            <v>DE.1.0.7.0</v>
          </cell>
          <cell r="D180" t="str">
            <v>300:58581</v>
          </cell>
          <cell r="E180">
            <v>42596.69259259259</v>
          </cell>
          <cell r="F180">
            <v>42596.693761574075</v>
          </cell>
          <cell r="G180">
            <v>1</v>
          </cell>
          <cell r="H180" t="str">
            <v>300:57781</v>
          </cell>
          <cell r="I180">
            <v>42596.696145833332</v>
          </cell>
          <cell r="J180">
            <v>0</v>
          </cell>
          <cell r="K180" t="str">
            <v>4019/4020</v>
          </cell>
          <cell r="L180" t="str">
            <v>NATION</v>
          </cell>
          <cell r="M180">
            <v>2.3842592563596554E-3</v>
          </cell>
          <cell r="P180">
            <v>3.4333333291579038</v>
          </cell>
          <cell r="R180" t="str">
            <v>Onboard in-route failure</v>
          </cell>
          <cell r="S180">
            <v>0</v>
          </cell>
          <cell r="T180" t="str">
            <v>Southbound</v>
          </cell>
          <cell r="U180">
            <v>0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https://search-rtdc-monitor-bjffxe2xuh6vdkpspy63sjmuny.us-east-1.es.amazonaws.com/_plugin/kibana/#/discover/Steve-Slow-Train-Analysis-(2080s-and-2083s)?_g=(refreshInterval:(display:Off,section:0,value:0),time:(from:'2016-08-14 15:37:20-0600',mode:absolute,to:'2016-08-14 17:42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0" t="str">
            <v>Y</v>
          </cell>
          <cell r="X180">
            <v>1</v>
          </cell>
          <cell r="Y180">
            <v>5.8581000000000003</v>
          </cell>
          <cell r="Z180">
            <v>5.7781000000000002</v>
          </cell>
          <cell r="AA180">
            <v>8.0000000000000071E-2</v>
          </cell>
          <cell r="AB180" t="e">
            <v>#N/A</v>
          </cell>
          <cell r="AC180" t="e">
            <v>#N/A</v>
          </cell>
          <cell r="AD180" t="str">
            <v>1822-14</v>
          </cell>
          <cell r="AE18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1">
          <cell r="A181" t="str">
            <v>1823-14</v>
          </cell>
          <cell r="B181">
            <v>4020</v>
          </cell>
          <cell r="C181" t="str">
            <v>DE.1.0.7.0</v>
          </cell>
          <cell r="D181" t="str">
            <v>204:1035</v>
          </cell>
          <cell r="E181">
            <v>42596.7109837963</v>
          </cell>
          <cell r="F181">
            <v>42596.712268518517</v>
          </cell>
          <cell r="G181">
            <v>1</v>
          </cell>
          <cell r="H181" t="str">
            <v>300:58027</v>
          </cell>
          <cell r="I181">
            <v>42596.733900462961</v>
          </cell>
          <cell r="J181">
            <v>0</v>
          </cell>
          <cell r="K181" t="str">
            <v>4019/4020</v>
          </cell>
          <cell r="L181" t="str">
            <v>NATION</v>
          </cell>
          <cell r="M181">
            <v>2.1631944444379769E-2</v>
          </cell>
          <cell r="N181">
            <v>31.149999999906868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1" t="str">
            <v>N</v>
          </cell>
          <cell r="X181">
            <v>1</v>
          </cell>
          <cell r="Y181">
            <v>0.10349999999999999</v>
          </cell>
          <cell r="Z181">
            <v>5.8026999999999997</v>
          </cell>
          <cell r="AA181">
            <v>5.6991999999999994</v>
          </cell>
          <cell r="AB181" t="e">
            <v>#N/A</v>
          </cell>
          <cell r="AC181" t="e">
            <v>#N/A</v>
          </cell>
          <cell r="AD181" t="str">
            <v>1823-14</v>
          </cell>
          <cell r="AE181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2">
          <cell r="A182" t="str">
            <v>1824-14</v>
          </cell>
          <cell r="B182">
            <v>4019</v>
          </cell>
          <cell r="C182" t="str">
            <v>DE.1.0.7.0</v>
          </cell>
          <cell r="D182" t="str">
            <v>300:58594</v>
          </cell>
          <cell r="E182">
            <v>42596.735798611109</v>
          </cell>
          <cell r="F182">
            <v>42596.736631944441</v>
          </cell>
          <cell r="G182">
            <v>1</v>
          </cell>
          <cell r="H182" t="str">
            <v>204:841</v>
          </cell>
          <cell r="I182">
            <v>42596.749050925922</v>
          </cell>
          <cell r="J182">
            <v>0</v>
          </cell>
          <cell r="K182" t="str">
            <v>4019/4020</v>
          </cell>
          <cell r="L182" t="str">
            <v>NATION</v>
          </cell>
          <cell r="M182">
            <v>1.2418981481459923E-2</v>
          </cell>
          <cell r="N182">
            <v>17.883333333302289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https://search-rtdc-monitor-bjffxe2xuh6vdkpspy63sjmuny.us-east-1.es.amazonaws.com/_plugin/kibana/#/discover/Steve-Slow-Train-Analysis-(2080s-and-2083s)?_g=(refreshInterval:(display:Off,section:0,value:0),time:(from:'2016-08-14 16:39:33-0600',mode:absolute,to:'2016-08-14 18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2" t="str">
            <v>N</v>
          </cell>
          <cell r="X182">
            <v>1</v>
          </cell>
          <cell r="Y182">
            <v>5.8593999999999999</v>
          </cell>
          <cell r="Z182">
            <v>8.4099999999999994E-2</v>
          </cell>
          <cell r="AA182">
            <v>5.7752999999999997</v>
          </cell>
          <cell r="AB182" t="e">
            <v>#N/A</v>
          </cell>
          <cell r="AC182" t="e">
            <v>#N/A</v>
          </cell>
          <cell r="AD182" t="str">
            <v>1824-14</v>
          </cell>
          <cell r="AE182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3">
          <cell r="A183" t="str">
            <v>1825-14</v>
          </cell>
          <cell r="B183">
            <v>4020</v>
          </cell>
          <cell r="C183" t="str">
            <v>DE.1.0.7.0</v>
          </cell>
          <cell r="D183" t="str">
            <v>204:1144</v>
          </cell>
          <cell r="E183">
            <v>42596.752974537034</v>
          </cell>
          <cell r="F183">
            <v>42596.754027777781</v>
          </cell>
          <cell r="G183">
            <v>1</v>
          </cell>
          <cell r="H183" t="str">
            <v>300:58920</v>
          </cell>
          <cell r="I183">
            <v>42596.775405092594</v>
          </cell>
          <cell r="J183">
            <v>0</v>
          </cell>
          <cell r="K183" t="str">
            <v>4019/4020</v>
          </cell>
          <cell r="L183" t="str">
            <v>HOMIK</v>
          </cell>
          <cell r="M183">
            <v>2.1377314813435078E-2</v>
          </cell>
          <cell r="N183">
            <v>30.783333331346512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https://search-rtdc-monitor-bjffxe2xuh6vdkpspy63sjmuny.us-east-1.es.amazonaws.com/_plugin/kibana/#/discover/Steve-Slow-Train-Analysis-(2080s-and-2083s)?_g=(refreshInterval:(display:Off,section:0,value:0),time:(from:'2016-08-14 17:04:17-0600',mode:absolute,to:'2016-08-14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3" t="str">
            <v>N</v>
          </cell>
          <cell r="X183">
            <v>1</v>
          </cell>
          <cell r="Y183">
            <v>0.1144</v>
          </cell>
          <cell r="Z183">
            <v>5.8920000000000003</v>
          </cell>
          <cell r="AA183">
            <v>5.7776000000000005</v>
          </cell>
          <cell r="AB183" t="e">
            <v>#N/A</v>
          </cell>
          <cell r="AC183" t="e">
            <v>#N/A</v>
          </cell>
          <cell r="AD183" t="str">
            <v>1825-14</v>
          </cell>
          <cell r="AE183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4">
          <cell r="A184" t="str">
            <v>1826-14</v>
          </cell>
          <cell r="B184">
            <v>4019</v>
          </cell>
          <cell r="C184" t="str">
            <v>DE.1.0.7.0</v>
          </cell>
          <cell r="D184" t="str">
            <v>300:58596</v>
          </cell>
          <cell r="E184">
            <v>42596.77652777778</v>
          </cell>
          <cell r="F184">
            <v>42596.777581018519</v>
          </cell>
          <cell r="G184">
            <v>1</v>
          </cell>
          <cell r="H184" t="str">
            <v>204:810</v>
          </cell>
          <cell r="I184">
            <v>42596.788923611108</v>
          </cell>
          <cell r="J184">
            <v>0</v>
          </cell>
          <cell r="K184" t="str">
            <v>4019/4020</v>
          </cell>
          <cell r="L184" t="str">
            <v>HOMIK</v>
          </cell>
          <cell r="M184">
            <v>1.134259258833481E-2</v>
          </cell>
          <cell r="N184">
            <v>16.333333327202126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https://search-rtdc-monitor-bjffxe2xuh6vdkpspy63sjmuny.us-east-1.es.amazonaws.com/_plugin/kibana/#/discover/Steve-Slow-Train-Analysis-(2080s-and-2083s)?_g=(refreshInterval:(display:Off,section:0,value:0),time:(from:'2016-08-14 17:38:12-0600',mode:absolute,to:'2016-08-14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4" t="str">
            <v>N</v>
          </cell>
          <cell r="X184">
            <v>1</v>
          </cell>
          <cell r="Y184">
            <v>5.8596000000000004</v>
          </cell>
          <cell r="Z184">
            <v>8.1000000000000003E-2</v>
          </cell>
          <cell r="AA184">
            <v>5.7786</v>
          </cell>
          <cell r="AB184" t="e">
            <v>#N/A</v>
          </cell>
          <cell r="AC184" t="e">
            <v>#N/A</v>
          </cell>
          <cell r="AD184" t="str">
            <v>1826-14</v>
          </cell>
          <cell r="AE184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5">
          <cell r="A185" t="str">
            <v>1827-14</v>
          </cell>
          <cell r="B185">
            <v>4020</v>
          </cell>
          <cell r="C185" t="str">
            <v>DE.1.0.7.0</v>
          </cell>
          <cell r="D185" t="str">
            <v>204:1112</v>
          </cell>
          <cell r="E185">
            <v>42596.799444444441</v>
          </cell>
          <cell r="F185">
            <v>42596.800752314812</v>
          </cell>
          <cell r="G185">
            <v>1</v>
          </cell>
          <cell r="H185" t="str">
            <v>300:58910</v>
          </cell>
          <cell r="I185">
            <v>42596.817766203705</v>
          </cell>
          <cell r="J185">
            <v>0</v>
          </cell>
          <cell r="K185" t="str">
            <v>4019/4020</v>
          </cell>
          <cell r="L185" t="str">
            <v>NATION</v>
          </cell>
          <cell r="M185">
            <v>1.7013888893416151E-2</v>
          </cell>
          <cell r="N185">
            <v>24.500000006519258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https://search-rtdc-monitor-bjffxe2xuh6vdkpspy63sjmuny.us-east-1.es.amazonaws.com/_plugin/kibana/#/discover/Steve-Slow-Train-Analysis-(2080s-and-2083s)?_g=(refreshInterval:(display:Off,section:0,value:0),time:(from:'2016-08-14 18:11:12-0600',mode:absolute,to:'2016-08-14 20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5" t="str">
            <v>N</v>
          </cell>
          <cell r="X185">
            <v>1</v>
          </cell>
          <cell r="Y185">
            <v>0.11119999999999999</v>
          </cell>
          <cell r="Z185">
            <v>5.891</v>
          </cell>
          <cell r="AA185">
            <v>5.7797999999999998</v>
          </cell>
          <cell r="AB185" t="e">
            <v>#N/A</v>
          </cell>
          <cell r="AC185" t="e">
            <v>#N/A</v>
          </cell>
          <cell r="AD185" t="str">
            <v>1827-14</v>
          </cell>
          <cell r="AE185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6">
          <cell r="A186" t="str">
            <v>1828-14</v>
          </cell>
          <cell r="B186">
            <v>4019</v>
          </cell>
          <cell r="C186" t="str">
            <v>DE.1.0.7.0</v>
          </cell>
          <cell r="D186" t="str">
            <v>300:58587</v>
          </cell>
          <cell r="E186">
            <v>42596.818877314814</v>
          </cell>
          <cell r="F186">
            <v>42596.819930555554</v>
          </cell>
          <cell r="G186">
            <v>1</v>
          </cell>
          <cell r="H186" t="str">
            <v>204:834</v>
          </cell>
          <cell r="I186">
            <v>42596.831064814818</v>
          </cell>
          <cell r="J186">
            <v>0</v>
          </cell>
          <cell r="K186" t="str">
            <v>4019/4020</v>
          </cell>
          <cell r="L186" t="str">
            <v>NATION</v>
          </cell>
          <cell r="M186">
            <v>1.1134259264508728E-2</v>
          </cell>
          <cell r="N186">
            <v>16.033333340892568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https://search-rtdc-monitor-bjffxe2xuh6vdkpspy63sjmuny.us-east-1.es.amazonaws.com/_plugin/kibana/#/discover/Steve-Slow-Train-Analysis-(2080s-and-2083s)?_g=(refreshInterval:(display:Off,section:0,value:0),time:(from:'2016-08-14 18:39:11-0600',mode:absolute,to:'2016-08-14 20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6" t="str">
            <v>N</v>
          </cell>
          <cell r="X186">
            <v>1</v>
          </cell>
          <cell r="Y186">
            <v>5.8586999999999998</v>
          </cell>
          <cell r="Z186">
            <v>8.3400000000000002E-2</v>
          </cell>
          <cell r="AA186">
            <v>5.7752999999999997</v>
          </cell>
          <cell r="AB186" t="e">
            <v>#N/A</v>
          </cell>
          <cell r="AC186" t="e">
            <v>#N/A</v>
          </cell>
          <cell r="AD186" t="str">
            <v>1828-14</v>
          </cell>
          <cell r="AE186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7">
          <cell r="A187" t="str">
            <v>1829-14</v>
          </cell>
          <cell r="B187">
            <v>4020</v>
          </cell>
          <cell r="C187" t="str">
            <v>DE.1.0.7.0</v>
          </cell>
          <cell r="D187" t="str">
            <v>204:1133</v>
          </cell>
          <cell r="E187">
            <v>42596.839768518519</v>
          </cell>
          <cell r="F187">
            <v>42596.840578703705</v>
          </cell>
          <cell r="G187">
            <v>1</v>
          </cell>
          <cell r="H187" t="str">
            <v>300:58916</v>
          </cell>
          <cell r="I187">
            <v>42596.859166666669</v>
          </cell>
          <cell r="J187">
            <v>0</v>
          </cell>
          <cell r="K187" t="str">
            <v>4019/4020</v>
          </cell>
          <cell r="L187" t="str">
            <v>HOMIK</v>
          </cell>
          <cell r="M187">
            <v>1.8587962964375038E-2</v>
          </cell>
          <cell r="N187">
            <v>26.766666668700054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https://search-rtdc-monitor-bjffxe2xuh6vdkpspy63sjmuny.us-east-1.es.amazonaws.com/_plugin/kibana/#/discover/Steve-Slow-Train-Analysis-(2080s-and-2083s)?_g=(refreshInterval:(display:Off,section:0,value:0),time:(from:'2016-08-14 19:09:16-0600',mode:absolute,to:'2016-08-14 21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7" t="str">
            <v>N</v>
          </cell>
          <cell r="X187">
            <v>1</v>
          </cell>
          <cell r="Y187">
            <v>0.1133</v>
          </cell>
          <cell r="Z187">
            <v>5.8916000000000004</v>
          </cell>
          <cell r="AA187">
            <v>5.7783000000000007</v>
          </cell>
          <cell r="AB187" t="e">
            <v>#N/A</v>
          </cell>
          <cell r="AC187" t="e">
            <v>#N/A</v>
          </cell>
          <cell r="AD187" t="str">
            <v>1829-14</v>
          </cell>
          <cell r="AE187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88">
          <cell r="A188" t="str">
            <v>1830-14</v>
          </cell>
          <cell r="B188">
            <v>4019</v>
          </cell>
          <cell r="C188" t="str">
            <v>DE.1.0.7.0</v>
          </cell>
          <cell r="D188" t="str">
            <v>300:58594</v>
          </cell>
          <cell r="E188">
            <v>42596.862083333333</v>
          </cell>
          <cell r="F188">
            <v>42596.864444444444</v>
          </cell>
          <cell r="G188">
            <v>3</v>
          </cell>
          <cell r="H188" t="str">
            <v>204:803</v>
          </cell>
          <cell r="I188">
            <v>42596.875138888892</v>
          </cell>
          <cell r="J188">
            <v>0</v>
          </cell>
          <cell r="K188" t="str">
            <v>4019/4020</v>
          </cell>
          <cell r="L188" t="str">
            <v>HOMIK</v>
          </cell>
          <cell r="M188">
            <v>1.0694444448745344E-2</v>
          </cell>
          <cell r="N188">
            <v>15.400000006193295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https://search-rtdc-monitor-bjffxe2xuh6vdkpspy63sjmuny.us-east-1.es.amazonaws.com/_plugin/kibana/#/discover/Steve-Slow-Train-Analysis-(2080s-and-2083s)?_g=(refreshInterval:(display:Off,section:0,value:0),time:(from:'2016-08-14 19:41:24-0600',mode:absolute,to:'2016-08-14 22:00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8" t="str">
            <v>N</v>
          </cell>
          <cell r="X188">
            <v>1</v>
          </cell>
          <cell r="Y188">
            <v>5.8593999999999999</v>
          </cell>
          <cell r="Z188">
            <v>8.0299999999999996E-2</v>
          </cell>
          <cell r="AA188">
            <v>5.7790999999999997</v>
          </cell>
          <cell r="AB188" t="e">
            <v>#N/A</v>
          </cell>
          <cell r="AC188" t="e">
            <v>#N/A</v>
          </cell>
          <cell r="AD188" t="str">
            <v>1830-14</v>
          </cell>
          <cell r="AE188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  <row r="189">
          <cell r="A189" t="str">
            <v>1831-14</v>
          </cell>
          <cell r="B189">
            <v>4020</v>
          </cell>
          <cell r="C189" t="str">
            <v>DE.1.0.7.0</v>
          </cell>
          <cell r="D189" t="str">
            <v>204:1097</v>
          </cell>
          <cell r="E189">
            <v>42596.885578703703</v>
          </cell>
          <cell r="F189">
            <v>42596.887465277781</v>
          </cell>
          <cell r="G189">
            <v>2</v>
          </cell>
          <cell r="H189" t="str">
            <v>300:58937</v>
          </cell>
          <cell r="I189">
            <v>42596.901446759257</v>
          </cell>
          <cell r="J189">
            <v>0</v>
          </cell>
          <cell r="K189" t="str">
            <v>4019/4020</v>
          </cell>
          <cell r="L189" t="str">
            <v>ALONZO</v>
          </cell>
          <cell r="M189">
            <v>1.3981481475639157E-2</v>
          </cell>
          <cell r="N189">
            <v>20.133333324920386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https://search-rtdc-monitor-bjffxe2xuh6vdkpspy63sjmuny.us-east-1.es.amazonaws.com/_plugin/kibana/#/discover/Steve-Slow-Train-Analysis-(2080s-and-2083s)?_g=(refreshInterval:(display:Off,section:0,value:0),time:(from:'2016-08-14 20:15:14-0600',mode:absolute,to:'2016-08-14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9" t="str">
            <v>N</v>
          </cell>
          <cell r="X189">
            <v>1</v>
          </cell>
          <cell r="Y189">
            <v>0.10970000000000001</v>
          </cell>
          <cell r="Z189">
            <v>5.8936999999999999</v>
          </cell>
          <cell r="AA189">
            <v>5.7839999999999998</v>
          </cell>
          <cell r="AB189" t="e">
            <v>#N/A</v>
          </cell>
          <cell r="AC189" t="e">
            <v>#N/A</v>
          </cell>
          <cell r="AD189" t="str">
            <v>1831-14</v>
          </cell>
          <cell r="AE189" t="str">
    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    </cell>
        </row>
        <row r="190">
          <cell r="A190" t="str">
            <v>1832-14</v>
          </cell>
          <cell r="B190">
            <v>4019</v>
          </cell>
          <cell r="C190" t="str">
            <v>DE.1.0.7.0</v>
          </cell>
          <cell r="D190" t="str">
            <v>300:58617</v>
          </cell>
          <cell r="E190">
            <v>42596.90252314815</v>
          </cell>
          <cell r="F190">
            <v>42596.90357638889</v>
          </cell>
          <cell r="G190">
            <v>1</v>
          </cell>
          <cell r="H190" t="str">
            <v>204:666</v>
          </cell>
          <cell r="I190">
            <v>42596.913877314815</v>
          </cell>
          <cell r="J190">
            <v>0</v>
          </cell>
          <cell r="K190" t="str">
            <v>4019/4020</v>
          </cell>
          <cell r="L190" t="str">
            <v>ALONZO</v>
          </cell>
          <cell r="M190">
            <v>1.0300925925548654E-2</v>
          </cell>
          <cell r="N190">
            <v>14.833333332790062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https://search-rtdc-monitor-bjffxe2xuh6vdkpspy63sjmuny.us-east-1.es.amazonaws.com/_plugin/kibana/#/discover/Steve-Slow-Train-Analysis-(2080s-and-2083s)?_g=(refreshInterval:(display:Off,section:0,value:0),time:(from:'2016-08-14 20:39:38-0600',mode:absolute,to:'2016-08-14 22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0" t="str">
            <v>N</v>
          </cell>
          <cell r="X190">
            <v>1</v>
          </cell>
          <cell r="Y190">
            <v>5.8616999999999999</v>
          </cell>
          <cell r="Z190">
            <v>6.6600000000000006E-2</v>
          </cell>
          <cell r="AA190">
            <v>5.7950999999999997</v>
          </cell>
          <cell r="AB190" t="e">
            <v>#N/A</v>
          </cell>
          <cell r="AC190" t="e">
            <v>#N/A</v>
          </cell>
          <cell r="AD190" t="str">
            <v>1832-14</v>
          </cell>
          <cell r="AE190" t="str">
    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    </cell>
        </row>
      </sheetData>
      <sheetData sheetId="1" refreshError="1"/>
      <sheetData sheetId="2" refreshError="1"/>
      <sheetData sheetId="3">
        <row r="1">
          <cell r="C1" t="str">
            <v>245-13</v>
          </cell>
          <cell r="D1">
            <v>1300000</v>
          </cell>
          <cell r="E1" t="str">
            <v>LEVIN</v>
          </cell>
        </row>
        <row r="2">
          <cell r="C2" t="str">
            <v>242-13</v>
          </cell>
          <cell r="D2">
            <v>2000000</v>
          </cell>
          <cell r="E2" t="str">
            <v>STAMBAUGH</v>
          </cell>
        </row>
        <row r="3">
          <cell r="C3" t="str">
            <v>309-13</v>
          </cell>
          <cell r="D3">
            <v>1810000</v>
          </cell>
          <cell r="E3" t="str">
            <v>NEWELL</v>
          </cell>
        </row>
        <row r="4">
          <cell r="C4" t="str">
            <v>244-13</v>
          </cell>
          <cell r="D4">
            <v>1480000</v>
          </cell>
          <cell r="E4" t="str">
            <v>STURGEON</v>
          </cell>
        </row>
        <row r="5">
          <cell r="C5" t="str">
            <v>311-13</v>
          </cell>
          <cell r="D5">
            <v>2000000</v>
          </cell>
          <cell r="E5" t="str">
            <v>STAMBAUGH</v>
          </cell>
        </row>
        <row r="6">
          <cell r="C6" t="str">
            <v>246-13</v>
          </cell>
          <cell r="D6">
            <v>1300000</v>
          </cell>
          <cell r="E6" t="str">
            <v>LEVIN</v>
          </cell>
        </row>
        <row r="7">
          <cell r="C7" t="str">
            <v>313-13</v>
          </cell>
          <cell r="D7">
            <v>1480000</v>
          </cell>
          <cell r="E7" t="str">
            <v>STURGEON</v>
          </cell>
        </row>
        <row r="8">
          <cell r="C8" t="str">
            <v>315-13</v>
          </cell>
          <cell r="D8">
            <v>1300000</v>
          </cell>
          <cell r="E8" t="str">
            <v>LEVIN</v>
          </cell>
        </row>
        <row r="9">
          <cell r="C9" t="str">
            <v>302-14</v>
          </cell>
          <cell r="D9">
            <v>2030000</v>
          </cell>
          <cell r="E9" t="str">
            <v>KILLION</v>
          </cell>
        </row>
        <row r="10">
          <cell r="C10" t="str">
            <v>101-14</v>
          </cell>
          <cell r="D10">
            <v>2030000</v>
          </cell>
          <cell r="E10" t="str">
            <v>KILLION</v>
          </cell>
        </row>
        <row r="11">
          <cell r="C11" t="str">
            <v>103-14</v>
          </cell>
          <cell r="D11">
            <v>1260000</v>
          </cell>
          <cell r="E11" t="str">
            <v>ACKERMAN</v>
          </cell>
        </row>
        <row r="12">
          <cell r="C12" t="str">
            <v>102-14</v>
          </cell>
          <cell r="D12">
            <v>2030000</v>
          </cell>
          <cell r="E12" t="str">
            <v>KILLION</v>
          </cell>
        </row>
        <row r="13">
          <cell r="C13" t="str">
            <v>105-14</v>
          </cell>
          <cell r="D13">
            <v>2010000</v>
          </cell>
          <cell r="E13" t="str">
            <v>MAELZER</v>
          </cell>
        </row>
        <row r="14">
          <cell r="C14" t="str">
            <v>107-14</v>
          </cell>
          <cell r="D14">
            <v>1990000</v>
          </cell>
          <cell r="E14" t="str">
            <v>DAVIS</v>
          </cell>
        </row>
        <row r="15">
          <cell r="C15" t="str">
            <v>104-14</v>
          </cell>
          <cell r="D15">
            <v>1260000</v>
          </cell>
          <cell r="E15" t="str">
            <v>ACKERMAN</v>
          </cell>
        </row>
        <row r="16">
          <cell r="C16" t="str">
            <v>109-14</v>
          </cell>
          <cell r="D16">
            <v>1310000</v>
          </cell>
          <cell r="E16" t="str">
            <v>MALAVE</v>
          </cell>
        </row>
        <row r="17">
          <cell r="C17" t="str">
            <v>111-14</v>
          </cell>
          <cell r="D17">
            <v>1760000</v>
          </cell>
          <cell r="E17" t="str">
            <v>STRICKLAND</v>
          </cell>
        </row>
        <row r="18">
          <cell r="C18" t="str">
            <v>113-14</v>
          </cell>
          <cell r="D18">
            <v>2030000</v>
          </cell>
          <cell r="E18" t="str">
            <v>KILLION</v>
          </cell>
        </row>
        <row r="19">
          <cell r="C19" t="str">
            <v>106-14</v>
          </cell>
          <cell r="D19">
            <v>2010000</v>
          </cell>
          <cell r="E19" t="str">
            <v>MAELZER</v>
          </cell>
        </row>
        <row r="20">
          <cell r="C20" t="str">
            <v>108-14</v>
          </cell>
          <cell r="D20">
            <v>1990000</v>
          </cell>
          <cell r="E20" t="str">
            <v>DAVIS</v>
          </cell>
        </row>
        <row r="21">
          <cell r="C21" t="str">
            <v>1901-14</v>
          </cell>
          <cell r="D21">
            <v>1110000</v>
          </cell>
          <cell r="E21" t="str">
            <v>STARKS</v>
          </cell>
        </row>
        <row r="22">
          <cell r="C22" t="str">
            <v>1901-14</v>
          </cell>
          <cell r="D22">
            <v>1110000</v>
          </cell>
          <cell r="E22" t="str">
            <v>STARKS</v>
          </cell>
        </row>
        <row r="23">
          <cell r="C23" t="str">
            <v>1901-14</v>
          </cell>
          <cell r="D23">
            <v>1110000</v>
          </cell>
          <cell r="E23" t="str">
            <v>STARKS</v>
          </cell>
        </row>
        <row r="24">
          <cell r="C24" t="str">
            <v>115-14</v>
          </cell>
          <cell r="D24">
            <v>1830000</v>
          </cell>
          <cell r="E24" t="str">
            <v>YORK</v>
          </cell>
        </row>
        <row r="25">
          <cell r="C25" t="str">
            <v>115-14</v>
          </cell>
          <cell r="D25">
            <v>1830000</v>
          </cell>
          <cell r="E25" t="str">
            <v>YORK</v>
          </cell>
        </row>
        <row r="26">
          <cell r="C26" t="str">
            <v>110-14</v>
          </cell>
          <cell r="D26">
            <v>1310000</v>
          </cell>
          <cell r="E26" t="str">
            <v>MALAVE</v>
          </cell>
        </row>
        <row r="27">
          <cell r="C27" t="str">
            <v>117-14</v>
          </cell>
          <cell r="D27">
            <v>1260000</v>
          </cell>
          <cell r="E27" t="str">
            <v>ACKERMAN</v>
          </cell>
        </row>
        <row r="28">
          <cell r="C28" t="str">
            <v>1800-14</v>
          </cell>
          <cell r="D28">
            <v>1110000</v>
          </cell>
          <cell r="E28" t="str">
            <v>STARKS</v>
          </cell>
        </row>
        <row r="29">
          <cell r="C29" t="str">
            <v>112-14</v>
          </cell>
          <cell r="D29">
            <v>1760000</v>
          </cell>
          <cell r="E29" t="str">
            <v>STRICKLAND</v>
          </cell>
        </row>
        <row r="30">
          <cell r="C30" t="str">
            <v>119-14</v>
          </cell>
          <cell r="D30">
            <v>2010000</v>
          </cell>
          <cell r="E30" t="str">
            <v>MAELZER</v>
          </cell>
        </row>
        <row r="31">
          <cell r="C31" t="str">
            <v>114-14</v>
          </cell>
          <cell r="D31">
            <v>2030000</v>
          </cell>
          <cell r="E31" t="str">
            <v>KILLION</v>
          </cell>
        </row>
        <row r="32">
          <cell r="C32" t="str">
            <v>116-14</v>
          </cell>
          <cell r="D32">
            <v>1830000</v>
          </cell>
          <cell r="E32" t="str">
            <v>YORK</v>
          </cell>
        </row>
        <row r="33">
          <cell r="C33" t="str">
            <v>112-14</v>
          </cell>
          <cell r="D33">
            <v>1760000</v>
          </cell>
          <cell r="E33" t="str">
            <v>STRICKLAND</v>
          </cell>
        </row>
        <row r="34">
          <cell r="C34" t="str">
            <v>121-14</v>
          </cell>
          <cell r="D34">
            <v>1990000</v>
          </cell>
          <cell r="E34" t="str">
            <v>DAVIS</v>
          </cell>
        </row>
        <row r="35">
          <cell r="C35" t="str">
            <v>1801-14</v>
          </cell>
          <cell r="D35">
            <v>1110000</v>
          </cell>
          <cell r="E35" t="str">
            <v>STARKS</v>
          </cell>
        </row>
        <row r="36">
          <cell r="C36" t="str">
            <v>123-14</v>
          </cell>
          <cell r="D36">
            <v>1310000</v>
          </cell>
          <cell r="E36" t="str">
            <v>MALAVE</v>
          </cell>
        </row>
        <row r="37">
          <cell r="C37" t="str">
            <v>118-14</v>
          </cell>
          <cell r="D37">
            <v>1260000</v>
          </cell>
          <cell r="E37" t="str">
            <v>ACKERMAN</v>
          </cell>
        </row>
        <row r="38">
          <cell r="C38" t="str">
            <v>1802-14</v>
          </cell>
          <cell r="D38">
            <v>1110000</v>
          </cell>
          <cell r="E38" t="str">
            <v>STARKS</v>
          </cell>
        </row>
        <row r="39">
          <cell r="C39" t="str">
            <v>125-14</v>
          </cell>
          <cell r="D39">
            <v>1760000</v>
          </cell>
          <cell r="E39" t="str">
            <v>STRICKLAND</v>
          </cell>
        </row>
        <row r="40">
          <cell r="C40" t="str">
            <v>120-14</v>
          </cell>
          <cell r="D40">
            <v>2010000</v>
          </cell>
          <cell r="E40" t="str">
            <v>MAELZER</v>
          </cell>
        </row>
        <row r="41">
          <cell r="C41" t="str">
            <v>127-14</v>
          </cell>
          <cell r="D41">
            <v>2030000</v>
          </cell>
          <cell r="E41" t="str">
            <v>KILLION</v>
          </cell>
        </row>
        <row r="42">
          <cell r="C42" t="str">
            <v>122-14</v>
          </cell>
          <cell r="D42">
            <v>1990000</v>
          </cell>
          <cell r="E42" t="str">
            <v>DAVIS</v>
          </cell>
        </row>
        <row r="43">
          <cell r="C43" t="str">
            <v>129-14</v>
          </cell>
          <cell r="D43">
            <v>1830000</v>
          </cell>
          <cell r="E43" t="str">
            <v>YORK</v>
          </cell>
        </row>
        <row r="44">
          <cell r="C44" t="str">
            <v>1803-14</v>
          </cell>
          <cell r="D44">
            <v>1110000</v>
          </cell>
          <cell r="E44" t="str">
            <v>STARKS</v>
          </cell>
        </row>
        <row r="45">
          <cell r="C45" t="str">
            <v>124-14</v>
          </cell>
          <cell r="D45">
            <v>1310000</v>
          </cell>
          <cell r="E45" t="str">
            <v>MALAVE</v>
          </cell>
        </row>
        <row r="46">
          <cell r="C46" t="str">
            <v>131-14</v>
          </cell>
          <cell r="D46">
            <v>1260000</v>
          </cell>
          <cell r="E46" t="str">
            <v>ACKERMAN</v>
          </cell>
        </row>
        <row r="47">
          <cell r="C47" t="str">
            <v>126-14</v>
          </cell>
          <cell r="D47">
            <v>1760000</v>
          </cell>
          <cell r="E47" t="str">
            <v>STRICKLAND</v>
          </cell>
        </row>
        <row r="48">
          <cell r="C48" t="str">
            <v>1803-14</v>
          </cell>
          <cell r="D48">
            <v>1110000</v>
          </cell>
          <cell r="E48" t="str">
            <v>STARKS</v>
          </cell>
        </row>
        <row r="49">
          <cell r="C49" t="str">
            <v>1804-14</v>
          </cell>
          <cell r="D49">
            <v>1110000</v>
          </cell>
          <cell r="E49" t="str">
            <v>STARKS</v>
          </cell>
        </row>
        <row r="50">
          <cell r="C50" t="str">
            <v>133-14</v>
          </cell>
          <cell r="D50">
            <v>2010000</v>
          </cell>
          <cell r="E50" t="str">
            <v>MAELZER</v>
          </cell>
        </row>
        <row r="51">
          <cell r="C51" t="str">
            <v>128-14</v>
          </cell>
          <cell r="D51">
            <v>2030000</v>
          </cell>
          <cell r="E51" t="str">
            <v>KILLION</v>
          </cell>
        </row>
        <row r="52">
          <cell r="C52" t="str">
            <v>130-14</v>
          </cell>
          <cell r="D52">
            <v>1830000</v>
          </cell>
          <cell r="E52" t="str">
            <v>YORK</v>
          </cell>
        </row>
        <row r="53">
          <cell r="C53" t="str">
            <v>135-14</v>
          </cell>
          <cell r="D53">
            <v>1990000</v>
          </cell>
          <cell r="E53" t="str">
            <v>DAVIS</v>
          </cell>
        </row>
        <row r="54">
          <cell r="C54" t="str">
            <v>137-14</v>
          </cell>
          <cell r="D54">
            <v>1310000</v>
          </cell>
          <cell r="E54" t="str">
            <v>MALAVE</v>
          </cell>
        </row>
        <row r="55">
          <cell r="C55" t="str">
            <v>132-14</v>
          </cell>
          <cell r="D55">
            <v>1260000</v>
          </cell>
          <cell r="E55" t="str">
            <v>ACKERMAN</v>
          </cell>
        </row>
        <row r="56">
          <cell r="C56" t="str">
            <v>1805-14</v>
          </cell>
          <cell r="D56">
            <v>1110000</v>
          </cell>
          <cell r="E56" t="str">
            <v>STARKS</v>
          </cell>
        </row>
        <row r="57">
          <cell r="C57" t="str">
            <v>139-14</v>
          </cell>
          <cell r="D57">
            <v>1760000</v>
          </cell>
          <cell r="E57" t="str">
            <v>STRICKLAND</v>
          </cell>
        </row>
        <row r="58">
          <cell r="C58" t="str">
            <v>134-14</v>
          </cell>
          <cell r="D58">
            <v>2010000</v>
          </cell>
          <cell r="E58" t="str">
            <v>MAELZER</v>
          </cell>
        </row>
        <row r="59">
          <cell r="C59" t="str">
            <v>141-14</v>
          </cell>
          <cell r="D59">
            <v>2030000</v>
          </cell>
          <cell r="E59" t="str">
            <v>KILLION</v>
          </cell>
        </row>
        <row r="60">
          <cell r="C60" t="str">
            <v>1806-14</v>
          </cell>
          <cell r="D60">
            <v>1110000</v>
          </cell>
          <cell r="E60" t="str">
            <v>STARKS</v>
          </cell>
        </row>
        <row r="61">
          <cell r="C61" t="str">
            <v>136-14</v>
          </cell>
          <cell r="D61">
            <v>1990000</v>
          </cell>
          <cell r="E61" t="str">
            <v>DAVIS</v>
          </cell>
        </row>
        <row r="62">
          <cell r="C62" t="str">
            <v>143-14</v>
          </cell>
          <cell r="D62">
            <v>1830000</v>
          </cell>
          <cell r="E62" t="str">
            <v>YORK</v>
          </cell>
        </row>
        <row r="63">
          <cell r="C63" t="str">
            <v>145-14</v>
          </cell>
          <cell r="D63">
            <v>1260000</v>
          </cell>
          <cell r="E63" t="str">
            <v>ACKERMAN</v>
          </cell>
        </row>
        <row r="64">
          <cell r="C64" t="str">
            <v>138-14</v>
          </cell>
          <cell r="D64">
            <v>1310000</v>
          </cell>
          <cell r="E64" t="str">
            <v>MALAVE</v>
          </cell>
        </row>
        <row r="65">
          <cell r="C65" t="str">
            <v>1807-14</v>
          </cell>
          <cell r="D65">
            <v>1110000</v>
          </cell>
          <cell r="E65" t="str">
            <v>STARKS</v>
          </cell>
        </row>
        <row r="66">
          <cell r="C66" t="str">
            <v>140-14</v>
          </cell>
          <cell r="D66">
            <v>1760000</v>
          </cell>
          <cell r="E66" t="str">
            <v>STRICKLAND</v>
          </cell>
        </row>
        <row r="67">
          <cell r="C67" t="str">
            <v>147-14</v>
          </cell>
          <cell r="D67">
            <v>2010000</v>
          </cell>
          <cell r="E67" t="str">
            <v>MAELZER</v>
          </cell>
        </row>
        <row r="68">
          <cell r="C68" t="str">
            <v>142-14</v>
          </cell>
          <cell r="D68">
            <v>2030000</v>
          </cell>
          <cell r="E68" t="str">
            <v>KILLION</v>
          </cell>
        </row>
        <row r="69">
          <cell r="C69" t="str">
            <v>1808-14</v>
          </cell>
          <cell r="D69">
            <v>1110000</v>
          </cell>
          <cell r="E69" t="str">
            <v>STARKS</v>
          </cell>
        </row>
        <row r="70">
          <cell r="C70" t="str">
            <v>144-14</v>
          </cell>
          <cell r="D70">
            <v>1830000</v>
          </cell>
          <cell r="E70" t="str">
            <v>YORK</v>
          </cell>
        </row>
        <row r="71">
          <cell r="C71" t="str">
            <v>149-14</v>
          </cell>
          <cell r="D71">
            <v>1990000</v>
          </cell>
          <cell r="E71" t="str">
            <v>DAVIS</v>
          </cell>
        </row>
        <row r="72">
          <cell r="C72" t="str">
            <v>151-14</v>
          </cell>
          <cell r="D72">
            <v>1310000</v>
          </cell>
          <cell r="E72" t="str">
            <v>MALAVE</v>
          </cell>
        </row>
        <row r="73">
          <cell r="C73" t="str">
            <v>146-14</v>
          </cell>
          <cell r="D73">
            <v>1260000</v>
          </cell>
          <cell r="E73" t="str">
            <v>ACKERMAN</v>
          </cell>
        </row>
        <row r="74">
          <cell r="C74" t="str">
            <v>153-14</v>
          </cell>
          <cell r="D74">
            <v>1760000</v>
          </cell>
          <cell r="E74" t="str">
            <v>STRICKLAND</v>
          </cell>
        </row>
        <row r="75">
          <cell r="C75" t="str">
            <v>1810-14</v>
          </cell>
          <cell r="D75">
            <v>1110000</v>
          </cell>
          <cell r="E75" t="str">
            <v>STARKS</v>
          </cell>
        </row>
        <row r="76">
          <cell r="C76" t="str">
            <v>148-14</v>
          </cell>
          <cell r="D76">
            <v>2010000</v>
          </cell>
          <cell r="E76" t="str">
            <v>MAELZER</v>
          </cell>
        </row>
        <row r="77">
          <cell r="C77" t="str">
            <v>1809-14</v>
          </cell>
          <cell r="D77">
            <v>1110000</v>
          </cell>
          <cell r="E77" t="str">
            <v>STARKS</v>
          </cell>
        </row>
        <row r="78">
          <cell r="C78" t="str">
            <v>155-14</v>
          </cell>
          <cell r="D78">
            <v>1520000</v>
          </cell>
          <cell r="E78" t="str">
            <v>MAYBERRY</v>
          </cell>
        </row>
        <row r="79">
          <cell r="C79" t="str">
            <v>150-14</v>
          </cell>
          <cell r="D79">
            <v>1990000</v>
          </cell>
          <cell r="E79" t="str">
            <v>DAVIS</v>
          </cell>
        </row>
        <row r="80">
          <cell r="C80" t="str">
            <v>157-14</v>
          </cell>
          <cell r="D80">
            <v>1830000</v>
          </cell>
          <cell r="E80" t="str">
            <v>YORK</v>
          </cell>
        </row>
        <row r="81">
          <cell r="C81" t="str">
            <v>1810-14</v>
          </cell>
          <cell r="D81">
            <v>1110000</v>
          </cell>
          <cell r="E81" t="str">
            <v>STARKS</v>
          </cell>
        </row>
        <row r="82">
          <cell r="C82" t="str">
            <v>152-14</v>
          </cell>
          <cell r="D82">
            <v>1310000</v>
          </cell>
          <cell r="E82" t="str">
            <v>MALAVE</v>
          </cell>
        </row>
        <row r="83">
          <cell r="C83" t="str">
            <v>159-14</v>
          </cell>
          <cell r="D83">
            <v>880000</v>
          </cell>
          <cell r="E83" t="str">
            <v>STEWART</v>
          </cell>
        </row>
        <row r="84">
          <cell r="C84" t="str">
            <v>154-14</v>
          </cell>
          <cell r="D84">
            <v>1760000</v>
          </cell>
          <cell r="E84" t="str">
            <v>STRICKLAND</v>
          </cell>
        </row>
        <row r="85">
          <cell r="C85" t="str">
            <v>161-14</v>
          </cell>
          <cell r="D85">
            <v>1280000</v>
          </cell>
          <cell r="E85" t="str">
            <v>BARTLETT</v>
          </cell>
        </row>
        <row r="86">
          <cell r="C86" t="str">
            <v>1811-14</v>
          </cell>
          <cell r="D86">
            <v>1110000</v>
          </cell>
          <cell r="E86" t="str">
            <v>STARKS</v>
          </cell>
        </row>
        <row r="87">
          <cell r="C87" t="str">
            <v>156-14</v>
          </cell>
          <cell r="D87">
            <v>1520000</v>
          </cell>
          <cell r="E87" t="str">
            <v>MAYBERRY</v>
          </cell>
        </row>
        <row r="88">
          <cell r="C88" t="str">
            <v>163-14</v>
          </cell>
          <cell r="D88">
            <v>1770000</v>
          </cell>
          <cell r="E88" t="str">
            <v>BRUDER</v>
          </cell>
        </row>
        <row r="89">
          <cell r="C89" t="str">
            <v>158-14</v>
          </cell>
          <cell r="D89">
            <v>1830000</v>
          </cell>
          <cell r="E89" t="str">
            <v>YORK</v>
          </cell>
        </row>
        <row r="90">
          <cell r="C90" t="str">
            <v>1812-14</v>
          </cell>
          <cell r="D90">
            <v>1110000</v>
          </cell>
          <cell r="E90" t="str">
            <v>STARKS</v>
          </cell>
        </row>
        <row r="91">
          <cell r="C91" t="str">
            <v>165-14</v>
          </cell>
          <cell r="D91">
            <v>2040000</v>
          </cell>
          <cell r="E91" t="str">
            <v>MOSES</v>
          </cell>
        </row>
        <row r="92">
          <cell r="C92" t="str">
            <v>165-14</v>
          </cell>
          <cell r="D92">
            <v>2040000</v>
          </cell>
          <cell r="E92" t="str">
            <v>MOSES</v>
          </cell>
        </row>
        <row r="93">
          <cell r="C93" t="str">
            <v>160-14</v>
          </cell>
          <cell r="D93">
            <v>880000</v>
          </cell>
          <cell r="E93" t="str">
            <v>STEWART</v>
          </cell>
        </row>
        <row r="94">
          <cell r="C94" t="str">
            <v>167-14</v>
          </cell>
          <cell r="D94">
            <v>1140000</v>
          </cell>
          <cell r="E94" t="str">
            <v>YOUNG</v>
          </cell>
        </row>
        <row r="95">
          <cell r="C95" t="str">
            <v>162-14</v>
          </cell>
          <cell r="D95">
            <v>1280000</v>
          </cell>
          <cell r="E95" t="str">
            <v>BARTLETT</v>
          </cell>
        </row>
        <row r="96">
          <cell r="C96" t="str">
            <v>169-14</v>
          </cell>
          <cell r="D96">
            <v>1520000</v>
          </cell>
          <cell r="E96" t="str">
            <v>MAYBERRY</v>
          </cell>
        </row>
        <row r="97">
          <cell r="C97" t="str">
            <v>164-14</v>
          </cell>
          <cell r="D97">
            <v>1770000</v>
          </cell>
          <cell r="E97" t="str">
            <v>BRUDER</v>
          </cell>
        </row>
        <row r="98">
          <cell r="C98" t="str">
            <v>1813-14</v>
          </cell>
          <cell r="D98">
            <v>1110000</v>
          </cell>
          <cell r="E98" t="str">
            <v>STARKS</v>
          </cell>
        </row>
        <row r="99">
          <cell r="C99" t="str">
            <v>171-14</v>
          </cell>
          <cell r="D99">
            <v>2020000</v>
          </cell>
          <cell r="E99" t="str">
            <v>SHOOK</v>
          </cell>
        </row>
        <row r="100">
          <cell r="C100" t="str">
            <v>171-14</v>
          </cell>
          <cell r="D100">
            <v>2020000</v>
          </cell>
          <cell r="E100" t="str">
            <v>SHOOK</v>
          </cell>
        </row>
        <row r="101">
          <cell r="C101" t="str">
            <v>166-14</v>
          </cell>
          <cell r="D101">
            <v>2040000</v>
          </cell>
          <cell r="E101" t="str">
            <v>MOSES</v>
          </cell>
        </row>
        <row r="102">
          <cell r="C102" t="str">
            <v>173-14</v>
          </cell>
          <cell r="D102">
            <v>880000</v>
          </cell>
          <cell r="E102" t="str">
            <v>STEWART</v>
          </cell>
        </row>
        <row r="103">
          <cell r="C103" t="str">
            <v>168-14</v>
          </cell>
          <cell r="D103">
            <v>1140000</v>
          </cell>
          <cell r="E103" t="str">
            <v>YOUNG</v>
          </cell>
        </row>
        <row r="104">
          <cell r="C104" t="str">
            <v>1814-14</v>
          </cell>
          <cell r="D104">
            <v>1110000</v>
          </cell>
          <cell r="E104" t="str">
            <v>STARKS</v>
          </cell>
        </row>
        <row r="105">
          <cell r="C105" t="str">
            <v>175-14</v>
          </cell>
          <cell r="D105">
            <v>1280000</v>
          </cell>
          <cell r="E105" t="str">
            <v>BARTLETT</v>
          </cell>
        </row>
        <row r="106">
          <cell r="C106" t="str">
            <v>170-14</v>
          </cell>
          <cell r="D106">
            <v>1520000</v>
          </cell>
          <cell r="E106" t="str">
            <v>MAYBERRY</v>
          </cell>
        </row>
        <row r="107">
          <cell r="C107" t="str">
            <v>177-14</v>
          </cell>
          <cell r="D107">
            <v>1770000</v>
          </cell>
          <cell r="E107" t="str">
            <v>BRUDER</v>
          </cell>
        </row>
        <row r="108">
          <cell r="C108" t="str">
            <v>1815-14</v>
          </cell>
          <cell r="D108">
            <v>1110000</v>
          </cell>
          <cell r="E108" t="str">
            <v>STARKS</v>
          </cell>
        </row>
        <row r="109">
          <cell r="C109" t="str">
            <v>172-14</v>
          </cell>
          <cell r="D109">
            <v>2020000</v>
          </cell>
          <cell r="E109" t="str">
            <v>SHOOK</v>
          </cell>
        </row>
        <row r="110">
          <cell r="C110" t="str">
            <v>BALTHROP-14</v>
          </cell>
          <cell r="D110">
            <v>470000</v>
          </cell>
          <cell r="E110" t="str">
            <v>BALTHROP</v>
          </cell>
        </row>
        <row r="111">
          <cell r="C111" t="str">
            <v>BALTHROP-14</v>
          </cell>
          <cell r="D111">
            <v>470000</v>
          </cell>
          <cell r="E111" t="str">
            <v>BALTHROP</v>
          </cell>
        </row>
        <row r="112">
          <cell r="C112" t="str">
            <v>179-14</v>
          </cell>
          <cell r="D112">
            <v>2040000</v>
          </cell>
          <cell r="E112" t="str">
            <v>MOSES</v>
          </cell>
        </row>
        <row r="113">
          <cell r="C113" t="str">
            <v>1816-14</v>
          </cell>
          <cell r="D113">
            <v>1110000</v>
          </cell>
          <cell r="E113" t="str">
            <v>STARKS</v>
          </cell>
        </row>
        <row r="114">
          <cell r="C114" t="str">
            <v>174-14</v>
          </cell>
          <cell r="D114">
            <v>880000</v>
          </cell>
          <cell r="E114" t="str">
            <v>STEWART</v>
          </cell>
        </row>
        <row r="115">
          <cell r="C115" t="str">
            <v>181-14</v>
          </cell>
          <cell r="D115">
            <v>1140000</v>
          </cell>
          <cell r="E115" t="str">
            <v>YOUNG</v>
          </cell>
        </row>
        <row r="116">
          <cell r="C116" t="str">
            <v>176-14</v>
          </cell>
          <cell r="D116">
            <v>1280000</v>
          </cell>
          <cell r="E116" t="str">
            <v>BARTLETT</v>
          </cell>
        </row>
        <row r="117">
          <cell r="C117" t="str">
            <v>183-14</v>
          </cell>
          <cell r="D117">
            <v>1520000</v>
          </cell>
          <cell r="E117" t="str">
            <v>MAYBERRY</v>
          </cell>
        </row>
        <row r="118">
          <cell r="C118" t="str">
            <v>178-14</v>
          </cell>
          <cell r="D118">
            <v>1770000</v>
          </cell>
          <cell r="E118" t="str">
            <v>BRUDER</v>
          </cell>
        </row>
        <row r="119">
          <cell r="C119" t="str">
            <v>1817-14</v>
          </cell>
          <cell r="D119">
            <v>750000</v>
          </cell>
          <cell r="E119" t="str">
            <v>NATION</v>
          </cell>
        </row>
        <row r="120">
          <cell r="C120" t="str">
            <v>185-14</v>
          </cell>
          <cell r="D120">
            <v>2020000</v>
          </cell>
          <cell r="E120" t="str">
            <v>SHOOK</v>
          </cell>
        </row>
        <row r="121">
          <cell r="C121" t="str">
            <v>180-14</v>
          </cell>
          <cell r="D121">
            <v>2040000</v>
          </cell>
          <cell r="E121" t="str">
            <v>MOSES</v>
          </cell>
        </row>
        <row r="122">
          <cell r="C122" t="str">
            <v>187-14</v>
          </cell>
          <cell r="D122">
            <v>880000</v>
          </cell>
          <cell r="E122" t="str">
            <v>STEWART</v>
          </cell>
        </row>
        <row r="123">
          <cell r="C123" t="str">
            <v>182-14</v>
          </cell>
          <cell r="D123">
            <v>1140000</v>
          </cell>
          <cell r="E123" t="str">
            <v>YOUNG</v>
          </cell>
        </row>
        <row r="124">
          <cell r="C124" t="str">
            <v>189-14</v>
          </cell>
          <cell r="D124">
            <v>1280000</v>
          </cell>
          <cell r="E124" t="str">
            <v>BARTLETT</v>
          </cell>
        </row>
        <row r="125">
          <cell r="C125" t="str">
            <v>1818-14</v>
          </cell>
          <cell r="D125">
            <v>750000</v>
          </cell>
          <cell r="E125" t="str">
            <v>NATION</v>
          </cell>
        </row>
        <row r="126">
          <cell r="C126" t="str">
            <v>184-14</v>
          </cell>
          <cell r="D126">
            <v>1520000</v>
          </cell>
          <cell r="E126" t="str">
            <v>MAYBERRY</v>
          </cell>
        </row>
        <row r="127">
          <cell r="C127" t="str">
            <v>1818-14</v>
          </cell>
          <cell r="D127">
            <v>750000</v>
          </cell>
          <cell r="E127" t="str">
            <v>NATION</v>
          </cell>
        </row>
        <row r="128">
          <cell r="C128" t="str">
            <v>191-14</v>
          </cell>
          <cell r="D128">
            <v>1770000</v>
          </cell>
          <cell r="E128" t="str">
            <v>BRUDER</v>
          </cell>
        </row>
        <row r="129">
          <cell r="C129" t="str">
            <v>186-14</v>
          </cell>
          <cell r="D129">
            <v>2020000</v>
          </cell>
          <cell r="E129" t="str">
            <v>SHOOK</v>
          </cell>
        </row>
        <row r="130">
          <cell r="C130" t="str">
            <v>1819-14</v>
          </cell>
          <cell r="D130">
            <v>750000</v>
          </cell>
          <cell r="E130" t="str">
            <v>NATION</v>
          </cell>
        </row>
        <row r="131">
          <cell r="C131" t="str">
            <v>193-14</v>
          </cell>
          <cell r="D131">
            <v>2040000</v>
          </cell>
          <cell r="E131" t="str">
            <v>MOSES</v>
          </cell>
        </row>
        <row r="132">
          <cell r="C132" t="str">
            <v>188-14</v>
          </cell>
          <cell r="D132">
            <v>880000</v>
          </cell>
          <cell r="E132" t="str">
            <v>STEWART</v>
          </cell>
        </row>
        <row r="133">
          <cell r="C133" t="str">
            <v>195-14</v>
          </cell>
          <cell r="D133">
            <v>1140000</v>
          </cell>
          <cell r="E133" t="str">
            <v>YOUNG</v>
          </cell>
        </row>
        <row r="134">
          <cell r="C134" t="str">
            <v>190-14</v>
          </cell>
          <cell r="D134">
            <v>1280000</v>
          </cell>
          <cell r="E134" t="str">
            <v>BARTLETT</v>
          </cell>
        </row>
        <row r="135">
          <cell r="C135" t="str">
            <v>197-14</v>
          </cell>
          <cell r="D135">
            <v>1520000</v>
          </cell>
          <cell r="E135" t="str">
            <v>MAYBERRY</v>
          </cell>
        </row>
        <row r="136">
          <cell r="C136" t="str">
            <v>1820-14</v>
          </cell>
          <cell r="D136">
            <v>750000</v>
          </cell>
          <cell r="E136" t="str">
            <v>NATION</v>
          </cell>
        </row>
        <row r="137">
          <cell r="C137" t="str">
            <v>192-14</v>
          </cell>
          <cell r="D137">
            <v>1770000</v>
          </cell>
          <cell r="E137" t="str">
            <v>BRUDER</v>
          </cell>
        </row>
        <row r="138">
          <cell r="C138" t="str">
            <v>199-14</v>
          </cell>
          <cell r="D138">
            <v>2020000</v>
          </cell>
          <cell r="E138" t="str">
            <v>SHOOK</v>
          </cell>
        </row>
        <row r="139">
          <cell r="C139" t="str">
            <v>1821-14</v>
          </cell>
          <cell r="D139">
            <v>750000</v>
          </cell>
          <cell r="E139" t="str">
            <v>NATION</v>
          </cell>
        </row>
        <row r="140">
          <cell r="C140" t="str">
            <v>194-14</v>
          </cell>
          <cell r="D140">
            <v>2040000</v>
          </cell>
          <cell r="E140" t="str">
            <v>MOSES</v>
          </cell>
        </row>
        <row r="141">
          <cell r="C141" t="str">
            <v>201-14</v>
          </cell>
          <cell r="D141">
            <v>880000</v>
          </cell>
          <cell r="E141" t="str">
            <v>STEWART</v>
          </cell>
        </row>
        <row r="142">
          <cell r="C142" t="str">
            <v>196-14</v>
          </cell>
          <cell r="D142">
            <v>1140000</v>
          </cell>
          <cell r="E142" t="str">
            <v>YOUNG</v>
          </cell>
        </row>
        <row r="143">
          <cell r="C143" t="str">
            <v>1822-14</v>
          </cell>
          <cell r="D143">
            <v>750000</v>
          </cell>
          <cell r="E143" t="str">
            <v>NATION</v>
          </cell>
        </row>
        <row r="144">
          <cell r="C144" t="str">
            <v>198-14</v>
          </cell>
          <cell r="D144">
            <v>1520000</v>
          </cell>
          <cell r="E144" t="str">
            <v>MAYBERRY</v>
          </cell>
        </row>
        <row r="145">
          <cell r="C145" t="str">
            <v>203-14</v>
          </cell>
          <cell r="D145">
            <v>1280000</v>
          </cell>
          <cell r="E145" t="str">
            <v>BARTLETT</v>
          </cell>
        </row>
        <row r="146">
          <cell r="C146" t="str">
            <v>205-14</v>
          </cell>
          <cell r="D146">
            <v>1770000</v>
          </cell>
          <cell r="E146" t="str">
            <v>BRUDER</v>
          </cell>
        </row>
        <row r="147">
          <cell r="C147" t="str">
            <v>200-14</v>
          </cell>
          <cell r="D147">
            <v>2020000</v>
          </cell>
          <cell r="E147" t="str">
            <v>SHOOK</v>
          </cell>
        </row>
        <row r="148">
          <cell r="C148" t="str">
            <v>207-14</v>
          </cell>
          <cell r="D148">
            <v>2040000</v>
          </cell>
          <cell r="E148" t="str">
            <v>MOSES</v>
          </cell>
        </row>
        <row r="149">
          <cell r="C149" t="str">
            <v>1823-14</v>
          </cell>
          <cell r="D149">
            <v>750000</v>
          </cell>
          <cell r="E149" t="str">
            <v>NATION</v>
          </cell>
        </row>
        <row r="150">
          <cell r="C150" t="str">
            <v>202-14</v>
          </cell>
          <cell r="D150">
            <v>880000</v>
          </cell>
          <cell r="E150" t="str">
            <v>STEWART</v>
          </cell>
        </row>
        <row r="151">
          <cell r="C151" t="str">
            <v>209-14</v>
          </cell>
          <cell r="D151">
            <v>1740000</v>
          </cell>
          <cell r="E151" t="str">
            <v>STORY</v>
          </cell>
        </row>
        <row r="152">
          <cell r="C152" t="str">
            <v>204-14</v>
          </cell>
          <cell r="D152">
            <v>1280000</v>
          </cell>
          <cell r="E152" t="str">
            <v>BARTLETT</v>
          </cell>
        </row>
        <row r="153">
          <cell r="C153" t="str">
            <v>211-14</v>
          </cell>
          <cell r="D153">
            <v>1140000</v>
          </cell>
          <cell r="E153" t="str">
            <v>YOUNG</v>
          </cell>
        </row>
        <row r="154">
          <cell r="C154" t="str">
            <v>206-14</v>
          </cell>
          <cell r="D154">
            <v>1770000</v>
          </cell>
          <cell r="E154" t="str">
            <v>BRUDER</v>
          </cell>
        </row>
        <row r="155">
          <cell r="C155" t="str">
            <v>56-14</v>
          </cell>
          <cell r="D155">
            <v>1810000</v>
          </cell>
          <cell r="E155" t="str">
            <v>NEWELL</v>
          </cell>
        </row>
        <row r="156">
          <cell r="C156" t="str">
            <v>1824-14</v>
          </cell>
          <cell r="D156">
            <v>750000</v>
          </cell>
          <cell r="E156" t="str">
            <v>NATION</v>
          </cell>
        </row>
        <row r="157">
          <cell r="C157" t="str">
            <v>213-14</v>
          </cell>
          <cell r="D157">
            <v>1290000</v>
          </cell>
          <cell r="E157" t="str">
            <v>COOLAHAN</v>
          </cell>
        </row>
        <row r="158">
          <cell r="C158" t="str">
            <v>208-14</v>
          </cell>
          <cell r="D158">
            <v>2040000</v>
          </cell>
          <cell r="E158" t="str">
            <v>MOSES</v>
          </cell>
        </row>
        <row r="159">
          <cell r="C159" t="str">
            <v>215-14</v>
          </cell>
          <cell r="D159">
            <v>2020000</v>
          </cell>
          <cell r="E159" t="str">
            <v>SHOOK</v>
          </cell>
        </row>
        <row r="160">
          <cell r="C160" t="str">
            <v>210-14</v>
          </cell>
          <cell r="D160">
            <v>1740000</v>
          </cell>
          <cell r="E160" t="str">
            <v>STORY</v>
          </cell>
        </row>
        <row r="161">
          <cell r="C161" t="str">
            <v>1825-14</v>
          </cell>
          <cell r="D161">
            <v>730000</v>
          </cell>
          <cell r="E161" t="str">
            <v>HOMIK</v>
          </cell>
        </row>
        <row r="162">
          <cell r="C162" t="str">
            <v>217-14</v>
          </cell>
          <cell r="D162">
            <v>1810000</v>
          </cell>
          <cell r="E162" t="str">
            <v>NEWELL</v>
          </cell>
        </row>
        <row r="163">
          <cell r="C163" t="str">
            <v>212-14</v>
          </cell>
          <cell r="D163">
            <v>1140000</v>
          </cell>
          <cell r="E163" t="str">
            <v>YOUNG</v>
          </cell>
        </row>
        <row r="164">
          <cell r="C164" t="str">
            <v>219-14</v>
          </cell>
          <cell r="D164">
            <v>2000000</v>
          </cell>
          <cell r="E164" t="str">
            <v>STAMBAUGH</v>
          </cell>
        </row>
        <row r="165">
          <cell r="C165" t="str">
            <v>214-14</v>
          </cell>
          <cell r="D165">
            <v>1290000</v>
          </cell>
          <cell r="E165" t="str">
            <v>COOLAHAN</v>
          </cell>
        </row>
        <row r="166">
          <cell r="C166" t="str">
            <v>1826-14</v>
          </cell>
          <cell r="D166">
            <v>730000</v>
          </cell>
          <cell r="E166" t="str">
            <v>HOMIK</v>
          </cell>
        </row>
        <row r="167">
          <cell r="C167" t="str">
            <v>303-14</v>
          </cell>
          <cell r="D167">
            <v>2040000</v>
          </cell>
          <cell r="E167" t="str">
            <v>MOSES</v>
          </cell>
        </row>
        <row r="168">
          <cell r="C168" t="str">
            <v>216-14</v>
          </cell>
          <cell r="D168">
            <v>2020000</v>
          </cell>
          <cell r="E168" t="str">
            <v>SHOOK</v>
          </cell>
        </row>
        <row r="169">
          <cell r="C169" t="str">
            <v>221-14</v>
          </cell>
          <cell r="D169">
            <v>1740000</v>
          </cell>
          <cell r="E169" t="str">
            <v>STORY</v>
          </cell>
        </row>
        <row r="170">
          <cell r="C170" t="str">
            <v>218-14</v>
          </cell>
          <cell r="D170">
            <v>1810000</v>
          </cell>
          <cell r="E170" t="str">
            <v>NEWELL</v>
          </cell>
        </row>
        <row r="171">
          <cell r="C171" t="str">
            <v>1827-14</v>
          </cell>
          <cell r="D171">
            <v>750000</v>
          </cell>
          <cell r="E171" t="str">
            <v>NATION</v>
          </cell>
        </row>
        <row r="172">
          <cell r="C172" t="str">
            <v>223-14</v>
          </cell>
          <cell r="D172">
            <v>1290000</v>
          </cell>
          <cell r="E172" t="str">
            <v>COOLAHAN</v>
          </cell>
        </row>
        <row r="173">
          <cell r="C173" t="str">
            <v>220-14</v>
          </cell>
          <cell r="D173">
            <v>2000000</v>
          </cell>
          <cell r="E173" t="str">
            <v>STAMBAUGH</v>
          </cell>
        </row>
        <row r="174">
          <cell r="C174" t="str">
            <v>307-14</v>
          </cell>
          <cell r="D174">
            <v>2020000</v>
          </cell>
          <cell r="E174" t="str">
            <v>SHOOK</v>
          </cell>
        </row>
        <row r="175">
          <cell r="C175" t="str">
            <v>1828-14</v>
          </cell>
          <cell r="D175">
            <v>750000</v>
          </cell>
          <cell r="E175" t="str">
            <v>NATION</v>
          </cell>
        </row>
        <row r="176">
          <cell r="C176" t="str">
            <v>222-14</v>
          </cell>
          <cell r="D176">
            <v>1740000</v>
          </cell>
          <cell r="E176" t="str">
            <v>STORY</v>
          </cell>
        </row>
        <row r="177">
          <cell r="C177" t="str">
            <v>225-14</v>
          </cell>
          <cell r="D177">
            <v>1810000</v>
          </cell>
          <cell r="E177" t="str">
            <v>NEWELL</v>
          </cell>
        </row>
        <row r="178">
          <cell r="C178" t="str">
            <v>1830-14</v>
          </cell>
          <cell r="D178">
            <v>730000</v>
          </cell>
          <cell r="E178" t="str">
            <v>HOMIK</v>
          </cell>
        </row>
        <row r="179">
          <cell r="C179" t="str">
            <v>227-14</v>
          </cell>
          <cell r="D179">
            <v>2000000</v>
          </cell>
          <cell r="E179" t="str">
            <v>STAMBAUGH</v>
          </cell>
        </row>
        <row r="180">
          <cell r="C180" t="str">
            <v>1829-14</v>
          </cell>
          <cell r="D180">
            <v>730000</v>
          </cell>
          <cell r="E180" t="str">
            <v>HOMIK</v>
          </cell>
        </row>
        <row r="181">
          <cell r="C181" t="str">
            <v>224-14</v>
          </cell>
          <cell r="D181">
            <v>1290000</v>
          </cell>
          <cell r="E181" t="str">
            <v>COOLAHAN</v>
          </cell>
        </row>
        <row r="182">
          <cell r="C182" t="str">
            <v>226-14</v>
          </cell>
          <cell r="D182">
            <v>1810000</v>
          </cell>
          <cell r="E182" t="str">
            <v>NEWELL</v>
          </cell>
        </row>
        <row r="183">
          <cell r="C183" t="str">
            <v>1830-14</v>
          </cell>
          <cell r="D183">
            <v>730000</v>
          </cell>
          <cell r="E183" t="str">
            <v>HOMIK</v>
          </cell>
        </row>
        <row r="184">
          <cell r="C184" t="str">
            <v>229-14</v>
          </cell>
          <cell r="D184">
            <v>1740000</v>
          </cell>
          <cell r="E184" t="str">
            <v>STORY</v>
          </cell>
        </row>
        <row r="185">
          <cell r="C185" t="str">
            <v>1831-14</v>
          </cell>
          <cell r="D185">
            <v>740000</v>
          </cell>
          <cell r="E185" t="str">
            <v>ALONZO</v>
          </cell>
        </row>
        <row r="186">
          <cell r="C186" t="str">
            <v>228-14</v>
          </cell>
          <cell r="D186">
            <v>2000000</v>
          </cell>
          <cell r="E186" t="str">
            <v>STAMBAUGH</v>
          </cell>
        </row>
        <row r="187">
          <cell r="C187" t="str">
            <v>231-14</v>
          </cell>
          <cell r="D187">
            <v>1290000</v>
          </cell>
          <cell r="E187" t="str">
            <v>COOLAHAN</v>
          </cell>
        </row>
        <row r="188">
          <cell r="C188" t="str">
            <v>1832-14</v>
          </cell>
          <cell r="D188">
            <v>740000</v>
          </cell>
          <cell r="E188" t="str">
            <v>ALONZO</v>
          </cell>
        </row>
        <row r="189">
          <cell r="C189" t="str">
            <v>230-14</v>
          </cell>
          <cell r="D189">
            <v>1740000</v>
          </cell>
          <cell r="E189" t="str">
            <v>STORY</v>
          </cell>
        </row>
        <row r="190">
          <cell r="C190" t="str">
            <v>233-14</v>
          </cell>
          <cell r="D190">
            <v>1810000</v>
          </cell>
          <cell r="E190" t="str">
            <v>NEWELL</v>
          </cell>
        </row>
        <row r="191">
          <cell r="C191" t="str">
            <v>1833-14</v>
          </cell>
          <cell r="D191">
            <v>740000</v>
          </cell>
          <cell r="E191" t="str">
            <v>ALONZO</v>
          </cell>
        </row>
        <row r="192">
          <cell r="C192" t="str">
            <v>232-14</v>
          </cell>
          <cell r="D192">
            <v>1290000</v>
          </cell>
          <cell r="E192" t="str">
            <v>COOLAHAN</v>
          </cell>
        </row>
        <row r="193">
          <cell r="C193" t="str">
            <v>235-14</v>
          </cell>
          <cell r="D193">
            <v>2000000</v>
          </cell>
          <cell r="E193" t="str">
            <v>STAMBAUGH</v>
          </cell>
        </row>
        <row r="194">
          <cell r="C194" t="str">
            <v>235-14</v>
          </cell>
          <cell r="D194">
            <v>2000000</v>
          </cell>
          <cell r="E194" t="str">
            <v>STAMBAUGH</v>
          </cell>
        </row>
        <row r="195">
          <cell r="C195" t="str">
            <v>235-14</v>
          </cell>
          <cell r="D195">
            <v>2000000</v>
          </cell>
          <cell r="E195" t="str">
            <v>STAMBAUGH</v>
          </cell>
        </row>
        <row r="196">
          <cell r="C196" t="str">
            <v>1902-14</v>
          </cell>
          <cell r="D196">
            <v>740000</v>
          </cell>
          <cell r="E196" t="str">
            <v>ALONZO</v>
          </cell>
        </row>
        <row r="197">
          <cell r="C197" t="str">
            <v>234-14</v>
          </cell>
          <cell r="D197">
            <v>1810000</v>
          </cell>
          <cell r="E197" t="str">
            <v>NEWELL</v>
          </cell>
        </row>
        <row r="198">
          <cell r="C198" t="str">
            <v>230-14</v>
          </cell>
          <cell r="D198">
            <v>1740000</v>
          </cell>
          <cell r="E198" t="str">
            <v>STORY</v>
          </cell>
        </row>
        <row r="199">
          <cell r="C199" t="str">
            <v>237-14</v>
          </cell>
          <cell r="D199">
            <v>1740000</v>
          </cell>
          <cell r="E199" t="str">
            <v>STORY</v>
          </cell>
        </row>
        <row r="200">
          <cell r="C200" t="str">
            <v>239-14</v>
          </cell>
          <cell r="D200">
            <v>1170000</v>
          </cell>
          <cell r="E200" t="str">
            <v>COOPER</v>
          </cell>
        </row>
        <row r="201">
          <cell r="C201" t="str">
            <v>236-14</v>
          </cell>
          <cell r="D201">
            <v>2000000</v>
          </cell>
          <cell r="E201" t="str">
            <v>STAMBAUGH</v>
          </cell>
        </row>
        <row r="202">
          <cell r="C202" t="str">
            <v>238-14</v>
          </cell>
          <cell r="D202">
            <v>1740000</v>
          </cell>
          <cell r="E202" t="str">
            <v>STORY</v>
          </cell>
        </row>
        <row r="203">
          <cell r="C203" t="str">
            <v>241-14</v>
          </cell>
          <cell r="D203">
            <v>1810000</v>
          </cell>
          <cell r="E203" t="str">
            <v>NEWELL</v>
          </cell>
        </row>
        <row r="204">
          <cell r="C204" t="str">
            <v>240-14</v>
          </cell>
          <cell r="D204">
            <v>1170000</v>
          </cell>
          <cell r="E204" t="str">
            <v>COOPER</v>
          </cell>
        </row>
        <row r="205">
          <cell r="C205" t="str">
            <v>241-14</v>
          </cell>
          <cell r="D205">
            <v>1810000</v>
          </cell>
          <cell r="E205" t="str">
            <v>NEWELL</v>
          </cell>
        </row>
        <row r="206">
          <cell r="C206" t="str">
            <v>243-14</v>
          </cell>
          <cell r="D206">
            <v>2000000</v>
          </cell>
          <cell r="E206" t="str">
            <v>STAMBAUGH</v>
          </cell>
        </row>
        <row r="207">
          <cell r="C207" t="str">
            <v>309-14</v>
          </cell>
          <cell r="D207">
            <v>1740000</v>
          </cell>
          <cell r="E207" t="str">
            <v>STORY</v>
          </cell>
        </row>
        <row r="208">
          <cell r="C208" t="str">
            <v>311-14</v>
          </cell>
          <cell r="D208">
            <v>1170000</v>
          </cell>
          <cell r="E208" t="str">
            <v>COOPER</v>
          </cell>
        </row>
        <row r="209">
          <cell r="C209" t="str">
            <v>244-14</v>
          </cell>
          <cell r="D209">
            <v>2000000</v>
          </cell>
          <cell r="E209" t="str">
            <v>STAMBAUGH</v>
          </cell>
        </row>
        <row r="210">
          <cell r="C210" t="str">
            <v>313-14</v>
          </cell>
          <cell r="D210">
            <v>1810000</v>
          </cell>
          <cell r="E210" t="str">
            <v>NEWELL</v>
          </cell>
        </row>
        <row r="211">
          <cell r="C211" t="str">
            <v>315-14</v>
          </cell>
          <cell r="D211">
            <v>2000000</v>
          </cell>
          <cell r="E211" t="str">
            <v>STAMBAUGH</v>
          </cell>
        </row>
        <row r="213">
          <cell r="C213" t="str">
            <v>311-13</v>
          </cell>
          <cell r="D213">
            <v>2000000</v>
          </cell>
          <cell r="E213" t="str">
            <v>STAMBAUGH</v>
          </cell>
        </row>
        <row r="214">
          <cell r="C214" t="str">
            <v>246-13</v>
          </cell>
          <cell r="D214">
            <v>1300000</v>
          </cell>
          <cell r="E214" t="str">
            <v>LEVIN</v>
          </cell>
        </row>
        <row r="215">
          <cell r="C215" t="str">
            <v>313-13</v>
          </cell>
          <cell r="D215">
            <v>1480000</v>
          </cell>
          <cell r="E215" t="str">
            <v>STURGEON</v>
          </cell>
        </row>
        <row r="216">
          <cell r="C216" t="str">
            <v>315-13</v>
          </cell>
          <cell r="D216">
            <v>1300000</v>
          </cell>
          <cell r="E216" t="str">
            <v>LEVIN</v>
          </cell>
        </row>
        <row r="217">
          <cell r="C217" t="str">
            <v>302-14</v>
          </cell>
          <cell r="D217">
            <v>2030000</v>
          </cell>
          <cell r="E217" t="str">
            <v>KILLION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101-15</v>
          </cell>
          <cell r="B13">
            <v>4031</v>
          </cell>
          <cell r="C13" t="str">
            <v>DE.1.0.7.0</v>
          </cell>
          <cell r="D13" t="str">
            <v>204:797</v>
          </cell>
          <cell r="E13">
            <v>42597.134479166663</v>
          </cell>
          <cell r="F13">
            <v>42597.135613425926</v>
          </cell>
          <cell r="G13">
            <v>1</v>
          </cell>
          <cell r="H13" t="str">
            <v>204:233291</v>
          </cell>
          <cell r="I13">
            <v>42597.161956018521</v>
          </cell>
          <cell r="J13">
            <v>0</v>
          </cell>
          <cell r="K13" t="str">
            <v>4031/4032</v>
          </cell>
          <cell r="L13" t="str">
            <v>SWANSON</v>
          </cell>
          <cell r="M13">
            <v>2.6342592595028691E-2</v>
          </cell>
          <cell r="N13">
            <v>37.933333336841315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https://search-rtdc-monitor-bjffxe2xuh6vdkpspy63sjmuny.us-east-1.es.amazonaws.com/_plugin/kibana/#/discover/Steve-Slow-Train-Analysis-(2080s-and-2083s)?_g=(refreshInterval:(display:Off,section:0,value:0),time:(from:'2016-08-15 02:13:39-0600',mode:absolute,to:'2016-08-15 04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" t="str">
            <v>N</v>
          </cell>
          <cell r="X13" t="e">
            <v>#VALUE!</v>
          </cell>
          <cell r="Y13">
            <v>7.9699999999999993E-2</v>
          </cell>
          <cell r="Z13">
            <v>23.3291</v>
          </cell>
          <cell r="AA13">
            <v>23.249400000000001</v>
          </cell>
          <cell r="AB13" t="e">
            <v>#N/A</v>
          </cell>
          <cell r="AC13" t="e">
            <v>#N/A</v>
          </cell>
          <cell r="AD13" t="str">
            <v>0101-15</v>
          </cell>
          <cell r="AE13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14">
          <cell r="A14" t="str">
            <v>102-15</v>
          </cell>
          <cell r="B14">
            <v>4010</v>
          </cell>
          <cell r="C14" t="str">
            <v>DE.1.0.7.0</v>
          </cell>
          <cell r="D14" t="str">
            <v>204:232650</v>
          </cell>
          <cell r="E14">
            <v>42597.165960648148</v>
          </cell>
          <cell r="F14">
            <v>42597.166759259257</v>
          </cell>
          <cell r="G14">
            <v>1</v>
          </cell>
          <cell r="H14" t="str">
            <v>204:152</v>
          </cell>
          <cell r="I14">
            <v>42597.201736111114</v>
          </cell>
          <cell r="J14">
            <v>0</v>
          </cell>
          <cell r="K14" t="str">
            <v>4009/4010</v>
          </cell>
          <cell r="L14" t="str">
            <v>SWANSON</v>
          </cell>
          <cell r="M14">
            <v>3.4976851857209112E-2</v>
          </cell>
          <cell r="N14">
            <v>50.366666674381122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https://search-rtdc-monitor-bjffxe2xuh6vdkpspy63sjmuny.us-east-1.es.amazonaws.com/_plugin/kibana/#/discover/Steve-Slow-Train-Analysis-(2080s-and-2083s)?_g=(refreshInterval:(display:Off,section:0,value:0),time:(from:'2016-08-15 02:58:59-0600',mode:absolute,to:'2016-08-15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23.265000000000001</v>
          </cell>
          <cell r="Z14">
            <v>1.52E-2</v>
          </cell>
          <cell r="AA14">
            <v>23.2498</v>
          </cell>
          <cell r="AB14" t="e">
            <v>#N/A</v>
          </cell>
          <cell r="AC14" t="e">
            <v>#N/A</v>
          </cell>
          <cell r="AD14" t="str">
            <v>0102-15</v>
          </cell>
          <cell r="AE14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5">
          <cell r="A15" t="str">
            <v>103-15</v>
          </cell>
          <cell r="B15">
            <v>4042</v>
          </cell>
          <cell r="C15" t="str">
            <v>DE.1.0.7.0</v>
          </cell>
          <cell r="D15" t="str">
            <v>204:666</v>
          </cell>
          <cell r="E15">
            <v>42597.155219907407</v>
          </cell>
          <cell r="F15">
            <v>42597.156423611108</v>
          </cell>
          <cell r="G15">
            <v>1</v>
          </cell>
          <cell r="H15" t="str">
            <v>204:233368</v>
          </cell>
          <cell r="I15">
            <v>42597.182511574072</v>
          </cell>
          <cell r="J15">
            <v>0</v>
          </cell>
          <cell r="K15" t="str">
            <v>4041/4042</v>
          </cell>
          <cell r="L15" t="str">
            <v>ACKERMAN</v>
          </cell>
          <cell r="M15">
            <v>2.6087962964083999E-2</v>
          </cell>
          <cell r="N15">
            <v>37.566666668280959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https://search-rtdc-monitor-bjffxe2xuh6vdkpspy63sjmuny.us-east-1.es.amazonaws.com/_plugin/kibana/#/discover/Steve-Slow-Train-Analysis-(2080s-and-2083s)?_g=(refreshInterval:(display:Off,section:0,value:0),time:(from:'2016-08-15 02:43:31-0600',mode:absolute,to:'2016-08-15 05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" t="str">
            <v>N</v>
          </cell>
          <cell r="X15">
            <v>1</v>
          </cell>
          <cell r="Y15">
            <v>6.6600000000000006E-2</v>
          </cell>
          <cell r="Z15">
            <v>23.3368</v>
          </cell>
          <cell r="AA15">
            <v>23.270199999999999</v>
          </cell>
          <cell r="AB15" t="e">
            <v>#N/A</v>
          </cell>
          <cell r="AC15" t="e">
            <v>#N/A</v>
          </cell>
          <cell r="AD15" t="str">
            <v>0103-15</v>
          </cell>
          <cell r="AE15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6">
          <cell r="A16" t="str">
            <v>104-15</v>
          </cell>
          <cell r="B16">
            <v>4043</v>
          </cell>
          <cell r="C16" t="str">
            <v>DE.1.0.7.0</v>
          </cell>
          <cell r="D16" t="str">
            <v>204:232729</v>
          </cell>
          <cell r="E16">
            <v>42597.190196759257</v>
          </cell>
          <cell r="F16">
            <v>42597.191805555558</v>
          </cell>
          <cell r="G16">
            <v>2</v>
          </cell>
          <cell r="H16" t="str">
            <v>204:167</v>
          </cell>
          <cell r="I16">
            <v>42597.222754629627</v>
          </cell>
          <cell r="J16">
            <v>0</v>
          </cell>
          <cell r="K16" t="str">
            <v>4043/4044</v>
          </cell>
          <cell r="L16" t="str">
            <v>ACKERMAN</v>
          </cell>
          <cell r="M16">
            <v>3.0949074069212656E-2</v>
          </cell>
          <cell r="N16">
            <v>44.566666659666225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https://search-rtdc-monitor-bjffxe2xuh6vdkpspy63sjmuny.us-east-1.es.amazonaws.com/_plugin/kibana/#/discover/Steve-Slow-Train-Analysis-(2080s-and-2083s)?_g=(refreshInterval:(display:Off,section:0,value:0),time:(from:'2016-08-15 03:33:53-0600',mode:absolute,to:'2016-08-15 06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" t="str">
            <v>N</v>
          </cell>
          <cell r="X16">
            <v>1</v>
          </cell>
          <cell r="Y16">
            <v>23.2729</v>
          </cell>
          <cell r="Z16">
            <v>1.67E-2</v>
          </cell>
          <cell r="AA16">
            <v>23.2562</v>
          </cell>
          <cell r="AB16" t="e">
            <v>#N/A</v>
          </cell>
          <cell r="AC16" t="e">
            <v>#N/A</v>
          </cell>
          <cell r="AD16" t="str">
            <v>0104-15</v>
          </cell>
          <cell r="AE16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7">
          <cell r="A17" t="str">
            <v>105-15</v>
          </cell>
          <cell r="B17">
            <v>4027</v>
          </cell>
          <cell r="C17" t="str">
            <v>DE.1.0.7.0</v>
          </cell>
          <cell r="D17" t="str">
            <v>204:673</v>
          </cell>
          <cell r="E17">
            <v>42597.171354166669</v>
          </cell>
          <cell r="F17">
            <v>42597.172430555554</v>
          </cell>
          <cell r="G17">
            <v>1</v>
          </cell>
          <cell r="H17" t="str">
            <v>204:233309</v>
          </cell>
          <cell r="I17">
            <v>42597.203148148146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3.071759259182727E-2</v>
          </cell>
          <cell r="N17">
            <v>44.233333332231268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https://search-rtdc-monitor-bjffxe2xuh6vdkpspy63sjmuny.us-east-1.es.amazonaws.com/_plugin/kibana/#/discover/Steve-Slow-Train-Analysis-(2080s-and-2083s)?_g=(refreshInterval:(display:Off,section:0,value:0),time:(from:'2016-08-15 03:06:45-0600',mode:absolute,to:'2016-08-15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7" t="str">
            <v>N</v>
          </cell>
          <cell r="X17">
            <v>1</v>
          </cell>
          <cell r="Y17">
            <v>6.7299999999999999E-2</v>
          </cell>
          <cell r="Z17">
            <v>23.3309</v>
          </cell>
          <cell r="AA17">
            <v>23.2636</v>
          </cell>
          <cell r="AB17" t="e">
            <v>#N/A</v>
          </cell>
          <cell r="AC17" t="e">
            <v>#N/A</v>
          </cell>
          <cell r="AD17" t="str">
            <v>0105-15</v>
          </cell>
          <cell r="AE17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8">
          <cell r="A18" t="str">
            <v>106-15</v>
          </cell>
          <cell r="B18">
            <v>4008</v>
          </cell>
          <cell r="C18" t="str">
            <v>DE.1.0.7.0</v>
          </cell>
          <cell r="D18" t="str">
            <v>204:232654</v>
          </cell>
          <cell r="E18">
            <v>42597.21234953704</v>
          </cell>
          <cell r="F18">
            <v>42597.213599537034</v>
          </cell>
          <cell r="G18">
            <v>1</v>
          </cell>
          <cell r="H18" t="str">
            <v>204:147</v>
          </cell>
          <cell r="I18">
            <v>42597.24423611111</v>
          </cell>
          <cell r="J18">
            <v>0</v>
          </cell>
          <cell r="K18" t="str">
            <v>4007/4008</v>
          </cell>
          <cell r="L18" t="str">
            <v>SANTIZO</v>
          </cell>
          <cell r="M18">
            <v>3.0636574076197576E-2</v>
          </cell>
          <cell r="N18">
            <v>44.116666669724509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https://search-rtdc-monitor-bjffxe2xuh6vdkpspy63sjmuny.us-east-1.es.amazonaws.com/_plugin/kibana/#/discover/Steve-Slow-Train-Analysis-(2080s-and-2083s)?_g=(refreshInterval:(display:Off,section:0,value:0),time:(from:'2016-08-15 04:05:47-0600',mode:absolute,to:'2016-08-15 06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1.47E-2</v>
          </cell>
          <cell r="AA18">
            <v>23.250699999999998</v>
          </cell>
          <cell r="AB18" t="e">
            <v>#N/A</v>
          </cell>
          <cell r="AC18" t="e">
            <v>#N/A</v>
          </cell>
          <cell r="AD18" t="str">
            <v>0106-15</v>
          </cell>
          <cell r="AE18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9">
          <cell r="A19" t="str">
            <v>107-15</v>
          </cell>
          <cell r="B19">
            <v>4020</v>
          </cell>
          <cell r="C19" t="str">
            <v>DE.1.0.7.0</v>
          </cell>
          <cell r="D19" t="str">
            <v>204:475</v>
          </cell>
          <cell r="E19">
            <v>42597.180115740739</v>
          </cell>
          <cell r="F19">
            <v>42597.181423611109</v>
          </cell>
          <cell r="G19">
            <v>1</v>
          </cell>
          <cell r="H19" t="str">
            <v>204:469</v>
          </cell>
          <cell r="I19">
            <v>42597.187719907408</v>
          </cell>
          <cell r="J19">
            <v>0</v>
          </cell>
          <cell r="K19" t="str">
            <v>4019/4020</v>
          </cell>
          <cell r="L19" t="str">
            <v>SPECTOR</v>
          </cell>
          <cell r="M19">
            <v>6.2962962983874604E-3</v>
          </cell>
          <cell r="P19">
            <v>9.066666669677943</v>
          </cell>
          <cell r="R19" t="str">
            <v>Poor GPS signal at DUS</v>
          </cell>
          <cell r="S19">
            <v>0</v>
          </cell>
          <cell r="T19" t="str">
            <v>NorthBound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https://search-rtdc-monitor-bjffxe2xuh6vdkpspy63sjmuny.us-east-1.es.amazonaws.com/_plugin/kibana/#/discover/Steve-Slow-Train-Analysis-(2080s-and-2083s)?_g=(refreshInterval:(display:Off,section:0,value:0),time:(from:'2016-08-15 03:19:22-0600',mode:absolute,to:'2016-08-15 05:30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" t="str">
            <v>Y</v>
          </cell>
          <cell r="X19">
            <v>1</v>
          </cell>
          <cell r="Y19">
            <v>4.7500000000000001E-2</v>
          </cell>
          <cell r="Z19">
            <v>4.6899999999999997E-2</v>
          </cell>
          <cell r="AA19">
            <v>6.0000000000000331E-4</v>
          </cell>
          <cell r="AB19" t="e">
            <v>#N/A</v>
          </cell>
          <cell r="AC19" t="e">
            <v>#N/A</v>
          </cell>
          <cell r="AD19" t="str">
            <v>0107-15</v>
          </cell>
          <cell r="AE19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20">
          <cell r="A20" t="str">
            <v>108-15</v>
          </cell>
          <cell r="B20">
            <v>4019</v>
          </cell>
          <cell r="C20" t="str">
            <v>DE.1.0.7.0</v>
          </cell>
          <cell r="D20" t="str">
            <v>204:232993</v>
          </cell>
          <cell r="E20">
            <v>42597.22515046296</v>
          </cell>
          <cell r="F20">
            <v>42597.226331018515</v>
          </cell>
          <cell r="G20">
            <v>1</v>
          </cell>
          <cell r="H20" t="str">
            <v>204:152</v>
          </cell>
          <cell r="I20">
            <v>42597.25540509259</v>
          </cell>
          <cell r="J20">
            <v>0</v>
          </cell>
          <cell r="K20" t="str">
            <v>4019/4020</v>
          </cell>
          <cell r="L20" t="str">
            <v>SPECTOR</v>
          </cell>
          <cell r="M20">
            <v>2.9074074074742384E-2</v>
          </cell>
          <cell r="N20">
            <v>41.866666667629033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https://search-rtdc-monitor-bjffxe2xuh6vdkpspy63sjmuny.us-east-1.es.amazonaws.com/_plugin/kibana/#/discover/Steve-Slow-Train-Analysis-(2080s-and-2083s)?_g=(refreshInterval:(display:Off,section:0,value:0),time:(from:'2016-08-15 04:24:13-0600',mode:absolute,to:'2016-08-15 07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" t="str">
            <v>N</v>
          </cell>
          <cell r="X20">
            <v>1</v>
          </cell>
          <cell r="Y20">
            <v>23.299299999999999</v>
          </cell>
          <cell r="Z20">
            <v>1.52E-2</v>
          </cell>
          <cell r="AA20">
            <v>23.284099999999999</v>
          </cell>
          <cell r="AB20">
            <v>33257</v>
          </cell>
          <cell r="AC20" t="str">
            <v>GRADE CROSSING</v>
          </cell>
          <cell r="AD20" t="str">
            <v>0108-15</v>
          </cell>
          <cell r="AE20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21">
          <cell r="A21" t="str">
            <v>109-15</v>
          </cell>
          <cell r="B21">
            <v>4038</v>
          </cell>
          <cell r="C21" t="str">
            <v>DE.1.0.7.0</v>
          </cell>
          <cell r="D21" t="str">
            <v>204:475</v>
          </cell>
          <cell r="E21">
            <v>42597.188125000001</v>
          </cell>
          <cell r="F21">
            <v>42597.189212962963</v>
          </cell>
          <cell r="G21">
            <v>1</v>
          </cell>
          <cell r="H21" t="str">
            <v>204:233288</v>
          </cell>
          <cell r="I21">
            <v>42597.222256944442</v>
          </cell>
          <cell r="J21">
            <v>0</v>
          </cell>
          <cell r="K21" t="str">
            <v>4037/4038</v>
          </cell>
          <cell r="L21" t="str">
            <v>YORK</v>
          </cell>
          <cell r="M21">
            <v>3.3043981478840578E-2</v>
          </cell>
          <cell r="N21">
            <v>47.583333329530433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https://search-rtdc-monitor-bjffxe2xuh6vdkpspy63sjmuny.us-east-1.es.amazonaws.com/_plugin/kibana/#/discover/Steve-Slow-Train-Analysis-(2080s-and-2083s)?_g=(refreshInterval:(display:Off,section:0,value:0),time:(from:'2016-08-15 03:30:54-0600',mode:absolute,to:'2016-08-15 06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N</v>
          </cell>
          <cell r="X21">
            <v>1</v>
          </cell>
          <cell r="Y21">
            <v>4.7500000000000001E-2</v>
          </cell>
          <cell r="Z21">
            <v>23.328800000000001</v>
          </cell>
          <cell r="AA21">
            <v>23.281300000000002</v>
          </cell>
          <cell r="AB21" t="e">
            <v>#N/A</v>
          </cell>
          <cell r="AC21" t="e">
            <v>#N/A</v>
          </cell>
          <cell r="AD21" t="str">
            <v>0109-15</v>
          </cell>
          <cell r="AE21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22">
          <cell r="A22" t="str">
            <v>110-15</v>
          </cell>
          <cell r="B22">
            <v>4037</v>
          </cell>
          <cell r="C22" t="str">
            <v>DE.1.0.7.0</v>
          </cell>
          <cell r="D22" t="str">
            <v>204:232971</v>
          </cell>
          <cell r="E22">
            <v>42597.223067129627</v>
          </cell>
          <cell r="F22">
            <v>42597.224768518521</v>
          </cell>
          <cell r="G22">
            <v>2</v>
          </cell>
          <cell r="H22" t="str">
            <v>204:150</v>
          </cell>
          <cell r="I22">
            <v>42597.26253472222</v>
          </cell>
          <cell r="J22">
            <v>0</v>
          </cell>
          <cell r="K22" t="str">
            <v>4037/4038</v>
          </cell>
          <cell r="L22" t="str">
            <v>YORK</v>
          </cell>
          <cell r="M22">
            <v>3.7766203698993195E-2</v>
          </cell>
          <cell r="N22">
            <v>54.383333326550201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https://search-rtdc-monitor-bjffxe2xuh6vdkpspy63sjmuny.us-east-1.es.amazonaws.com/_plugin/kibana/#/discover/Steve-Slow-Train-Analysis-(2080s-and-2083s)?_g=(refreshInterval:(display:Off,section:0,value:0),time:(from:'2016-08-15 04:21:13-0600',mode:absolute,to:'2016-08-15 07:18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1.4999999999999999E-2</v>
          </cell>
          <cell r="AA22">
            <v>23.2821</v>
          </cell>
          <cell r="AB22" t="e">
            <v>#N/A</v>
          </cell>
          <cell r="AC22" t="e">
            <v>#N/A</v>
          </cell>
          <cell r="AD22" t="str">
            <v>0110-15</v>
          </cell>
          <cell r="AE22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23">
          <cell r="A23" t="str">
            <v>111-15</v>
          </cell>
          <cell r="B23">
            <v>4031</v>
          </cell>
          <cell r="C23" t="str">
            <v>DE.1.0.7.0</v>
          </cell>
          <cell r="D23" t="str">
            <v>204:812</v>
          </cell>
          <cell r="E23">
            <v>42597.204756944448</v>
          </cell>
          <cell r="F23">
            <v>42597.206018518518</v>
          </cell>
          <cell r="G23">
            <v>1</v>
          </cell>
          <cell r="H23" t="str">
            <v>204:233300</v>
          </cell>
          <cell r="I23">
            <v>42597.235289351855</v>
          </cell>
          <cell r="J23">
            <v>0</v>
          </cell>
          <cell r="K23" t="str">
            <v>4031/4032</v>
          </cell>
          <cell r="L23" t="str">
            <v>STARKS</v>
          </cell>
          <cell r="M23">
            <v>2.9270833336340729E-2</v>
          </cell>
          <cell r="N23">
            <v>42.15000000433065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https://search-rtdc-monitor-bjffxe2xuh6vdkpspy63sjmuny.us-east-1.es.amazonaws.com/_plugin/kibana/#/discover/Steve-Slow-Train-Analysis-(2080s-and-2083s)?_g=(refreshInterval:(display:Off,section:0,value:0),time:(from:'2016-08-15 03:54:51-0600',mode:absolute,to:'2016-08-15 06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3" t="str">
            <v>N</v>
          </cell>
          <cell r="X23">
            <v>1</v>
          </cell>
          <cell r="Y23">
            <v>8.1199999999999994E-2</v>
          </cell>
          <cell r="Z23">
            <v>23.33</v>
          </cell>
          <cell r="AA23">
            <v>23.248799999999999</v>
          </cell>
          <cell r="AB23">
            <v>0</v>
          </cell>
          <cell r="AC23" t="str">
            <v>PERMANENT SPEED RESTRICTION</v>
          </cell>
          <cell r="AD23" t="str">
            <v>0111-15</v>
          </cell>
          <cell r="AE23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24">
          <cell r="A24" t="str">
            <v>112-15</v>
          </cell>
          <cell r="B24">
            <v>4032</v>
          </cell>
          <cell r="C24" t="str">
            <v>DE.1.0.7.0</v>
          </cell>
          <cell r="D24" t="str">
            <v>204:232994</v>
          </cell>
          <cell r="E24">
            <v>42597.243969907409</v>
          </cell>
          <cell r="F24">
            <v>42597.245358796295</v>
          </cell>
          <cell r="G24">
            <v>2</v>
          </cell>
          <cell r="H24" t="str">
            <v>204:143</v>
          </cell>
          <cell r="I24">
            <v>42597.275057870371</v>
          </cell>
          <cell r="J24">
            <v>0</v>
          </cell>
          <cell r="K24" t="str">
            <v>4031/4032</v>
          </cell>
          <cell r="L24" t="str">
            <v>STARKS</v>
          </cell>
          <cell r="M24">
            <v>2.9699074075324461E-2</v>
          </cell>
          <cell r="N24">
            <v>42.766666668467224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https://search-rtdc-monitor-bjffxe2xuh6vdkpspy63sjmuny.us-east-1.es.amazonaws.com/_plugin/kibana/#/discover/Steve-Slow-Train-Analysis-(2080s-and-2083s)?_g=(refreshInterval:(display:Off,section:0,value:0),time:(from:'2016-08-15 04:51:19-0600',mode:absolute,to:'2016-08-15 07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4" t="str">
            <v>N</v>
          </cell>
          <cell r="X24">
            <v>1</v>
          </cell>
          <cell r="Y24">
            <v>23.299399999999999</v>
          </cell>
          <cell r="Z24">
            <v>1.43E-2</v>
          </cell>
          <cell r="AA24">
            <v>23.2851</v>
          </cell>
          <cell r="AB24" t="e">
            <v>#N/A</v>
          </cell>
          <cell r="AC24" t="e">
            <v>#N/A</v>
          </cell>
          <cell r="AD24" t="str">
            <v>0112-15</v>
          </cell>
          <cell r="AE24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25">
          <cell r="A25" t="str">
            <v>113-15</v>
          </cell>
          <cell r="B25">
            <v>4009</v>
          </cell>
          <cell r="C25" t="str">
            <v>DE.1.0.7.0</v>
          </cell>
          <cell r="D25" t="str">
            <v>204:464</v>
          </cell>
          <cell r="E25">
            <v>42597.205567129633</v>
          </cell>
          <cell r="F25">
            <v>42597.206805555557</v>
          </cell>
          <cell r="G25">
            <v>1</v>
          </cell>
          <cell r="H25" t="str">
            <v>204:233291</v>
          </cell>
          <cell r="I25">
            <v>42597.244710648149</v>
          </cell>
          <cell r="J25">
            <v>0</v>
          </cell>
          <cell r="K25" t="str">
            <v>4009/4010</v>
          </cell>
          <cell r="L25" t="str">
            <v>SWANSON</v>
          </cell>
          <cell r="M25">
            <v>3.7905092591245193E-2</v>
          </cell>
          <cell r="N25">
            <v>54.583333331393078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https://search-rtdc-monitor-bjffxe2xuh6vdkpspy63sjmuny.us-east-1.es.amazonaws.com/_plugin/kibana/#/discover/Steve-Slow-Train-Analysis-(2080s-and-2083s)?_g=(refreshInterval:(display:Off,section:0,value:0),time:(from:'2016-08-15 03:56:01-0600',mode:absolute,to:'2016-08-15 06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4.6399999999999997E-2</v>
          </cell>
          <cell r="Z25">
            <v>23.3291</v>
          </cell>
          <cell r="AA25">
            <v>23.282700000000002</v>
          </cell>
          <cell r="AB25" t="e">
            <v>#N/A</v>
          </cell>
          <cell r="AC25" t="e">
            <v>#N/A</v>
          </cell>
          <cell r="AD25" t="str">
            <v>0113-15</v>
          </cell>
          <cell r="AE25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26">
          <cell r="A26" t="str">
            <v>114-15</v>
          </cell>
          <cell r="B26">
            <v>4010</v>
          </cell>
          <cell r="C26" t="str">
            <v>DE.1.0.7.0</v>
          </cell>
          <cell r="D26" t="str">
            <v>204:232965</v>
          </cell>
          <cell r="E26">
            <v>42597.253611111111</v>
          </cell>
          <cell r="F26">
            <v>42597.254583333335</v>
          </cell>
          <cell r="G26">
            <v>1</v>
          </cell>
          <cell r="H26" t="str">
            <v>204:150</v>
          </cell>
          <cell r="I26">
            <v>42597.285416666666</v>
          </cell>
          <cell r="J26">
            <v>0</v>
          </cell>
          <cell r="K26" t="str">
            <v>4009/4010</v>
          </cell>
          <cell r="L26" t="str">
            <v>SWANSON</v>
          </cell>
          <cell r="M26">
            <v>3.0833333330519963E-2</v>
          </cell>
          <cell r="N26">
            <v>44.399999995948747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https://search-rtdc-monitor-bjffxe2xuh6vdkpspy63sjmuny.us-east-1.es.amazonaws.com/_plugin/kibana/#/discover/Steve-Slow-Train-Analysis-(2080s-and-2083s)?_g=(refreshInterval:(display:Off,section:0,value:0),time:(from:'2016-08-15 05:05:12-0600',mode:absolute,to:'2016-08-15 07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23.296500000000002</v>
          </cell>
          <cell r="Z26">
            <v>1.4999999999999999E-2</v>
          </cell>
          <cell r="AA26">
            <v>23.281500000000001</v>
          </cell>
          <cell r="AB26" t="e">
            <v>#N/A</v>
          </cell>
          <cell r="AC26" t="e">
            <v>#N/A</v>
          </cell>
          <cell r="AD26" t="str">
            <v>0114-15</v>
          </cell>
          <cell r="AE26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27">
          <cell r="A27" t="str">
            <v>115-15</v>
          </cell>
          <cell r="B27">
            <v>4042</v>
          </cell>
          <cell r="C27" t="str">
            <v>DE.1.0.7.0</v>
          </cell>
          <cell r="D27" t="str">
            <v>204:748</v>
          </cell>
          <cell r="E27">
            <v>42597.225462962961</v>
          </cell>
          <cell r="F27">
            <v>42597.227187500001</v>
          </cell>
          <cell r="G27">
            <v>2</v>
          </cell>
          <cell r="H27" t="str">
            <v>204:233278</v>
          </cell>
          <cell r="I27">
            <v>42597.255798611113</v>
          </cell>
          <cell r="J27">
            <v>0</v>
          </cell>
          <cell r="K27" t="str">
            <v>4041/4042</v>
          </cell>
          <cell r="L27" t="str">
            <v>MALAVE</v>
          </cell>
          <cell r="M27">
            <v>2.8611111112695653E-2</v>
          </cell>
          <cell r="N27">
            <v>41.20000000228174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https://search-rtdc-monitor-bjffxe2xuh6vdkpspy63sjmuny.us-east-1.es.amazonaws.com/_plugin/kibana/#/discover/Steve-Slow-Train-Analysis-(2080s-and-2083s)?_g=(refreshInterval:(display:Off,section:0,value:0),time:(from:'2016-08-15 04:24:40-0600',mode:absolute,to:'2016-08-15 07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7" t="str">
            <v>N</v>
          </cell>
          <cell r="X27">
            <v>1</v>
          </cell>
          <cell r="Y27">
            <v>7.4800000000000005E-2</v>
          </cell>
          <cell r="Z27">
            <v>23.3278</v>
          </cell>
          <cell r="AA27">
            <v>23.253</v>
          </cell>
          <cell r="AB27" t="e">
            <v>#N/A</v>
          </cell>
          <cell r="AC27" t="e">
            <v>#N/A</v>
          </cell>
          <cell r="AD27" t="str">
            <v>0115-15</v>
          </cell>
          <cell r="AE27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28">
          <cell r="A28" t="str">
            <v>116-15</v>
          </cell>
          <cell r="B28">
            <v>4041</v>
          </cell>
          <cell r="C28" t="str">
            <v>DE.1.0.7.0</v>
          </cell>
          <cell r="D28" t="str">
            <v>204:232964</v>
          </cell>
          <cell r="E28">
            <v>42597.266574074078</v>
          </cell>
          <cell r="F28">
            <v>42597.267511574071</v>
          </cell>
          <cell r="G28">
            <v>1</v>
          </cell>
          <cell r="H28" t="str">
            <v>204:67645</v>
          </cell>
          <cell r="I28">
            <v>42597.287453703706</v>
          </cell>
          <cell r="J28">
            <v>0</v>
          </cell>
          <cell r="K28" t="str">
            <v>4041/4042</v>
          </cell>
          <cell r="L28" t="str">
            <v>MALAVE</v>
          </cell>
          <cell r="M28">
            <v>1.994212963472819E-2</v>
          </cell>
          <cell r="P28">
            <v>39.066666673170403</v>
          </cell>
          <cell r="R28" t="str">
            <v>Wi-MAX outage</v>
          </cell>
          <cell r="S28">
            <v>0.33333333333333331</v>
          </cell>
          <cell r="T28" t="str">
            <v>Southbound</v>
          </cell>
          <cell r="U28">
            <v>3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https://search-rtdc-monitor-bjffxe2xuh6vdkpspy63sjmuny.us-east-1.es.amazonaws.com/_plugin/kibana/#/discover/Steve-Slow-Train-Analysis-(2080s-and-2083s)?_g=(refreshInterval:(display:Off,section:0,value:0),time:(from:'2016-08-15 05:23:52-0600',mode:absolute,to:'2016-08-15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8" t="str">
            <v>Y</v>
          </cell>
          <cell r="X28">
            <v>1</v>
          </cell>
          <cell r="Y28">
            <v>23.296399999999998</v>
          </cell>
          <cell r="Z28">
            <v>6.7645</v>
          </cell>
          <cell r="AA28">
            <v>16.5319</v>
          </cell>
          <cell r="AB28" t="e">
            <v>#N/A</v>
          </cell>
          <cell r="AC28" t="e">
            <v>#N/A</v>
          </cell>
          <cell r="AD28" t="str">
            <v>0116-15</v>
          </cell>
          <cell r="AE28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29">
          <cell r="A29" t="str">
            <v>116-15</v>
          </cell>
          <cell r="B29">
            <v>4041</v>
          </cell>
          <cell r="C29" t="str">
            <v>DE.1.0.7.0</v>
          </cell>
          <cell r="D29" t="str">
            <v>204:30057</v>
          </cell>
          <cell r="E29">
            <v>42597.293368055558</v>
          </cell>
          <cell r="F29">
            <v>42597.29409722222</v>
          </cell>
          <cell r="G29">
            <v>1</v>
          </cell>
          <cell r="H29" t="str">
            <v>204:156</v>
          </cell>
          <cell r="I29">
            <v>42597.30128472222</v>
          </cell>
          <cell r="J29">
            <v>0</v>
          </cell>
          <cell r="K29" t="str">
            <v>4041/4042</v>
          </cell>
          <cell r="L29" t="str">
            <v>MALAVE</v>
          </cell>
          <cell r="M29">
            <v>7.1874999994179234E-3</v>
          </cell>
          <cell r="T29" t="str">
            <v>Southbound</v>
          </cell>
          <cell r="U29">
            <v>1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https://search-rtdc-monitor-bjffxe2xuh6vdkpspy63sjmuny.us-east-1.es.amazonaws.com/_plugin/kibana/#/discover/Steve-Slow-Train-Analysis-(2080s-and-2083s)?_g=(refreshInterval:(display:Off,section:0,value:0),time:(from:'2016-08-15 06:02:27-0600',mode:absolute,to:'2016-08-15 08:13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9" t="str">
            <v>Y</v>
          </cell>
          <cell r="X29">
            <v>0</v>
          </cell>
          <cell r="Y29">
            <v>3.0057</v>
          </cell>
          <cell r="Z29">
            <v>1.5599999999999999E-2</v>
          </cell>
          <cell r="AA29">
            <v>2.9901</v>
          </cell>
          <cell r="AB29" t="e">
            <v>#N/A</v>
          </cell>
          <cell r="AC29" t="e">
            <v>#N/A</v>
          </cell>
          <cell r="AD29" t="str">
            <v>0116-15</v>
          </cell>
          <cell r="AE29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30">
          <cell r="A30" t="str">
            <v>117-15</v>
          </cell>
          <cell r="B30">
            <v>4044</v>
          </cell>
          <cell r="C30" t="str">
            <v>DE.1.0.7.0</v>
          </cell>
          <cell r="D30" t="str">
            <v>204:489</v>
          </cell>
          <cell r="E30">
            <v>42597.232256944444</v>
          </cell>
          <cell r="F30">
            <v>42597.233576388891</v>
          </cell>
          <cell r="G30">
            <v>1</v>
          </cell>
          <cell r="H30" t="str">
            <v>204:233293</v>
          </cell>
          <cell r="I30">
            <v>42597.265462962961</v>
          </cell>
          <cell r="J30">
            <v>0</v>
          </cell>
          <cell r="K30" t="str">
            <v>4043/4044</v>
          </cell>
          <cell r="L30" t="str">
            <v>ACKERMAN</v>
          </cell>
          <cell r="M30">
            <v>3.1886574070085771E-2</v>
          </cell>
          <cell r="N30">
            <v>45.916666660923511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https://search-rtdc-monitor-bjffxe2xuh6vdkpspy63sjmuny.us-east-1.es.amazonaws.com/_plugin/kibana/#/discover/Steve-Slow-Train-Analysis-(2080s-and-2083s)?_g=(refreshInterval:(display:Off,section:0,value:0),time:(from:'2016-08-15 04:34:27-0600',mode:absolute,to:'2016-08-15 07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0" t="str">
            <v>N</v>
          </cell>
          <cell r="X30">
            <v>1</v>
          </cell>
          <cell r="Y30">
            <v>4.8899999999999999E-2</v>
          </cell>
          <cell r="Z30">
            <v>23.3293</v>
          </cell>
          <cell r="AA30">
            <v>23.2804</v>
          </cell>
          <cell r="AB30" t="e">
            <v>#N/A</v>
          </cell>
          <cell r="AC30" t="e">
            <v>#N/A</v>
          </cell>
          <cell r="AD30" t="str">
            <v>0117-15</v>
          </cell>
          <cell r="AE30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31">
          <cell r="A31" t="str">
            <v>118-15</v>
          </cell>
          <cell r="B31">
            <v>4043</v>
          </cell>
          <cell r="C31" t="str">
            <v>DE.1.0.7.0</v>
          </cell>
          <cell r="D31" t="str">
            <v>204:232975</v>
          </cell>
          <cell r="E31">
            <v>42597.2733912037</v>
          </cell>
          <cell r="F31">
            <v>42597.274606481478</v>
          </cell>
          <cell r="G31">
            <v>1</v>
          </cell>
          <cell r="H31" t="str">
            <v>204:134</v>
          </cell>
          <cell r="I31">
            <v>42597.307349537034</v>
          </cell>
          <cell r="J31">
            <v>0</v>
          </cell>
          <cell r="K31" t="str">
            <v>4043/4044</v>
          </cell>
          <cell r="L31" t="str">
            <v>ACKERMAN</v>
          </cell>
          <cell r="M31">
            <v>3.2743055555329192E-2</v>
          </cell>
          <cell r="N31">
            <v>47.149999999674037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1" t="str">
            <v>N</v>
          </cell>
          <cell r="X31">
            <v>1</v>
          </cell>
          <cell r="Y31">
            <v>23.297499999999999</v>
          </cell>
          <cell r="Z31">
            <v>1.34E-2</v>
          </cell>
          <cell r="AA31">
            <v>23.284099999999999</v>
          </cell>
          <cell r="AB31">
            <v>33257</v>
          </cell>
          <cell r="AC31" t="str">
            <v>GRADE CROSSING</v>
          </cell>
          <cell r="AD31" t="str">
            <v>0118-15</v>
          </cell>
          <cell r="AE31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32">
          <cell r="A32" t="str">
            <v>119-15</v>
          </cell>
          <cell r="B32">
            <v>4027</v>
          </cell>
          <cell r="C32" t="str">
            <v>DE.1.0.7.0</v>
          </cell>
          <cell r="D32" t="str">
            <v>204:737</v>
          </cell>
          <cell r="E32">
            <v>42597.248564814814</v>
          </cell>
          <cell r="F32">
            <v>42597.249282407407</v>
          </cell>
          <cell r="G32">
            <v>1</v>
          </cell>
          <cell r="H32" t="str">
            <v>204:233325</v>
          </cell>
          <cell r="I32">
            <v>42597.277372685188</v>
          </cell>
          <cell r="J32">
            <v>0</v>
          </cell>
          <cell r="K32" t="str">
            <v>4027/4028</v>
          </cell>
          <cell r="L32" t="str">
            <v>SANTIZO</v>
          </cell>
          <cell r="M32">
            <v>2.8090277781302575E-2</v>
          </cell>
          <cell r="N32">
            <v>40.450000005075708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https://search-rtdc-monitor-bjffxe2xuh6vdkpspy63sjmuny.us-east-1.es.amazonaws.com/_plugin/kibana/#/discover/Steve-Slow-Train-Analysis-(2080s-and-2083s)?_g=(refreshInterval:(display:Off,section:0,value:0),time:(from:'2016-08-15 04:57:56-0600',mode:absolute,to:'2016-08-15 07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2" t="str">
            <v>N</v>
          </cell>
          <cell r="X32">
            <v>1</v>
          </cell>
          <cell r="Y32">
            <v>7.3700000000000002E-2</v>
          </cell>
          <cell r="Z32">
            <v>23.3325</v>
          </cell>
          <cell r="AA32">
            <v>23.258800000000001</v>
          </cell>
          <cell r="AB32" t="e">
            <v>#N/A</v>
          </cell>
          <cell r="AC32" t="e">
            <v>#N/A</v>
          </cell>
          <cell r="AD32" t="str">
            <v>0119-15</v>
          </cell>
          <cell r="AE32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33">
          <cell r="A33" t="str">
            <v>120-15</v>
          </cell>
          <cell r="B33">
            <v>4028</v>
          </cell>
          <cell r="C33" t="str">
            <v>DE.1.0.7.0</v>
          </cell>
          <cell r="D33" t="str">
            <v>204:233010</v>
          </cell>
          <cell r="E33">
            <v>42597.278287037036</v>
          </cell>
          <cell r="F33">
            <v>42597.279305555552</v>
          </cell>
          <cell r="G33">
            <v>1</v>
          </cell>
          <cell r="H33" t="str">
            <v>204:149</v>
          </cell>
          <cell r="I33">
            <v>42597.317476851851</v>
          </cell>
          <cell r="J33">
            <v>0</v>
          </cell>
          <cell r="K33" t="str">
            <v>4027/4028</v>
          </cell>
          <cell r="L33" t="str">
            <v>SANTIZO</v>
          </cell>
          <cell r="M33">
            <v>3.8171296298969537E-2</v>
          </cell>
          <cell r="N33">
            <v>54.966666670516133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https://search-rtdc-monitor-bjffxe2xuh6vdkpspy63sjmuny.us-east-1.es.amazonaws.com/_plugin/kibana/#/discover/Steve-Slow-Train-Analysis-(2080s-and-2083s)?_g=(refreshInterval:(display:Off,section:0,value:0),time:(from:'2016-08-15 05:40:44-0600',mode:absolute,to:'2016-08-15 08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3" t="str">
            <v>N</v>
          </cell>
          <cell r="X33">
            <v>1</v>
          </cell>
          <cell r="Y33">
            <v>23.300999999999998</v>
          </cell>
          <cell r="Z33">
            <v>1.49E-2</v>
          </cell>
          <cell r="AA33">
            <v>23.286099999999998</v>
          </cell>
          <cell r="AB33" t="e">
            <v>#N/A</v>
          </cell>
          <cell r="AC33" t="e">
            <v>#N/A</v>
          </cell>
          <cell r="AD33" t="str">
            <v>0120-15</v>
          </cell>
          <cell r="AE33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34">
          <cell r="A34" t="str">
            <v>121-15</v>
          </cell>
          <cell r="B34">
            <v>4020</v>
          </cell>
          <cell r="C34" t="str">
            <v>DE.1.0.7.0</v>
          </cell>
          <cell r="D34" t="str">
            <v>204:447</v>
          </cell>
          <cell r="E34">
            <v>42597.258472222224</v>
          </cell>
          <cell r="F34">
            <v>42597.259826388887</v>
          </cell>
          <cell r="G34">
            <v>1</v>
          </cell>
          <cell r="H34" t="str">
            <v>204:233320</v>
          </cell>
          <cell r="I34">
            <v>42597.286793981482</v>
          </cell>
          <cell r="J34">
            <v>0</v>
          </cell>
          <cell r="K34" t="str">
            <v>4019/4020</v>
          </cell>
          <cell r="L34" t="str">
            <v>SPECTOR</v>
          </cell>
          <cell r="M34">
            <v>2.6967592595610768E-2</v>
          </cell>
          <cell r="N34">
            <v>38.833333337679505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https://search-rtdc-monitor-bjffxe2xuh6vdkpspy63sjmuny.us-east-1.es.amazonaws.com/_plugin/kibana/#/discover/Steve-Slow-Train-Analysis-(2080s-and-2083s)?_g=(refreshInterval:(display:Off,section:0,value:0),time:(from:'2016-08-15 05:12:12-0600',mode:absolute,to:'2016-08-15 07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4" t="str">
            <v>N</v>
          </cell>
          <cell r="X34">
            <v>1</v>
          </cell>
          <cell r="Y34">
            <v>4.4699999999999997E-2</v>
          </cell>
          <cell r="Z34">
            <v>23.332000000000001</v>
          </cell>
          <cell r="AA34">
            <v>23.287300000000002</v>
          </cell>
          <cell r="AB34">
            <v>63069</v>
          </cell>
          <cell r="AC34" t="str">
            <v>GRADE CROSSING</v>
          </cell>
          <cell r="AD34" t="str">
            <v>0121-15</v>
          </cell>
          <cell r="AE34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35">
          <cell r="A35" t="str">
            <v>122-15</v>
          </cell>
          <cell r="B35">
            <v>4019</v>
          </cell>
          <cell r="C35" t="str">
            <v>DE.1.0.7.0</v>
          </cell>
          <cell r="D35" t="str">
            <v>204:233017</v>
          </cell>
          <cell r="E35">
            <v>42597.292256944442</v>
          </cell>
          <cell r="F35">
            <v>42597.293298611112</v>
          </cell>
          <cell r="G35">
            <v>1</v>
          </cell>
          <cell r="H35" t="str">
            <v>204:141</v>
          </cell>
          <cell r="I35">
            <v>42597.326226851852</v>
          </cell>
          <cell r="J35">
            <v>0</v>
          </cell>
          <cell r="K35" t="str">
            <v>4019/4020</v>
          </cell>
          <cell r="L35" t="str">
            <v>SPECTOR</v>
          </cell>
          <cell r="M35">
            <v>3.2928240740147885E-2</v>
          </cell>
          <cell r="N35">
            <v>47.416666665812954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https://search-rtdc-monitor-bjffxe2xuh6vdkpspy63sjmuny.us-east-1.es.amazonaws.com/_plugin/kibana/#/discover/Steve-Slow-Train-Analysis-(2080s-and-2083s)?_g=(refreshInterval:(display:Off,section:0,value:0),time:(from:'2016-08-15 06:00:51-0600',mode:absolute,to:'2016-08-15 08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5" t="str">
            <v>N</v>
          </cell>
          <cell r="X35">
            <v>1</v>
          </cell>
          <cell r="Y35">
            <v>23.3017</v>
          </cell>
          <cell r="Z35">
            <v>1.41E-2</v>
          </cell>
          <cell r="AA35">
            <v>23.287600000000001</v>
          </cell>
          <cell r="AB35" t="e">
            <v>#N/A</v>
          </cell>
          <cell r="AC35" t="e">
            <v>#N/A</v>
          </cell>
          <cell r="AD35" t="str">
            <v>0122-15</v>
          </cell>
          <cell r="AE35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36">
          <cell r="A36" t="str">
            <v>123-15</v>
          </cell>
          <cell r="B36">
            <v>4038</v>
          </cell>
          <cell r="C36" t="str">
            <v>DE.1.0.7.0</v>
          </cell>
          <cell r="D36" t="str">
            <v>204:451</v>
          </cell>
          <cell r="E36">
            <v>42597.263969907406</v>
          </cell>
          <cell r="F36">
            <v>42597.264930555553</v>
          </cell>
          <cell r="G36">
            <v>1</v>
          </cell>
          <cell r="H36" t="str">
            <v>204:233310</v>
          </cell>
          <cell r="I36">
            <v>42597.295289351852</v>
          </cell>
          <cell r="J36">
            <v>0</v>
          </cell>
          <cell r="K36" t="str">
            <v>4037/4038</v>
          </cell>
          <cell r="L36" t="str">
            <v>YORK</v>
          </cell>
          <cell r="M36">
            <v>3.0358796298969537E-2</v>
          </cell>
          <cell r="N36">
            <v>43.716666670516133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https://search-rtdc-monitor-bjffxe2xuh6vdkpspy63sjmuny.us-east-1.es.amazonaws.com/_plugin/kibana/#/discover/Steve-Slow-Train-Analysis-(2080s-and-2083s)?_g=(refreshInterval:(display:Off,section:0,value:0),time:(from:'2016-08-15 05:20:07-0600',mode:absolute,to:'2016-08-15 08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6" t="str">
            <v>N</v>
          </cell>
          <cell r="X36">
            <v>1</v>
          </cell>
          <cell r="Y36">
            <v>4.5100000000000001E-2</v>
          </cell>
          <cell r="Z36">
            <v>23.331</v>
          </cell>
          <cell r="AA36">
            <v>23.285899999999998</v>
          </cell>
          <cell r="AB36" t="e">
            <v>#N/A</v>
          </cell>
          <cell r="AC36" t="e">
            <v>#N/A</v>
          </cell>
          <cell r="AD36" t="str">
            <v>0123-15</v>
          </cell>
          <cell r="AE3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37">
          <cell r="A37" t="str">
            <v>124-15</v>
          </cell>
          <cell r="B37">
            <v>4037</v>
          </cell>
          <cell r="C37" t="str">
            <v>DE.1.0.7.0</v>
          </cell>
          <cell r="D37" t="str">
            <v>204:232983</v>
          </cell>
          <cell r="E37">
            <v>42597.296238425923</v>
          </cell>
          <cell r="F37">
            <v>42597.296956018516</v>
          </cell>
          <cell r="G37">
            <v>1</v>
          </cell>
          <cell r="H37" t="str">
            <v>204:147</v>
          </cell>
          <cell r="I37">
            <v>42597.337152777778</v>
          </cell>
          <cell r="J37">
            <v>0</v>
          </cell>
          <cell r="K37" t="str">
            <v>4037/4038</v>
          </cell>
          <cell r="L37" t="str">
            <v>YORK</v>
          </cell>
          <cell r="M37">
            <v>4.019675926247146E-2</v>
          </cell>
          <cell r="N37">
            <v>57.883333337958902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https://search-rtdc-monitor-bjffxe2xuh6vdkpspy63sjmuny.us-east-1.es.amazonaws.com/_plugin/kibana/#/discover/Steve-Slow-Train-Analysis-(2080s-and-2083s)?_g=(refreshInterval:(display:Off,section:0,value:0),time:(from:'2016-08-15 06:06:35-0600',mode:absolute,to:'2016-08-15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7" t="str">
            <v>N</v>
          </cell>
          <cell r="X37">
            <v>1</v>
          </cell>
          <cell r="Y37">
            <v>23.298300000000001</v>
          </cell>
          <cell r="Z37">
            <v>1.47E-2</v>
          </cell>
          <cell r="AA37">
            <v>23.2836</v>
          </cell>
          <cell r="AB37" t="e">
            <v>#N/A</v>
          </cell>
          <cell r="AC37" t="e">
            <v>#N/A</v>
          </cell>
          <cell r="AD37" t="str">
            <v>0124-15</v>
          </cell>
          <cell r="AE37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38">
          <cell r="A38" t="str">
            <v>125-15</v>
          </cell>
          <cell r="B38">
            <v>4031</v>
          </cell>
          <cell r="C38" t="str">
            <v>DE.1.0.7.0</v>
          </cell>
          <cell r="D38" t="str">
            <v>204:466</v>
          </cell>
          <cell r="E38">
            <v>42597.279432870368</v>
          </cell>
          <cell r="F38">
            <v>42597.280451388891</v>
          </cell>
          <cell r="G38">
            <v>1</v>
          </cell>
          <cell r="H38" t="str">
            <v>204:233341</v>
          </cell>
          <cell r="I38">
            <v>42597.305879629632</v>
          </cell>
          <cell r="J38">
            <v>0</v>
          </cell>
          <cell r="K38" t="str">
            <v>4031/4032</v>
          </cell>
          <cell r="L38" t="str">
            <v>STARKS</v>
          </cell>
          <cell r="M38">
            <v>2.5428240740438923E-2</v>
          </cell>
          <cell r="N38">
            <v>36.616666666232049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https://search-rtdc-monitor-bjffxe2xuh6vdkpspy63sjmuny.us-east-1.es.amazonaws.com/_plugin/kibana/#/discover/Steve-Slow-Train-Analysis-(2080s-and-2083s)?_g=(refreshInterval:(display:Off,section:0,value:0),time:(from:'2016-08-15 05:42:23-0600',mode:absolute,to:'2016-08-15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8" t="str">
            <v>N</v>
          </cell>
          <cell r="X38">
            <v>1</v>
          </cell>
          <cell r="Y38">
            <v>4.6600000000000003E-2</v>
          </cell>
          <cell r="Z38">
            <v>23.334099999999999</v>
          </cell>
          <cell r="AA38">
            <v>23.287499999999998</v>
          </cell>
          <cell r="AB38" t="e">
            <v>#N/A</v>
          </cell>
          <cell r="AC38" t="e">
            <v>#N/A</v>
          </cell>
          <cell r="AD38" t="str">
            <v>0125-15</v>
          </cell>
          <cell r="AE38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39">
          <cell r="A39" t="str">
            <v>126-15</v>
          </cell>
          <cell r="B39">
            <v>4032</v>
          </cell>
          <cell r="C39" t="str">
            <v>DE.1.0.7.0</v>
          </cell>
          <cell r="D39" t="str">
            <v>204:233007</v>
          </cell>
          <cell r="E39">
            <v>42597.317199074074</v>
          </cell>
          <cell r="F39">
            <v>42597.31821759259</v>
          </cell>
          <cell r="G39">
            <v>1</v>
          </cell>
          <cell r="H39" t="str">
            <v>204:150</v>
          </cell>
          <cell r="I39">
            <v>42597.351053240738</v>
          </cell>
          <cell r="J39">
            <v>0</v>
          </cell>
          <cell r="K39" t="str">
            <v>4031/4032</v>
          </cell>
          <cell r="L39" t="str">
            <v>STARKS</v>
          </cell>
          <cell r="M39">
            <v>3.2835648147738539E-2</v>
          </cell>
          <cell r="N39">
            <v>47.283333332743496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9" t="str">
            <v>N</v>
          </cell>
          <cell r="X39">
            <v>1</v>
          </cell>
          <cell r="Y39">
            <v>23.300699999999999</v>
          </cell>
          <cell r="Z39">
            <v>1.4999999999999999E-2</v>
          </cell>
          <cell r="AA39">
            <v>23.285699999999999</v>
          </cell>
          <cell r="AB39" t="e">
            <v>#N/A</v>
          </cell>
          <cell r="AC39" t="e">
            <v>#N/A</v>
          </cell>
          <cell r="AD39" t="str">
            <v>0126-15</v>
          </cell>
          <cell r="AE39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40">
          <cell r="A40" t="str">
            <v>127-15</v>
          </cell>
          <cell r="B40">
            <v>4009</v>
          </cell>
          <cell r="C40" t="str">
            <v>DE.1.0.7.0</v>
          </cell>
          <cell r="D40" t="str">
            <v>204:453</v>
          </cell>
          <cell r="E40">
            <v>42597.28670138889</v>
          </cell>
          <cell r="F40">
            <v>42597.287812499999</v>
          </cell>
          <cell r="G40">
            <v>1</v>
          </cell>
          <cell r="H40" t="str">
            <v>204:233300</v>
          </cell>
          <cell r="I40">
            <v>42597.318113425928</v>
          </cell>
          <cell r="J40">
            <v>0</v>
          </cell>
          <cell r="K40" t="str">
            <v>4009/4010</v>
          </cell>
          <cell r="L40" t="str">
            <v>SWANSON</v>
          </cell>
          <cell r="M40">
            <v>3.030092592962319E-2</v>
          </cell>
          <cell r="N40">
            <v>43.633333338657394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https://search-rtdc-monitor-bjffxe2xuh6vdkpspy63sjmuny.us-east-1.es.amazonaws.com/_plugin/kibana/#/discover/Steve-Slow-Train-Analysis-(2080s-and-2083s)?_g=(refreshInterval:(display:Off,section:0,value:0),time:(from:'2016-08-15 05:52:51-0600',mode:absolute,to:'2016-08-15 08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N</v>
          </cell>
          <cell r="X40">
            <v>1</v>
          </cell>
          <cell r="Y40">
            <v>4.53E-2</v>
          </cell>
          <cell r="Z40">
            <v>23.33</v>
          </cell>
          <cell r="AA40">
            <v>23.284699999999997</v>
          </cell>
          <cell r="AB40" t="e">
            <v>#N/A</v>
          </cell>
          <cell r="AC40" t="e">
            <v>#N/A</v>
          </cell>
          <cell r="AD40" t="str">
            <v>0127-15</v>
          </cell>
          <cell r="AE40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41">
          <cell r="A41" t="str">
            <v>128-15</v>
          </cell>
          <cell r="B41">
            <v>4010</v>
          </cell>
          <cell r="C41" t="str">
            <v>DE.1.0.7.0</v>
          </cell>
          <cell r="D41" t="str">
            <v>204:232972</v>
          </cell>
          <cell r="E41">
            <v>42597.324166666665</v>
          </cell>
          <cell r="F41">
            <v>42597.325023148151</v>
          </cell>
          <cell r="G41">
            <v>1</v>
          </cell>
          <cell r="H41" t="str">
            <v>204:156</v>
          </cell>
          <cell r="I41">
            <v>42597.365914351853</v>
          </cell>
          <cell r="J41">
            <v>0</v>
          </cell>
          <cell r="K41" t="str">
            <v>4009/4010</v>
          </cell>
          <cell r="L41" t="str">
            <v>SWANSON</v>
          </cell>
          <cell r="M41">
            <v>4.0891203701903578E-2</v>
          </cell>
          <cell r="N41">
            <v>58.883333330741152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https://search-rtdc-monitor-bjffxe2xuh6vdkpspy63sjmuny.us-east-1.es.amazonaws.com/_plugin/kibana/#/discover/Steve-Slow-Train-Analysis-(2080s-and-2083s)?_g=(refreshInterval:(display:Off,section:0,value:0),time:(from:'2016-08-15 06:46:48-0600',mode:absolute,to:'2016-08-15 09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23.2972</v>
          </cell>
          <cell r="Z41">
            <v>1.5599999999999999E-2</v>
          </cell>
          <cell r="AA41">
            <v>23.281600000000001</v>
          </cell>
          <cell r="AB41" t="e">
            <v>#N/A</v>
          </cell>
          <cell r="AC41" t="e">
            <v>#N/A</v>
          </cell>
          <cell r="AD41" t="str">
            <v>0128-15</v>
          </cell>
          <cell r="AE41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42">
          <cell r="A42" t="str">
            <v>129-15</v>
          </cell>
          <cell r="B42">
            <v>4042</v>
          </cell>
          <cell r="C42" t="str">
            <v>DE.1.0.7.0</v>
          </cell>
          <cell r="D42" t="str">
            <v>204:19142</v>
          </cell>
          <cell r="E42">
            <v>42597.307175925926</v>
          </cell>
          <cell r="F42">
            <v>42597.308136574073</v>
          </cell>
          <cell r="G42">
            <v>1</v>
          </cell>
          <cell r="H42" t="str">
            <v>204:233291</v>
          </cell>
          <cell r="I42">
            <v>42597.330069444448</v>
          </cell>
          <cell r="J42">
            <v>0</v>
          </cell>
          <cell r="K42" t="str">
            <v>4041/4042</v>
          </cell>
          <cell r="L42" t="str">
            <v>MALAVE</v>
          </cell>
          <cell r="M42">
            <v>2.1932870375167113E-2</v>
          </cell>
          <cell r="P42">
            <v>31.583333340240642</v>
          </cell>
          <cell r="R42" t="str">
            <v>Onboard in-route failure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https://search-rtdc-monitor-bjffxe2xuh6vdkpspy63sjmuny.us-east-1.es.amazonaws.com/_plugin/kibana/#/discover/Steve-Slow-Train-Analysis-(2080s-and-2083s)?_g=(refreshInterval:(display:Off,section:0,value:0),time:(from:'2016-08-15 06:22:20-0600',mode:absolute,to:'2016-08-15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2" t="str">
            <v>Y</v>
          </cell>
          <cell r="X42">
            <v>1</v>
          </cell>
          <cell r="Y42">
            <v>1.9141999999999999</v>
          </cell>
          <cell r="Z42">
            <v>23.3291</v>
          </cell>
          <cell r="AA42">
            <v>21.414899999999999</v>
          </cell>
          <cell r="AB42" t="e">
            <v>#N/A</v>
          </cell>
          <cell r="AC42" t="e">
            <v>#N/A</v>
          </cell>
          <cell r="AD42" t="str">
            <v>0129-15</v>
          </cell>
          <cell r="AE4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43">
          <cell r="A43" t="str">
            <v>130-15</v>
          </cell>
          <cell r="B43">
            <v>4041</v>
          </cell>
          <cell r="C43" t="str">
            <v>DE.1.0.7.0</v>
          </cell>
          <cell r="D43" t="str">
            <v>204:232959</v>
          </cell>
          <cell r="E43">
            <v>42597.338958333334</v>
          </cell>
          <cell r="F43">
            <v>42597.341087962966</v>
          </cell>
          <cell r="G43">
            <v>3</v>
          </cell>
          <cell r="H43" t="str">
            <v>204:152</v>
          </cell>
          <cell r="I43">
            <v>42597.373287037037</v>
          </cell>
          <cell r="J43">
            <v>0</v>
          </cell>
          <cell r="K43" t="str">
            <v>4041/4042</v>
          </cell>
          <cell r="L43" t="str">
            <v>MALAVE</v>
          </cell>
          <cell r="M43">
            <v>3.219907407037681E-2</v>
          </cell>
          <cell r="N43">
            <v>46.366666661342606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https://search-rtdc-monitor-bjffxe2xuh6vdkpspy63sjmuny.us-east-1.es.amazonaws.com/_plugin/kibana/#/discover/Steve-Slow-Train-Analysis-(2080s-and-2083s)?_g=(refreshInterval:(display:Off,section:0,value:0),time:(from:'2016-08-15 07:08:06-0600',mode:absolute,to:'2016-08-15 09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3" t="str">
            <v>N</v>
          </cell>
          <cell r="X43">
            <v>1</v>
          </cell>
          <cell r="Y43">
            <v>23.2959</v>
          </cell>
          <cell r="Z43">
            <v>1.52E-2</v>
          </cell>
          <cell r="AA43">
            <v>23.2807</v>
          </cell>
          <cell r="AB43" t="e">
            <v>#N/A</v>
          </cell>
          <cell r="AC43" t="e">
            <v>#N/A</v>
          </cell>
          <cell r="AD43" t="str">
            <v>0130-15</v>
          </cell>
          <cell r="AE43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44">
          <cell r="A44" t="str">
            <v>131-15</v>
          </cell>
          <cell r="B44">
            <v>4044</v>
          </cell>
          <cell r="C44" t="str">
            <v>DE.1.0.7.0</v>
          </cell>
          <cell r="D44" t="str">
            <v>204:438</v>
          </cell>
          <cell r="E44">
            <v>42597.308912037035</v>
          </cell>
          <cell r="F44">
            <v>42597.312789351854</v>
          </cell>
          <cell r="G44">
            <v>5</v>
          </cell>
          <cell r="H44" t="str">
            <v>204:233238</v>
          </cell>
          <cell r="I44">
            <v>42597.338819444441</v>
          </cell>
          <cell r="J44">
            <v>0</v>
          </cell>
          <cell r="K44" t="str">
            <v>4043/4044</v>
          </cell>
          <cell r="L44" t="str">
            <v>ACKERMAN</v>
          </cell>
          <cell r="M44">
            <v>2.6030092587461695E-2</v>
          </cell>
          <cell r="N44">
            <v>37.483333325944841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https://search-rtdc-monitor-bjffxe2xuh6vdkpspy63sjmuny.us-east-1.es.amazonaws.com/_plugin/kibana/#/discover/Steve-Slow-Train-Analysis-(2080s-and-2083s)?_g=(refreshInterval:(display:Off,section:0,value:0),time:(from:'2016-08-15 06:24:50-0600',mode:absolute,to:'2016-08-15 09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4" t="str">
            <v>N</v>
          </cell>
          <cell r="X44">
            <v>1</v>
          </cell>
          <cell r="Y44">
            <v>4.3799999999999999E-2</v>
          </cell>
          <cell r="Z44">
            <v>23.323799999999999</v>
          </cell>
          <cell r="AA44">
            <v>23.279999999999998</v>
          </cell>
          <cell r="AB44" t="e">
            <v>#N/A</v>
          </cell>
          <cell r="AC44" t="e">
            <v>#N/A</v>
          </cell>
          <cell r="AD44" t="str">
            <v>0131-15</v>
          </cell>
          <cell r="AE44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45">
          <cell r="A45" t="str">
            <v>132-15</v>
          </cell>
          <cell r="B45">
            <v>4043</v>
          </cell>
          <cell r="C45" t="str">
            <v>DE.1.0.7.0</v>
          </cell>
          <cell r="D45" t="str">
            <v>204:232955</v>
          </cell>
          <cell r="E45">
            <v>42597.346087962964</v>
          </cell>
          <cell r="F45">
            <v>42597.347673611112</v>
          </cell>
          <cell r="G45">
            <v>2</v>
          </cell>
          <cell r="H45" t="str">
            <v>204:172</v>
          </cell>
          <cell r="I45">
            <v>42597.380219907405</v>
          </cell>
          <cell r="J45">
            <v>0</v>
          </cell>
          <cell r="K45" t="str">
            <v>4043/4044</v>
          </cell>
          <cell r="L45" t="str">
            <v>ACKERMAN</v>
          </cell>
          <cell r="M45">
            <v>3.2546296293730848E-2</v>
          </cell>
          <cell r="N45">
            <v>46.86666666297242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https://search-rtdc-monitor-bjffxe2xuh6vdkpspy63sjmuny.us-east-1.es.amazonaws.com/_plugin/kibana/#/discover/Steve-Slow-Train-Analysis-(2080s-and-2083s)?_g=(refreshInterval:(display:Off,section:0,value:0),time:(from:'2016-08-15 07:18:22-0600',mode:absolute,to:'2016-08-15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5" t="str">
            <v>N</v>
          </cell>
          <cell r="X45">
            <v>1</v>
          </cell>
          <cell r="Y45">
            <v>23.295500000000001</v>
          </cell>
          <cell r="Z45">
            <v>1.72E-2</v>
          </cell>
          <cell r="AA45">
            <v>23.278300000000002</v>
          </cell>
          <cell r="AB45" t="e">
            <v>#N/A</v>
          </cell>
          <cell r="AC45" t="e">
            <v>#N/A</v>
          </cell>
          <cell r="AD45" t="str">
            <v>0132-15</v>
          </cell>
          <cell r="AE45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46">
          <cell r="A46" t="str">
            <v>133-15</v>
          </cell>
          <cell r="B46">
            <v>4027</v>
          </cell>
          <cell r="C46" t="str">
            <v>DE.1.0.7.0</v>
          </cell>
          <cell r="D46" t="str">
            <v>204:444</v>
          </cell>
          <cell r="E46">
            <v>42597.319479166668</v>
          </cell>
          <cell r="F46">
            <v>42597.320532407408</v>
          </cell>
          <cell r="G46">
            <v>1</v>
          </cell>
          <cell r="H46" t="str">
            <v>204:233309</v>
          </cell>
          <cell r="I46">
            <v>42597.356481481482</v>
          </cell>
          <cell r="J46">
            <v>0</v>
          </cell>
          <cell r="K46" t="str">
            <v>4027/4028</v>
          </cell>
          <cell r="L46" t="str">
            <v>SANTIZO</v>
          </cell>
          <cell r="M46">
            <v>3.5949074073869269E-2</v>
          </cell>
          <cell r="N46">
            <v>51.766666666371748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https://search-rtdc-monitor-bjffxe2xuh6vdkpspy63sjmuny.us-east-1.es.amazonaws.com/_plugin/kibana/#/discover/Steve-Slow-Train-Analysis-(2080s-and-2083s)?_g=(refreshInterval:(display:Off,section:0,value:0),time:(from:'2016-08-15 06:40:03-0600',mode:absolute,to:'2016-08-15 09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6" t="str">
            <v>N</v>
          </cell>
          <cell r="X46">
            <v>1</v>
          </cell>
          <cell r="Y46">
            <v>4.4400000000000002E-2</v>
          </cell>
          <cell r="Z46">
            <v>23.3309</v>
          </cell>
          <cell r="AA46">
            <v>23.2865</v>
          </cell>
          <cell r="AB46" t="e">
            <v>#N/A</v>
          </cell>
          <cell r="AC46" t="e">
            <v>#N/A</v>
          </cell>
          <cell r="AD46" t="str">
            <v>0133-15</v>
          </cell>
          <cell r="AE4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47">
          <cell r="A47" t="str">
            <v>134-15</v>
          </cell>
          <cell r="B47">
            <v>4028</v>
          </cell>
          <cell r="C47" t="str">
            <v>DE.1.0.7.0</v>
          </cell>
          <cell r="D47" t="str">
            <v>204:232998</v>
          </cell>
          <cell r="E47">
            <v>42597.358807870369</v>
          </cell>
          <cell r="F47">
            <v>42597.359861111108</v>
          </cell>
          <cell r="G47">
            <v>1</v>
          </cell>
          <cell r="H47" t="str">
            <v>204:158</v>
          </cell>
          <cell r="I47">
            <v>42597.391701388886</v>
          </cell>
          <cell r="J47">
            <v>0</v>
          </cell>
          <cell r="K47" t="str">
            <v>4027/4028</v>
          </cell>
          <cell r="L47" t="str">
            <v>SANTIZO</v>
          </cell>
          <cell r="M47">
            <v>3.1840277777519077E-2</v>
          </cell>
          <cell r="N47">
            <v>45.849999999627471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https://search-rtdc-monitor-bjffxe2xuh6vdkpspy63sjmuny.us-east-1.es.amazonaws.com/_plugin/kibana/#/discover/Steve-Slow-Train-Analysis-(2080s-and-2083s)?_g=(refreshInterval:(display:Off,section:0,value:0),time:(from:'2016-08-15 07:36:41-0600',mode:absolute,to:'2016-08-15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7" t="str">
            <v>N</v>
          </cell>
          <cell r="X47">
            <v>1</v>
          </cell>
          <cell r="Y47">
            <v>23.299800000000001</v>
          </cell>
          <cell r="Z47">
            <v>1.5800000000000002E-2</v>
          </cell>
          <cell r="AA47">
            <v>23.284000000000002</v>
          </cell>
          <cell r="AB47" t="e">
            <v>#N/A</v>
          </cell>
          <cell r="AC47" t="e">
            <v>#N/A</v>
          </cell>
          <cell r="AD47" t="str">
            <v>0134-15</v>
          </cell>
          <cell r="AE4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48">
          <cell r="A48" t="str">
            <v>135-15</v>
          </cell>
          <cell r="B48">
            <v>4020</v>
          </cell>
          <cell r="C48" t="str">
            <v>DE.1.0.7.0</v>
          </cell>
          <cell r="D48" t="str">
            <v>204:464</v>
          </cell>
          <cell r="E48">
            <v>42597.328518518516</v>
          </cell>
          <cell r="F48">
            <v>42597.329571759263</v>
          </cell>
          <cell r="G48">
            <v>1</v>
          </cell>
          <cell r="H48" t="str">
            <v>204:233338</v>
          </cell>
          <cell r="I48">
            <v>42597.365983796299</v>
          </cell>
          <cell r="J48">
            <v>0</v>
          </cell>
          <cell r="K48" t="str">
            <v>4019/4020</v>
          </cell>
          <cell r="L48" t="str">
            <v>SPECTOR</v>
          </cell>
          <cell r="M48">
            <v>3.6412037035916001E-2</v>
          </cell>
          <cell r="N48">
            <v>52.433333331719041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https://search-rtdc-monitor-bjffxe2xuh6vdkpspy63sjmuny.us-east-1.es.amazonaws.com/_plugin/kibana/#/discover/Steve-Slow-Train-Analysis-(2080s-and-2083s)?_g=(refreshInterval:(display:Off,section:0,value:0),time:(from:'2016-08-15 06:53:04-0600',mode:absolute,to:'2016-08-15 09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8" t="str">
            <v>N</v>
          </cell>
          <cell r="X48">
            <v>1</v>
          </cell>
          <cell r="Y48">
            <v>4.6399999999999997E-2</v>
          </cell>
          <cell r="Z48">
            <v>23.3338</v>
          </cell>
          <cell r="AA48">
            <v>23.287400000000002</v>
          </cell>
          <cell r="AB48" t="e">
            <v>#N/A</v>
          </cell>
          <cell r="AC48" t="e">
            <v>#N/A</v>
          </cell>
          <cell r="AD48" t="str">
            <v>0135-15</v>
          </cell>
          <cell r="AE4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49">
          <cell r="A49" t="str">
            <v>136-15</v>
          </cell>
          <cell r="B49">
            <v>4019</v>
          </cell>
          <cell r="C49" t="str">
            <v>DE.1.0.7.0</v>
          </cell>
          <cell r="D49" t="str">
            <v>204:233004</v>
          </cell>
          <cell r="E49">
            <v>42597.370462962965</v>
          </cell>
          <cell r="F49">
            <v>42597.371469907404</v>
          </cell>
          <cell r="G49">
            <v>1</v>
          </cell>
          <cell r="H49" t="str">
            <v>204:154</v>
          </cell>
          <cell r="I49">
            <v>42597.405185185184</v>
          </cell>
          <cell r="J49">
            <v>0</v>
          </cell>
          <cell r="K49" t="str">
            <v>4019/4020</v>
          </cell>
          <cell r="L49" t="str">
            <v>SPECTOR</v>
          </cell>
          <cell r="M49">
            <v>3.3715277779265307E-2</v>
          </cell>
          <cell r="N49">
            <v>48.550000002142042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https://search-rtdc-monitor-bjffxe2xuh6vdkpspy63sjmuny.us-east-1.es.amazonaws.com/_plugin/kibana/#/discover/Steve-Slow-Train-Analysis-(2080s-and-2083s)?_g=(refreshInterval:(display:Off,section:0,value:0),time:(from:'2016-08-15 07:53:28-0600',mode:absolute,to:'2016-08-15 10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9" t="str">
            <v>N</v>
          </cell>
          <cell r="X49">
            <v>1</v>
          </cell>
          <cell r="Y49">
            <v>23.3004</v>
          </cell>
          <cell r="Z49">
            <v>1.54E-2</v>
          </cell>
          <cell r="AA49">
            <v>23.285</v>
          </cell>
          <cell r="AB49" t="e">
            <v>#N/A</v>
          </cell>
          <cell r="AC49" t="e">
            <v>#N/A</v>
          </cell>
          <cell r="AD49" t="str">
            <v>0136-15</v>
          </cell>
          <cell r="AE4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50">
          <cell r="A50" t="str">
            <v>137-15</v>
          </cell>
          <cell r="B50">
            <v>4038</v>
          </cell>
          <cell r="C50" t="str">
            <v>DE.1.0.7.0</v>
          </cell>
          <cell r="D50" t="str">
            <v>204:473</v>
          </cell>
          <cell r="E50">
            <v>42597.339155092595</v>
          </cell>
          <cell r="F50">
            <v>42597.340104166666</v>
          </cell>
          <cell r="G50">
            <v>1</v>
          </cell>
          <cell r="H50" t="str">
            <v>204:233305</v>
          </cell>
          <cell r="I50">
            <v>42597.368414351855</v>
          </cell>
          <cell r="J50">
            <v>0</v>
          </cell>
          <cell r="K50" t="str">
            <v>4037/4038</v>
          </cell>
          <cell r="L50" t="str">
            <v>YORK</v>
          </cell>
          <cell r="M50">
            <v>2.8310185189184267E-2</v>
          </cell>
          <cell r="N50">
            <v>40.766666672425345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https://search-rtdc-monitor-bjffxe2xuh6vdkpspy63sjmuny.us-east-1.es.amazonaws.com/_plugin/kibana/#/discover/Steve-Slow-Train-Analysis-(2080s-and-2083s)?_g=(refreshInterval:(display:Off,section:0,value:0),time:(from:'2016-08-15 07:08:23-0600',mode:absolute,to:'2016-08-15 09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0" t="str">
            <v>N</v>
          </cell>
          <cell r="X50">
            <v>1</v>
          </cell>
          <cell r="Y50">
            <v>4.7300000000000002E-2</v>
          </cell>
          <cell r="Z50">
            <v>23.330500000000001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0137-15</v>
          </cell>
          <cell r="AE50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51">
          <cell r="A51" t="str">
            <v>138-15</v>
          </cell>
          <cell r="B51">
            <v>4037</v>
          </cell>
          <cell r="C51" t="str">
            <v>DE.1.0.7.0</v>
          </cell>
          <cell r="D51" t="str">
            <v>204:232982</v>
          </cell>
          <cell r="E51">
            <v>42597.369166666664</v>
          </cell>
          <cell r="F51">
            <v>42597.369803240741</v>
          </cell>
          <cell r="G51">
            <v>0</v>
          </cell>
          <cell r="H51" t="str">
            <v>204:149</v>
          </cell>
          <cell r="I51">
            <v>42597.411423611113</v>
          </cell>
          <cell r="J51">
            <v>0</v>
          </cell>
          <cell r="K51" t="str">
            <v>4037/4038</v>
          </cell>
          <cell r="L51" t="str">
            <v>YORK</v>
          </cell>
          <cell r="M51">
            <v>4.1620370371674653E-2</v>
          </cell>
          <cell r="N51">
            <v>59.933333335211501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https://search-rtdc-monitor-bjffxe2xuh6vdkpspy63sjmuny.us-east-1.es.amazonaws.com/_plugin/kibana/#/discover/Steve-Slow-Train-Analysis-(2080s-and-2083s)?_g=(refreshInterval:(display:Off,section:0,value:0),time:(from:'2016-08-15 07:51:36-0600',mode:absolute,to:'2016-08-15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1" t="str">
            <v>N</v>
          </cell>
          <cell r="X51">
            <v>1</v>
          </cell>
          <cell r="Y51">
            <v>23.298200000000001</v>
          </cell>
          <cell r="Z51">
            <v>1.49E-2</v>
          </cell>
          <cell r="AA51">
            <v>23.283300000000001</v>
          </cell>
          <cell r="AB51" t="e">
            <v>#N/A</v>
          </cell>
          <cell r="AC51" t="e">
            <v>#N/A</v>
          </cell>
          <cell r="AD51" t="str">
            <v>0138-15</v>
          </cell>
          <cell r="AE51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52">
          <cell r="A52" t="str">
            <v>139-15</v>
          </cell>
          <cell r="B52">
            <v>4031</v>
          </cell>
          <cell r="C52" t="str">
            <v>DE.1.0.7.0</v>
          </cell>
          <cell r="D52" t="str">
            <v>204:458</v>
          </cell>
          <cell r="E52">
            <v>42597.35297453704</v>
          </cell>
          <cell r="F52">
            <v>42597.353738425925</v>
          </cell>
          <cell r="G52">
            <v>1</v>
          </cell>
          <cell r="H52" t="str">
            <v>204:233308</v>
          </cell>
          <cell r="I52">
            <v>42597.3827662037</v>
          </cell>
          <cell r="J52">
            <v>0</v>
          </cell>
          <cell r="K52" t="str">
            <v>4031/4032</v>
          </cell>
          <cell r="L52" t="str">
            <v>STARKS</v>
          </cell>
          <cell r="M52">
            <v>2.9027777774899732E-2</v>
          </cell>
          <cell r="N52">
            <v>41.799999995855615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https://search-rtdc-monitor-bjffxe2xuh6vdkpspy63sjmuny.us-east-1.es.amazonaws.com/_plugin/kibana/#/discover/Steve-Slow-Train-Analysis-(2080s-and-2083s)?_g=(refreshInterval:(display:Off,section:0,value:0),time:(from:'2016-08-15 07:28:17-0600',mode:absolute,to:'2016-08-15 10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2" t="str">
            <v>N</v>
          </cell>
          <cell r="X52">
            <v>1</v>
          </cell>
          <cell r="Y52">
            <v>4.58E-2</v>
          </cell>
          <cell r="Z52">
            <v>23.3308</v>
          </cell>
          <cell r="AA52">
            <v>23.285</v>
          </cell>
          <cell r="AB52" t="e">
            <v>#N/A</v>
          </cell>
          <cell r="AC52" t="e">
            <v>#N/A</v>
          </cell>
          <cell r="AD52" t="str">
            <v>0139-15</v>
          </cell>
          <cell r="AE52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53">
          <cell r="A53" t="str">
            <v>140-15</v>
          </cell>
          <cell r="B53">
            <v>4032</v>
          </cell>
          <cell r="C53" t="str">
            <v>DE.1.0.7.0</v>
          </cell>
          <cell r="D53" t="str">
            <v>204:232994</v>
          </cell>
          <cell r="E53">
            <v>42597.390983796293</v>
          </cell>
          <cell r="F53">
            <v>42597.391886574071</v>
          </cell>
          <cell r="G53">
            <v>1</v>
          </cell>
          <cell r="H53" t="str">
            <v>204:172</v>
          </cell>
          <cell r="I53">
            <v>42597.423518518517</v>
          </cell>
          <cell r="J53">
            <v>0</v>
          </cell>
          <cell r="K53" t="str">
            <v>4031/4032</v>
          </cell>
          <cell r="L53" t="str">
            <v>STARKS</v>
          </cell>
          <cell r="M53">
            <v>3.1631944446417037E-2</v>
          </cell>
          <cell r="N53">
            <v>45.550000002840534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3" t="str">
            <v>N</v>
          </cell>
          <cell r="X53">
            <v>1</v>
          </cell>
          <cell r="Y53">
            <v>23.299399999999999</v>
          </cell>
          <cell r="Z53">
            <v>1.72E-2</v>
          </cell>
          <cell r="AA53">
            <v>23.2822</v>
          </cell>
          <cell r="AB53">
            <v>103800</v>
          </cell>
          <cell r="AC53" t="str">
            <v>GRADE CROSSING</v>
          </cell>
          <cell r="AD53" t="str">
            <v>0140-15</v>
          </cell>
          <cell r="AE53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54">
          <cell r="A54" t="str">
            <v>141-15</v>
          </cell>
          <cell r="B54">
            <v>4009</v>
          </cell>
          <cell r="C54" t="str">
            <v>DE.1.0.7.0</v>
          </cell>
          <cell r="D54" t="str">
            <v>204:453</v>
          </cell>
          <cell r="E54">
            <v>42597.367696759262</v>
          </cell>
          <cell r="F54">
            <v>42597.368692129632</v>
          </cell>
          <cell r="G54">
            <v>1</v>
          </cell>
          <cell r="H54" t="str">
            <v>204:233286</v>
          </cell>
          <cell r="I54">
            <v>42597.396689814814</v>
          </cell>
          <cell r="J54">
            <v>0</v>
          </cell>
          <cell r="K54" t="str">
            <v>4009/4010</v>
          </cell>
          <cell r="L54" t="str">
            <v>SWANSON</v>
          </cell>
          <cell r="M54">
            <v>2.7997685181617271E-2</v>
          </cell>
          <cell r="N54">
            <v>40.31666666152887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https://search-rtdc-monitor-bjffxe2xuh6vdkpspy63sjmuny.us-east-1.es.amazonaws.com/_plugin/kibana/#/discover/Steve-Slow-Train-Analysis-(2080s-and-2083s)?_g=(refreshInterval:(display:Off,section:0,value:0),time:(from:'2016-08-15 07:49:29-0600',mode:absolute,to:'2016-08-15 10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4" t="str">
            <v>N</v>
          </cell>
          <cell r="X54">
            <v>1</v>
          </cell>
          <cell r="Y54">
            <v>4.53E-2</v>
          </cell>
          <cell r="Z54">
            <v>23.328600000000002</v>
          </cell>
          <cell r="AA54">
            <v>23.283300000000001</v>
          </cell>
          <cell r="AB54" t="e">
            <v>#N/A</v>
          </cell>
          <cell r="AC54" t="e">
            <v>#N/A</v>
          </cell>
          <cell r="AD54" t="str">
            <v>0141-15</v>
          </cell>
          <cell r="AE54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55">
          <cell r="A55" t="str">
            <v>142-15</v>
          </cell>
          <cell r="B55">
            <v>4010</v>
          </cell>
          <cell r="C55" t="str">
            <v>DE.1.0.7.0</v>
          </cell>
          <cell r="D55" t="str">
            <v>204:232975</v>
          </cell>
          <cell r="E55">
            <v>42597.398078703707</v>
          </cell>
          <cell r="F55">
            <v>42597.398888888885</v>
          </cell>
          <cell r="G55">
            <v>1</v>
          </cell>
          <cell r="H55" t="str">
            <v>204:158</v>
          </cell>
          <cell r="I55">
            <v>42597.432581018518</v>
          </cell>
          <cell r="J55">
            <v>0</v>
          </cell>
          <cell r="K55" t="str">
            <v>4009/4010</v>
          </cell>
          <cell r="L55" t="str">
            <v>SWANSON</v>
          </cell>
          <cell r="M55">
            <v>3.369212963298196E-2</v>
          </cell>
          <cell r="N55">
            <v>48.516666671494022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https://search-rtdc-monitor-bjffxe2xuh6vdkpspy63sjmuny.us-east-1.es.amazonaws.com/_plugin/kibana/#/discover/Steve-Slow-Train-Analysis-(2080s-and-2083s)?_g=(refreshInterval:(display:Off,section:0,value:0),time:(from:'2016-08-15 08:33:14-0600',mode:absolute,to:'2016-08-15 11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5" t="str">
            <v>N</v>
          </cell>
          <cell r="X55">
            <v>1</v>
          </cell>
          <cell r="Y55">
            <v>23.297499999999999</v>
          </cell>
          <cell r="Z55">
            <v>1.5800000000000002E-2</v>
          </cell>
          <cell r="AA55">
            <v>23.281700000000001</v>
          </cell>
          <cell r="AB55" t="e">
            <v>#N/A</v>
          </cell>
          <cell r="AC55" t="e">
            <v>#N/A</v>
          </cell>
          <cell r="AD55" t="str">
            <v>0142-15</v>
          </cell>
          <cell r="AE5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56">
          <cell r="A56" t="str">
            <v>143-15</v>
          </cell>
          <cell r="B56">
            <v>4042</v>
          </cell>
          <cell r="C56" t="str">
            <v>DE.1.0.7.0</v>
          </cell>
          <cell r="D56" t="str">
            <v>204:462</v>
          </cell>
          <cell r="E56">
            <v>42597.374212962961</v>
          </cell>
          <cell r="F56">
            <v>42597.375381944446</v>
          </cell>
          <cell r="G56">
            <v>1</v>
          </cell>
          <cell r="H56" t="str">
            <v>204:233263</v>
          </cell>
          <cell r="I56">
            <v>42597.406493055554</v>
          </cell>
          <cell r="J56">
            <v>0</v>
          </cell>
          <cell r="K56" t="str">
            <v>4041/4042</v>
          </cell>
          <cell r="L56" t="str">
            <v>MALAVE</v>
          </cell>
          <cell r="M56">
            <v>3.1111111107748002E-2</v>
          </cell>
          <cell r="N56">
            <v>44.799999995157123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https://search-rtdc-monitor-bjffxe2xuh6vdkpspy63sjmuny.us-east-1.es.amazonaws.com/_plugin/kibana/#/discover/Steve-Slow-Train-Analysis-(2080s-and-2083s)?_g=(refreshInterval:(display:Off,section:0,value:0),time:(from:'2016-08-15 07:58:52-0600',mode:absolute,to:'2016-08-15 10:45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6" t="str">
            <v>N</v>
          </cell>
          <cell r="X56">
            <v>1</v>
          </cell>
          <cell r="Y56">
            <v>4.6199999999999998E-2</v>
          </cell>
          <cell r="Z56">
            <v>23.3263</v>
          </cell>
          <cell r="AA56">
            <v>23.280100000000001</v>
          </cell>
          <cell r="AB56" t="e">
            <v>#N/A</v>
          </cell>
          <cell r="AC56" t="e">
            <v>#N/A</v>
          </cell>
          <cell r="AD56" t="str">
            <v>0143-15</v>
          </cell>
          <cell r="AE5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57">
          <cell r="A57" t="str">
            <v>144-15</v>
          </cell>
          <cell r="B57">
            <v>4041</v>
          </cell>
          <cell r="C57" t="str">
            <v>DE.1.0.7.0</v>
          </cell>
          <cell r="D57" t="str">
            <v>204:232966</v>
          </cell>
          <cell r="E57">
            <v>42597.412349537037</v>
          </cell>
          <cell r="F57">
            <v>42597.414074074077</v>
          </cell>
          <cell r="G57">
            <v>2</v>
          </cell>
          <cell r="H57" t="str">
            <v>204:150</v>
          </cell>
          <cell r="I57">
            <v>42597.444282407407</v>
          </cell>
          <cell r="J57">
            <v>0</v>
          </cell>
          <cell r="K57" t="str">
            <v>4041/4042</v>
          </cell>
          <cell r="L57" t="str">
            <v>MALAVE</v>
          </cell>
          <cell r="M57">
            <v>3.0208333329937886E-2</v>
          </cell>
          <cell r="N57">
            <v>43.499999995110556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https://search-rtdc-monitor-bjffxe2xuh6vdkpspy63sjmuny.us-east-1.es.amazonaws.com/_plugin/kibana/#/discover/Steve-Slow-Train-Analysis-(2080s-and-2083s)?_g=(refreshInterval:(display:Off,section:0,value:0),time:(from:'2016-08-15 08:53:47-0600',mode:absolute,to:'2016-08-15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7" t="str">
            <v>N</v>
          </cell>
          <cell r="X57">
            <v>1</v>
          </cell>
          <cell r="Y57">
            <v>23.296600000000002</v>
          </cell>
          <cell r="Z57">
            <v>1.4999999999999999E-2</v>
          </cell>
          <cell r="AA57">
            <v>23.281600000000001</v>
          </cell>
          <cell r="AB57">
            <v>33257</v>
          </cell>
          <cell r="AC57" t="str">
            <v>GRADE CROSSING</v>
          </cell>
          <cell r="AD57" t="str">
            <v>0144-15</v>
          </cell>
          <cell r="AE5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58">
          <cell r="A58" t="str">
            <v>145-15</v>
          </cell>
          <cell r="B58">
            <v>4044</v>
          </cell>
          <cell r="C58" t="str">
            <v>DE.1.0.7.0</v>
          </cell>
          <cell r="D58" t="str">
            <v>204:473</v>
          </cell>
          <cell r="E58">
            <v>42597.381736111114</v>
          </cell>
          <cell r="F58">
            <v>42597.385740740741</v>
          </cell>
          <cell r="G58">
            <v>5</v>
          </cell>
          <cell r="H58" t="str">
            <v>204:233334</v>
          </cell>
          <cell r="I58">
            <v>42597.418194444443</v>
          </cell>
          <cell r="J58">
            <v>0</v>
          </cell>
          <cell r="K58" t="str">
            <v>4043/4044</v>
          </cell>
          <cell r="L58" t="str">
            <v>ACKERMAN</v>
          </cell>
          <cell r="M58">
            <v>3.2453703701321501E-2</v>
          </cell>
          <cell r="N58">
            <v>46.733333329902962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https://search-rtdc-monitor-bjffxe2xuh6vdkpspy63sjmuny.us-east-1.es.amazonaws.com/_plugin/kibana/#/discover/Steve-Slow-Train-Analysis-(2080s-and-2083s)?_g=(refreshInterval:(display:Off,section:0,value:0),time:(from:'2016-08-15 08:09:42-0600',mode:absolute,to:'2016-08-15 11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8" t="str">
            <v>N</v>
          </cell>
          <cell r="X58">
            <v>1</v>
          </cell>
          <cell r="Y58">
            <v>4.7300000000000002E-2</v>
          </cell>
          <cell r="Z58">
            <v>23.333400000000001</v>
          </cell>
          <cell r="AA58">
            <v>23.286100000000001</v>
          </cell>
          <cell r="AB58" t="e">
            <v>#N/A</v>
          </cell>
          <cell r="AC58" t="e">
            <v>#N/A</v>
          </cell>
          <cell r="AD58" t="str">
            <v>0145-15</v>
          </cell>
          <cell r="AE58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59">
          <cell r="A59" t="str">
            <v>146-15</v>
          </cell>
          <cell r="B59">
            <v>4043</v>
          </cell>
          <cell r="C59" t="str">
            <v>DE.1.0.7.0</v>
          </cell>
          <cell r="D59" t="str">
            <v>204:233021</v>
          </cell>
          <cell r="E59">
            <v>42597.421053240738</v>
          </cell>
          <cell r="F59">
            <v>42597.42224537037</v>
          </cell>
          <cell r="G59">
            <v>1</v>
          </cell>
          <cell r="H59" t="str">
            <v>204:127</v>
          </cell>
          <cell r="I59">
            <v>42597.454976851855</v>
          </cell>
          <cell r="J59">
            <v>0</v>
          </cell>
          <cell r="K59" t="str">
            <v>4043/4044</v>
          </cell>
          <cell r="L59" t="str">
            <v>ACKERMAN</v>
          </cell>
          <cell r="M59">
            <v>3.2731481485825498E-2</v>
          </cell>
          <cell r="N59">
            <v>47.133333339588717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https://search-rtdc-monitor-bjffxe2xuh6vdkpspy63sjmuny.us-east-1.es.amazonaws.com/_plugin/kibana/#/discover/Steve-Slow-Train-Analysis-(2080s-and-2083s)?_g=(refreshInterval:(display:Off,section:0,value:0),time:(from:'2016-08-15 09:06:19-0600',mode:absolute,to:'2016-08-15 11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9" t="str">
            <v>N</v>
          </cell>
          <cell r="X59">
            <v>1</v>
          </cell>
          <cell r="Y59">
            <v>23.302099999999999</v>
          </cell>
          <cell r="Z59">
            <v>1.2699999999999999E-2</v>
          </cell>
          <cell r="AA59">
            <v>23.289400000000001</v>
          </cell>
          <cell r="AB59" t="e">
            <v>#N/A</v>
          </cell>
          <cell r="AC59" t="e">
            <v>#N/A</v>
          </cell>
          <cell r="AD59" t="str">
            <v>0146-15</v>
          </cell>
          <cell r="AE59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60">
          <cell r="A60" t="str">
            <v>147-15</v>
          </cell>
          <cell r="B60">
            <v>4027</v>
          </cell>
          <cell r="C60" t="str">
            <v>DE.1.0.7.0</v>
          </cell>
          <cell r="D60" t="str">
            <v>204:462</v>
          </cell>
          <cell r="E60">
            <v>42597.393043981479</v>
          </cell>
          <cell r="F60">
            <v>42597.394490740742</v>
          </cell>
          <cell r="G60">
            <v>2</v>
          </cell>
          <cell r="H60" t="str">
            <v>204:233293</v>
          </cell>
          <cell r="I60">
            <v>42597.421967592592</v>
          </cell>
          <cell r="J60">
            <v>0</v>
          </cell>
          <cell r="K60" t="str">
            <v>4027/4028</v>
          </cell>
          <cell r="L60" t="str">
            <v>SANTIZO</v>
          </cell>
          <cell r="M60">
            <v>2.7476851850224193E-2</v>
          </cell>
          <cell r="N60">
            <v>39.566666664322838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https://search-rtdc-monitor-bjffxe2xuh6vdkpspy63sjmuny.us-east-1.es.amazonaws.com/_plugin/kibana/#/discover/Steve-Slow-Train-Analysis-(2080s-and-2083s)?_g=(refreshInterval:(display:Off,section:0,value:0),time:(from:'2016-08-15 08:25:59-0600',mode:absolute,to:'2016-08-15 11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0" t="str">
            <v>N</v>
          </cell>
          <cell r="X60">
            <v>1</v>
          </cell>
          <cell r="Y60">
            <v>4.6199999999999998E-2</v>
          </cell>
          <cell r="Z60">
            <v>23.3293</v>
          </cell>
          <cell r="AA60">
            <v>23.283100000000001</v>
          </cell>
          <cell r="AB60" t="e">
            <v>#N/A</v>
          </cell>
          <cell r="AC60" t="e">
            <v>#N/A</v>
          </cell>
          <cell r="AD60" t="str">
            <v>0147-15</v>
          </cell>
          <cell r="AE60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61">
          <cell r="A61" t="str">
            <v>148-15</v>
          </cell>
          <cell r="B61">
            <v>4028</v>
          </cell>
          <cell r="C61" t="str">
            <v>DE.1.0.7.0</v>
          </cell>
          <cell r="D61" t="str">
            <v>204:232983</v>
          </cell>
          <cell r="E61">
            <v>42597.42324074074</v>
          </cell>
          <cell r="F61">
            <v>42597.424074074072</v>
          </cell>
          <cell r="G61">
            <v>1</v>
          </cell>
          <cell r="H61" t="str">
            <v>204:118</v>
          </cell>
          <cell r="I61">
            <v>42597.464988425927</v>
          </cell>
          <cell r="J61">
            <v>0</v>
          </cell>
          <cell r="K61" t="str">
            <v>4027/4028</v>
          </cell>
          <cell r="L61" t="str">
            <v>SANTIZO</v>
          </cell>
          <cell r="M61">
            <v>4.0914351855462883E-2</v>
          </cell>
          <cell r="N61">
            <v>58.916666671866551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https://search-rtdc-monitor-bjffxe2xuh6vdkpspy63sjmuny.us-east-1.es.amazonaws.com/_plugin/kibana/#/discover/Steve-Slow-Train-Analysis-(2080s-and-2083s)?_g=(refreshInterval:(display:Off,section:0,value:0),time:(from:'2016-08-15 09:09:28-0600',mode:absolute,to:'2016-08-15 12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1" t="str">
            <v>N</v>
          </cell>
          <cell r="X61">
            <v>1</v>
          </cell>
          <cell r="Y61">
            <v>23.298300000000001</v>
          </cell>
          <cell r="Z61">
            <v>1.18E-2</v>
          </cell>
          <cell r="AA61">
            <v>23.2865</v>
          </cell>
          <cell r="AB61" t="e">
            <v>#N/A</v>
          </cell>
          <cell r="AC61" t="e">
            <v>#N/A</v>
          </cell>
          <cell r="AD61" t="str">
            <v>0148-15</v>
          </cell>
          <cell r="AE61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62">
          <cell r="A62" t="str">
            <v>149-15</v>
          </cell>
          <cell r="B62">
            <v>4020</v>
          </cell>
          <cell r="C62" t="str">
            <v>DE.1.0.7.0</v>
          </cell>
          <cell r="D62" t="str">
            <v>204:462</v>
          </cell>
          <cell r="E62">
            <v>42597.407326388886</v>
          </cell>
          <cell r="F62">
            <v>42597.408321759256</v>
          </cell>
          <cell r="G62">
            <v>1</v>
          </cell>
          <cell r="H62" t="str">
            <v>204:233311</v>
          </cell>
          <cell r="I62">
            <v>42597.435150462959</v>
          </cell>
          <cell r="J62">
            <v>0</v>
          </cell>
          <cell r="K62" t="str">
            <v>4019/4020</v>
          </cell>
          <cell r="L62" t="str">
            <v>SPECTOR</v>
          </cell>
          <cell r="M62">
            <v>2.6828703703358769E-2</v>
          </cell>
          <cell r="N62">
            <v>38.633333332836628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https://search-rtdc-monitor-bjffxe2xuh6vdkpspy63sjmuny.us-east-1.es.amazonaws.com/_plugin/kibana/#/discover/Steve-Slow-Train-Analysis-(2080s-and-2083s)?_g=(refreshInterval:(display:Off,section:0,value:0),time:(from:'2016-08-15 08:46:33-0600',mode:absolute,to:'2016-08-15 11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2" t="str">
            <v>N</v>
          </cell>
          <cell r="X62">
            <v>1</v>
          </cell>
          <cell r="Y62">
            <v>4.6199999999999998E-2</v>
          </cell>
          <cell r="Z62">
            <v>23.331099999999999</v>
          </cell>
          <cell r="AA62">
            <v>23.2849</v>
          </cell>
          <cell r="AB62" t="e">
            <v>#N/A</v>
          </cell>
          <cell r="AC62" t="e">
            <v>#N/A</v>
          </cell>
          <cell r="AD62" t="str">
            <v>0149-15</v>
          </cell>
          <cell r="AE62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63">
          <cell r="A63" t="str">
            <v>150-15</v>
          </cell>
          <cell r="B63">
            <v>4019</v>
          </cell>
          <cell r="C63" t="str">
            <v>DE.1.0.7.0</v>
          </cell>
          <cell r="D63" t="str">
            <v>204:232984</v>
          </cell>
          <cell r="E63">
            <v>42597.440636574072</v>
          </cell>
          <cell r="F63">
            <v>42597.441736111112</v>
          </cell>
          <cell r="G63">
            <v>1</v>
          </cell>
          <cell r="H63" t="str">
            <v>204:143</v>
          </cell>
          <cell r="I63">
            <v>42597.473414351851</v>
          </cell>
          <cell r="J63">
            <v>0</v>
          </cell>
          <cell r="K63" t="str">
            <v>4019/4020</v>
          </cell>
          <cell r="L63" t="str">
            <v>SPECTOR</v>
          </cell>
          <cell r="M63">
            <v>3.1678240738983732E-2</v>
          </cell>
          <cell r="N63">
            <v>45.616666664136574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https://search-rtdc-monitor-bjffxe2xuh6vdkpspy63sjmuny.us-east-1.es.amazonaws.com/_plugin/kibana/#/discover/Steve-Slow-Train-Analysis-(2080s-and-2083s)?_g=(refreshInterval:(display:Off,section:0,value:0),time:(from:'2016-08-15 09:34:31-0600',mode:absolute,to:'2016-08-15 12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3" t="str">
            <v>N</v>
          </cell>
          <cell r="X63">
            <v>1</v>
          </cell>
          <cell r="Y63">
            <v>23.298400000000001</v>
          </cell>
          <cell r="Z63">
            <v>1.43E-2</v>
          </cell>
          <cell r="AA63">
            <v>23.284100000000002</v>
          </cell>
          <cell r="AB63" t="e">
            <v>#N/A</v>
          </cell>
          <cell r="AC63" t="e">
            <v>#N/A</v>
          </cell>
          <cell r="AD63" t="str">
            <v>0150-15</v>
          </cell>
          <cell r="AE63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64">
          <cell r="A64" t="str">
            <v>151-15</v>
          </cell>
          <cell r="B64">
            <v>4038</v>
          </cell>
          <cell r="C64" t="str">
            <v>DE.1.0.7.0</v>
          </cell>
          <cell r="D64" t="str">
            <v>204:457</v>
          </cell>
          <cell r="E64">
            <v>42597.412303240744</v>
          </cell>
          <cell r="F64">
            <v>42597.413391203707</v>
          </cell>
          <cell r="G64">
            <v>1</v>
          </cell>
          <cell r="H64" t="str">
            <v>204:233304</v>
          </cell>
          <cell r="I64">
            <v>42597.441076388888</v>
          </cell>
          <cell r="J64">
            <v>0</v>
          </cell>
          <cell r="K64" t="str">
            <v>4037/4038</v>
          </cell>
          <cell r="L64" t="str">
            <v>YORK</v>
          </cell>
          <cell r="M64">
            <v>2.7685185181326233E-2</v>
          </cell>
          <cell r="N64">
            <v>39.866666661109775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https://search-rtdc-monitor-bjffxe2xuh6vdkpspy63sjmuny.us-east-1.es.amazonaws.com/_plugin/kibana/#/discover/Steve-Slow-Train-Analysis-(2080s-and-2083s)?_g=(refreshInterval:(display:Off,section:0,value:0),time:(from:'2016-08-15 08:53:43-0600',mode:absolute,to:'2016-08-15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4" t="str">
            <v>N</v>
          </cell>
          <cell r="X64">
            <v>1</v>
          </cell>
          <cell r="Y64">
            <v>4.5699999999999998E-2</v>
          </cell>
          <cell r="Z64">
            <v>23.330400000000001</v>
          </cell>
          <cell r="AA64">
            <v>23.284700000000001</v>
          </cell>
          <cell r="AB64" t="e">
            <v>#N/A</v>
          </cell>
          <cell r="AC64" t="e">
            <v>#N/A</v>
          </cell>
          <cell r="AD64" t="str">
            <v>0151-15</v>
          </cell>
          <cell r="AE64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65">
          <cell r="A65" t="str">
            <v>152-15</v>
          </cell>
          <cell r="B65">
            <v>4037</v>
          </cell>
          <cell r="C65" t="str">
            <v>DE.1.0.7.0</v>
          </cell>
          <cell r="D65" t="str">
            <v>204:232981</v>
          </cell>
          <cell r="E65">
            <v>42597.441886574074</v>
          </cell>
          <cell r="F65">
            <v>42597.44259259259</v>
          </cell>
          <cell r="G65">
            <v>1</v>
          </cell>
          <cell r="H65" t="str">
            <v>204:143</v>
          </cell>
          <cell r="I65">
            <v>42597.48269675926</v>
          </cell>
          <cell r="J65">
            <v>0</v>
          </cell>
          <cell r="K65" t="str">
            <v>4037/4038</v>
          </cell>
          <cell r="L65" t="str">
            <v>YORK</v>
          </cell>
          <cell r="M65">
            <v>4.0104166670062114E-2</v>
          </cell>
          <cell r="N65">
            <v>57.750000004889444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https://search-rtdc-monitor-bjffxe2xuh6vdkpspy63sjmuny.us-east-1.es.amazonaws.com/_plugin/kibana/#/discover/Steve-Slow-Train-Analysis-(2080s-and-2083s)?_g=(refreshInterval:(display:Off,section:0,value:0),time:(from:'2016-08-15 09:36:19-0600',mode:absolute,to:'2016-08-15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5" t="str">
            <v>N</v>
          </cell>
          <cell r="X65">
            <v>1</v>
          </cell>
          <cell r="Y65">
            <v>23.298100000000002</v>
          </cell>
          <cell r="Z65">
            <v>1.43E-2</v>
          </cell>
          <cell r="AA65">
            <v>23.283800000000003</v>
          </cell>
          <cell r="AB65" t="e">
            <v>#N/A</v>
          </cell>
          <cell r="AC65" t="e">
            <v>#N/A</v>
          </cell>
          <cell r="AD65" t="str">
            <v>0152-15</v>
          </cell>
          <cell r="AE65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66">
          <cell r="A66" t="str">
            <v>153-15</v>
          </cell>
          <cell r="B66">
            <v>4031</v>
          </cell>
          <cell r="C66" t="str">
            <v>DE.1.0.7.0</v>
          </cell>
          <cell r="D66" t="str">
            <v>204:477</v>
          </cell>
          <cell r="E66">
            <v>42597.425081018519</v>
          </cell>
          <cell r="F66">
            <v>42597.425856481481</v>
          </cell>
          <cell r="G66">
            <v>1</v>
          </cell>
          <cell r="H66" t="str">
            <v>204:233286</v>
          </cell>
          <cell r="I66">
            <v>42597.451979166668</v>
          </cell>
          <cell r="J66">
            <v>0</v>
          </cell>
          <cell r="K66" t="str">
            <v>4031/4032</v>
          </cell>
          <cell r="L66" t="str">
            <v>STARKS</v>
          </cell>
          <cell r="M66">
            <v>2.6122685187146999E-2</v>
          </cell>
          <cell r="N66">
            <v>37.616666669491678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https://search-rtdc-monitor-bjffxe2xuh6vdkpspy63sjmuny.us-east-1.es.amazonaws.com/_plugin/kibana/#/discover/Steve-Slow-Train-Analysis-(2080s-and-2083s)?_g=(refreshInterval:(display:Off,section:0,value:0),time:(from:'2016-08-15 09:12:07-0600',mode:absolute,to:'2016-08-15 11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6" t="str">
            <v>N</v>
          </cell>
          <cell r="X66">
            <v>1</v>
          </cell>
          <cell r="Y66">
            <v>4.7699999999999999E-2</v>
          </cell>
          <cell r="Z66">
            <v>23.328600000000002</v>
          </cell>
          <cell r="AA66">
            <v>23.280900000000003</v>
          </cell>
          <cell r="AB66" t="e">
            <v>#N/A</v>
          </cell>
          <cell r="AC66" t="e">
            <v>#N/A</v>
          </cell>
          <cell r="AD66" t="str">
            <v>0153-15</v>
          </cell>
          <cell r="AE66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67">
          <cell r="A67" t="str">
            <v>154-15</v>
          </cell>
          <cell r="B67">
            <v>4032</v>
          </cell>
          <cell r="C67" t="str">
            <v>DE.1.0.7.0</v>
          </cell>
          <cell r="D67" t="str">
            <v>204:232978</v>
          </cell>
          <cell r="E67">
            <v>42597.462685185186</v>
          </cell>
          <cell r="F67">
            <v>42597.463888888888</v>
          </cell>
          <cell r="G67">
            <v>1</v>
          </cell>
          <cell r="H67" t="str">
            <v>204:139</v>
          </cell>
          <cell r="I67">
            <v>42597.498877314814</v>
          </cell>
          <cell r="J67">
            <v>0</v>
          </cell>
          <cell r="K67" t="str">
            <v>4031/4032</v>
          </cell>
          <cell r="L67" t="str">
            <v>STARKS</v>
          </cell>
          <cell r="M67">
            <v>3.4988425926712807E-2</v>
          </cell>
          <cell r="N67">
            <v>50.383333334466442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https://search-rtdc-monitor-bjffxe2xuh6vdkpspy63sjmuny.us-east-1.es.amazonaws.com/_plugin/kibana/#/discover/Steve-Slow-Train-Analysis-(2080s-and-2083s)?_g=(refreshInterval:(display:Off,section:0,value:0),time:(from:'2016-08-15 10:06:16-0600',mode:absolute,to:'2016-08-15 12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7" t="str">
            <v>N</v>
          </cell>
          <cell r="X67">
            <v>1</v>
          </cell>
          <cell r="Y67">
            <v>23.297799999999999</v>
          </cell>
          <cell r="Z67">
            <v>1.3899999999999999E-2</v>
          </cell>
          <cell r="AA67">
            <v>23.283899999999999</v>
          </cell>
          <cell r="AB67" t="e">
            <v>#N/A</v>
          </cell>
          <cell r="AC67" t="e">
            <v>#N/A</v>
          </cell>
          <cell r="AD67" t="str">
            <v>0154-15</v>
          </cell>
          <cell r="AE67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68">
          <cell r="A68" t="str">
            <v>155-15</v>
          </cell>
          <cell r="B68">
            <v>4009</v>
          </cell>
          <cell r="C68" t="str">
            <v>DE.1.0.7.0</v>
          </cell>
          <cell r="D68" t="str">
            <v>204:462</v>
          </cell>
          <cell r="E68">
            <v>42597.434976851851</v>
          </cell>
          <cell r="F68">
            <v>42597.436168981483</v>
          </cell>
          <cell r="G68">
            <v>1</v>
          </cell>
          <cell r="H68" t="str">
            <v>204:233295</v>
          </cell>
          <cell r="I68">
            <v>42597.463518518518</v>
          </cell>
          <cell r="J68">
            <v>0</v>
          </cell>
          <cell r="K68" t="str">
            <v>4009/4010</v>
          </cell>
          <cell r="L68" t="str">
            <v>ROCHA</v>
          </cell>
          <cell r="M68">
            <v>2.7349537034751847E-2</v>
          </cell>
          <cell r="N68">
            <v>39.38333333004266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https://search-rtdc-monitor-bjffxe2xuh6vdkpspy63sjmuny.us-east-1.es.amazonaws.com/_plugin/kibana/#/discover/Steve-Slow-Train-Analysis-(2080s-and-2083s)?_g=(refreshInterval:(display:Off,section:0,value:0),time:(from:'2016-08-15 09:26:22-0600',mode:absolute,to:'2016-08-15 12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8" t="str">
            <v>N</v>
          </cell>
          <cell r="X68">
            <v>1</v>
          </cell>
          <cell r="Y68">
            <v>4.6199999999999998E-2</v>
          </cell>
          <cell r="Z68">
            <v>23.329499999999999</v>
          </cell>
          <cell r="AA68">
            <v>23.283300000000001</v>
          </cell>
          <cell r="AB68" t="e">
            <v>#N/A</v>
          </cell>
          <cell r="AC68" t="e">
            <v>#N/A</v>
          </cell>
          <cell r="AD68" t="str">
            <v>0155-15</v>
          </cell>
          <cell r="AE68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69">
          <cell r="A69" t="str">
            <v>156-15</v>
          </cell>
          <cell r="B69">
            <v>4010</v>
          </cell>
          <cell r="C69" t="str">
            <v>DE.1.0.7.0</v>
          </cell>
          <cell r="D69" t="str">
            <v>204:232989</v>
          </cell>
          <cell r="E69">
            <v>42597.471319444441</v>
          </cell>
          <cell r="F69">
            <v>42597.472638888888</v>
          </cell>
          <cell r="G69">
            <v>1</v>
          </cell>
          <cell r="H69" t="str">
            <v>204:143</v>
          </cell>
          <cell r="I69">
            <v>42597.505694444444</v>
          </cell>
          <cell r="J69">
            <v>0</v>
          </cell>
          <cell r="K69" t="str">
            <v>4009/4010</v>
          </cell>
          <cell r="L69" t="str">
            <v>DAVIS</v>
          </cell>
          <cell r="M69">
            <v>3.3055555555620231E-2</v>
          </cell>
          <cell r="N69">
            <v>47.600000000093132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https://search-rtdc-monitor-bjffxe2xuh6vdkpspy63sjmuny.us-east-1.es.amazonaws.com/_plugin/kibana/#/discover/Steve-Slow-Train-Analysis-(2080s-and-2083s)?_g=(refreshInterval:(display:Off,section:0,value:0),time:(from:'2016-08-15 10:18:42-0600',mode:absolute,to:'2016-08-15 13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9" t="str">
            <v>N</v>
          </cell>
          <cell r="X69">
            <v>1</v>
          </cell>
          <cell r="Y69">
            <v>23.2989</v>
          </cell>
          <cell r="Z69">
            <v>1.43E-2</v>
          </cell>
          <cell r="AA69">
            <v>23.284600000000001</v>
          </cell>
          <cell r="AB69" t="e">
            <v>#N/A</v>
          </cell>
          <cell r="AC69" t="e">
            <v>#N/A</v>
          </cell>
          <cell r="AD69" t="str">
            <v>0156-15</v>
          </cell>
          <cell r="AE69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70">
          <cell r="A70" t="str">
            <v>157-15</v>
          </cell>
          <cell r="B70">
            <v>4042</v>
          </cell>
          <cell r="C70" t="str">
            <v>DE.1.0.7.0</v>
          </cell>
          <cell r="D70" t="str">
            <v>204:473</v>
          </cell>
          <cell r="E70">
            <v>42597.447430555556</v>
          </cell>
          <cell r="F70">
            <v>42597.448287037034</v>
          </cell>
          <cell r="G70">
            <v>1</v>
          </cell>
          <cell r="H70" t="str">
            <v>204:233289</v>
          </cell>
          <cell r="I70">
            <v>42597.474166666667</v>
          </cell>
          <cell r="J70">
            <v>0</v>
          </cell>
          <cell r="K70" t="str">
            <v>4041/4042</v>
          </cell>
          <cell r="L70" t="str">
            <v>MALAVE</v>
          </cell>
          <cell r="M70">
            <v>2.587962963298196E-2</v>
          </cell>
          <cell r="N70">
            <v>37.266666671494022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https://search-rtdc-monitor-bjffxe2xuh6vdkpspy63sjmuny.us-east-1.es.amazonaws.com/_plugin/kibana/#/discover/Steve-Slow-Train-Analysis-(2080s-and-2083s)?_g=(refreshInterval:(display:Off,section:0,value:0),time:(from:'2016-08-15 09:44:18-0600',mode:absolute,to:'2016-08-15 12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0" t="str">
            <v>N</v>
          </cell>
          <cell r="X70">
            <v>1</v>
          </cell>
          <cell r="Y70">
            <v>4.7300000000000002E-2</v>
          </cell>
          <cell r="Z70">
            <v>23.328900000000001</v>
          </cell>
          <cell r="AA70">
            <v>23.281600000000001</v>
          </cell>
          <cell r="AB70" t="e">
            <v>#N/A</v>
          </cell>
          <cell r="AC70" t="e">
            <v>#N/A</v>
          </cell>
          <cell r="AD70" t="str">
            <v>0157-15</v>
          </cell>
          <cell r="AE70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71">
          <cell r="A71" t="str">
            <v>158-15</v>
          </cell>
          <cell r="B71">
            <v>4041</v>
          </cell>
          <cell r="C71" t="str">
            <v>DE.1.0.7.0</v>
          </cell>
          <cell r="D71" t="str">
            <v>204:232969</v>
          </cell>
          <cell r="E71">
            <v>42597.485671296294</v>
          </cell>
          <cell r="F71">
            <v>42597.486539351848</v>
          </cell>
          <cell r="G71">
            <v>1</v>
          </cell>
          <cell r="H71" t="str">
            <v>204:154</v>
          </cell>
          <cell r="I71">
            <v>42597.51903935185</v>
          </cell>
          <cell r="J71">
            <v>0</v>
          </cell>
          <cell r="K71" t="str">
            <v>4041/4042</v>
          </cell>
          <cell r="L71" t="str">
            <v>MALAVE</v>
          </cell>
          <cell r="M71">
            <v>3.2500000001164153E-2</v>
          </cell>
          <cell r="N71">
            <v>46.800000001676381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https://search-rtdc-monitor-bjffxe2xuh6vdkpspy63sjmuny.us-east-1.es.amazonaws.com/_plugin/kibana/#/discover/Steve-Slow-Train-Analysis-(2080s-and-2083s)?_g=(refreshInterval:(display:Off,section:0,value:0),time:(from:'2016-08-15 10:39:22-0600',mode:absolute,to:'2016-08-15 13:27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1" t="str">
            <v>N</v>
          </cell>
          <cell r="X71">
            <v>1</v>
          </cell>
          <cell r="Y71">
            <v>23.296900000000001</v>
          </cell>
          <cell r="Z71">
            <v>1.54E-2</v>
          </cell>
          <cell r="AA71">
            <v>23.281500000000001</v>
          </cell>
          <cell r="AB71" t="e">
            <v>#N/A</v>
          </cell>
          <cell r="AC71" t="e">
            <v>#N/A</v>
          </cell>
          <cell r="AD71" t="str">
            <v>0158-15</v>
          </cell>
          <cell r="AE71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72">
          <cell r="A72" t="str">
            <v>159-15</v>
          </cell>
          <cell r="B72">
            <v>4044</v>
          </cell>
          <cell r="C72" t="str">
            <v>DE.1.0.7.0</v>
          </cell>
          <cell r="D72" t="str">
            <v>204:431</v>
          </cell>
          <cell r="E72">
            <v>42597.457962962966</v>
          </cell>
          <cell r="F72">
            <v>42597.459583333337</v>
          </cell>
          <cell r="G72">
            <v>2</v>
          </cell>
          <cell r="H72" t="str">
            <v>204:233310</v>
          </cell>
          <cell r="I72">
            <v>42597.491053240738</v>
          </cell>
          <cell r="J72">
            <v>0</v>
          </cell>
          <cell r="K72" t="str">
            <v>4043/4044</v>
          </cell>
          <cell r="L72" t="str">
            <v>STEWART</v>
          </cell>
          <cell r="M72">
            <v>3.1469907400605734E-2</v>
          </cell>
          <cell r="N72">
            <v>45.316666656872258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https://search-rtdc-monitor-bjffxe2xuh6vdkpspy63sjmuny.us-east-1.es.amazonaws.com/_plugin/kibana/#/discover/Steve-Slow-Train-Analysis-(2080s-and-2083s)?_g=(refreshInterval:(display:Off,section:0,value:0),time:(from:'2016-08-15 09:59:28-0600',mode:absolute,to:'2016-08-15 12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2" t="str">
            <v>N</v>
          </cell>
          <cell r="X72">
            <v>1</v>
          </cell>
          <cell r="Y72">
            <v>4.3099999999999999E-2</v>
          </cell>
          <cell r="Z72">
            <v>23.331</v>
          </cell>
          <cell r="AA72">
            <v>23.2879</v>
          </cell>
          <cell r="AB72" t="e">
            <v>#N/A</v>
          </cell>
          <cell r="AC72" t="e">
            <v>#N/A</v>
          </cell>
          <cell r="AD72" t="str">
            <v>0159-15</v>
          </cell>
          <cell r="AE72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73">
          <cell r="A73" t="str">
            <v>160-15</v>
          </cell>
          <cell r="B73">
            <v>4043</v>
          </cell>
          <cell r="C73" t="str">
            <v>DE.1.0.7.0</v>
          </cell>
          <cell r="D73" t="str">
            <v>204:232989</v>
          </cell>
          <cell r="E73">
            <v>42597.494814814818</v>
          </cell>
          <cell r="F73">
            <v>42597.497002314813</v>
          </cell>
          <cell r="G73">
            <v>3</v>
          </cell>
          <cell r="H73" t="str">
            <v>204:158</v>
          </cell>
          <cell r="I73">
            <v>42597.534803240742</v>
          </cell>
          <cell r="J73">
            <v>0</v>
          </cell>
          <cell r="K73" t="str">
            <v>4043/4044</v>
          </cell>
          <cell r="L73" t="str">
            <v>STEWART</v>
          </cell>
          <cell r="M73">
            <v>3.7800925929332152E-2</v>
          </cell>
          <cell r="N73">
            <v>54.433333338238299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https://search-rtdc-monitor-bjffxe2xuh6vdkpspy63sjmuny.us-east-1.es.amazonaws.com/_plugin/kibana/#/discover/Steve-Slow-Train-Analysis-(2080s-and-2083s)?_g=(refreshInterval:(display:Off,section:0,value:0),time:(from:'2016-08-15 10:52:32-0600',mode:absolute,to:'2016-08-15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3" t="str">
            <v>N</v>
          </cell>
          <cell r="X73">
            <v>1</v>
          </cell>
          <cell r="Y73">
            <v>23.2989</v>
          </cell>
          <cell r="Z73">
            <v>1.5800000000000002E-2</v>
          </cell>
          <cell r="AA73">
            <v>23.283100000000001</v>
          </cell>
          <cell r="AB73" t="e">
            <v>#N/A</v>
          </cell>
          <cell r="AC73" t="e">
            <v>#N/A</v>
          </cell>
          <cell r="AD73" t="str">
            <v>0160-15</v>
          </cell>
          <cell r="AE73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74">
          <cell r="A74" t="str">
            <v>161-15</v>
          </cell>
          <cell r="B74">
            <v>4027</v>
          </cell>
          <cell r="C74" t="str">
            <v>DE.1.0.7.0</v>
          </cell>
          <cell r="D74" t="str">
            <v>204:416</v>
          </cell>
          <cell r="E74">
            <v>42597.466307870367</v>
          </cell>
          <cell r="F74">
            <v>42597.467164351852</v>
          </cell>
          <cell r="G74">
            <v>1</v>
          </cell>
          <cell r="H74" t="str">
            <v>204:233289</v>
          </cell>
          <cell r="I74">
            <v>42597.494502314818</v>
          </cell>
          <cell r="J74">
            <v>0</v>
          </cell>
          <cell r="K74" t="str">
            <v>4027/4028</v>
          </cell>
          <cell r="L74" t="str">
            <v>BARTLETT</v>
          </cell>
          <cell r="M74">
            <v>2.7337962965248153E-2</v>
          </cell>
          <cell r="N74">
            <v>39.36666666995734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https://search-rtdc-monitor-bjffxe2xuh6vdkpspy63sjmuny.us-east-1.es.amazonaws.com/_plugin/kibana/#/discover/Steve-Slow-Train-Analysis-(2080s-and-2083s)?_g=(refreshInterval:(display:Off,section:0,value:0),time:(from:'2016-08-15 10:11:29-0600',mode:absolute,to:'2016-08-15 12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4" t="str">
            <v>N</v>
          </cell>
          <cell r="X74">
            <v>1</v>
          </cell>
          <cell r="Y74">
            <v>4.1599999999999998E-2</v>
          </cell>
          <cell r="Z74">
            <v>23.328900000000001</v>
          </cell>
          <cell r="AA74">
            <v>23.287300000000002</v>
          </cell>
          <cell r="AB74" t="e">
            <v>#N/A</v>
          </cell>
          <cell r="AC74" t="e">
            <v>#N/A</v>
          </cell>
          <cell r="AD74" t="str">
            <v>0161-15</v>
          </cell>
          <cell r="AE74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75">
          <cell r="A75" t="str">
            <v>162-15</v>
          </cell>
          <cell r="B75">
            <v>4028</v>
          </cell>
          <cell r="C75" t="str">
            <v>DE.1.0.7.0</v>
          </cell>
          <cell r="D75" t="str">
            <v>204:232986</v>
          </cell>
          <cell r="E75">
            <v>42597.496712962966</v>
          </cell>
          <cell r="F75">
            <v>42597.498067129629</v>
          </cell>
          <cell r="G75">
            <v>1</v>
          </cell>
          <cell r="H75" t="str">
            <v>204:183</v>
          </cell>
          <cell r="I75">
            <v>42597.542870370373</v>
          </cell>
          <cell r="J75">
            <v>0</v>
          </cell>
          <cell r="K75" t="str">
            <v>4027/4028</v>
          </cell>
          <cell r="L75" t="str">
            <v>BARTLETT</v>
          </cell>
          <cell r="M75">
            <v>4.4803240743931383E-2</v>
          </cell>
          <cell r="N75">
            <v>64.516666671261191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https://search-rtdc-monitor-bjffxe2xuh6vdkpspy63sjmuny.us-east-1.es.amazonaws.com/_plugin/kibana/#/discover/Steve-Slow-Train-Analysis-(2080s-and-2083s)?_g=(refreshInterval:(display:Off,section:0,value:0),time:(from:'2016-08-15 10:55:16-0600',mode:absolute,to:'2016-08-15 14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5" t="str">
            <v>N</v>
          </cell>
          <cell r="X75">
            <v>1</v>
          </cell>
          <cell r="Y75">
            <v>23.2986</v>
          </cell>
          <cell r="Z75">
            <v>1.83E-2</v>
          </cell>
          <cell r="AA75">
            <v>23.2803</v>
          </cell>
          <cell r="AB75" t="e">
            <v>#N/A</v>
          </cell>
          <cell r="AC75" t="e">
            <v>#N/A</v>
          </cell>
          <cell r="AD75" t="str">
            <v>0162-15</v>
          </cell>
          <cell r="AE75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76">
          <cell r="A76" t="str">
            <v>163-15</v>
          </cell>
          <cell r="B76">
            <v>4020</v>
          </cell>
          <cell r="C76" t="str">
            <v>DE.1.0.7.0</v>
          </cell>
          <cell r="D76" t="str">
            <v>204:478</v>
          </cell>
          <cell r="E76">
            <v>42597.475254629629</v>
          </cell>
          <cell r="F76">
            <v>42597.479259259257</v>
          </cell>
          <cell r="G76">
            <v>5</v>
          </cell>
          <cell r="H76" t="str">
            <v>204:233344</v>
          </cell>
          <cell r="I76">
            <v>42597.508020833331</v>
          </cell>
          <cell r="J76">
            <v>0</v>
          </cell>
          <cell r="K76" t="str">
            <v>4019/4020</v>
          </cell>
          <cell r="L76" t="str">
            <v>HAITHCOX</v>
          </cell>
          <cell r="M76">
            <v>2.8761574074451346E-2</v>
          </cell>
          <cell r="N76">
            <v>41.416666667209938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https://search-rtdc-monitor-bjffxe2xuh6vdkpspy63sjmuny.us-east-1.es.amazonaws.com/_plugin/kibana/#/discover/Steve-Slow-Train-Analysis-(2080s-and-2083s)?_g=(refreshInterval:(display:Off,section:0,value:0),time:(from:'2016-08-15 10:24:22-0600',mode:absolute,to:'2016-08-15 13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6" t="str">
            <v>N</v>
          </cell>
          <cell r="X76">
            <v>1</v>
          </cell>
          <cell r="Y76">
            <v>4.7800000000000002E-2</v>
          </cell>
          <cell r="Z76">
            <v>23.334399999999999</v>
          </cell>
          <cell r="AA76">
            <v>23.2866</v>
          </cell>
          <cell r="AB76" t="e">
            <v>#N/A</v>
          </cell>
          <cell r="AC76" t="e">
            <v>#N/A</v>
          </cell>
          <cell r="AD76" t="str">
            <v>0163-15</v>
          </cell>
          <cell r="AE76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77">
          <cell r="A77" t="str">
            <v>164-15</v>
          </cell>
          <cell r="B77">
            <v>4019</v>
          </cell>
          <cell r="C77" t="str">
            <v>DE.1.0.7.0</v>
          </cell>
          <cell r="D77" t="str">
            <v>204:233017</v>
          </cell>
          <cell r="E77">
            <v>42597.512638888889</v>
          </cell>
          <cell r="F77">
            <v>42597.513680555552</v>
          </cell>
          <cell r="G77">
            <v>1</v>
          </cell>
          <cell r="H77" t="str">
            <v>204:138</v>
          </cell>
          <cell r="I77">
            <v>42597.548321759263</v>
          </cell>
          <cell r="J77">
            <v>0</v>
          </cell>
          <cell r="K77" t="str">
            <v>4019/4020</v>
          </cell>
          <cell r="L77" t="str">
            <v>HAITHCOX</v>
          </cell>
          <cell r="M77">
            <v>3.4641203710634727E-2</v>
          </cell>
          <cell r="N77">
            <v>49.883333343314007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https://search-rtdc-monitor-bjffxe2xuh6vdkpspy63sjmuny.us-east-1.es.amazonaws.com/_plugin/kibana/#/discover/Steve-Slow-Train-Analysis-(2080s-and-2083s)?_g=(refreshInterval:(display:Off,section:0,value:0),time:(from:'2016-08-15 11:18:12-0600',mode:absolute,to:'2016-08-15 14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7" t="str">
            <v>N</v>
          </cell>
          <cell r="X77">
            <v>1</v>
          </cell>
          <cell r="Y77">
            <v>23.3017</v>
          </cell>
          <cell r="Z77">
            <v>1.38E-2</v>
          </cell>
          <cell r="AA77">
            <v>23.2879</v>
          </cell>
          <cell r="AB77" t="e">
            <v>#N/A</v>
          </cell>
          <cell r="AC77" t="e">
            <v>#N/A</v>
          </cell>
          <cell r="AD77" t="str">
            <v>0164-15</v>
          </cell>
          <cell r="AE77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78">
          <cell r="A78" t="str">
            <v>165-15</v>
          </cell>
          <cell r="B78">
            <v>4038</v>
          </cell>
          <cell r="C78" t="str">
            <v>DE.1.0.7.0</v>
          </cell>
          <cell r="D78" t="str">
            <v>204:455</v>
          </cell>
          <cell r="E78">
            <v>42597.488217592596</v>
          </cell>
          <cell r="F78">
            <v>42597.490185185183</v>
          </cell>
          <cell r="G78">
            <v>2</v>
          </cell>
          <cell r="H78" t="str">
            <v>204:233253</v>
          </cell>
          <cell r="I78">
            <v>42597.51840277778</v>
          </cell>
          <cell r="J78">
            <v>0</v>
          </cell>
          <cell r="K78" t="str">
            <v>4037/4038</v>
          </cell>
          <cell r="L78" t="str">
            <v>MAYBERRY</v>
          </cell>
          <cell r="M78">
            <v>2.8217592596774921E-2</v>
          </cell>
          <cell r="N78">
            <v>40.633333339355886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https://search-rtdc-monitor-bjffxe2xuh6vdkpspy63sjmuny.us-east-1.es.amazonaws.com/_plugin/kibana/#/discover/Steve-Slow-Train-Analysis-(2080s-and-2083s)?_g=(refreshInterval:(display:Off,section:0,value:0),time:(from:'2016-08-15 10:43:02-0600',mode:absolute,to:'2016-08-15 13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8" t="str">
            <v>N</v>
          </cell>
          <cell r="X78">
            <v>1</v>
          </cell>
          <cell r="Y78">
            <v>4.5499999999999999E-2</v>
          </cell>
          <cell r="Z78">
            <v>23.325299999999999</v>
          </cell>
          <cell r="AA78">
            <v>23.279799999999998</v>
          </cell>
          <cell r="AB78" t="e">
            <v>#N/A</v>
          </cell>
          <cell r="AC78" t="e">
            <v>#N/A</v>
          </cell>
          <cell r="AD78" t="str">
            <v>0165-15</v>
          </cell>
          <cell r="AE78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79">
          <cell r="A79" t="str">
            <v>166-15</v>
          </cell>
          <cell r="B79">
            <v>4037</v>
          </cell>
          <cell r="C79" t="str">
            <v>DE.1.0.7.0</v>
          </cell>
          <cell r="D79" t="str">
            <v>204:232975</v>
          </cell>
          <cell r="E79">
            <v>42597.519849537035</v>
          </cell>
          <cell r="F79">
            <v>42597.522349537037</v>
          </cell>
          <cell r="G79">
            <v>3</v>
          </cell>
          <cell r="H79" t="str">
            <v>204:165</v>
          </cell>
          <cell r="I79">
            <v>42597.559791666667</v>
          </cell>
          <cell r="J79">
            <v>0</v>
          </cell>
          <cell r="K79" t="str">
            <v>4037/4038</v>
          </cell>
          <cell r="L79" t="str">
            <v>MAYBERRY</v>
          </cell>
          <cell r="M79">
            <v>3.7442129629198462E-2</v>
          </cell>
          <cell r="N79">
            <v>53.916666666045785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https://search-rtdc-monitor-bjffxe2xuh6vdkpspy63sjmuny.us-east-1.es.amazonaws.com/_plugin/kibana/#/discover/Steve-Slow-Train-Analysis-(2080s-and-2083s)?_g=(refreshInterval:(display:Off,section:0,value:0),time:(from:'2016-08-15 11:28:35-0600',mode:absolute,to:'2016-08-15 14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79" t="str">
            <v>N</v>
          </cell>
          <cell r="X79">
            <v>1</v>
          </cell>
          <cell r="Y79">
            <v>23.297499999999999</v>
          </cell>
          <cell r="Z79">
            <v>1.6500000000000001E-2</v>
          </cell>
          <cell r="AA79">
            <v>23.280999999999999</v>
          </cell>
          <cell r="AB79">
            <v>5439</v>
          </cell>
          <cell r="AC79" t="str">
            <v>PERMANENT SPEED RESTRICTION</v>
          </cell>
          <cell r="AD79" t="str">
            <v>0166-15</v>
          </cell>
          <cell r="AE79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80">
          <cell r="A80" t="str">
            <v>167-15</v>
          </cell>
          <cell r="B80">
            <v>4031</v>
          </cell>
          <cell r="C80" t="str">
            <v>DE.1.0.7.0</v>
          </cell>
          <cell r="D80" t="str">
            <v>204:442</v>
          </cell>
          <cell r="E80">
            <v>42597.502291666664</v>
          </cell>
          <cell r="F80">
            <v>42597.503437500003</v>
          </cell>
          <cell r="G80">
            <v>1</v>
          </cell>
          <cell r="H80" t="str">
            <v>204:233338</v>
          </cell>
          <cell r="I80">
            <v>42597.533553240741</v>
          </cell>
          <cell r="J80">
            <v>0</v>
          </cell>
          <cell r="K80" t="str">
            <v>4031/4032</v>
          </cell>
          <cell r="L80" t="str">
            <v>YOUNG</v>
          </cell>
          <cell r="M80">
            <v>3.011574073752854E-2</v>
          </cell>
          <cell r="N80">
            <v>43.366666662041098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https://search-rtdc-monitor-bjffxe2xuh6vdkpspy63sjmuny.us-east-1.es.amazonaws.com/_plugin/kibana/#/discover/Steve-Slow-Train-Analysis-(2080s-and-2083s)?_g=(refreshInterval:(display:Off,section:0,value:0),time:(from:'2016-08-15 11:03:18-0600',mode:absolute,to:'2016-08-15 13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0" t="str">
            <v>N</v>
          </cell>
          <cell r="X80">
            <v>1</v>
          </cell>
          <cell r="Y80">
            <v>4.4200000000000003E-2</v>
          </cell>
          <cell r="Z80">
            <v>23.3338</v>
          </cell>
          <cell r="AA80">
            <v>23.2896</v>
          </cell>
          <cell r="AB80" t="e">
            <v>#N/A</v>
          </cell>
          <cell r="AC80" t="e">
            <v>#N/A</v>
          </cell>
          <cell r="AD80" t="str">
            <v>0167-15</v>
          </cell>
          <cell r="AE80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81">
          <cell r="A81" t="str">
            <v>168-15</v>
          </cell>
          <cell r="B81">
            <v>4032</v>
          </cell>
          <cell r="C81" t="str">
            <v>DE.1.0.7.0</v>
          </cell>
          <cell r="D81" t="str">
            <v>204:233028</v>
          </cell>
          <cell r="E81">
            <v>42597.535243055558</v>
          </cell>
          <cell r="F81">
            <v>42597.537187499998</v>
          </cell>
          <cell r="G81">
            <v>2</v>
          </cell>
          <cell r="H81" t="str">
            <v>204:150</v>
          </cell>
          <cell r="I81">
            <v>42597.573703703703</v>
          </cell>
          <cell r="J81">
            <v>0</v>
          </cell>
          <cell r="K81" t="str">
            <v>4031/4032</v>
          </cell>
          <cell r="L81" t="str">
            <v>YOUNG</v>
          </cell>
          <cell r="M81">
            <v>3.6516203705104999E-2</v>
          </cell>
          <cell r="N81">
            <v>52.583333335351199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https://search-rtdc-monitor-bjffxe2xuh6vdkpspy63sjmuny.us-east-1.es.amazonaws.com/_plugin/kibana/#/discover/Steve-Slow-Train-Analysis-(2080s-and-2083s)?_g=(refreshInterval:(display:Off,section:0,value:0),time:(from:'2016-08-15 11:50:45-0600',mode:absolute,to:'2016-08-15 14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1" t="str">
            <v>N</v>
          </cell>
          <cell r="X81">
            <v>1</v>
          </cell>
          <cell r="Y81">
            <v>23.302800000000001</v>
          </cell>
          <cell r="Z81">
            <v>1.4999999999999999E-2</v>
          </cell>
          <cell r="AA81">
            <v>23.287800000000001</v>
          </cell>
          <cell r="AB81" t="e">
            <v>#N/A</v>
          </cell>
          <cell r="AC81" t="e">
            <v>#N/A</v>
          </cell>
          <cell r="AD81" t="str">
            <v>0168-15</v>
          </cell>
          <cell r="AE81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82">
          <cell r="A82" t="str">
            <v>169-15</v>
          </cell>
          <cell r="B82">
            <v>4009</v>
          </cell>
          <cell r="C82" t="str">
            <v>DE.1.0.7.0</v>
          </cell>
          <cell r="D82" t="str">
            <v>204:464</v>
          </cell>
          <cell r="E82">
            <v>42597.5078125</v>
          </cell>
          <cell r="F82">
            <v>42597.510497685187</v>
          </cell>
          <cell r="G82">
            <v>3</v>
          </cell>
          <cell r="H82" t="str">
            <v>204:233297</v>
          </cell>
          <cell r="I82">
            <v>42597.544120370374</v>
          </cell>
          <cell r="J82">
            <v>0</v>
          </cell>
          <cell r="K82" t="str">
            <v>4009/4010</v>
          </cell>
          <cell r="L82" t="str">
            <v>HELVIE</v>
          </cell>
          <cell r="M82">
            <v>3.3622685186855961E-2</v>
          </cell>
          <cell r="N82">
            <v>48.416666669072583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https://search-rtdc-monitor-bjffxe2xuh6vdkpspy63sjmuny.us-east-1.es.amazonaws.com/_plugin/kibana/#/discover/Steve-Slow-Train-Analysis-(2080s-and-2083s)?_g=(refreshInterval:(display:Off,section:0,value:0),time:(from:'2016-08-15 11:11:15-0600',mode:absolute,to:'2016-08-15 14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4.6399999999999997E-2</v>
          </cell>
          <cell r="Z82">
            <v>23.329699999999999</v>
          </cell>
          <cell r="AA82">
            <v>23.283300000000001</v>
          </cell>
          <cell r="AB82" t="e">
            <v>#N/A</v>
          </cell>
          <cell r="AC82" t="e">
            <v>#N/A</v>
          </cell>
          <cell r="AD82" t="str">
            <v>0169-15</v>
          </cell>
          <cell r="AE82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83">
          <cell r="A83" t="str">
            <v>170-15</v>
          </cell>
          <cell r="B83">
            <v>4010</v>
          </cell>
          <cell r="C83" t="str">
            <v>DE.1.0.7.0</v>
          </cell>
          <cell r="D83" t="str">
            <v>204:232975</v>
          </cell>
          <cell r="E83">
            <v>42597.546307870369</v>
          </cell>
          <cell r="F83">
            <v>42597.54755787037</v>
          </cell>
          <cell r="G83">
            <v>1</v>
          </cell>
          <cell r="H83" t="str">
            <v>204:147</v>
          </cell>
          <cell r="I83">
            <v>42597.591041666667</v>
          </cell>
          <cell r="J83">
            <v>0</v>
          </cell>
          <cell r="K83" t="str">
            <v>4009/4010</v>
          </cell>
          <cell r="L83" t="str">
            <v>HELVIE</v>
          </cell>
          <cell r="M83">
            <v>4.3483796296641231E-2</v>
          </cell>
          <cell r="N83">
            <v>62.616666667163372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https://search-rtdc-monitor-bjffxe2xuh6vdkpspy63sjmuny.us-east-1.es.amazonaws.com/_plugin/kibana/#/discover/Steve-Slow-Train-Analysis-(2080s-and-2083s)?_g=(refreshInterval:(display:Off,section:0,value:0),time:(from:'2016-08-15 12:06:41-0600',mode:absolute,to:'2016-08-15 15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23.297499999999999</v>
          </cell>
          <cell r="Z83">
            <v>1.47E-2</v>
          </cell>
          <cell r="AA83">
            <v>23.282799999999998</v>
          </cell>
          <cell r="AB83" t="e">
            <v>#N/A</v>
          </cell>
          <cell r="AC83" t="e">
            <v>#N/A</v>
          </cell>
          <cell r="AD83" t="str">
            <v>0170-15</v>
          </cell>
          <cell r="AE83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84">
          <cell r="A84" t="str">
            <v>171-15</v>
          </cell>
          <cell r="B84">
            <v>4042</v>
          </cell>
          <cell r="C84" t="str">
            <v>DE.1.0.7.0</v>
          </cell>
          <cell r="D84" t="str">
            <v>204:473</v>
          </cell>
          <cell r="E84">
            <v>42597.521747685183</v>
          </cell>
          <cell r="F84">
            <v>42597.523182870369</v>
          </cell>
          <cell r="G84">
            <v>2</v>
          </cell>
          <cell r="H84" t="str">
            <v>204:233363</v>
          </cell>
          <cell r="I84">
            <v>42597.55060185185</v>
          </cell>
          <cell r="J84">
            <v>0</v>
          </cell>
          <cell r="K84" t="str">
            <v>4041/4042</v>
          </cell>
          <cell r="L84" t="str">
            <v>SHOOK</v>
          </cell>
          <cell r="M84">
            <v>2.7418981480877846E-2</v>
          </cell>
          <cell r="N84">
            <v>39.483333332464099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https://search-rtdc-monitor-bjffxe2xuh6vdkpspy63sjmuny.us-east-1.es.amazonaws.com/_plugin/kibana/#/discover/Steve-Slow-Train-Analysis-(2080s-and-2083s)?_g=(refreshInterval:(display:Off,section:0,value:0),time:(from:'2016-08-15 11:31:19-0600',mode:absolute,to:'2016-08-15 14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4" t="str">
            <v>N</v>
          </cell>
          <cell r="X84">
            <v>1</v>
          </cell>
          <cell r="Y84">
            <v>4.7300000000000002E-2</v>
          </cell>
          <cell r="Z84">
            <v>23.336300000000001</v>
          </cell>
          <cell r="AA84">
            <v>23.289000000000001</v>
          </cell>
          <cell r="AB84" t="e">
            <v>#N/A</v>
          </cell>
          <cell r="AC84" t="e">
            <v>#N/A</v>
          </cell>
          <cell r="AD84" t="str">
            <v>0171-15</v>
          </cell>
          <cell r="AE84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85">
          <cell r="A85" t="str">
            <v>172-15</v>
          </cell>
          <cell r="B85">
            <v>4041</v>
          </cell>
          <cell r="C85" t="str">
            <v>DE.1.0.7.0</v>
          </cell>
          <cell r="D85" t="str">
            <v>204:233060</v>
          </cell>
          <cell r="E85">
            <v>42597.555879629632</v>
          </cell>
          <cell r="F85">
            <v>42597.557037037041</v>
          </cell>
          <cell r="G85">
            <v>1</v>
          </cell>
          <cell r="H85" t="str">
            <v>204:147</v>
          </cell>
          <cell r="I85">
            <v>42597.594849537039</v>
          </cell>
          <cell r="J85">
            <v>0</v>
          </cell>
          <cell r="K85" t="str">
            <v>4041/4042</v>
          </cell>
          <cell r="L85" t="str">
            <v>SHOOK</v>
          </cell>
          <cell r="M85">
            <v>3.7812499998835847E-2</v>
          </cell>
          <cell r="N85">
            <v>54.449999998323619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https://search-rtdc-monitor-bjffxe2xuh6vdkpspy63sjmuny.us-east-1.es.amazonaws.com/_plugin/kibana/#/discover/Steve-Slow-Train-Analysis-(2080s-and-2083s)?_g=(refreshInterval:(display:Off,section:0,value:0),time:(from:'2016-08-15 12:20:28-0600',mode:absolute,to:'2016-08-15 15:16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5" t="str">
            <v>N</v>
          </cell>
          <cell r="X85">
            <v>1</v>
          </cell>
          <cell r="Y85">
            <v>23.306000000000001</v>
          </cell>
          <cell r="Z85">
            <v>1.47E-2</v>
          </cell>
          <cell r="AA85">
            <v>23.2913</v>
          </cell>
          <cell r="AB85" t="e">
            <v>#N/A</v>
          </cell>
          <cell r="AC85" t="e">
            <v>#N/A</v>
          </cell>
          <cell r="AD85" t="str">
            <v>0172-15</v>
          </cell>
          <cell r="AE85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86">
          <cell r="A86" t="str">
            <v>173-15</v>
          </cell>
          <cell r="B86">
            <v>4044</v>
          </cell>
          <cell r="C86" t="str">
            <v>DE.1.0.7.0</v>
          </cell>
          <cell r="D86" t="str">
            <v>204:447</v>
          </cell>
          <cell r="E86">
            <v>42597.537141203706</v>
          </cell>
          <cell r="F86">
            <v>42597.538495370369</v>
          </cell>
          <cell r="G86">
            <v>1</v>
          </cell>
          <cell r="H86" t="str">
            <v>204:233264</v>
          </cell>
          <cell r="I86">
            <v>42597.568958333337</v>
          </cell>
          <cell r="J86">
            <v>0</v>
          </cell>
          <cell r="K86" t="str">
            <v>4043/4044</v>
          </cell>
          <cell r="L86" t="str">
            <v>STEWART</v>
          </cell>
          <cell r="M86">
            <v>3.0462962968158536E-2</v>
          </cell>
          <cell r="N86">
            <v>43.866666674148291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https://search-rtdc-monitor-bjffxe2xuh6vdkpspy63sjmuny.us-east-1.es.amazonaws.com/_plugin/kibana/#/discover/Steve-Slow-Train-Analysis-(2080s-and-2083s)?_g=(refreshInterval:(display:Off,section:0,value:0),time:(from:'2016-08-15 11:53:29-0600',mode:absolute,to:'2016-08-15 14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6" t="str">
            <v>N</v>
          </cell>
          <cell r="X86">
            <v>1</v>
          </cell>
          <cell r="Y86">
            <v>4.4699999999999997E-2</v>
          </cell>
          <cell r="Z86">
            <v>23.3264</v>
          </cell>
          <cell r="AA86">
            <v>23.281700000000001</v>
          </cell>
          <cell r="AB86" t="e">
            <v>#N/A</v>
          </cell>
          <cell r="AC86" t="e">
            <v>#N/A</v>
          </cell>
          <cell r="AD86" t="str">
            <v>0173-15</v>
          </cell>
          <cell r="AE86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87">
          <cell r="A87" t="str">
            <v>174-15</v>
          </cell>
          <cell r="B87">
            <v>4043</v>
          </cell>
          <cell r="C87" t="str">
            <v>DE.1.0.7.0</v>
          </cell>
          <cell r="D87" t="str">
            <v>204:232955</v>
          </cell>
          <cell r="E87">
            <v>42597.577060185184</v>
          </cell>
          <cell r="F87">
            <v>42597.578229166669</v>
          </cell>
          <cell r="G87">
            <v>1</v>
          </cell>
          <cell r="H87" t="str">
            <v>204:191</v>
          </cell>
          <cell r="I87">
            <v>42597.609432870369</v>
          </cell>
          <cell r="J87">
            <v>0</v>
          </cell>
          <cell r="K87" t="str">
            <v>4043/4044</v>
          </cell>
          <cell r="L87" t="str">
            <v>STEWART</v>
          </cell>
          <cell r="M87">
            <v>3.1203703700157348E-2</v>
          </cell>
          <cell r="N87">
            <v>44.933333328226581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7" t="str">
            <v>N</v>
          </cell>
          <cell r="X87">
            <v>1</v>
          </cell>
          <cell r="Y87">
            <v>23.295500000000001</v>
          </cell>
          <cell r="Z87">
            <v>1.9099999999999999E-2</v>
          </cell>
          <cell r="AA87">
            <v>23.276399999999999</v>
          </cell>
          <cell r="AB87">
            <v>103800</v>
          </cell>
          <cell r="AC87" t="str">
            <v>GRADE CROSSING</v>
          </cell>
          <cell r="AD87" t="str">
            <v>0174-15</v>
          </cell>
          <cell r="AE87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88">
          <cell r="A88" t="str">
            <v>175-15</v>
          </cell>
          <cell r="B88">
            <v>4027</v>
          </cell>
          <cell r="C88" t="str">
            <v>DE.1.0.7.0</v>
          </cell>
          <cell r="D88" t="str">
            <v>204:486</v>
          </cell>
          <cell r="E88">
            <v>42597.543611111112</v>
          </cell>
          <cell r="F88">
            <v>42597.544259259259</v>
          </cell>
          <cell r="G88">
            <v>0</v>
          </cell>
          <cell r="H88" t="str">
            <v>204:233327</v>
          </cell>
          <cell r="I88">
            <v>42597.575196759259</v>
          </cell>
          <cell r="J88">
            <v>0</v>
          </cell>
          <cell r="K88" t="str">
            <v>4027/4028</v>
          </cell>
          <cell r="L88" t="str">
            <v>BARTLETT</v>
          </cell>
          <cell r="M88">
            <v>3.0937499999708962E-2</v>
          </cell>
          <cell r="N88">
            <v>44.549999999580905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https://search-rtdc-monitor-bjffxe2xuh6vdkpspy63sjmuny.us-east-1.es.amazonaws.com/_plugin/kibana/#/discover/Steve-Slow-Train-Analysis-(2080s-and-2083s)?_g=(refreshInterval:(display:Off,section:0,value:0),time:(from:'2016-08-15 12:02:48-0600',mode:absolute,to:'2016-08-15 14:48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8" t="str">
            <v>N</v>
          </cell>
          <cell r="X88">
            <v>1</v>
          </cell>
          <cell r="Y88">
            <v>4.8599999999999997E-2</v>
          </cell>
          <cell r="Z88">
            <v>23.332699999999999</v>
          </cell>
          <cell r="AA88">
            <v>23.284099999999999</v>
          </cell>
          <cell r="AB88" t="e">
            <v>#N/A</v>
          </cell>
          <cell r="AC88" t="e">
            <v>#N/A</v>
          </cell>
          <cell r="AD88" t="str">
            <v>0175-15</v>
          </cell>
          <cell r="AE88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89">
          <cell r="A89" t="str">
            <v>176-15</v>
          </cell>
          <cell r="B89">
            <v>4028</v>
          </cell>
          <cell r="C89" t="str">
            <v>DE.1.0.7.0</v>
          </cell>
          <cell r="D89" t="str">
            <v>204:233013</v>
          </cell>
          <cell r="E89">
            <v>42597.580729166664</v>
          </cell>
          <cell r="F89">
            <v>42597.581979166665</v>
          </cell>
          <cell r="G89">
            <v>1</v>
          </cell>
          <cell r="H89" t="str">
            <v>204:143</v>
          </cell>
          <cell r="I89">
            <v>42597.615601851852</v>
          </cell>
          <cell r="J89">
            <v>0</v>
          </cell>
          <cell r="K89" t="str">
            <v>4027/4028</v>
          </cell>
          <cell r="L89" t="str">
            <v>BARTLETT</v>
          </cell>
          <cell r="M89">
            <v>3.3622685186855961E-2</v>
          </cell>
          <cell r="N89">
            <v>48.416666669072583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https://search-rtdc-monitor-bjffxe2xuh6vdkpspy63sjmuny.us-east-1.es.amazonaws.com/_plugin/kibana/#/discover/Steve-Slow-Train-Analysis-(2080s-and-2083s)?_g=(refreshInterval:(display:Off,section:0,value:0),time:(from:'2016-08-15 12:56:15-0600',mode:absolute,to:'2016-08-15 15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9" t="str">
            <v>N</v>
          </cell>
          <cell r="X89">
            <v>1</v>
          </cell>
          <cell r="Y89">
            <v>23.301300000000001</v>
          </cell>
          <cell r="Z89">
            <v>1.43E-2</v>
          </cell>
          <cell r="AA89">
            <v>23.287000000000003</v>
          </cell>
          <cell r="AB89" t="e">
            <v>#N/A</v>
          </cell>
          <cell r="AC89" t="e">
            <v>#N/A</v>
          </cell>
          <cell r="AD89" t="str">
            <v>0176-15</v>
          </cell>
          <cell r="AE89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90">
          <cell r="A90" t="str">
            <v>177-15</v>
          </cell>
          <cell r="B90">
            <v>4020</v>
          </cell>
          <cell r="C90" t="str">
            <v>DE.1.0.7.0</v>
          </cell>
          <cell r="D90" t="str">
            <v>204:466</v>
          </cell>
          <cell r="E90">
            <v>42597.549398148149</v>
          </cell>
          <cell r="F90">
            <v>42597.552199074074</v>
          </cell>
          <cell r="G90">
            <v>4</v>
          </cell>
          <cell r="H90" t="str">
            <v>204:233303</v>
          </cell>
          <cell r="I90">
            <v>42597.58699074074</v>
          </cell>
          <cell r="J90">
            <v>0</v>
          </cell>
          <cell r="K90" t="str">
            <v>4019/4020</v>
          </cell>
          <cell r="L90" t="str">
            <v>HAITHCOX</v>
          </cell>
          <cell r="M90">
            <v>3.4791666665114462E-2</v>
          </cell>
          <cell r="N90">
            <v>50.099999997764826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https://search-rtdc-monitor-bjffxe2xuh6vdkpspy63sjmuny.us-east-1.es.amazonaws.com/_plugin/kibana/#/discover/Steve-Slow-Train-Analysis-(2080s-and-2083s)?_g=(refreshInterval:(display:Off,section:0,value:0),time:(from:'2016-08-15 12:11:08-0600',mode:absolute,to:'2016-08-15 15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0" t="str">
            <v>N</v>
          </cell>
          <cell r="X90">
            <v>1</v>
          </cell>
          <cell r="Y90">
            <v>4.6600000000000003E-2</v>
          </cell>
          <cell r="Z90">
            <v>23.330300000000001</v>
          </cell>
          <cell r="AA90">
            <v>23.2837</v>
          </cell>
          <cell r="AB90" t="e">
            <v>#N/A</v>
          </cell>
          <cell r="AC90" t="e">
            <v>#N/A</v>
          </cell>
          <cell r="AD90" t="str">
            <v>0177-15</v>
          </cell>
          <cell r="AE90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91">
          <cell r="A91" t="str">
            <v>178-15</v>
          </cell>
          <cell r="B91">
            <v>4019</v>
          </cell>
          <cell r="C91" t="str">
            <v>DE.1.0.7.0</v>
          </cell>
          <cell r="D91" t="str">
            <v>204:232994</v>
          </cell>
          <cell r="E91">
            <v>42597.591157407405</v>
          </cell>
          <cell r="F91">
            <v>42597.592395833337</v>
          </cell>
          <cell r="G91">
            <v>1</v>
          </cell>
          <cell r="H91" t="str">
            <v>204:132</v>
          </cell>
          <cell r="I91">
            <v>42597.628842592596</v>
          </cell>
          <cell r="J91">
            <v>0</v>
          </cell>
          <cell r="K91" t="str">
            <v>4019/4020</v>
          </cell>
          <cell r="L91" t="str">
            <v>HAITHCOX</v>
          </cell>
          <cell r="M91">
            <v>3.6446759258979E-2</v>
          </cell>
          <cell r="N91">
            <v>52.48333333292976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https://search-rtdc-monitor-bjffxe2xuh6vdkpspy63sjmuny.us-east-1.es.amazonaws.com/_plugin/kibana/#/discover/Steve-Slow-Train-Analysis-(2080s-and-2083s)?_g=(refreshInterval:(display:Off,section:0,value:0),time:(from:'2016-08-15 13:11:16-0600',mode:absolute,to:'2016-08-15 16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1" t="str">
            <v>N</v>
          </cell>
          <cell r="X91">
            <v>1</v>
          </cell>
          <cell r="Y91">
            <v>23.299399999999999</v>
          </cell>
          <cell r="Z91">
            <v>1.32E-2</v>
          </cell>
          <cell r="AA91">
            <v>23.286199999999997</v>
          </cell>
          <cell r="AB91" t="e">
            <v>#N/A</v>
          </cell>
          <cell r="AC91" t="e">
            <v>#N/A</v>
          </cell>
          <cell r="AD91" t="str">
            <v>0178-15</v>
          </cell>
          <cell r="AE91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92">
          <cell r="A92" t="str">
            <v>179-15</v>
          </cell>
          <cell r="B92">
            <v>4038</v>
          </cell>
          <cell r="C92" t="str">
            <v>DE.1.0.7.0</v>
          </cell>
          <cell r="D92" t="str">
            <v>204:462</v>
          </cell>
          <cell r="E92">
            <v>42597.561597222222</v>
          </cell>
          <cell r="F92">
            <v>42597.564039351855</v>
          </cell>
          <cell r="G92">
            <v>3</v>
          </cell>
          <cell r="H92" t="str">
            <v>204:233293</v>
          </cell>
          <cell r="I92">
            <v>42597.594571759262</v>
          </cell>
          <cell r="J92">
            <v>0</v>
          </cell>
          <cell r="K92" t="str">
            <v>4037/4038</v>
          </cell>
          <cell r="L92" t="str">
            <v>MAYBERRY</v>
          </cell>
          <cell r="M92">
            <v>3.0532407407008577E-2</v>
          </cell>
          <cell r="N92">
            <v>43.966666666092351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2" t="str">
            <v>N</v>
          </cell>
          <cell r="X92">
            <v>1</v>
          </cell>
          <cell r="Y92">
            <v>4.6199999999999998E-2</v>
          </cell>
          <cell r="Z92">
            <v>23.3293</v>
          </cell>
          <cell r="AA92">
            <v>23.283100000000001</v>
          </cell>
          <cell r="AB92">
            <v>33137</v>
          </cell>
          <cell r="AC92" t="str">
            <v>GRADE CROSSING</v>
          </cell>
          <cell r="AD92" t="str">
            <v>0179-15</v>
          </cell>
          <cell r="AE92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93">
          <cell r="A93" t="str">
            <v>180-15</v>
          </cell>
          <cell r="B93">
            <v>4037</v>
          </cell>
          <cell r="C93" t="str">
            <v>DE.1.0.7.0</v>
          </cell>
          <cell r="D93" t="str">
            <v>204:232977</v>
          </cell>
          <cell r="E93">
            <v>42597.596898148149</v>
          </cell>
          <cell r="F93">
            <v>42597.599027777775</v>
          </cell>
          <cell r="G93">
            <v>3</v>
          </cell>
          <cell r="H93" t="str">
            <v>204:160</v>
          </cell>
          <cell r="I93">
            <v>42597.6325</v>
          </cell>
          <cell r="J93">
            <v>0</v>
          </cell>
          <cell r="K93" t="str">
            <v>4037/4038</v>
          </cell>
          <cell r="L93" t="str">
            <v>MAYBERRY</v>
          </cell>
          <cell r="M93">
            <v>3.3472222225100268E-2</v>
          </cell>
          <cell r="N93">
            <v>48.200000004144385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https://search-rtdc-monitor-bjffxe2xuh6vdkpspy63sjmuny.us-east-1.es.amazonaws.com/_plugin/kibana/#/discover/Steve-Slow-Train-Analysis-(2080s-and-2083s)?_g=(refreshInterval:(display:Off,section:0,value:0),time:(from:'2016-08-15 13:19:32-0600',mode:absolute,to:'2016-08-15 16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3" t="str">
            <v>N</v>
          </cell>
          <cell r="X93">
            <v>1</v>
          </cell>
          <cell r="Y93">
            <v>23.297699999999999</v>
          </cell>
          <cell r="Z93">
            <v>1.6E-2</v>
          </cell>
          <cell r="AA93">
            <v>23.281700000000001</v>
          </cell>
          <cell r="AB93" t="e">
            <v>#N/A</v>
          </cell>
          <cell r="AC93" t="e">
            <v>#N/A</v>
          </cell>
          <cell r="AD93" t="str">
            <v>0180-15</v>
          </cell>
          <cell r="AE93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94">
          <cell r="A94" t="str">
            <v>181-15</v>
          </cell>
          <cell r="B94">
            <v>4031</v>
          </cell>
          <cell r="C94" t="str">
            <v>DE.1.0.7.0</v>
          </cell>
          <cell r="D94" t="str">
            <v>204:467</v>
          </cell>
          <cell r="E94">
            <v>42597.57503472222</v>
          </cell>
          <cell r="F94">
            <v>42597.575960648152</v>
          </cell>
          <cell r="G94">
            <v>1</v>
          </cell>
          <cell r="H94" t="str">
            <v>204:233297</v>
          </cell>
          <cell r="I94">
            <v>42597.604861111111</v>
          </cell>
          <cell r="J94">
            <v>0</v>
          </cell>
          <cell r="K94" t="str">
            <v>4031/4032</v>
          </cell>
          <cell r="L94" t="str">
            <v>YOUNG</v>
          </cell>
          <cell r="M94">
            <v>2.8900462959427387E-2</v>
          </cell>
          <cell r="N94">
            <v>41.616666661575437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https://search-rtdc-monitor-bjffxe2xuh6vdkpspy63sjmuny.us-east-1.es.amazonaws.com/_plugin/kibana/#/discover/Steve-Slow-Train-Analysis-(2080s-and-2083s)?_g=(refreshInterval:(display:Off,section:0,value:0),time:(from:'2016-08-15 12:48:03-0600',mode:absolute,to:'2016-08-15 15:31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4" t="str">
            <v>N</v>
          </cell>
          <cell r="X94">
            <v>1</v>
          </cell>
          <cell r="Y94">
            <v>4.6699999999999998E-2</v>
          </cell>
          <cell r="Z94">
            <v>23.329699999999999</v>
          </cell>
          <cell r="AA94">
            <v>23.282999999999998</v>
          </cell>
          <cell r="AB94" t="e">
            <v>#N/A</v>
          </cell>
          <cell r="AC94" t="e">
            <v>#N/A</v>
          </cell>
          <cell r="AD94" t="str">
            <v>0181-15</v>
          </cell>
          <cell r="AE94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95">
          <cell r="A95" t="str">
            <v>182-15</v>
          </cell>
          <cell r="B95">
            <v>4032</v>
          </cell>
          <cell r="C95" t="str">
            <v>DE.1.0.7.0</v>
          </cell>
          <cell r="D95" t="str">
            <v>204:232996</v>
          </cell>
          <cell r="E95">
            <v>42597.609756944446</v>
          </cell>
          <cell r="F95">
            <v>42597.61074074074</v>
          </cell>
          <cell r="G95">
            <v>1</v>
          </cell>
          <cell r="H95" t="str">
            <v>204:172</v>
          </cell>
          <cell r="I95">
            <v>42597.648217592592</v>
          </cell>
          <cell r="J95">
            <v>0</v>
          </cell>
          <cell r="K95" t="str">
            <v>4031/4032</v>
          </cell>
          <cell r="L95" t="str">
            <v>YOUNG</v>
          </cell>
          <cell r="M95">
            <v>3.7476851852261461E-2</v>
          </cell>
          <cell r="N95">
            <v>53.966666667256504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https://search-rtdc-monitor-bjffxe2xuh6vdkpspy63sjmuny.us-east-1.es.amazonaws.com/_plugin/kibana/#/discover/Steve-Slow-Train-Analysis-(2080s-and-2083s)?_g=(refreshInterval:(display:Off,section:0,value:0),time:(from:'2016-08-15 13:38:03-0600',mode:absolute,to:'2016-08-15 16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5" t="str">
            <v>N</v>
          </cell>
          <cell r="X95">
            <v>1</v>
          </cell>
          <cell r="Y95">
            <v>23.299600000000002</v>
          </cell>
          <cell r="Z95">
            <v>1.72E-2</v>
          </cell>
          <cell r="AA95">
            <v>23.282400000000003</v>
          </cell>
          <cell r="AB95" t="e">
            <v>#N/A</v>
          </cell>
          <cell r="AC95" t="e">
            <v>#N/A</v>
          </cell>
          <cell r="AD95" t="str">
            <v>0182-15</v>
          </cell>
          <cell r="AE95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96">
          <cell r="A96" t="str">
            <v>183-15</v>
          </cell>
          <cell r="B96">
            <v>4009</v>
          </cell>
          <cell r="C96" t="str">
            <v>DE.1.0.7.0</v>
          </cell>
          <cell r="D96" t="str">
            <v>204:460</v>
          </cell>
          <cell r="E96">
            <v>42597.592962962961</v>
          </cell>
          <cell r="F96">
            <v>42597.594236111108</v>
          </cell>
          <cell r="G96">
            <v>1</v>
          </cell>
          <cell r="H96" t="str">
            <v>204:233315</v>
          </cell>
          <cell r="I96">
            <v>42597.62363425926</v>
          </cell>
          <cell r="J96">
            <v>0</v>
          </cell>
          <cell r="K96" t="str">
            <v>4009/4010</v>
          </cell>
          <cell r="L96" t="str">
            <v>HELVIE</v>
          </cell>
          <cell r="M96">
            <v>2.9398148151813075E-2</v>
          </cell>
          <cell r="N96">
            <v>42.333333338610828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https://search-rtdc-monitor-bjffxe2xuh6vdkpspy63sjmuny.us-east-1.es.amazonaws.com/_plugin/kibana/#/discover/Steve-Slow-Train-Analysis-(2080s-and-2083s)?_g=(refreshInterval:(display:Off,section:0,value:0),time:(from:'2016-08-15 13:13:52-0600',mode:absolute,to:'2016-08-15 15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4.5999999999999999E-2</v>
          </cell>
          <cell r="Z96">
            <v>23.331499999999998</v>
          </cell>
          <cell r="AA96">
            <v>23.285499999999999</v>
          </cell>
          <cell r="AB96" t="e">
            <v>#N/A</v>
          </cell>
          <cell r="AC96" t="e">
            <v>#N/A</v>
          </cell>
          <cell r="AD96" t="str">
            <v>0183-15</v>
          </cell>
          <cell r="AE96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97">
          <cell r="A97" t="str">
            <v>184-15</v>
          </cell>
          <cell r="B97">
            <v>4010</v>
          </cell>
          <cell r="C97" t="str">
            <v>DE.1.0.7.0</v>
          </cell>
          <cell r="D97" t="str">
            <v>204:232974</v>
          </cell>
          <cell r="E97">
            <v>42597.625057870369</v>
          </cell>
          <cell r="F97">
            <v>42597.625925925924</v>
          </cell>
          <cell r="G97">
            <v>1</v>
          </cell>
          <cell r="H97" t="str">
            <v>204:147</v>
          </cell>
          <cell r="I97">
            <v>42597.654548611114</v>
          </cell>
          <cell r="J97">
            <v>0</v>
          </cell>
          <cell r="K97" t="str">
            <v>4009/4010</v>
          </cell>
          <cell r="L97" t="str">
            <v>HELVIE</v>
          </cell>
          <cell r="M97">
            <v>2.8622685189475305E-2</v>
          </cell>
          <cell r="N97">
            <v>41.21666667284444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https://search-rtdc-monitor-bjffxe2xuh6vdkpspy63sjmuny.us-east-1.es.amazonaws.com/_plugin/kibana/#/discover/Steve-Slow-Train-Analysis-(2080s-and-2083s)?_g=(refreshInterval:(display:Off,section:0,value:0),time:(from:'2016-08-15 14:00:05-0600',mode:absolute,to:'2016-08-15 16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7" t="str">
            <v>N</v>
          </cell>
          <cell r="X97">
            <v>1</v>
          </cell>
          <cell r="Y97">
            <v>23.2974</v>
          </cell>
          <cell r="Z97">
            <v>1.47E-2</v>
          </cell>
          <cell r="AA97">
            <v>23.282699999999998</v>
          </cell>
          <cell r="AB97" t="e">
            <v>#N/A</v>
          </cell>
          <cell r="AC97" t="e">
            <v>#N/A</v>
          </cell>
          <cell r="AD97" t="str">
            <v>0184-15</v>
          </cell>
          <cell r="AE97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98">
          <cell r="A98" t="str">
            <v>185-15</v>
          </cell>
          <cell r="B98">
            <v>4042</v>
          </cell>
          <cell r="C98" t="str">
            <v>DE.1.0.7.0</v>
          </cell>
          <cell r="D98" t="str">
            <v>204:446</v>
          </cell>
          <cell r="E98">
            <v>42597.595763888887</v>
          </cell>
          <cell r="F98">
            <v>42597.596932870372</v>
          </cell>
          <cell r="G98">
            <v>1</v>
          </cell>
          <cell r="H98" t="str">
            <v>204:233341</v>
          </cell>
          <cell r="I98">
            <v>42597.630335648151</v>
          </cell>
          <cell r="J98">
            <v>0</v>
          </cell>
          <cell r="K98" t="str">
            <v>4041/4042</v>
          </cell>
          <cell r="L98" t="str">
            <v>SHOOK</v>
          </cell>
          <cell r="M98">
            <v>3.3402777778974269E-2</v>
          </cell>
          <cell r="N98">
            <v>48.100000001722947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https://search-rtdc-monitor-bjffxe2xuh6vdkpspy63sjmuny.us-east-1.es.amazonaws.com/_plugin/kibana/#/discover/Steve-Slow-Train-Analysis-(2080s-and-2083s)?_g=(refreshInterval:(display:Off,section:0,value:0),time:(from:'2016-08-15 13:17:54-0600',mode:absolute,to:'2016-08-15 16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8" t="str">
            <v>N</v>
          </cell>
          <cell r="X98">
            <v>1</v>
          </cell>
          <cell r="Y98">
            <v>4.4600000000000001E-2</v>
          </cell>
          <cell r="Z98">
            <v>23.334099999999999</v>
          </cell>
          <cell r="AA98">
            <v>23.2895</v>
          </cell>
          <cell r="AB98" t="e">
            <v>#N/A</v>
          </cell>
          <cell r="AC98" t="e">
            <v>#N/A</v>
          </cell>
          <cell r="AD98" t="str">
            <v>0185-15</v>
          </cell>
          <cell r="AE98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99">
          <cell r="A99" t="str">
            <v>186-15</v>
          </cell>
          <cell r="B99">
            <v>4041</v>
          </cell>
          <cell r="C99" t="str">
            <v>DE.1.0.7.0</v>
          </cell>
          <cell r="D99" t="str">
            <v>204:233026</v>
          </cell>
          <cell r="E99">
            <v>42597.632650462961</v>
          </cell>
          <cell r="F99">
            <v>42597.633425925924</v>
          </cell>
          <cell r="G99">
            <v>1</v>
          </cell>
          <cell r="H99" t="str">
            <v>204:129</v>
          </cell>
          <cell r="I99">
            <v>42597.666319444441</v>
          </cell>
          <cell r="J99">
            <v>0</v>
          </cell>
          <cell r="K99" t="str">
            <v>4041/4042</v>
          </cell>
          <cell r="L99" t="str">
            <v>SHOOK</v>
          </cell>
          <cell r="M99">
            <v>3.2893518517084885E-2</v>
          </cell>
          <cell r="N99">
            <v>47.366666664602235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https://search-rtdc-monitor-bjffxe2xuh6vdkpspy63sjmuny.us-east-1.es.amazonaws.com/_plugin/kibana/#/discover/Steve-Slow-Train-Analysis-(2080s-and-2083s)?_g=(refreshInterval:(display:Off,section:0,value:0),time:(from:'2016-08-15 14:11:01-0600',mode:absolute,to:'2016-08-15 16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9" t="str">
            <v>N</v>
          </cell>
          <cell r="X99">
            <v>1</v>
          </cell>
          <cell r="Y99">
            <v>23.302600000000002</v>
          </cell>
          <cell r="Z99">
            <v>1.29E-2</v>
          </cell>
          <cell r="AA99">
            <v>23.289700000000003</v>
          </cell>
          <cell r="AB99">
            <v>33257</v>
          </cell>
          <cell r="AC99" t="str">
            <v>GRADE CROSSING</v>
          </cell>
          <cell r="AD99" t="str">
            <v>0186-15</v>
          </cell>
          <cell r="AE99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00">
          <cell r="A100" t="str">
            <v>187-15</v>
          </cell>
          <cell r="B100">
            <v>4044</v>
          </cell>
          <cell r="C100" t="str">
            <v>DE.1.0.7.0</v>
          </cell>
          <cell r="D100" t="str">
            <v>204:488</v>
          </cell>
          <cell r="E100">
            <v>42597.61105324074</v>
          </cell>
          <cell r="F100">
            <v>42597.612083333333</v>
          </cell>
          <cell r="G100">
            <v>1</v>
          </cell>
          <cell r="H100" t="str">
            <v>204:233278</v>
          </cell>
          <cell r="I100">
            <v>42597.642407407409</v>
          </cell>
          <cell r="J100">
            <v>0</v>
          </cell>
          <cell r="K100" t="str">
            <v>4043/4044</v>
          </cell>
          <cell r="L100" t="str">
            <v>STEWART</v>
          </cell>
          <cell r="M100">
            <v>3.0324074075906537E-2</v>
          </cell>
          <cell r="N100">
            <v>43.666666669305414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https://search-rtdc-monitor-bjffxe2xuh6vdkpspy63sjmuny.us-east-1.es.amazonaws.com/_plugin/kibana/#/discover/Steve-Slow-Train-Analysis-(2080s-and-2083s)?_g=(refreshInterval:(display:Off,section:0,value:0),time:(from:'2016-08-15 13:39:55-0600',mode:absolute,to:'2016-08-15 16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0" t="str">
            <v>N</v>
          </cell>
          <cell r="X100">
            <v>1</v>
          </cell>
          <cell r="Y100">
            <v>4.8800000000000003E-2</v>
          </cell>
          <cell r="Z100">
            <v>23.3278</v>
          </cell>
          <cell r="AA100">
            <v>23.279</v>
          </cell>
          <cell r="AB100" t="e">
            <v>#N/A</v>
          </cell>
          <cell r="AC100" t="e">
            <v>#N/A</v>
          </cell>
          <cell r="AD100" t="str">
            <v>0187-15</v>
          </cell>
          <cell r="AE100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01">
          <cell r="A101" t="str">
            <v>188-15</v>
          </cell>
          <cell r="B101">
            <v>4043</v>
          </cell>
          <cell r="C101" t="str">
            <v>DE.1.0.7.0</v>
          </cell>
          <cell r="D101" t="str">
            <v>204:232972</v>
          </cell>
          <cell r="E101">
            <v>42597.643495370372</v>
          </cell>
          <cell r="F101">
            <v>42597.644814814812</v>
          </cell>
          <cell r="G101">
            <v>1</v>
          </cell>
          <cell r="H101" t="str">
            <v>204:163</v>
          </cell>
          <cell r="I101">
            <v>42597.674479166664</v>
          </cell>
          <cell r="J101">
            <v>0</v>
          </cell>
          <cell r="K101" t="str">
            <v>4043/4044</v>
          </cell>
          <cell r="L101" t="str">
            <v>STEWART</v>
          </cell>
          <cell r="M101">
            <v>2.9664351852261461E-2</v>
          </cell>
          <cell r="N101">
            <v>42.716666667256504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1" t="str">
            <v>N</v>
          </cell>
          <cell r="X101">
            <v>1</v>
          </cell>
          <cell r="Y101">
            <v>23.2972</v>
          </cell>
          <cell r="Z101">
            <v>1.6299999999999999E-2</v>
          </cell>
          <cell r="AA101">
            <v>23.280899999999999</v>
          </cell>
          <cell r="AB101">
            <v>33257</v>
          </cell>
          <cell r="AC101" t="str">
            <v>GRADE CROSSING</v>
          </cell>
          <cell r="AD101" t="str">
            <v>0188-15</v>
          </cell>
          <cell r="AE101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02">
          <cell r="A102" t="str">
            <v>189-15</v>
          </cell>
          <cell r="B102">
            <v>4027</v>
          </cell>
          <cell r="C102" t="str">
            <v>DE.1.0.7.0</v>
          </cell>
          <cell r="D102" t="str">
            <v>204:438</v>
          </cell>
          <cell r="E102">
            <v>42597.617430555554</v>
          </cell>
          <cell r="F102">
            <v>42597.618321759262</v>
          </cell>
          <cell r="G102">
            <v>1</v>
          </cell>
          <cell r="H102" t="str">
            <v>204:233320</v>
          </cell>
          <cell r="I102">
            <v>42597.644976851851</v>
          </cell>
          <cell r="J102">
            <v>0</v>
          </cell>
          <cell r="K102" t="str">
            <v>4027/4028</v>
          </cell>
          <cell r="L102" t="str">
            <v>BARTLETT</v>
          </cell>
          <cell r="M102">
            <v>2.6655092588043772E-2</v>
          </cell>
          <cell r="N102">
            <v>38.383333326783031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https://search-rtdc-monitor-bjffxe2xuh6vdkpspy63sjmuny.us-east-1.es.amazonaws.com/_plugin/kibana/#/discover/Steve-Slow-Train-Analysis-(2080s-and-2083s)?_g=(refreshInterval:(display:Off,section:0,value:0),time:(from:'2016-08-15 13:49:06-0600',mode:absolute,to:'2016-08-15 16:28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2" t="str">
            <v>N</v>
          </cell>
          <cell r="X102">
            <v>1</v>
          </cell>
          <cell r="Y102">
            <v>4.3799999999999999E-2</v>
          </cell>
          <cell r="Z102">
            <v>23.332000000000001</v>
          </cell>
          <cell r="AA102">
            <v>23.2882</v>
          </cell>
          <cell r="AB102" t="e">
            <v>#N/A</v>
          </cell>
          <cell r="AC102" t="e">
            <v>#N/A</v>
          </cell>
          <cell r="AD102" t="str">
            <v>0189-15</v>
          </cell>
          <cell r="AE102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03">
          <cell r="A103" t="str">
            <v>190-15</v>
          </cell>
          <cell r="B103">
            <v>4028</v>
          </cell>
          <cell r="C103" t="str">
            <v>DE.1.0.7.0</v>
          </cell>
          <cell r="D103" t="str">
            <v>204:232988</v>
          </cell>
          <cell r="E103">
            <v>42597.650046296294</v>
          </cell>
          <cell r="F103">
            <v>42597.651076388887</v>
          </cell>
          <cell r="G103">
            <v>1</v>
          </cell>
          <cell r="H103" t="str">
            <v>204:143</v>
          </cell>
          <cell r="I103">
            <v>42597.683125000003</v>
          </cell>
          <cell r="J103">
            <v>0</v>
          </cell>
          <cell r="K103" t="str">
            <v>4027/4028</v>
          </cell>
          <cell r="L103" t="str">
            <v>BARTLETT</v>
          </cell>
          <cell r="M103">
            <v>3.2048611115897074E-2</v>
          </cell>
          <cell r="N103">
            <v>46.150000006891787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https://search-rtdc-monitor-bjffxe2xuh6vdkpspy63sjmuny.us-east-1.es.amazonaws.com/_plugin/kibana/#/discover/Steve-Slow-Train-Analysis-(2080s-and-2083s)?_g=(refreshInterval:(display:Off,section:0,value:0),time:(from:'2016-08-15 14:36:04-0600',mode:absolute,to:'2016-08-15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3" t="str">
            <v>N</v>
          </cell>
          <cell r="X103">
            <v>1</v>
          </cell>
          <cell r="Y103">
            <v>23.2988</v>
          </cell>
          <cell r="Z103">
            <v>1.43E-2</v>
          </cell>
          <cell r="AA103">
            <v>23.284500000000001</v>
          </cell>
          <cell r="AB103" t="e">
            <v>#N/A</v>
          </cell>
          <cell r="AC103" t="e">
            <v>#N/A</v>
          </cell>
          <cell r="AD103" t="str">
            <v>0190-15</v>
          </cell>
          <cell r="AE103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04">
          <cell r="A104" t="str">
            <v>191-15</v>
          </cell>
          <cell r="B104">
            <v>4020</v>
          </cell>
          <cell r="C104" t="str">
            <v>DE.1.0.7.0</v>
          </cell>
          <cell r="D104" t="str">
            <v>204:455</v>
          </cell>
          <cell r="E104">
            <v>42597.629976851851</v>
          </cell>
          <cell r="F104">
            <v>42597.63113425926</v>
          </cell>
          <cell r="G104">
            <v>1</v>
          </cell>
          <cell r="H104" t="str">
            <v>204:233310</v>
          </cell>
          <cell r="I104">
            <v>42597.659062500003</v>
          </cell>
          <cell r="J104">
            <v>0</v>
          </cell>
          <cell r="K104" t="str">
            <v>4019/4020</v>
          </cell>
          <cell r="L104" t="str">
            <v>HAITHCOX</v>
          </cell>
          <cell r="M104">
            <v>2.792824074276723E-2</v>
          </cell>
          <cell r="N104">
            <v>40.216666669584811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https://search-rtdc-monitor-bjffxe2xuh6vdkpspy63sjmuny.us-east-1.es.amazonaws.com/_plugin/kibana/#/discover/Steve-Slow-Train-Analysis-(2080s-and-2083s)?_g=(refreshInterval:(display:Off,section:0,value:0),time:(from:'2016-08-15 14:07:10-0600',mode:absolute,to:'2016-08-15 16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4" t="str">
            <v>N</v>
          </cell>
          <cell r="X104">
            <v>1</v>
          </cell>
          <cell r="Y104">
            <v>4.5499999999999999E-2</v>
          </cell>
          <cell r="Z104">
            <v>23.331</v>
          </cell>
          <cell r="AA104">
            <v>23.285499999999999</v>
          </cell>
          <cell r="AB104" t="e">
            <v>#N/A</v>
          </cell>
          <cell r="AC104" t="e">
            <v>#N/A</v>
          </cell>
          <cell r="AD104" t="str">
            <v>0191-15</v>
          </cell>
          <cell r="AE104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05">
          <cell r="A105" t="str">
            <v>192-15</v>
          </cell>
          <cell r="B105">
            <v>4019</v>
          </cell>
          <cell r="C105" t="str">
            <v>DE.1.0.7.0</v>
          </cell>
          <cell r="D105" t="str">
            <v>204:232981</v>
          </cell>
          <cell r="E105">
            <v>42597.660543981481</v>
          </cell>
          <cell r="F105">
            <v>42597.661319444444</v>
          </cell>
          <cell r="G105">
            <v>1</v>
          </cell>
          <cell r="H105" t="str">
            <v>204:158</v>
          </cell>
          <cell r="I105">
            <v>42597.691527777781</v>
          </cell>
          <cell r="J105">
            <v>0</v>
          </cell>
          <cell r="K105" t="str">
            <v>4019/4020</v>
          </cell>
          <cell r="L105" t="str">
            <v>HAITHCOX</v>
          </cell>
          <cell r="M105">
            <v>3.0208333337213844E-2</v>
          </cell>
          <cell r="N105">
            <v>43.500000005587935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https://search-rtdc-monitor-bjffxe2xuh6vdkpspy63sjmuny.us-east-1.es.amazonaws.com/_plugin/kibana/#/discover/Steve-Slow-Train-Analysis-(2080s-and-2083s)?_g=(refreshInterval:(display:Off,section:0,value:0),time:(from:'2016-08-15 14:51:11-0600',mode:absolute,to:'2016-08-15 17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5" t="str">
            <v>N</v>
          </cell>
          <cell r="X105">
            <v>1</v>
          </cell>
          <cell r="Y105">
            <v>23.298100000000002</v>
          </cell>
          <cell r="Z105">
            <v>1.5800000000000002E-2</v>
          </cell>
          <cell r="AA105">
            <v>23.282300000000003</v>
          </cell>
          <cell r="AB105" t="e">
            <v>#N/A</v>
          </cell>
          <cell r="AC105" t="e">
            <v>#N/A</v>
          </cell>
          <cell r="AD105" t="str">
            <v>0192-15</v>
          </cell>
          <cell r="AE105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06">
          <cell r="A106" t="str">
            <v>193-15</v>
          </cell>
          <cell r="B106">
            <v>4038</v>
          </cell>
          <cell r="C106" t="str">
            <v>DE.1.0.7.0</v>
          </cell>
          <cell r="D106" t="str">
            <v>204:473</v>
          </cell>
          <cell r="E106">
            <v>42597.634143518517</v>
          </cell>
          <cell r="F106">
            <v>42597.636157407411</v>
          </cell>
          <cell r="G106">
            <v>2</v>
          </cell>
          <cell r="H106" t="str">
            <v>204:233286</v>
          </cell>
          <cell r="I106">
            <v>42597.663888888892</v>
          </cell>
          <cell r="J106">
            <v>0</v>
          </cell>
          <cell r="K106" t="str">
            <v>4037/4038</v>
          </cell>
          <cell r="L106" t="str">
            <v>MAYBERRY</v>
          </cell>
          <cell r="M106">
            <v>2.7731481481168885E-2</v>
          </cell>
          <cell r="N106">
            <v>39.933333332883194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6" t="str">
            <v>N</v>
          </cell>
          <cell r="X106">
            <v>1</v>
          </cell>
          <cell r="Y106">
            <v>4.7300000000000002E-2</v>
          </cell>
          <cell r="Z106">
            <v>23.328600000000002</v>
          </cell>
          <cell r="AA106">
            <v>23.281300000000002</v>
          </cell>
          <cell r="AB106">
            <v>0</v>
          </cell>
          <cell r="AC106" t="str">
            <v>PERMANENT SPEED RESTRICTION</v>
          </cell>
          <cell r="AD106" t="str">
            <v>0193-15</v>
          </cell>
          <cell r="AE10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107">
          <cell r="A107" t="str">
            <v>194-15</v>
          </cell>
          <cell r="B107">
            <v>4037</v>
          </cell>
          <cell r="C107" t="str">
            <v>DE.1.0.7.0</v>
          </cell>
          <cell r="D107" t="str">
            <v>204:232971</v>
          </cell>
          <cell r="E107">
            <v>42597.665532407409</v>
          </cell>
          <cell r="F107">
            <v>42597.668356481481</v>
          </cell>
          <cell r="G107">
            <v>4</v>
          </cell>
          <cell r="H107" t="str">
            <v>204:127</v>
          </cell>
          <cell r="I107">
            <v>42597.704155092593</v>
          </cell>
          <cell r="J107">
            <v>0</v>
          </cell>
          <cell r="K107" t="str">
            <v>4037/4038</v>
          </cell>
          <cell r="L107" t="str">
            <v>MAYBERRY</v>
          </cell>
          <cell r="M107">
            <v>3.5798611112113576E-2</v>
          </cell>
          <cell r="N107">
            <v>51.55000000144355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https://search-rtdc-monitor-bjffxe2xuh6vdkpspy63sjmuny.us-east-1.es.amazonaws.com/_plugin/kibana/#/discover/Steve-Slow-Train-Analysis-(2080s-and-2083s)?_g=(refreshInterval:(display:Off,section:0,value:0),time:(from:'2016-08-15 14:58:22-0600',mode:absolute,to:'2016-08-15 17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7" t="str">
            <v>N</v>
          </cell>
          <cell r="X107">
            <v>1</v>
          </cell>
          <cell r="Y107">
            <v>23.2971</v>
          </cell>
          <cell r="Z107">
            <v>1.2699999999999999E-2</v>
          </cell>
          <cell r="AA107">
            <v>23.284400000000002</v>
          </cell>
          <cell r="AB107" t="e">
            <v>#N/A</v>
          </cell>
          <cell r="AC107" t="e">
            <v>#N/A</v>
          </cell>
          <cell r="AD107" t="str">
            <v>0194-15</v>
          </cell>
          <cell r="AE107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108">
          <cell r="A108" t="str">
            <v>195-15</v>
          </cell>
          <cell r="B108">
            <v>4031</v>
          </cell>
          <cell r="C108" t="str">
            <v>DE.1.0.7.0</v>
          </cell>
          <cell r="D108" t="str">
            <v>204:458</v>
          </cell>
          <cell r="E108">
            <v>42597.649247685185</v>
          </cell>
          <cell r="F108">
            <v>42597.650324074071</v>
          </cell>
          <cell r="G108">
            <v>1</v>
          </cell>
          <cell r="H108" t="str">
            <v>204:233327</v>
          </cell>
          <cell r="I108">
            <v>42597.680509259262</v>
          </cell>
          <cell r="J108">
            <v>0</v>
          </cell>
          <cell r="K108" t="str">
            <v>4031/4032</v>
          </cell>
          <cell r="L108" t="str">
            <v>YOUNG</v>
          </cell>
          <cell r="M108">
            <v>3.0185185190930497E-2</v>
          </cell>
          <cell r="N108">
            <v>43.466666674939916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https://search-rtdc-monitor-bjffxe2xuh6vdkpspy63sjmuny.us-east-1.es.amazonaws.com/_plugin/kibana/#/discover/Steve-Slow-Train-Analysis-(2080s-and-2083s)?_g=(refreshInterval:(display:Off,section:0,value:0),time:(from:'2016-08-15 14:34:55-0600',mode:absolute,to:'2016-08-15 17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8" t="str">
            <v>N</v>
          </cell>
          <cell r="X108">
            <v>1</v>
          </cell>
          <cell r="Y108">
            <v>4.58E-2</v>
          </cell>
          <cell r="Z108">
            <v>23.332699999999999</v>
          </cell>
          <cell r="AA108">
            <v>23.286899999999999</v>
          </cell>
          <cell r="AB108" t="e">
            <v>#N/A</v>
          </cell>
          <cell r="AC108" t="e">
            <v>#N/A</v>
          </cell>
          <cell r="AD108" t="str">
            <v>0195-15</v>
          </cell>
          <cell r="AE108" t="str">
    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    </cell>
        </row>
        <row r="109">
          <cell r="A109" t="str">
            <v>196-15</v>
          </cell>
          <cell r="B109">
            <v>4032</v>
          </cell>
          <cell r="C109" t="str">
            <v>DE.1.0.7.0</v>
          </cell>
          <cell r="D109" t="str">
            <v>204:233030</v>
          </cell>
          <cell r="E109">
            <v>42597.682118055556</v>
          </cell>
          <cell r="F109">
            <v>42597.683067129627</v>
          </cell>
          <cell r="G109">
            <v>1</v>
          </cell>
          <cell r="H109" t="str">
            <v>204:231233</v>
          </cell>
          <cell r="I109">
            <v>42597.685497685183</v>
          </cell>
          <cell r="J109">
            <v>0</v>
          </cell>
          <cell r="K109" t="str">
            <v>4031/4032</v>
          </cell>
          <cell r="L109" t="str">
            <v>YOUNG</v>
          </cell>
          <cell r="M109">
            <v>2.4305555562023073E-3</v>
          </cell>
          <cell r="P109">
            <v>3.5000000009313226</v>
          </cell>
          <cell r="R109" t="str">
            <v>Onboard in-route failure</v>
          </cell>
          <cell r="S109">
            <v>0</v>
          </cell>
          <cell r="T109" t="str">
            <v>Southbound</v>
          </cell>
          <cell r="U109">
            <v>0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https://search-rtdc-monitor-bjffxe2xuh6vdkpspy63sjmuny.us-east-1.es.amazonaws.com/_plugin/kibana/#/discover/Steve-Slow-Train-Analysis-(2080s-and-2083s)?_g=(refreshInterval:(display:Off,section:0,value:0),time:(from:'2016-08-15 15:22:15-0600',mode:absolute,to:'2016-08-15 17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9" t="str">
            <v>Y</v>
          </cell>
          <cell r="X109">
            <v>1</v>
          </cell>
          <cell r="Y109">
            <v>23.303000000000001</v>
          </cell>
          <cell r="Z109">
            <v>23.1233</v>
          </cell>
          <cell r="AA109">
            <v>0.17970000000000041</v>
          </cell>
          <cell r="AB109" t="e">
            <v>#N/A</v>
          </cell>
          <cell r="AC109" t="e">
            <v>#N/A</v>
          </cell>
          <cell r="AD109" t="str">
            <v>0196-15</v>
          </cell>
          <cell r="AE109" t="str">
    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    </cell>
        </row>
        <row r="110">
          <cell r="A110" t="str">
            <v>197-15</v>
          </cell>
          <cell r="B110">
            <v>4009</v>
          </cell>
          <cell r="C110" t="str">
            <v>DE.1.0.7.0</v>
          </cell>
          <cell r="D110" t="str">
            <v>204:426</v>
          </cell>
          <cell r="E110">
            <v>42597.655555555553</v>
          </cell>
          <cell r="F110">
            <v>42597.656597222223</v>
          </cell>
          <cell r="G110">
            <v>1</v>
          </cell>
          <cell r="H110" t="str">
            <v>204:233297</v>
          </cell>
          <cell r="I110">
            <v>42597.682581018518</v>
          </cell>
          <cell r="J110">
            <v>0</v>
          </cell>
          <cell r="K110" t="str">
            <v>4009/4010</v>
          </cell>
          <cell r="L110" t="str">
            <v>HELVIE</v>
          </cell>
          <cell r="M110">
            <v>2.5983796294895001E-2</v>
          </cell>
          <cell r="N110">
            <v>37.416666664648801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https://search-rtdc-monitor-bjffxe2xuh6vdkpspy63sjmuny.us-east-1.es.amazonaws.com/_plugin/kibana/#/discover/Steve-Slow-Train-Analysis-(2080s-and-2083s)?_g=(refreshInterval:(display:Off,section:0,value:0),time:(from:'2016-08-15 14:44:00-0600',mode:absolute,to:'2016-08-15 17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0" t="str">
            <v>N</v>
          </cell>
          <cell r="X110">
            <v>1</v>
          </cell>
          <cell r="Y110">
            <v>4.2599999999999999E-2</v>
          </cell>
          <cell r="Z110">
            <v>23.329699999999999</v>
          </cell>
          <cell r="AA110">
            <v>23.287099999999999</v>
          </cell>
          <cell r="AB110" t="e">
            <v>#N/A</v>
          </cell>
          <cell r="AC110" t="e">
            <v>#N/A</v>
          </cell>
          <cell r="AD110" t="str">
            <v>0197-15</v>
          </cell>
          <cell r="AE110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111">
          <cell r="A111" t="str">
            <v>198-15</v>
          </cell>
          <cell r="B111">
            <v>4010</v>
          </cell>
          <cell r="C111" t="str">
            <v>DE.1.0.7.0</v>
          </cell>
          <cell r="D111" t="str">
            <v>204:232969</v>
          </cell>
          <cell r="E111">
            <v>42597.69059027778</v>
          </cell>
          <cell r="F111">
            <v>42597.691678240742</v>
          </cell>
          <cell r="G111">
            <v>1</v>
          </cell>
          <cell r="H111" t="str">
            <v>204:152</v>
          </cell>
          <cell r="I111">
            <v>42597.727025462962</v>
          </cell>
          <cell r="J111">
            <v>0</v>
          </cell>
          <cell r="K111" t="str">
            <v>4009/4010</v>
          </cell>
          <cell r="L111" t="str">
            <v>HELVIE</v>
          </cell>
          <cell r="M111">
            <v>3.534722221957054E-2</v>
          </cell>
          <cell r="N111">
            <v>50.899999996181577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https://search-rtdc-monitor-bjffxe2xuh6vdkpspy63sjmuny.us-east-1.es.amazonaws.com/_plugin/kibana/#/discover/Steve-Slow-Train-Analysis-(2080s-and-2083s)?_g=(refreshInterval:(display:Off,section:0,value:0),time:(from:'2016-08-15 15:34:27-0600',mode:absolute,to:'2016-08-15 18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1" t="str">
            <v>N</v>
          </cell>
          <cell r="X111">
            <v>1</v>
          </cell>
          <cell r="Y111">
            <v>23.296900000000001</v>
          </cell>
          <cell r="Z111">
            <v>1.52E-2</v>
          </cell>
          <cell r="AA111">
            <v>23.281700000000001</v>
          </cell>
          <cell r="AB111" t="e">
            <v>#N/A</v>
          </cell>
          <cell r="AC111" t="e">
            <v>#N/A</v>
          </cell>
          <cell r="AD111" t="str">
            <v>0198-15</v>
          </cell>
          <cell r="AE111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12">
          <cell r="A112" t="str">
            <v>199-15</v>
          </cell>
          <cell r="B112">
            <v>4042</v>
          </cell>
          <cell r="C112" t="str">
            <v>DE.1.0.7.0</v>
          </cell>
          <cell r="D112" t="str">
            <v>204:427</v>
          </cell>
          <cell r="E112">
            <v>42597.670266203706</v>
          </cell>
          <cell r="F112">
            <v>42597.671516203707</v>
          </cell>
          <cell r="G112">
            <v>1</v>
          </cell>
          <cell r="H112" t="str">
            <v>204:233289</v>
          </cell>
          <cell r="I112">
            <v>42597.700694444444</v>
          </cell>
          <cell r="J112">
            <v>0</v>
          </cell>
          <cell r="K112" t="str">
            <v>4041/4042</v>
          </cell>
          <cell r="L112" t="str">
            <v>HOMIK</v>
          </cell>
          <cell r="M112">
            <v>2.9178240736655425E-2</v>
          </cell>
          <cell r="N112">
            <v>42.016666660783812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https://search-rtdc-monitor-bjffxe2xuh6vdkpspy63sjmuny.us-east-1.es.amazonaws.com/_plugin/kibana/#/discover/Steve-Slow-Train-Analysis-(2080s-and-2083s)?_g=(refreshInterval:(display:Off,section:0,value:0),time:(from:'2016-08-15 15:05:11-0600',mode:absolute,to:'2016-08-15 17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12" t="str">
            <v>N</v>
          </cell>
          <cell r="X112">
            <v>1</v>
          </cell>
          <cell r="Y112">
            <v>4.2700000000000002E-2</v>
          </cell>
          <cell r="Z112">
            <v>23.328900000000001</v>
          </cell>
          <cell r="AA112">
            <v>23.286200000000001</v>
          </cell>
          <cell r="AB112" t="e">
            <v>#N/A</v>
          </cell>
          <cell r="AC112" t="e">
            <v>#N/A</v>
          </cell>
          <cell r="AD112" t="str">
            <v>0199-15</v>
          </cell>
          <cell r="AE11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13">
          <cell r="A113" t="str">
            <v>200-15</v>
          </cell>
          <cell r="B113">
            <v>4041</v>
          </cell>
          <cell r="C113" t="str">
            <v>DE.1.0.7.0</v>
          </cell>
          <cell r="D113" t="str">
            <v>204:232972</v>
          </cell>
          <cell r="E113">
            <v>42597.703356481485</v>
          </cell>
          <cell r="F113">
            <v>42597.704652777778</v>
          </cell>
          <cell r="G113">
            <v>1</v>
          </cell>
          <cell r="H113" t="str">
            <v>204:165</v>
          </cell>
          <cell r="I113">
            <v>42597.734710648147</v>
          </cell>
          <cell r="J113">
            <v>0</v>
          </cell>
          <cell r="K113" t="str">
            <v>4041/4042</v>
          </cell>
          <cell r="L113" t="str">
            <v>HOMIK</v>
          </cell>
          <cell r="M113">
            <v>3.0057870368182193E-2</v>
          </cell>
          <cell r="N113">
            <v>43.283333330182359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https://search-rtdc-monitor-bjffxe2xuh6vdkpspy63sjmuny.us-east-1.es.amazonaws.com/_plugin/kibana/#/discover/Steve-Slow-Train-Analysis-(2080s-and-2083s)?_g=(refreshInterval:(display:Off,section:0,value:0),time:(from:'2016-08-15 15:52:50-0600',mode:absolute,to:'2016-08-15 18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13" t="str">
            <v>N</v>
          </cell>
          <cell r="X113">
            <v>1</v>
          </cell>
          <cell r="Y113">
            <v>23.2972</v>
          </cell>
          <cell r="Z113">
            <v>1.6500000000000001E-2</v>
          </cell>
          <cell r="AA113">
            <v>23.2807</v>
          </cell>
          <cell r="AB113" t="e">
            <v>#N/A</v>
          </cell>
          <cell r="AC113" t="e">
            <v>#N/A</v>
          </cell>
          <cell r="AD113" t="str">
            <v>0200-15</v>
          </cell>
          <cell r="AE113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14">
          <cell r="A114" t="str">
            <v>201-15</v>
          </cell>
          <cell r="B114">
            <v>4044</v>
          </cell>
          <cell r="C114" t="str">
            <v>DE.1.0.7.0</v>
          </cell>
          <cell r="D114" t="str">
            <v>204:449</v>
          </cell>
          <cell r="E114">
            <v>42597.676122685189</v>
          </cell>
          <cell r="F114">
            <v>42597.677256944444</v>
          </cell>
          <cell r="G114">
            <v>1</v>
          </cell>
          <cell r="H114" t="str">
            <v>204:233280</v>
          </cell>
          <cell r="I114">
            <v>42597.708402777775</v>
          </cell>
          <cell r="J114">
            <v>0</v>
          </cell>
          <cell r="K114" t="str">
            <v>4043/4044</v>
          </cell>
          <cell r="L114" t="str">
            <v>STEWART</v>
          </cell>
          <cell r="M114">
            <v>3.1145833330811001E-2</v>
          </cell>
          <cell r="N114">
            <v>44.849999996367842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4" t="str">
            <v>N</v>
          </cell>
          <cell r="X114">
            <v>1</v>
          </cell>
          <cell r="Y114">
            <v>4.4900000000000002E-2</v>
          </cell>
          <cell r="Z114">
            <v>23.327999999999999</v>
          </cell>
          <cell r="AA114">
            <v>23.283100000000001</v>
          </cell>
          <cell r="AB114">
            <v>33137</v>
          </cell>
          <cell r="AC114" t="str">
            <v>GRADE CROSSING</v>
          </cell>
          <cell r="AD114" t="str">
            <v>0201-15</v>
          </cell>
          <cell r="AE114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15">
          <cell r="A115" t="str">
            <v>202-15</v>
          </cell>
          <cell r="B115">
            <v>4043</v>
          </cell>
          <cell r="C115" t="str">
            <v>DE.1.0.7.0</v>
          </cell>
          <cell r="D115" t="str">
            <v>204:232955</v>
          </cell>
          <cell r="E115">
            <v>42597.712812500002</v>
          </cell>
          <cell r="F115">
            <v>42597.71402777778</v>
          </cell>
          <cell r="G115">
            <v>1</v>
          </cell>
          <cell r="H115" t="str">
            <v>204:149</v>
          </cell>
          <cell r="I115">
            <v>42597.744849537034</v>
          </cell>
          <cell r="J115">
            <v>0</v>
          </cell>
          <cell r="K115" t="str">
            <v>4043/4044</v>
          </cell>
          <cell r="L115" t="str">
            <v>STEWART</v>
          </cell>
          <cell r="M115">
            <v>3.0821759253740311E-2</v>
          </cell>
          <cell r="N115">
            <v>44.383333325386047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https://search-rtdc-monitor-bjffxe2xuh6vdkpspy63sjmuny.us-east-1.es.amazonaws.com/_plugin/kibana/#/discover/Steve-Slow-Train-Analysis-(2080s-and-2083s)?_g=(refreshInterval:(display:Off,section:0,value:0),time:(from:'2016-08-15 16:06:27-0600',mode:absolute,to:'2016-08-15 18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5" t="str">
            <v>N</v>
          </cell>
          <cell r="X115">
            <v>1</v>
          </cell>
          <cell r="Y115">
            <v>23.295500000000001</v>
          </cell>
          <cell r="Z115">
            <v>1.49E-2</v>
          </cell>
          <cell r="AA115">
            <v>23.2806</v>
          </cell>
          <cell r="AB115" t="e">
            <v>#N/A</v>
          </cell>
          <cell r="AC115" t="e">
            <v>#N/A</v>
          </cell>
          <cell r="AD115" t="str">
            <v>0202-15</v>
          </cell>
          <cell r="AE115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16">
          <cell r="A116" t="str">
            <v>203-15</v>
          </cell>
          <cell r="B116">
            <v>4027</v>
          </cell>
          <cell r="C116" t="str">
            <v>DE.1.0.7.0</v>
          </cell>
          <cell r="D116" t="str">
            <v>204:457</v>
          </cell>
          <cell r="E116">
            <v>42597.684444444443</v>
          </cell>
          <cell r="F116">
            <v>42597.685312499998</v>
          </cell>
          <cell r="G116">
            <v>1</v>
          </cell>
          <cell r="H116" t="str">
            <v>204:233308</v>
          </cell>
          <cell r="I116">
            <v>42597.714999999997</v>
          </cell>
          <cell r="J116">
            <v>0</v>
          </cell>
          <cell r="K116" t="str">
            <v>4027/4028</v>
          </cell>
          <cell r="L116" t="str">
            <v>BARTLETT</v>
          </cell>
          <cell r="M116">
            <v>2.9687499998544808E-2</v>
          </cell>
          <cell r="N116">
            <v>42.749999997904524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https://search-rtdc-monitor-bjffxe2xuh6vdkpspy63sjmuny.us-east-1.es.amazonaws.com/_plugin/kibana/#/discover/Steve-Slow-Train-Analysis-(2080s-and-2083s)?_g=(refreshInterval:(display:Off,section:0,value:0),time:(from:'2016-08-15 15:25:36-0600',mode:absolute,to:'2016-08-15 18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N</v>
          </cell>
          <cell r="X116">
            <v>1</v>
          </cell>
          <cell r="Y116">
            <v>4.5699999999999998E-2</v>
          </cell>
          <cell r="Z116">
            <v>23.3308</v>
          </cell>
          <cell r="AA116">
            <v>23.2851</v>
          </cell>
          <cell r="AB116" t="e">
            <v>#N/A</v>
          </cell>
          <cell r="AC116" t="e">
            <v>#N/A</v>
          </cell>
          <cell r="AD116" t="str">
            <v>0203-15</v>
          </cell>
          <cell r="AE11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17">
          <cell r="A117" t="str">
            <v>204-15</v>
          </cell>
          <cell r="B117">
            <v>4028</v>
          </cell>
          <cell r="C117" t="str">
            <v>DE.1.0.7.0</v>
          </cell>
          <cell r="D117" t="str">
            <v>204:232994</v>
          </cell>
          <cell r="E117">
            <v>42597.718356481484</v>
          </cell>
          <cell r="F117">
            <v>42597.719143518516</v>
          </cell>
          <cell r="G117">
            <v>1</v>
          </cell>
          <cell r="H117" t="str">
            <v>204:174</v>
          </cell>
          <cell r="I117">
            <v>42597.755127314813</v>
          </cell>
          <cell r="J117">
            <v>0</v>
          </cell>
          <cell r="K117" t="str">
            <v>4027/4028</v>
          </cell>
          <cell r="L117" t="str">
            <v>BARTLETT</v>
          </cell>
          <cell r="M117">
            <v>3.5983796296932269E-2</v>
          </cell>
          <cell r="N117">
            <v>51.816666667582467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https://search-rtdc-monitor-bjffxe2xuh6vdkpspy63sjmuny.us-east-1.es.amazonaws.com/_plugin/kibana/#/discover/Steve-Slow-Train-Analysis-(2080s-and-2083s)?_g=(refreshInterval:(display:Off,section:0,value:0),time:(from:'2016-08-15 16:14:26-0600',mode:absolute,to:'2016-08-15 19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7" t="str">
            <v>N</v>
          </cell>
          <cell r="X117">
            <v>1</v>
          </cell>
          <cell r="Y117">
            <v>23.299399999999999</v>
          </cell>
          <cell r="Z117">
            <v>1.7399999999999999E-2</v>
          </cell>
          <cell r="AA117">
            <v>23.282</v>
          </cell>
          <cell r="AB117" t="e">
            <v>#N/A</v>
          </cell>
          <cell r="AC117" t="e">
            <v>#N/A</v>
          </cell>
          <cell r="AD117" t="str">
            <v>0204-15</v>
          </cell>
          <cell r="AE11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18">
          <cell r="A118" t="str">
            <v>205-15</v>
          </cell>
          <cell r="B118">
            <v>4020</v>
          </cell>
          <cell r="C118" t="str">
            <v>DE.1.0.7.0</v>
          </cell>
          <cell r="D118" t="str">
            <v>204:455</v>
          </cell>
          <cell r="E118">
            <v>42597.692881944444</v>
          </cell>
          <cell r="F118">
            <v>42597.69390046296</v>
          </cell>
          <cell r="G118">
            <v>1</v>
          </cell>
          <cell r="H118" t="str">
            <v>204:233326</v>
          </cell>
          <cell r="I118">
            <v>42597.724537037036</v>
          </cell>
          <cell r="J118">
            <v>0</v>
          </cell>
          <cell r="K118" t="str">
            <v>4019/4020</v>
          </cell>
          <cell r="L118" t="str">
            <v>HAITHCOX</v>
          </cell>
          <cell r="M118">
            <v>3.0636574076197576E-2</v>
          </cell>
          <cell r="N118">
            <v>44.116666669724509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https://search-rtdc-monitor-bjffxe2xuh6vdkpspy63sjmuny.us-east-1.es.amazonaws.com/_plugin/kibana/#/discover/Steve-Slow-Train-Analysis-(2080s-and-2083s)?_g=(refreshInterval:(display:Off,section:0,value:0),time:(from:'2016-08-15 15:37:45-0600',mode:absolute,to:'2016-08-15 18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8" t="str">
            <v>N</v>
          </cell>
          <cell r="X118">
            <v>1</v>
          </cell>
          <cell r="Y118">
            <v>4.5499999999999999E-2</v>
          </cell>
          <cell r="Z118">
            <v>23.332599999999999</v>
          </cell>
          <cell r="AA118">
            <v>23.287099999999999</v>
          </cell>
          <cell r="AB118" t="e">
            <v>#N/A</v>
          </cell>
          <cell r="AC118" t="e">
            <v>#N/A</v>
          </cell>
          <cell r="AD118" t="str">
            <v>0205-15</v>
          </cell>
          <cell r="AE11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19">
          <cell r="A119" t="str">
            <v>206-15</v>
          </cell>
          <cell r="B119">
            <v>4019</v>
          </cell>
          <cell r="C119" t="str">
            <v>DE.1.0.7.0</v>
          </cell>
          <cell r="D119" t="str">
            <v>204:233001</v>
          </cell>
          <cell r="E119">
            <v>42597.734293981484</v>
          </cell>
          <cell r="F119">
            <v>42597.735115740739</v>
          </cell>
          <cell r="G119">
            <v>1</v>
          </cell>
          <cell r="H119" t="str">
            <v>204:152</v>
          </cell>
          <cell r="I119">
            <v>42597.766817129632</v>
          </cell>
          <cell r="J119">
            <v>0</v>
          </cell>
          <cell r="K119" t="str">
            <v>4019/4020</v>
          </cell>
          <cell r="L119" t="str">
            <v>HAITHCOX</v>
          </cell>
          <cell r="M119">
            <v>3.1701388892543036E-2</v>
          </cell>
          <cell r="N119">
            <v>45.650000005261973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https://search-rtdc-monitor-bjffxe2xuh6vdkpspy63sjmuny.us-east-1.es.amazonaws.com/_plugin/kibana/#/discover/Steve-Slow-Train-Analysis-(2080s-and-2083s)?_g=(refreshInterval:(display:Off,section:0,value:0),time:(from:'2016-08-15 16:37:23-0600',mode:absolute,to:'2016-08-15 19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9" t="str">
            <v>N</v>
          </cell>
          <cell r="X119">
            <v>1</v>
          </cell>
          <cell r="Y119">
            <v>23.3001</v>
          </cell>
          <cell r="Z119">
            <v>1.52E-2</v>
          </cell>
          <cell r="AA119">
            <v>23.2849</v>
          </cell>
          <cell r="AB119" t="e">
            <v>#N/A</v>
          </cell>
          <cell r="AC119" t="e">
            <v>#N/A</v>
          </cell>
          <cell r="AD119" t="str">
            <v>0206-15</v>
          </cell>
          <cell r="AE11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20">
          <cell r="A120" t="str">
            <v>207-15</v>
          </cell>
          <cell r="B120">
            <v>4038</v>
          </cell>
          <cell r="C120" t="str">
            <v>DE.1.0.7.0</v>
          </cell>
          <cell r="D120" t="str">
            <v>204:482</v>
          </cell>
          <cell r="E120">
            <v>42597.705914351849</v>
          </cell>
          <cell r="F120">
            <v>42597.706990740742</v>
          </cell>
          <cell r="G120">
            <v>1</v>
          </cell>
          <cell r="H120" t="str">
            <v>204:233264</v>
          </cell>
          <cell r="I120">
            <v>42597.735798611109</v>
          </cell>
          <cell r="J120">
            <v>0</v>
          </cell>
          <cell r="K120" t="str">
            <v>4037/4038</v>
          </cell>
          <cell r="L120" t="str">
            <v>MAYBERRY</v>
          </cell>
          <cell r="M120">
            <v>2.880787036701804E-2</v>
          </cell>
          <cell r="N120">
            <v>41.483333328505978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https://search-rtdc-monitor-bjffxe2xuh6vdkpspy63sjmuny.us-east-1.es.amazonaws.com/_plugin/kibana/#/discover/Steve-Slow-Train-Analysis-(2080s-and-2083s)?_g=(refreshInterval:(display:Off,section:0,value:0),time:(from:'2016-08-15 15:56:31-0600',mode:absolute,to:'2016-08-15 18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0" t="str">
            <v>N</v>
          </cell>
          <cell r="X120">
            <v>1</v>
          </cell>
          <cell r="Y120">
            <v>4.82E-2</v>
          </cell>
          <cell r="Z120">
            <v>23.3264</v>
          </cell>
          <cell r="AA120">
            <v>23.278199999999998</v>
          </cell>
          <cell r="AB120" t="e">
            <v>#N/A</v>
          </cell>
          <cell r="AC120" t="e">
            <v>#N/A</v>
          </cell>
          <cell r="AD120" t="str">
            <v>0207-15</v>
          </cell>
          <cell r="AE120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121">
          <cell r="A121" t="str">
            <v>208-15</v>
          </cell>
          <cell r="B121">
            <v>4037</v>
          </cell>
          <cell r="C121" t="str">
            <v>DE.1.0.7.0</v>
          </cell>
          <cell r="D121" t="str">
            <v>204:232962</v>
          </cell>
          <cell r="E121">
            <v>42597.738229166665</v>
          </cell>
          <cell r="F121">
            <v>42597.739328703705</v>
          </cell>
          <cell r="G121">
            <v>1</v>
          </cell>
          <cell r="H121" t="str">
            <v>204:158</v>
          </cell>
          <cell r="I121">
            <v>42597.779363425929</v>
          </cell>
          <cell r="J121">
            <v>0</v>
          </cell>
          <cell r="K121" t="str">
            <v>4037/4038</v>
          </cell>
          <cell r="L121" t="str">
            <v>MAYBERRY</v>
          </cell>
          <cell r="M121">
            <v>4.0034722223936114E-2</v>
          </cell>
          <cell r="N121">
            <v>57.650000002468005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https://search-rtdc-monitor-bjffxe2xuh6vdkpspy63sjmuny.us-east-1.es.amazonaws.com/_plugin/kibana/#/discover/Steve-Slow-Train-Analysis-(2080s-and-2083s)?_g=(refreshInterval:(display:Off,section:0,value:0),time:(from:'2016-08-15 16:43:03-0600',mode:absolute,to:'2016-08-15 19:42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1" t="str">
            <v>N</v>
          </cell>
          <cell r="X121">
            <v>1</v>
          </cell>
          <cell r="Y121">
            <v>23.296199999999999</v>
          </cell>
          <cell r="Z121">
            <v>1.5800000000000002E-2</v>
          </cell>
          <cell r="AA121">
            <v>23.2804</v>
          </cell>
          <cell r="AB121" t="e">
            <v>#N/A</v>
          </cell>
          <cell r="AC121" t="e">
            <v>#N/A</v>
          </cell>
          <cell r="AD121" t="str">
            <v>0208-15</v>
          </cell>
          <cell r="AE121" t="str">
    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    </cell>
        </row>
        <row r="122">
          <cell r="A122" t="str">
            <v>209-15</v>
          </cell>
          <cell r="B122">
            <v>4007</v>
          </cell>
          <cell r="C122" t="str">
            <v>DE.1.0.7.0</v>
          </cell>
          <cell r="D122" t="str">
            <v>204:457</v>
          </cell>
          <cell r="E122">
            <v>42597.717499999999</v>
          </cell>
          <cell r="F122">
            <v>42597.71875</v>
          </cell>
          <cell r="G122">
            <v>1</v>
          </cell>
          <cell r="H122" t="str">
            <v>204:233297</v>
          </cell>
          <cell r="I122">
            <v>42597.744988425926</v>
          </cell>
          <cell r="J122">
            <v>0</v>
          </cell>
          <cell r="K122" t="str">
            <v>4007/4008</v>
          </cell>
          <cell r="L122" t="str">
            <v>OUN</v>
          </cell>
          <cell r="M122">
            <v>2.6238425925839692E-2</v>
          </cell>
          <cell r="N122">
            <v>37.783333333209157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https://search-rtdc-monitor-bjffxe2xuh6vdkpspy63sjmuny.us-east-1.es.amazonaws.com/_plugin/kibana/#/discover/Steve-Slow-Train-Analysis-(2080s-and-2083s)?_g=(refreshInterval:(display:Off,section:0,value:0),time:(from:'2016-08-15 16:13:12-0600',mode:absolute,to:'2016-08-15 18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2" t="str">
            <v>N</v>
          </cell>
          <cell r="X122">
            <v>1</v>
          </cell>
          <cell r="Y122">
            <v>4.5699999999999998E-2</v>
          </cell>
          <cell r="Z122">
            <v>23.329699999999999</v>
          </cell>
          <cell r="AA122">
            <v>23.283999999999999</v>
          </cell>
          <cell r="AB122" t="e">
            <v>#N/A</v>
          </cell>
          <cell r="AC122" t="e">
            <v>#N/A</v>
          </cell>
          <cell r="AD122" t="str">
            <v>0209-15</v>
          </cell>
          <cell r="AE122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23">
          <cell r="A123" t="str">
            <v>210-15</v>
          </cell>
          <cell r="B123">
            <v>4008</v>
          </cell>
          <cell r="C123" t="str">
            <v>DE.1.0.7.0</v>
          </cell>
          <cell r="D123" t="str">
            <v>204:232963</v>
          </cell>
          <cell r="E123">
            <v>42597.752071759256</v>
          </cell>
          <cell r="F123">
            <v>42597.753078703703</v>
          </cell>
          <cell r="G123">
            <v>1</v>
          </cell>
          <cell r="H123" t="str">
            <v>204:139</v>
          </cell>
          <cell r="I123">
            <v>42597.784733796296</v>
          </cell>
          <cell r="J123">
            <v>0</v>
          </cell>
          <cell r="K123" t="str">
            <v>4007/4008</v>
          </cell>
          <cell r="L123" t="str">
            <v>OUN</v>
          </cell>
          <cell r="M123">
            <v>3.1655092592700385E-2</v>
          </cell>
          <cell r="N123">
            <v>45.583333333488554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https://search-rtdc-monitor-bjffxe2xuh6vdkpspy63sjmuny.us-east-1.es.amazonaws.com/_plugin/kibana/#/discover/Steve-Slow-Train-Analysis-(2080s-and-2083s)?_g=(refreshInterval:(display:Off,section:0,value:0),time:(from:'2016-08-15 17:02:59-0600',mode:absolute,to:'2016-08-15 19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3" t="str">
            <v>N</v>
          </cell>
          <cell r="X123">
            <v>1</v>
          </cell>
          <cell r="Y123">
            <v>23.296299999999999</v>
          </cell>
          <cell r="Z123">
            <v>1.3899999999999999E-2</v>
          </cell>
          <cell r="AA123">
            <v>23.282399999999999</v>
          </cell>
          <cell r="AB123" t="e">
            <v>#N/A</v>
          </cell>
          <cell r="AC123" t="e">
            <v>#N/A</v>
          </cell>
          <cell r="AD123" t="str">
            <v>0210-15</v>
          </cell>
          <cell r="AE123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24">
          <cell r="A124" t="str">
            <v>211-15</v>
          </cell>
          <cell r="B124">
            <v>4009</v>
          </cell>
          <cell r="C124" t="str">
            <v>DE.1.0.7.0</v>
          </cell>
          <cell r="D124" t="str">
            <v>204:460</v>
          </cell>
          <cell r="E124">
            <v>42597.729224537034</v>
          </cell>
          <cell r="F124">
            <v>42597.730763888889</v>
          </cell>
          <cell r="G124">
            <v>2</v>
          </cell>
          <cell r="H124" t="str">
            <v>204:233327</v>
          </cell>
          <cell r="I124">
            <v>42597.758321759262</v>
          </cell>
          <cell r="J124">
            <v>0</v>
          </cell>
          <cell r="K124" t="str">
            <v>4009/4010</v>
          </cell>
          <cell r="L124" t="str">
            <v>YOUNG</v>
          </cell>
          <cell r="M124">
            <v>2.7557870373129845E-2</v>
          </cell>
          <cell r="N124">
            <v>39.683333337306976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https://search-rtdc-monitor-bjffxe2xuh6vdkpspy63sjmuny.us-east-1.es.amazonaws.com/_plugin/kibana/#/discover/Steve-Slow-Train-Analysis-(2080s-and-2083s)?_g=(refreshInterval:(display:Off,section:0,value:0),time:(from:'2016-08-15 16:30:05-0600',mode:absolute,to:'2016-08-15 19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4.5999999999999999E-2</v>
          </cell>
          <cell r="Z124">
            <v>23.332699999999999</v>
          </cell>
          <cell r="AA124">
            <v>23.2867</v>
          </cell>
          <cell r="AB124" t="e">
            <v>#N/A</v>
          </cell>
          <cell r="AC124" t="e">
            <v>#N/A</v>
          </cell>
          <cell r="AD124" t="str">
            <v>0211-15</v>
          </cell>
          <cell r="AE124" t="str">
    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    </cell>
        </row>
        <row r="125">
          <cell r="A125" t="str">
            <v>212-15</v>
          </cell>
          <cell r="B125">
            <v>4010</v>
          </cell>
          <cell r="C125" t="str">
            <v>DE.1.0.7.0</v>
          </cell>
          <cell r="D125" t="str">
            <v>204:233017</v>
          </cell>
          <cell r="E125">
            <v>42597.761493055557</v>
          </cell>
          <cell r="F125">
            <v>42597.762546296297</v>
          </cell>
          <cell r="G125">
            <v>1</v>
          </cell>
          <cell r="H125" t="str">
            <v>204:163</v>
          </cell>
          <cell r="I125">
            <v>42597.798495370371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3.5949074073869269E-2</v>
          </cell>
          <cell r="N125">
            <v>51.766666666371748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https://search-rtdc-monitor-bjffxe2xuh6vdkpspy63sjmuny.us-east-1.es.amazonaws.com/_plugin/kibana/#/discover/Steve-Slow-Train-Analysis-(2080s-and-2083s)?_g=(refreshInterval:(display:Off,section:0,value:0),time:(from:'2016-08-15 17:16:33-0600',mode:absolute,to:'2016-08-15 20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23.3017</v>
          </cell>
          <cell r="Z125">
            <v>1.6299999999999999E-2</v>
          </cell>
          <cell r="AA125">
            <v>23.285399999999999</v>
          </cell>
          <cell r="AB125" t="e">
            <v>#N/A</v>
          </cell>
          <cell r="AC125" t="e">
            <v>#N/A</v>
          </cell>
          <cell r="AD125" t="str">
            <v>0212-15</v>
          </cell>
          <cell r="AE12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126">
          <cell r="A126" t="str">
            <v>213-15</v>
          </cell>
          <cell r="B126">
            <v>4042</v>
          </cell>
          <cell r="C126" t="str">
            <v>DE.1.0.7.0</v>
          </cell>
          <cell r="D126" t="str">
            <v>204:458</v>
          </cell>
          <cell r="E126">
            <v>42597.738136574073</v>
          </cell>
          <cell r="F126">
            <v>42597.739398148151</v>
          </cell>
          <cell r="G126">
            <v>1</v>
          </cell>
          <cell r="H126" t="str">
            <v>204:233324</v>
          </cell>
          <cell r="I126">
            <v>42597.764710648145</v>
          </cell>
          <cell r="J126">
            <v>0</v>
          </cell>
          <cell r="K126" t="str">
            <v>4041/4042</v>
          </cell>
          <cell r="L126" t="str">
            <v>NEWELL</v>
          </cell>
          <cell r="M126">
            <v>2.5312499994470272E-2</v>
          </cell>
          <cell r="N126">
            <v>36.449999992037192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https://search-rtdc-monitor-bjffxe2xuh6vdkpspy63sjmuny.us-east-1.es.amazonaws.com/_plugin/kibana/#/discover/Steve-Slow-Train-Analysis-(2080s-and-2083s)?_g=(refreshInterval:(display:Off,section:0,value:0),time:(from:'2016-08-15 16:42:55-0600',mode:absolute,to:'2016-08-15 19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6" t="str">
            <v>N</v>
          </cell>
          <cell r="X126">
            <v>1</v>
          </cell>
          <cell r="Y126">
            <v>4.58E-2</v>
          </cell>
          <cell r="Z126">
            <v>23.3324</v>
          </cell>
          <cell r="AA126">
            <v>23.2866</v>
          </cell>
          <cell r="AB126" t="e">
            <v>#N/A</v>
          </cell>
          <cell r="AC126" t="e">
            <v>#N/A</v>
          </cell>
          <cell r="AD126" t="str">
            <v>0213-15</v>
          </cell>
          <cell r="AE12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27">
          <cell r="A127" t="str">
            <v>214-15</v>
          </cell>
          <cell r="B127">
            <v>4041</v>
          </cell>
          <cell r="C127" t="str">
            <v>DE.1.0.7.0</v>
          </cell>
          <cell r="D127" t="str">
            <v>204:233001</v>
          </cell>
          <cell r="E127">
            <v>42597.766747685186</v>
          </cell>
          <cell r="F127">
            <v>42597.767557870371</v>
          </cell>
          <cell r="G127">
            <v>1</v>
          </cell>
          <cell r="H127" t="str">
            <v>204:138</v>
          </cell>
          <cell r="I127">
            <v>42597.80704861111</v>
          </cell>
          <cell r="J127">
            <v>0</v>
          </cell>
          <cell r="K127" t="str">
            <v>4041/4042</v>
          </cell>
          <cell r="L127" t="str">
            <v>NEWELL</v>
          </cell>
          <cell r="M127">
            <v>3.9490740738983732E-2</v>
          </cell>
          <cell r="N127">
            <v>56.866666664136574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https://search-rtdc-monitor-bjffxe2xuh6vdkpspy63sjmuny.us-east-1.es.amazonaws.com/_plugin/kibana/#/discover/Steve-Slow-Train-Analysis-(2080s-and-2083s)?_g=(refreshInterval:(display:Off,section:0,value:0),time:(from:'2016-08-15 17:24:07-0600',mode:absolute,to:'2016-08-15 20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7" t="str">
            <v>N</v>
          </cell>
          <cell r="X127">
            <v>1</v>
          </cell>
          <cell r="Y127">
            <v>23.3001</v>
          </cell>
          <cell r="Z127">
            <v>1.38E-2</v>
          </cell>
          <cell r="AA127">
            <v>23.286300000000001</v>
          </cell>
          <cell r="AB127" t="e">
            <v>#N/A</v>
          </cell>
          <cell r="AC127" t="e">
            <v>#N/A</v>
          </cell>
          <cell r="AD127" t="str">
            <v>0214-15</v>
          </cell>
          <cell r="AE12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28">
          <cell r="A128" t="str">
            <v>215-15</v>
          </cell>
          <cell r="B128">
            <v>4044</v>
          </cell>
          <cell r="C128" t="str">
            <v>DE.1.0.7.0</v>
          </cell>
          <cell r="D128" t="str">
            <v>204:466</v>
          </cell>
          <cell r="E128">
            <v>42597.746886574074</v>
          </cell>
          <cell r="F128">
            <v>42597.748055555552</v>
          </cell>
          <cell r="G128">
            <v>1</v>
          </cell>
          <cell r="H128" t="str">
            <v>204:233297</v>
          </cell>
          <cell r="I128">
            <v>42597.776145833333</v>
          </cell>
          <cell r="J128">
            <v>0</v>
          </cell>
          <cell r="K128" t="str">
            <v>4043/4044</v>
          </cell>
          <cell r="L128" t="str">
            <v>HOMIK</v>
          </cell>
          <cell r="M128">
            <v>2.8090277781302575E-2</v>
          </cell>
          <cell r="N128">
            <v>40.450000005075708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https://search-rtdc-monitor-bjffxe2xuh6vdkpspy63sjmuny.us-east-1.es.amazonaws.com/_plugin/kibana/#/discover/Steve-Slow-Train-Analysis-(2080s-and-2083s)?_g=(refreshInterval:(display:Off,section:0,value:0),time:(from:'2016-08-15 16:55:31-0600',mode:absolute,to:'2016-08-15 19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8" t="str">
            <v>N</v>
          </cell>
          <cell r="X128">
            <v>1</v>
          </cell>
          <cell r="Y128">
            <v>4.6600000000000003E-2</v>
          </cell>
          <cell r="Z128">
            <v>23.329699999999999</v>
          </cell>
          <cell r="AA128">
            <v>23.283099999999997</v>
          </cell>
          <cell r="AB128" t="e">
            <v>#N/A</v>
          </cell>
          <cell r="AC128" t="e">
            <v>#N/A</v>
          </cell>
          <cell r="AD128" t="str">
            <v>0215-15</v>
          </cell>
          <cell r="AE128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129">
          <cell r="A129" t="str">
            <v>216-15</v>
          </cell>
          <cell r="B129">
            <v>4043</v>
          </cell>
          <cell r="C129" t="str">
            <v>DE.1.0.7.0</v>
          </cell>
          <cell r="D129" t="str">
            <v>204:232989</v>
          </cell>
          <cell r="E129">
            <v>42597.778969907406</v>
          </cell>
          <cell r="F129">
            <v>42597.780219907407</v>
          </cell>
          <cell r="G129">
            <v>1</v>
          </cell>
          <cell r="H129" t="str">
            <v>204:198</v>
          </cell>
          <cell r="I129">
            <v>42597.818425925929</v>
          </cell>
          <cell r="J129">
            <v>0</v>
          </cell>
          <cell r="K129" t="str">
            <v>4043/4044</v>
          </cell>
          <cell r="L129" t="str">
            <v>HOMIK</v>
          </cell>
          <cell r="M129">
            <v>3.8206018522032537E-2</v>
          </cell>
          <cell r="N129">
            <v>55.016666671726853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https://search-rtdc-monitor-bjffxe2xuh6vdkpspy63sjmuny.us-east-1.es.amazonaws.com/_plugin/kibana/#/discover/Steve-Slow-Train-Analysis-(2080s-and-2083s)?_g=(refreshInterval:(display:Off,section:0,value:0),time:(from:'2016-08-15 17:41:43-0600',mode:absolute,to:'2016-08-15 20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9" t="str">
            <v>N</v>
          </cell>
          <cell r="X129">
            <v>1</v>
          </cell>
          <cell r="Y129">
            <v>23.2989</v>
          </cell>
          <cell r="Z129">
            <v>1.9800000000000002E-2</v>
          </cell>
          <cell r="AA129">
            <v>23.2791</v>
          </cell>
          <cell r="AB129" t="e">
            <v>#N/A</v>
          </cell>
          <cell r="AC129" t="e">
            <v>#N/A</v>
          </cell>
          <cell r="AD129" t="str">
            <v>0216-15</v>
          </cell>
          <cell r="AE129" t="str">
    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    </cell>
        </row>
        <row r="130">
          <cell r="A130" t="str">
            <v>217-15</v>
          </cell>
          <cell r="B130">
            <v>4027</v>
          </cell>
          <cell r="C130" t="str">
            <v>DE.1.0.7.0</v>
          </cell>
          <cell r="D130" t="str">
            <v>204:475</v>
          </cell>
          <cell r="E130">
            <v>42597.759062500001</v>
          </cell>
          <cell r="F130">
            <v>42597.76048611111</v>
          </cell>
          <cell r="G130">
            <v>2</v>
          </cell>
          <cell r="H130" t="str">
            <v>204:233289</v>
          </cell>
          <cell r="I130">
            <v>42597.785613425927</v>
          </cell>
          <cell r="J130">
            <v>0</v>
          </cell>
          <cell r="K130" t="str">
            <v>4027/4028</v>
          </cell>
          <cell r="L130" t="str">
            <v>CHANDLER</v>
          </cell>
          <cell r="M130">
            <v>2.5127314816927537E-2</v>
          </cell>
          <cell r="N130">
            <v>36.183333336375654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https://search-rtdc-monitor-bjffxe2xuh6vdkpspy63sjmuny.us-east-1.es.amazonaws.com/_plugin/kibana/#/discover/Steve-Slow-Train-Analysis-(2080s-and-2083s)?_g=(refreshInterval:(display:Off,section:0,value:0),time:(from:'2016-08-15 17:13:03-0600',mode:absolute,to:'2016-08-15 19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0" t="str">
            <v>N</v>
          </cell>
          <cell r="X130">
            <v>1</v>
          </cell>
          <cell r="Y130">
            <v>4.7500000000000001E-2</v>
          </cell>
          <cell r="Z130">
            <v>23.328900000000001</v>
          </cell>
          <cell r="AA130">
            <v>23.281400000000001</v>
          </cell>
          <cell r="AB130" t="e">
            <v>#N/A</v>
          </cell>
          <cell r="AC130" t="e">
            <v>#N/A</v>
          </cell>
          <cell r="AD130" t="str">
            <v>0217-15</v>
          </cell>
          <cell r="AE130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31">
          <cell r="A131" t="str">
            <v>218-15</v>
          </cell>
          <cell r="B131">
            <v>4028</v>
          </cell>
          <cell r="C131" t="str">
            <v>DE.1.0.7.0</v>
          </cell>
          <cell r="D131" t="str">
            <v>204:232965</v>
          </cell>
          <cell r="E131">
            <v>42597.79724537037</v>
          </cell>
          <cell r="F131">
            <v>42597.798321759263</v>
          </cell>
          <cell r="G131">
            <v>1</v>
          </cell>
          <cell r="H131" t="str">
            <v>204:149</v>
          </cell>
          <cell r="I131">
            <v>42597.828148148146</v>
          </cell>
          <cell r="J131">
            <v>0</v>
          </cell>
          <cell r="K131" t="str">
            <v>4027/4028</v>
          </cell>
          <cell r="L131" t="str">
            <v>CHANDLER</v>
          </cell>
          <cell r="M131">
            <v>2.9826388883520849E-2</v>
          </cell>
          <cell r="N131">
            <v>42.949999992270023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https://search-rtdc-monitor-bjffxe2xuh6vdkpspy63sjmuny.us-east-1.es.amazonaws.com/_plugin/kibana/#/discover/Steve-Slow-Train-Analysis-(2080s-and-2083s)?_g=(refreshInterval:(display:Off,section:0,value:0),time:(from:'2016-08-15 18:08:02-0600',mode:absolute,to:'2016-08-15 20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1" t="str">
            <v>N</v>
          </cell>
          <cell r="X131">
            <v>1</v>
          </cell>
          <cell r="Y131">
            <v>23.296500000000002</v>
          </cell>
          <cell r="Z131">
            <v>1.49E-2</v>
          </cell>
          <cell r="AA131">
            <v>23.281600000000001</v>
          </cell>
          <cell r="AB131" t="e">
            <v>#N/A</v>
          </cell>
          <cell r="AC131" t="e">
            <v>#N/A</v>
          </cell>
          <cell r="AD131" t="str">
            <v>0218-15</v>
          </cell>
          <cell r="AE131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32">
          <cell r="A132" t="str">
            <v>219-15</v>
          </cell>
          <cell r="B132">
            <v>4020</v>
          </cell>
          <cell r="C132" t="str">
            <v>DE.1.0.7.0</v>
          </cell>
          <cell r="D132" t="str">
            <v>204:449</v>
          </cell>
          <cell r="E132">
            <v>42597.76898148148</v>
          </cell>
          <cell r="F132">
            <v>42597.770439814813</v>
          </cell>
          <cell r="G132">
            <v>2</v>
          </cell>
          <cell r="H132" t="str">
            <v>204:233278</v>
          </cell>
          <cell r="I132">
            <v>42597.796979166669</v>
          </cell>
          <cell r="J132">
            <v>0</v>
          </cell>
          <cell r="K132" t="str">
            <v>4019/4020</v>
          </cell>
          <cell r="L132" t="str">
            <v>ISHMAEL</v>
          </cell>
          <cell r="M132">
            <v>2.6539351856627036E-2</v>
          </cell>
          <cell r="N132">
            <v>38.216666673542932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https://search-rtdc-monitor-bjffxe2xuh6vdkpspy63sjmuny.us-east-1.es.amazonaws.com/_plugin/kibana/#/discover/Steve-Slow-Train-Analysis-(2080s-and-2083s)?_g=(refreshInterval:(display:Off,section:0,value:0),time:(from:'2016-08-15 17:27:20-0600',mode:absolute,to:'2016-08-15 20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2" t="str">
            <v>N</v>
          </cell>
          <cell r="X132">
            <v>1</v>
          </cell>
          <cell r="Y132">
            <v>4.4900000000000002E-2</v>
          </cell>
          <cell r="Z132">
            <v>23.3278</v>
          </cell>
          <cell r="AA132">
            <v>23.282900000000001</v>
          </cell>
          <cell r="AB132" t="e">
            <v>#N/A</v>
          </cell>
          <cell r="AC132" t="e">
            <v>#N/A</v>
          </cell>
          <cell r="AD132" t="str">
            <v>0219-15</v>
          </cell>
          <cell r="AE132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33">
          <cell r="A133" t="str">
            <v>220-15</v>
          </cell>
          <cell r="B133">
            <v>4019</v>
          </cell>
          <cell r="C133" t="str">
            <v>DE.1.0.7.0</v>
          </cell>
          <cell r="D133" t="str">
            <v>204:232974</v>
          </cell>
          <cell r="E133">
            <v>42597.803043981483</v>
          </cell>
          <cell r="F133">
            <v>42597.804270833331</v>
          </cell>
          <cell r="G133">
            <v>1</v>
          </cell>
          <cell r="H133" t="str">
            <v>204:160</v>
          </cell>
          <cell r="I133">
            <v>42597.839363425926</v>
          </cell>
          <cell r="J133">
            <v>0</v>
          </cell>
          <cell r="K133" t="str">
            <v>4019/4020</v>
          </cell>
          <cell r="L133" t="str">
            <v>ISHMAEL</v>
          </cell>
          <cell r="M133">
            <v>3.5092592595901806E-2</v>
          </cell>
          <cell r="N133">
            <v>50.533333338098601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https://search-rtdc-monitor-bjffxe2xuh6vdkpspy63sjmuny.us-east-1.es.amazonaws.com/_plugin/kibana/#/discover/Steve-Slow-Train-Analysis-(2080s-and-2083s)?_g=(refreshInterval:(display:Off,section:0,value:0),time:(from:'2016-08-15 18:16:23-0600',mode:absolute,to:'2016-08-15 21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3" t="str">
            <v>N</v>
          </cell>
          <cell r="X133">
            <v>1</v>
          </cell>
          <cell r="Y133">
            <v>23.2974</v>
          </cell>
          <cell r="Z133">
            <v>1.6E-2</v>
          </cell>
          <cell r="AA133">
            <v>23.281400000000001</v>
          </cell>
          <cell r="AB133" t="e">
            <v>#N/A</v>
          </cell>
          <cell r="AC133" t="e">
            <v>#N/A</v>
          </cell>
          <cell r="AD133" t="str">
            <v>0220-15</v>
          </cell>
          <cell r="AE133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34">
          <cell r="A134" t="str">
            <v>221-15</v>
          </cell>
          <cell r="B134">
            <v>4007</v>
          </cell>
          <cell r="C134" t="str">
            <v>DE.1.0.7.0</v>
          </cell>
          <cell r="D134" t="str">
            <v>204:453</v>
          </cell>
          <cell r="E134">
            <v>42597.786377314813</v>
          </cell>
          <cell r="F134">
            <v>42597.787465277775</v>
          </cell>
          <cell r="G134">
            <v>1</v>
          </cell>
          <cell r="H134" t="str">
            <v>204:233289</v>
          </cell>
          <cell r="I134">
            <v>42597.81826388889</v>
          </cell>
          <cell r="J134">
            <v>0</v>
          </cell>
          <cell r="K134" t="str">
            <v>4007/4008</v>
          </cell>
          <cell r="L134" t="str">
            <v>OUN</v>
          </cell>
          <cell r="M134">
            <v>3.0798611114732921E-2</v>
          </cell>
          <cell r="N134">
            <v>44.350000005215406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https://search-rtdc-monitor-bjffxe2xuh6vdkpspy63sjmuny.us-east-1.es.amazonaws.com/_plugin/kibana/#/discover/Steve-Slow-Train-Analysis-(2080s-and-2083s)?_g=(refreshInterval:(display:Off,section:0,value:0),time:(from:'2016-08-15 17:52:23-0600',mode:absolute,to:'2016-08-15 20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4" t="str">
            <v>N</v>
          </cell>
          <cell r="X134">
            <v>1</v>
          </cell>
          <cell r="Y134">
            <v>4.53E-2</v>
          </cell>
          <cell r="Z134">
            <v>23.328900000000001</v>
          </cell>
          <cell r="AA134">
            <v>23.2836</v>
          </cell>
          <cell r="AB134" t="e">
            <v>#N/A</v>
          </cell>
          <cell r="AC134" t="e">
            <v>#N/A</v>
          </cell>
          <cell r="AD134" t="str">
            <v>0221-15</v>
          </cell>
          <cell r="AE134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35">
          <cell r="A135" t="str">
            <v>222-15</v>
          </cell>
          <cell r="B135">
            <v>4008</v>
          </cell>
          <cell r="C135" t="str">
            <v>DE.1.0.7.0</v>
          </cell>
          <cell r="D135" t="str">
            <v>204:232987</v>
          </cell>
          <cell r="E135">
            <v>42597.826435185183</v>
          </cell>
          <cell r="F135">
            <v>42597.82739583333</v>
          </cell>
          <cell r="G135">
            <v>1</v>
          </cell>
          <cell r="H135" t="str">
            <v>204:165</v>
          </cell>
          <cell r="I135">
            <v>42597.859861111108</v>
          </cell>
          <cell r="J135">
            <v>0</v>
          </cell>
          <cell r="K135" t="str">
            <v>4007/4008</v>
          </cell>
          <cell r="L135" t="str">
            <v>OUN</v>
          </cell>
          <cell r="M135">
            <v>3.2465277778101154E-2</v>
          </cell>
          <cell r="N135">
            <v>46.750000000465661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https://search-rtdc-monitor-bjffxe2xuh6vdkpspy63sjmuny.us-east-1.es.amazonaws.com/_plugin/kibana/#/discover/Steve-Slow-Train-Analysis-(2080s-and-2083s)?_g=(refreshInterval:(display:Off,section:0,value:0),time:(from:'2016-08-15 18:50:04-0600',mode:absolute,to:'2016-08-15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5" t="str">
            <v>N</v>
          </cell>
          <cell r="X135">
            <v>1</v>
          </cell>
          <cell r="Y135">
            <v>23.2987</v>
          </cell>
          <cell r="Z135">
            <v>1.6500000000000001E-2</v>
          </cell>
          <cell r="AA135">
            <v>23.2822</v>
          </cell>
          <cell r="AB135" t="e">
            <v>#N/A</v>
          </cell>
          <cell r="AC135" t="e">
            <v>#N/A</v>
          </cell>
          <cell r="AD135" t="str">
            <v>0222-15</v>
          </cell>
          <cell r="AE135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36">
          <cell r="A136" t="str">
            <v>223-15</v>
          </cell>
          <cell r="B136">
            <v>4042</v>
          </cell>
          <cell r="C136" t="str">
            <v>DE.1.0.7.0</v>
          </cell>
          <cell r="D136" t="str">
            <v>204:460</v>
          </cell>
          <cell r="E136">
            <v>42597.809583333335</v>
          </cell>
          <cell r="F136">
            <v>42597.810659722221</v>
          </cell>
          <cell r="G136">
            <v>1</v>
          </cell>
          <cell r="H136" t="str">
            <v>204:233291</v>
          </cell>
          <cell r="I136">
            <v>42597.839606481481</v>
          </cell>
          <cell r="J136">
            <v>0</v>
          </cell>
          <cell r="K136" t="str">
            <v>4041/4042</v>
          </cell>
          <cell r="L136" t="str">
            <v>NEWELL</v>
          </cell>
          <cell r="M136">
            <v>2.8946759259270038E-2</v>
          </cell>
          <cell r="N136">
            <v>41.683333333348855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https://search-rtdc-monitor-bjffxe2xuh6vdkpspy63sjmuny.us-east-1.es.amazonaws.com/_plugin/kibana/#/discover/Steve-Slow-Train-Analysis-(2080s-and-2083s)?_g=(refreshInterval:(display:Off,section:0,value:0),time:(from:'2016-08-15 18:25:48-0600',mode:absolute,to:'2016-08-15 21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6" t="str">
            <v>N</v>
          </cell>
          <cell r="X136">
            <v>1</v>
          </cell>
          <cell r="Y136">
            <v>4.5999999999999999E-2</v>
          </cell>
          <cell r="Z136">
            <v>23.3291</v>
          </cell>
          <cell r="AA136">
            <v>23.283100000000001</v>
          </cell>
          <cell r="AB136" t="e">
            <v>#N/A</v>
          </cell>
          <cell r="AC136" t="e">
            <v>#N/A</v>
          </cell>
          <cell r="AD136" t="str">
            <v>0223-15</v>
          </cell>
          <cell r="AE136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37">
          <cell r="A137" t="str">
            <v>224-15</v>
          </cell>
          <cell r="B137">
            <v>4041</v>
          </cell>
          <cell r="C137" t="str">
            <v>DE.1.0.7.0</v>
          </cell>
          <cell r="D137" t="str">
            <v>204:232996</v>
          </cell>
          <cell r="E137">
            <v>42597.841747685183</v>
          </cell>
          <cell r="F137">
            <v>42597.842719907407</v>
          </cell>
          <cell r="G137">
            <v>1</v>
          </cell>
          <cell r="H137" t="str">
            <v>204:145</v>
          </cell>
          <cell r="I137">
            <v>42597.879236111112</v>
          </cell>
          <cell r="J137">
            <v>0</v>
          </cell>
          <cell r="K137" t="str">
            <v>4041/4042</v>
          </cell>
          <cell r="L137" t="str">
            <v>NEWELL</v>
          </cell>
          <cell r="M137">
            <v>3.6516203705104999E-2</v>
          </cell>
          <cell r="N137">
            <v>52.583333335351199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https://search-rtdc-monitor-bjffxe2xuh6vdkpspy63sjmuny.us-east-1.es.amazonaws.com/_plugin/kibana/#/discover/Steve-Slow-Train-Analysis-(2080s-and-2083s)?_g=(refreshInterval:(display:Off,section:0,value:0),time:(from:'2016-08-15 19:12:07-0600',mode:absolute,to:'2016-08-15 22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7" t="str">
            <v>N</v>
          </cell>
          <cell r="X137">
            <v>1</v>
          </cell>
          <cell r="Y137">
            <v>23.299600000000002</v>
          </cell>
          <cell r="Z137">
            <v>1.4500000000000001E-2</v>
          </cell>
          <cell r="AA137">
            <v>23.2851</v>
          </cell>
          <cell r="AB137" t="e">
            <v>#N/A</v>
          </cell>
          <cell r="AC137" t="e">
            <v>#N/A</v>
          </cell>
          <cell r="AD137" t="str">
            <v>0224-15</v>
          </cell>
          <cell r="AE137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38">
          <cell r="A138" t="str">
            <v>225-15</v>
          </cell>
          <cell r="B138">
            <v>4027</v>
          </cell>
          <cell r="C138" t="str">
            <v>DE.1.0.7.0</v>
          </cell>
          <cell r="D138" t="str">
            <v>204:464</v>
          </cell>
          <cell r="E138">
            <v>42597.831377314818</v>
          </cell>
          <cell r="F138">
            <v>42597.832384259258</v>
          </cell>
          <cell r="G138">
            <v>1</v>
          </cell>
          <cell r="H138" t="str">
            <v>204:233308</v>
          </cell>
          <cell r="I138">
            <v>42597.8591087963</v>
          </cell>
          <cell r="J138">
            <v>0</v>
          </cell>
          <cell r="K138" t="str">
            <v>4027/4028</v>
          </cell>
          <cell r="L138" t="str">
            <v>CHANDLER</v>
          </cell>
          <cell r="M138">
            <v>2.6724537041445728E-2</v>
          </cell>
          <cell r="N138">
            <v>38.483333339681849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https://search-rtdc-monitor-bjffxe2xuh6vdkpspy63sjmuny.us-east-1.es.amazonaws.com/_plugin/kibana/#/discover/Steve-Slow-Train-Analysis-(2080s-and-2083s)?_g=(refreshInterval:(display:Off,section:0,value:0),time:(from:'2016-08-15 18:57:11-0600',mode:absolute,to:'2016-08-15 21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8" t="str">
            <v>N</v>
          </cell>
          <cell r="X138">
            <v>1</v>
          </cell>
          <cell r="Y138">
            <v>4.6399999999999997E-2</v>
          </cell>
          <cell r="Z138">
            <v>23.3308</v>
          </cell>
          <cell r="AA138">
            <v>23.284400000000002</v>
          </cell>
          <cell r="AB138" t="e">
            <v>#N/A</v>
          </cell>
          <cell r="AC138" t="e">
            <v>#N/A</v>
          </cell>
          <cell r="AD138" t="str">
            <v>0225-15</v>
          </cell>
          <cell r="AE138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39">
          <cell r="A139" t="str">
            <v>226-15</v>
          </cell>
          <cell r="B139">
            <v>4028</v>
          </cell>
          <cell r="C139" t="str">
            <v>DE.1.0.7.0</v>
          </cell>
          <cell r="D139" t="str">
            <v>204:232976</v>
          </cell>
          <cell r="E139">
            <v>42597.871319444443</v>
          </cell>
          <cell r="F139">
            <v>42597.87226851852</v>
          </cell>
          <cell r="G139">
            <v>1</v>
          </cell>
          <cell r="H139" t="str">
            <v>204:156</v>
          </cell>
          <cell r="I139">
            <v>42597.900717592594</v>
          </cell>
          <cell r="J139">
            <v>0</v>
          </cell>
          <cell r="K139" t="str">
            <v>4027/4028</v>
          </cell>
          <cell r="L139" t="str">
            <v>CHANDLER</v>
          </cell>
          <cell r="M139">
            <v>2.8449074074160308E-2</v>
          </cell>
          <cell r="N139">
            <v>40.966666666790843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https://search-rtdc-monitor-bjffxe2xuh6vdkpspy63sjmuny.us-east-1.es.amazonaws.com/_plugin/kibana/#/discover/Steve-Slow-Train-Analysis-(2080s-and-2083s)?_g=(refreshInterval:(display:Off,section:0,value:0),time:(from:'2016-08-15 19:54:42-0600',mode:absolute,to:'2016-08-15 22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9" t="str">
            <v>N</v>
          </cell>
          <cell r="X139">
            <v>1</v>
          </cell>
          <cell r="Y139">
            <v>23.297599999999999</v>
          </cell>
          <cell r="Z139">
            <v>1.5599999999999999E-2</v>
          </cell>
          <cell r="AA139">
            <v>23.282</v>
          </cell>
          <cell r="AB139" t="e">
            <v>#N/A</v>
          </cell>
          <cell r="AC139" t="e">
            <v>#N/A</v>
          </cell>
          <cell r="AD139" t="str">
            <v>0226-15</v>
          </cell>
          <cell r="AE139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40">
          <cell r="A140" t="str">
            <v>227-15</v>
          </cell>
          <cell r="B140">
            <v>4020</v>
          </cell>
          <cell r="C140" t="str">
            <v>DE.1.0.7.0</v>
          </cell>
          <cell r="D140" t="str">
            <v>204:462</v>
          </cell>
          <cell r="E140">
            <v>42597.845092592594</v>
          </cell>
          <cell r="F140">
            <v>42597.846006944441</v>
          </cell>
          <cell r="G140">
            <v>1</v>
          </cell>
          <cell r="H140" t="str">
            <v>204:233297</v>
          </cell>
          <cell r="I140">
            <v>42597.879965277774</v>
          </cell>
          <cell r="J140">
            <v>0</v>
          </cell>
          <cell r="K140" t="str">
            <v>4019/4020</v>
          </cell>
          <cell r="L140" t="str">
            <v>ISHMAEL</v>
          </cell>
          <cell r="M140">
            <v>3.3958333333430346E-2</v>
          </cell>
          <cell r="N140">
            <v>48.900000000139698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https://search-rtdc-monitor-bjffxe2xuh6vdkpspy63sjmuny.us-east-1.es.amazonaws.com/_plugin/kibana/#/discover/Steve-Slow-Train-Analysis-(2080s-and-2083s)?_g=(refreshInterval:(display:Off,section:0,value:0),time:(from:'2016-08-15 19:16:56-0600',mode:absolute,to:'2016-08-15 22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0" t="str">
            <v>N</v>
          </cell>
          <cell r="X140">
            <v>1</v>
          </cell>
          <cell r="Y140">
            <v>4.6199999999999998E-2</v>
          </cell>
          <cell r="Z140">
            <v>23.329699999999999</v>
          </cell>
          <cell r="AA140">
            <v>23.2835</v>
          </cell>
          <cell r="AB140" t="e">
            <v>#N/A</v>
          </cell>
          <cell r="AC140" t="e">
            <v>#N/A</v>
          </cell>
          <cell r="AD140" t="str">
            <v>0227-15</v>
          </cell>
          <cell r="AE140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41">
          <cell r="A141" t="str">
            <v>228-15</v>
          </cell>
          <cell r="B141">
            <v>4019</v>
          </cell>
          <cell r="C141" t="str">
            <v>DE.1.0.7.0</v>
          </cell>
          <cell r="D141" t="str">
            <v>204:232985</v>
          </cell>
          <cell r="E141">
            <v>42597.887662037036</v>
          </cell>
          <cell r="F141">
            <v>42597.888391203705</v>
          </cell>
          <cell r="G141">
            <v>1</v>
          </cell>
          <cell r="H141" t="str">
            <v>204:156</v>
          </cell>
          <cell r="I141">
            <v>42597.921840277777</v>
          </cell>
          <cell r="J141">
            <v>0</v>
          </cell>
          <cell r="K141" t="str">
            <v>4019/4020</v>
          </cell>
          <cell r="L141" t="str">
            <v>ISHMAEL</v>
          </cell>
          <cell r="M141">
            <v>3.3449074071540963E-2</v>
          </cell>
          <cell r="N141">
            <v>48.166666663018987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https://search-rtdc-monitor-bjffxe2xuh6vdkpspy63sjmuny.us-east-1.es.amazonaws.com/_plugin/kibana/#/discover/Steve-Slow-Train-Analysis-(2080s-and-2083s)?_g=(refreshInterval:(display:Off,section:0,value:0),time:(from:'2016-08-15 20:18:14-0600',mode:absolute,to:'2016-08-15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1" t="str">
            <v>N</v>
          </cell>
          <cell r="X141">
            <v>1</v>
          </cell>
          <cell r="Y141">
            <v>23.298500000000001</v>
          </cell>
          <cell r="Z141">
            <v>1.5599999999999999E-2</v>
          </cell>
          <cell r="AA141">
            <v>23.282900000000001</v>
          </cell>
          <cell r="AB141">
            <v>78469</v>
          </cell>
          <cell r="AC141" t="str">
            <v>GRADE CROSSING</v>
          </cell>
          <cell r="AD141" t="str">
            <v>0228-15</v>
          </cell>
          <cell r="AE141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42">
          <cell r="A142" t="str">
            <v>229-15</v>
          </cell>
          <cell r="B142">
            <v>4007</v>
          </cell>
          <cell r="C142" t="str">
            <v>DE.1.0.7.0</v>
          </cell>
          <cell r="D142" t="str">
            <v>204:467</v>
          </cell>
          <cell r="E142">
            <v>42597.867164351854</v>
          </cell>
          <cell r="F142">
            <v>42597.868148148147</v>
          </cell>
          <cell r="G142">
            <v>1</v>
          </cell>
          <cell r="H142" t="str">
            <v>204:233312</v>
          </cell>
          <cell r="I142">
            <v>42597.901250000003</v>
          </cell>
          <cell r="J142">
            <v>0</v>
          </cell>
          <cell r="K142" t="str">
            <v>4007/4008</v>
          </cell>
          <cell r="L142" t="str">
            <v>OUN</v>
          </cell>
          <cell r="M142">
            <v>3.3101851855462883E-2</v>
          </cell>
          <cell r="N142">
            <v>47.666666671866551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https://search-rtdc-monitor-bjffxe2xuh6vdkpspy63sjmuny.us-east-1.es.amazonaws.com/_plugin/kibana/#/discover/Steve-Slow-Train-Analysis-(2080s-and-2083s)?_g=(refreshInterval:(display:Off,section:0,value:0),time:(from:'2016-08-15 19:48:43-0600',mode:absolute,to:'2016-08-15 22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2" t="str">
            <v>N</v>
          </cell>
          <cell r="X142">
            <v>1</v>
          </cell>
          <cell r="Y142">
            <v>4.6699999999999998E-2</v>
          </cell>
          <cell r="Z142">
            <v>23.331199999999999</v>
          </cell>
          <cell r="AA142">
            <v>23.284499999999998</v>
          </cell>
          <cell r="AB142" t="e">
            <v>#N/A</v>
          </cell>
          <cell r="AC142" t="e">
            <v>#N/A</v>
          </cell>
          <cell r="AD142" t="str">
            <v>0229-15</v>
          </cell>
          <cell r="AE142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43">
          <cell r="A143" t="str">
            <v>230-15</v>
          </cell>
          <cell r="B143">
            <v>4008</v>
          </cell>
          <cell r="C143" t="str">
            <v>DE.1.0.7.0</v>
          </cell>
          <cell r="D143" t="str">
            <v>204:232989</v>
          </cell>
          <cell r="E143">
            <v>42597.909259259257</v>
          </cell>
          <cell r="F143">
            <v>42597.910196759258</v>
          </cell>
          <cell r="G143">
            <v>1</v>
          </cell>
          <cell r="H143" t="str">
            <v>204:178</v>
          </cell>
          <cell r="I143">
            <v>42597.94226851852</v>
          </cell>
          <cell r="J143">
            <v>0</v>
          </cell>
          <cell r="K143" t="str">
            <v>4007/4008</v>
          </cell>
          <cell r="L143" t="str">
            <v>OUN</v>
          </cell>
          <cell r="M143">
            <v>3.2071759262180422E-2</v>
          </cell>
          <cell r="N143">
            <v>46.183333337539807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https://search-rtdc-monitor-bjffxe2xuh6vdkpspy63sjmuny.us-east-1.es.amazonaws.com/_plugin/kibana/#/discover/Steve-Slow-Train-Analysis-(2080s-and-2083s)?_g=(refreshInterval:(display:Off,section:0,value:0),time:(from:'2016-08-15 20:49:20-0600',mode:absolute,to:'2016-08-15 23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3" t="str">
            <v>N</v>
          </cell>
          <cell r="X143">
            <v>1</v>
          </cell>
          <cell r="Y143">
            <v>23.2989</v>
          </cell>
          <cell r="Z143">
            <v>1.78E-2</v>
          </cell>
          <cell r="AA143">
            <v>23.281099999999999</v>
          </cell>
          <cell r="AB143" t="e">
            <v>#N/A</v>
          </cell>
          <cell r="AC143" t="e">
            <v>#N/A</v>
          </cell>
          <cell r="AD143" t="str">
            <v>0230-15</v>
          </cell>
          <cell r="AE143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44">
          <cell r="A144" t="str">
            <v>231-15</v>
          </cell>
          <cell r="B144">
            <v>4042</v>
          </cell>
          <cell r="C144" t="str">
            <v>DE.1.0.7.0</v>
          </cell>
          <cell r="D144" t="str">
            <v>204:457</v>
          </cell>
          <cell r="E144">
            <v>42597.881990740738</v>
          </cell>
          <cell r="F144">
            <v>42597.883055555554</v>
          </cell>
          <cell r="G144">
            <v>1</v>
          </cell>
          <cell r="H144" t="str">
            <v>204:233311</v>
          </cell>
          <cell r="I144">
            <v>42597.922280092593</v>
          </cell>
          <cell r="J144">
            <v>0</v>
          </cell>
          <cell r="K144" t="str">
            <v>4041/4042</v>
          </cell>
          <cell r="L144" t="str">
            <v>NEWELL</v>
          </cell>
          <cell r="M144">
            <v>3.9224537038535345E-2</v>
          </cell>
          <cell r="N144">
            <v>56.483333335490897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https://search-rtdc-monitor-bjffxe2xuh6vdkpspy63sjmuny.us-east-1.es.amazonaws.com/_plugin/kibana/#/discover/Steve-Slow-Train-Analysis-(2080s-and-2083s)?_g=(refreshInterval:(display:Off,section:0,value:0),time:(from:'2016-08-15 20:10:04-0600',mode:absolute,to:'2016-08-15 23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4" t="str">
            <v>N</v>
          </cell>
          <cell r="X144">
            <v>1</v>
          </cell>
          <cell r="Y144">
            <v>4.5699999999999998E-2</v>
          </cell>
          <cell r="Z144">
            <v>23.331099999999999</v>
          </cell>
          <cell r="AA144">
            <v>23.285399999999999</v>
          </cell>
          <cell r="AB144" t="e">
            <v>#N/A</v>
          </cell>
          <cell r="AC144" t="e">
            <v>#N/A</v>
          </cell>
          <cell r="AD144" t="str">
            <v>0231-15</v>
          </cell>
          <cell r="AE144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45">
          <cell r="A145" t="str">
            <v>232-15</v>
          </cell>
          <cell r="B145">
            <v>4041</v>
          </cell>
          <cell r="C145" t="str">
            <v>DE.1.0.7.0</v>
          </cell>
          <cell r="D145" t="str">
            <v>204:232996</v>
          </cell>
          <cell r="E145">
            <v>42597.932349537034</v>
          </cell>
          <cell r="F145">
            <v>42597.933483796296</v>
          </cell>
          <cell r="G145">
            <v>1</v>
          </cell>
          <cell r="H145" t="str">
            <v>204:149</v>
          </cell>
          <cell r="I145">
            <v>42597.961446759262</v>
          </cell>
          <cell r="J145">
            <v>0</v>
          </cell>
          <cell r="K145" t="str">
            <v>4041/4042</v>
          </cell>
          <cell r="L145" t="str">
            <v>NEWELL</v>
          </cell>
          <cell r="M145">
            <v>2.7962962965830229E-2</v>
          </cell>
          <cell r="N145">
            <v>40.26666667079553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https://search-rtdc-monitor-bjffxe2xuh6vdkpspy63sjmuny.us-east-1.es.amazonaws.com/_plugin/kibana/#/discover/Steve-Slow-Train-Analysis-(2080s-and-2083s)?_g=(refreshInterval:(display:Off,section:0,value:0),time:(from:'2016-08-15 21:22:35-0600',mode:absolute,to:'2016-08-16 00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5" t="str">
            <v>N</v>
          </cell>
          <cell r="X145">
            <v>1</v>
          </cell>
          <cell r="Y145">
            <v>23.299600000000002</v>
          </cell>
          <cell r="Z145">
            <v>1.49E-2</v>
          </cell>
          <cell r="AA145">
            <v>23.284700000000001</v>
          </cell>
          <cell r="AB145" t="e">
            <v>#N/A</v>
          </cell>
          <cell r="AC145" t="e">
            <v>#N/A</v>
          </cell>
          <cell r="AD145" t="str">
            <v>0232-15</v>
          </cell>
          <cell r="AE145" t="str">
    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    </cell>
        </row>
        <row r="146">
          <cell r="A146" t="str">
            <v>233-15</v>
          </cell>
          <cell r="B146">
            <v>4027</v>
          </cell>
          <cell r="C146" t="str">
            <v>DE.1.0.7.0</v>
          </cell>
          <cell r="D146" t="str">
            <v>204:497</v>
          </cell>
          <cell r="E146">
            <v>42597.914398148147</v>
          </cell>
          <cell r="F146">
            <v>42597.916458333333</v>
          </cell>
          <cell r="G146">
            <v>2</v>
          </cell>
          <cell r="H146" t="str">
            <v>204:233270</v>
          </cell>
          <cell r="I146">
            <v>42597.942488425928</v>
          </cell>
          <cell r="J146">
            <v>0</v>
          </cell>
          <cell r="K146" t="str">
            <v>4027/4028</v>
          </cell>
          <cell r="L146" t="str">
            <v>CHANDLER</v>
          </cell>
          <cell r="M146">
            <v>2.6030092594737653E-2</v>
          </cell>
          <cell r="N146">
            <v>37.48333333642222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https://search-rtdc-monitor-bjffxe2xuh6vdkpspy63sjmuny.us-east-1.es.amazonaws.com/_plugin/kibana/#/discover/Steve-Slow-Train-Analysis-(2080s-and-2083s)?_g=(refreshInterval:(display:Off,section:0,value:0),time:(from:'2016-08-15 20:56:44-0600',mode:absolute,to:'2016-08-15 23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6" t="str">
            <v>N</v>
          </cell>
          <cell r="X146">
            <v>1</v>
          </cell>
          <cell r="Y146">
            <v>4.9700000000000001E-2</v>
          </cell>
          <cell r="Z146">
            <v>23.327000000000002</v>
          </cell>
          <cell r="AA146">
            <v>23.2773</v>
          </cell>
          <cell r="AB146" t="e">
            <v>#N/A</v>
          </cell>
          <cell r="AC146" t="e">
            <v>#N/A</v>
          </cell>
          <cell r="AD146" t="str">
            <v>0233-15</v>
          </cell>
          <cell r="AE146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47">
          <cell r="A147" t="str">
            <v>234-15</v>
          </cell>
          <cell r="B147">
            <v>4028</v>
          </cell>
          <cell r="C147" t="str">
            <v>DE.1.0.7.0</v>
          </cell>
          <cell r="D147" t="str">
            <v>204:232963</v>
          </cell>
          <cell r="E147">
            <v>42597.953425925924</v>
          </cell>
          <cell r="F147">
            <v>42597.954236111109</v>
          </cell>
          <cell r="G147">
            <v>1</v>
          </cell>
          <cell r="H147" t="str">
            <v>204:161</v>
          </cell>
          <cell r="I147">
            <v>42597.984224537038</v>
          </cell>
          <cell r="J147">
            <v>0</v>
          </cell>
          <cell r="K147" t="str">
            <v>4027/4028</v>
          </cell>
          <cell r="L147" t="str">
            <v>CHANDLER</v>
          </cell>
          <cell r="M147">
            <v>2.9988425929332152E-2</v>
          </cell>
          <cell r="N147">
            <v>43.183333338238299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https://search-rtdc-monitor-bjffxe2xuh6vdkpspy63sjmuny.us-east-1.es.amazonaws.com/_plugin/kibana/#/discover/Steve-Slow-Train-Analysis-(2080s-and-2083s)?_g=(refreshInterval:(display:Off,section:0,value:0),time:(from:'2016-08-15 21:52:56-0600',mode:absolute,to:'2016-08-16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7" t="str">
            <v>N</v>
          </cell>
          <cell r="X147">
            <v>1</v>
          </cell>
          <cell r="Y147">
            <v>23.296299999999999</v>
          </cell>
          <cell r="Z147">
            <v>1.61E-2</v>
          </cell>
          <cell r="AA147">
            <v>23.280199999999997</v>
          </cell>
          <cell r="AB147" t="e">
            <v>#N/A</v>
          </cell>
          <cell r="AC147" t="e">
            <v>#N/A</v>
          </cell>
          <cell r="AD147" t="str">
            <v>0234-15</v>
          </cell>
          <cell r="AE147" t="str">
    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    </cell>
        </row>
        <row r="148">
          <cell r="A148" t="str">
            <v>235-15</v>
          </cell>
          <cell r="B148">
            <v>4020</v>
          </cell>
          <cell r="C148" t="str">
            <v>DE.1.0.7.0</v>
          </cell>
          <cell r="D148" t="str">
            <v>204:444</v>
          </cell>
          <cell r="E148">
            <v>42597.929444444446</v>
          </cell>
          <cell r="F148">
            <v>42597.93037037037</v>
          </cell>
          <cell r="G148">
            <v>1</v>
          </cell>
          <cell r="H148" t="str">
            <v>204:233288</v>
          </cell>
          <cell r="I148">
            <v>42597.96366898148</v>
          </cell>
          <cell r="J148">
            <v>0</v>
          </cell>
          <cell r="K148" t="str">
            <v>4019/4020</v>
          </cell>
          <cell r="L148" t="str">
            <v>ISHMAEL</v>
          </cell>
          <cell r="M148">
            <v>3.329861110978527E-2</v>
          </cell>
          <cell r="N148">
            <v>47.949999998090789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https://search-rtdc-monitor-bjffxe2xuh6vdkpspy63sjmuny.us-east-1.es.amazonaws.com/_plugin/kibana/#/discover/Steve-Slow-Train-Analysis-(2080s-and-2083s)?_g=(refreshInterval:(display:Off,section:0,value:0),time:(from:'2016-08-15 21:18:24-0600',mode:absolute,to:'2016-08-16 00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8" t="str">
            <v>N</v>
          </cell>
          <cell r="X148">
            <v>1</v>
          </cell>
          <cell r="Y148">
            <v>4.4400000000000002E-2</v>
          </cell>
          <cell r="Z148">
            <v>23.328800000000001</v>
          </cell>
          <cell r="AA148">
            <v>23.284400000000002</v>
          </cell>
          <cell r="AB148" t="e">
            <v>#N/A</v>
          </cell>
          <cell r="AC148" t="e">
            <v>#N/A</v>
          </cell>
          <cell r="AD148" t="str">
            <v>0235-15</v>
          </cell>
          <cell r="AE148" t="str">
    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    </cell>
        </row>
        <row r="149">
          <cell r="A149" t="str">
            <v>236-15</v>
          </cell>
          <cell r="B149">
            <v>4019</v>
          </cell>
          <cell r="C149" t="str">
            <v>DE.1.0.7.0</v>
          </cell>
          <cell r="D149" t="str">
            <v>204:232971</v>
          </cell>
          <cell r="E149">
            <v>42597.970891203702</v>
          </cell>
          <cell r="F149">
            <v>42597.971620370372</v>
          </cell>
          <cell r="G149">
            <v>1</v>
          </cell>
          <cell r="H149" t="str">
            <v>204:163</v>
          </cell>
          <cell r="I149">
            <v>42598.005312499998</v>
          </cell>
          <cell r="J149">
            <v>0</v>
          </cell>
          <cell r="K149" t="str">
            <v>4019/4020</v>
          </cell>
          <cell r="L149" t="str">
            <v>ISHMAEL</v>
          </cell>
          <cell r="M149">
            <v>3.3692129625706002E-2</v>
          </cell>
          <cell r="N149">
            <v>48.516666661016643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https://search-rtdc-monitor-bjffxe2xuh6vdkpspy63sjmuny.us-east-1.es.amazonaws.com/_plugin/kibana/#/discover/Steve-Slow-Train-Analysis-(2080s-and-2083s)?_g=(refreshInterval:(display:Off,section:0,value:0),time:(from:'2016-08-15 22:18:05-0600',mode:absolute,to:'2016-08-16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9" t="str">
            <v>N</v>
          </cell>
          <cell r="X149">
            <v>1</v>
          </cell>
          <cell r="Y149">
            <v>23.2971</v>
          </cell>
          <cell r="Z149">
            <v>1.6299999999999999E-2</v>
          </cell>
          <cell r="AA149">
            <v>23.280799999999999</v>
          </cell>
          <cell r="AB149" t="e">
            <v>#N/A</v>
          </cell>
          <cell r="AC149" t="e">
            <v>#N/A</v>
          </cell>
          <cell r="AD149" t="str">
            <v>0236-15</v>
          </cell>
          <cell r="AE149" t="str">
    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    </cell>
        </row>
        <row r="150">
          <cell r="A150" t="str">
            <v>237-15</v>
          </cell>
          <cell r="B150">
            <v>4007</v>
          </cell>
          <cell r="C150" t="str">
            <v>DE.1.0.7.0</v>
          </cell>
          <cell r="D150" t="str">
            <v>204:477</v>
          </cell>
          <cell r="E150">
            <v>42597.948530092595</v>
          </cell>
          <cell r="F150">
            <v>42597.949606481481</v>
          </cell>
          <cell r="G150">
            <v>1</v>
          </cell>
          <cell r="H150" t="str">
            <v>204:233297</v>
          </cell>
          <cell r="I150">
            <v>42597.983634259261</v>
          </cell>
          <cell r="J150">
            <v>0</v>
          </cell>
          <cell r="K150" t="str">
            <v>4007/4008</v>
          </cell>
          <cell r="L150" t="str">
            <v>OUN</v>
          </cell>
          <cell r="M150">
            <v>3.4027777779556345E-2</v>
          </cell>
          <cell r="N150">
            <v>49.000000002561137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https://search-rtdc-monitor-bjffxe2xuh6vdkpspy63sjmuny.us-east-1.es.amazonaws.com/_plugin/kibana/#/discover/Steve-Slow-Train-Analysis-(2080s-and-2083s)?_g=(refreshInterval:(display:Off,section:0,value:0),time:(from:'2016-08-15 21:45:53-0600',mode:absolute,to:'2016-08-16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0" t="str">
            <v>N</v>
          </cell>
          <cell r="X150">
            <v>1</v>
          </cell>
          <cell r="Y150">
            <v>4.7699999999999999E-2</v>
          </cell>
          <cell r="Z150">
            <v>23.329699999999999</v>
          </cell>
          <cell r="AA150">
            <v>23.282</v>
          </cell>
          <cell r="AB150" t="e">
            <v>#N/A</v>
          </cell>
          <cell r="AC150" t="e">
            <v>#N/A</v>
          </cell>
          <cell r="AD150" t="str">
            <v>0237-15</v>
          </cell>
          <cell r="AE150" t="str">
    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    </cell>
        </row>
        <row r="151">
          <cell r="A151" t="str">
            <v>238-15</v>
          </cell>
          <cell r="B151">
            <v>4008</v>
          </cell>
          <cell r="C151" t="str">
            <v>DE.1.0.7.0</v>
          </cell>
          <cell r="D151" t="str">
            <v>204:232963</v>
          </cell>
          <cell r="E151">
            <v>42597.991863425923</v>
          </cell>
          <cell r="F151">
            <v>42597.992685185185</v>
          </cell>
          <cell r="G151">
            <v>1</v>
          </cell>
          <cell r="H151" t="str">
            <v>204:157</v>
          </cell>
          <cell r="I151">
            <v>42598.025567129633</v>
          </cell>
          <cell r="J151">
            <v>0</v>
          </cell>
          <cell r="K151" t="str">
            <v>4007/4008</v>
          </cell>
          <cell r="L151" t="str">
            <v>OUN</v>
          </cell>
          <cell r="M151">
            <v>3.2881944447581191E-2</v>
          </cell>
          <cell r="N151">
            <v>47.350000004516914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https://search-rtdc-monitor-bjffxe2xuh6vdkpspy63sjmuny.us-east-1.es.amazonaws.com/_plugin/kibana/#/discover/Steve-Slow-Train-Analysis-(2080s-and-2083s)?_g=(refreshInterval:(display:Off,section:0,value:0),time:(from:'2016-08-15 22:48:17-0600',mode:absolute,to:'2016-08-16 01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1" t="str">
            <v>N</v>
          </cell>
          <cell r="X151">
            <v>1</v>
          </cell>
          <cell r="Y151">
            <v>23.296299999999999</v>
          </cell>
          <cell r="Z151">
            <v>1.5699999999999999E-2</v>
          </cell>
          <cell r="AA151">
            <v>23.2806</v>
          </cell>
          <cell r="AB151" t="e">
            <v>#N/A</v>
          </cell>
          <cell r="AC151" t="e">
            <v>#N/A</v>
          </cell>
          <cell r="AD151" t="str">
            <v>0238-15</v>
          </cell>
          <cell r="AE151" t="str">
    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    </cell>
        </row>
        <row r="152">
          <cell r="A152" t="str">
            <v>239-15</v>
          </cell>
          <cell r="B152">
            <v>4042</v>
          </cell>
          <cell r="C152" t="str">
            <v>DE.1.0.7.0</v>
          </cell>
          <cell r="D152" t="str">
            <v>204:453</v>
          </cell>
          <cell r="E152">
            <v>42597.965543981481</v>
          </cell>
          <cell r="F152">
            <v>42597.966562499998</v>
          </cell>
          <cell r="G152">
            <v>1</v>
          </cell>
          <cell r="H152" t="str">
            <v>204:233324</v>
          </cell>
          <cell r="I152">
            <v>42598.011122685188</v>
          </cell>
          <cell r="J152">
            <v>0</v>
          </cell>
          <cell r="K152" t="str">
            <v>4041/4042</v>
          </cell>
          <cell r="L152" t="str">
            <v>NEWELL</v>
          </cell>
          <cell r="M152">
            <v>4.4560185189766344E-2</v>
          </cell>
          <cell r="N152">
            <v>64.166666673263535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https://search-rtdc-monitor-bjffxe2xuh6vdkpspy63sjmuny.us-east-1.es.amazonaws.com/_plugin/kibana/#/discover/Steve-Slow-Train-Analysis-(2080s-and-2083s)?_g=(refreshInterval:(display:Off,section:0,value:0),time:(from:'2016-08-15 22:10:23-0600',mode:absolute,to:'2016-08-16 01:16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2" t="str">
            <v>N</v>
          </cell>
          <cell r="X152">
            <v>1</v>
          </cell>
          <cell r="Y152">
            <v>4.53E-2</v>
          </cell>
          <cell r="Z152">
            <v>23.3324</v>
          </cell>
          <cell r="AA152">
            <v>23.287099999999999</v>
          </cell>
          <cell r="AB152" t="e">
            <v>#N/A</v>
          </cell>
          <cell r="AC152" t="e">
            <v>#N/A</v>
          </cell>
          <cell r="AD152" t="str">
            <v>0239-15</v>
          </cell>
          <cell r="AE152" t="str">
    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    </cell>
        </row>
        <row r="153">
          <cell r="A153" t="str">
            <v>240-15</v>
          </cell>
          <cell r="B153">
            <v>4041</v>
          </cell>
          <cell r="C153" t="str">
            <v>DE.1.0.7.0</v>
          </cell>
          <cell r="D153" t="str">
            <v>204:232996</v>
          </cell>
          <cell r="E153">
            <v>42598.016851851855</v>
          </cell>
          <cell r="F153">
            <v>42598.018414351849</v>
          </cell>
          <cell r="G153">
            <v>2</v>
          </cell>
          <cell r="H153" t="str">
            <v>204:126</v>
          </cell>
          <cell r="I153">
            <v>42598.045601851853</v>
          </cell>
          <cell r="J153">
            <v>0</v>
          </cell>
          <cell r="K153" t="str">
            <v>4041/4042</v>
          </cell>
          <cell r="L153" t="str">
            <v>NEWELL</v>
          </cell>
          <cell r="M153">
            <v>2.718750000349246E-2</v>
          </cell>
          <cell r="N153">
            <v>39.150000005029142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https://search-rtdc-monitor-bjffxe2xuh6vdkpspy63sjmuny.us-east-1.es.amazonaws.com/_plugin/kibana/#/discover/Steve-Slow-Train-Analysis-(2080s-and-2083s)?_g=(refreshInterval:(display:Off,section:0,value:0),time:(from:'2016-08-15 23:24:16-0600',mode:absolute,to:'2016-08-16 02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3" t="str">
            <v>N</v>
          </cell>
          <cell r="X153">
            <v>1</v>
          </cell>
          <cell r="Y153">
            <v>23.299600000000002</v>
          </cell>
          <cell r="Z153">
            <v>1.26E-2</v>
          </cell>
          <cell r="AA153">
            <v>23.287000000000003</v>
          </cell>
          <cell r="AB153" t="e">
            <v>#N/A</v>
          </cell>
          <cell r="AC153" t="e">
            <v>#N/A</v>
          </cell>
          <cell r="AD153" t="str">
            <v>0240-15</v>
          </cell>
          <cell r="AE153" t="str">
            <v>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 &amp; 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</v>
          </cell>
        </row>
        <row r="154">
          <cell r="A154" t="str">
            <v>241-15</v>
          </cell>
          <cell r="B154">
            <v>4027</v>
          </cell>
          <cell r="C154" t="str">
            <v>DE.1.0.7.0</v>
          </cell>
          <cell r="D154" t="str">
            <v>204:455</v>
          </cell>
          <cell r="E154">
            <v>42597.996712962966</v>
          </cell>
          <cell r="F154">
            <v>42597.998101851852</v>
          </cell>
          <cell r="G154">
            <v>1</v>
          </cell>
          <cell r="H154" t="str">
            <v>204:233293</v>
          </cell>
          <cell r="I154">
            <v>42598.025902777779</v>
          </cell>
          <cell r="J154">
            <v>0</v>
          </cell>
          <cell r="K154" t="str">
            <v>4027/4028</v>
          </cell>
          <cell r="L154" t="str">
            <v>CHANDLER</v>
          </cell>
          <cell r="M154">
            <v>2.7800925927294884E-2</v>
          </cell>
          <cell r="N154">
            <v>40.033333335304633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https://search-rtdc-monitor-bjffxe2xuh6vdkpspy63sjmuny.us-east-1.es.amazonaws.com/_plugin/kibana/#/discover/Steve-Slow-Train-Analysis-(2080s-and-2083s)?_g=(refreshInterval:(display:Off,section:0,value:0),time:(from:'2016-08-15 22:55:16-0600',mode:absolute,to:'2016-08-16 01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4" t="str">
            <v>N</v>
          </cell>
          <cell r="X154">
            <v>1</v>
          </cell>
          <cell r="Y154">
            <v>4.5499999999999999E-2</v>
          </cell>
          <cell r="Z154">
            <v>23.3293</v>
          </cell>
          <cell r="AA154">
            <v>23.283799999999999</v>
          </cell>
          <cell r="AB154" t="e">
            <v>#N/A</v>
          </cell>
          <cell r="AC154" t="e">
            <v>#N/A</v>
          </cell>
          <cell r="AD154" t="str">
            <v>0241-15</v>
          </cell>
          <cell r="AE154" t="str">
    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    </cell>
        </row>
        <row r="155">
          <cell r="A155" t="str">
            <v>242-15</v>
          </cell>
          <cell r="B155">
            <v>4028</v>
          </cell>
          <cell r="C155" t="str">
            <v>DE.1.0.7.0</v>
          </cell>
          <cell r="D155" t="str">
            <v>204:232971</v>
          </cell>
          <cell r="E155">
            <v>42598.036504629628</v>
          </cell>
          <cell r="F155">
            <v>42598.037638888891</v>
          </cell>
          <cell r="G155">
            <v>1</v>
          </cell>
          <cell r="H155" t="str">
            <v>204:155</v>
          </cell>
          <cell r="I155">
            <v>42598.067233796297</v>
          </cell>
          <cell r="J155">
            <v>0</v>
          </cell>
          <cell r="K155" t="str">
            <v>4027/4028</v>
          </cell>
          <cell r="L155" t="str">
            <v>CHANDLER</v>
          </cell>
          <cell r="M155">
            <v>2.9594907406135462E-2</v>
          </cell>
          <cell r="N155">
            <v>42.616666664835066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https://search-rtdc-monitor-bjffxe2xuh6vdkpspy63sjmuny.us-east-1.es.amazonaws.com/_plugin/kibana/#/discover/Steve-Slow-Train-Analysis-(2080s-and-2083s)?_g=(refreshInterval:(display:Off,section:0,value:0),time:(from:'2016-08-15 23:52:34-0600',mode:absolute,to:'2016-08-16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5" t="str">
            <v>N</v>
          </cell>
          <cell r="X155">
            <v>1</v>
          </cell>
          <cell r="Y155">
            <v>23.2971</v>
          </cell>
          <cell r="Z155">
            <v>1.55E-2</v>
          </cell>
          <cell r="AA155">
            <v>23.281600000000001</v>
          </cell>
          <cell r="AB155" t="e">
            <v>#N/A</v>
          </cell>
          <cell r="AC155" t="e">
            <v>#N/A</v>
          </cell>
          <cell r="AD155" t="str">
            <v>0242-15</v>
          </cell>
          <cell r="AE155" t="str">
            <v>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 &amp; 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</v>
          </cell>
        </row>
        <row r="156">
          <cell r="A156" t="str">
            <v>243-15</v>
          </cell>
          <cell r="B156">
            <v>4020</v>
          </cell>
          <cell r="C156" t="str">
            <v>DE.1.0.7.0</v>
          </cell>
          <cell r="D156" t="str">
            <v>204:480</v>
          </cell>
          <cell r="E156">
            <v>42598.012650462966</v>
          </cell>
          <cell r="F156">
            <v>42598.013564814813</v>
          </cell>
          <cell r="G156">
            <v>1</v>
          </cell>
          <cell r="H156" t="str">
            <v>204:233291</v>
          </cell>
          <cell r="I156">
            <v>42598.045694444445</v>
          </cell>
          <cell r="J156">
            <v>0</v>
          </cell>
          <cell r="K156" t="str">
            <v>4019/4020</v>
          </cell>
          <cell r="L156" t="str">
            <v>ISHMAEL</v>
          </cell>
          <cell r="M156">
            <v>3.2129629631526768E-2</v>
          </cell>
          <cell r="N156">
            <v>46.266666669398546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https://search-rtdc-monitor-bjffxe2xuh6vdkpspy63sjmuny.us-east-1.es.amazonaws.com/_plugin/kibana/#/discover/Steve-Slow-Train-Analysis-(2080s-and-2083s)?_g=(refreshInterval:(display:Off,section:0,value:0),time:(from:'2016-08-15 23:18:13-0600',mode:absolute,to:'2016-08-16 02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6" t="str">
            <v>N</v>
          </cell>
          <cell r="X156">
            <v>1</v>
          </cell>
          <cell r="Y156">
            <v>4.8000000000000001E-2</v>
          </cell>
          <cell r="Z156">
            <v>23.3291</v>
          </cell>
          <cell r="AA156">
            <v>23.281100000000002</v>
          </cell>
          <cell r="AB156" t="e">
            <v>#N/A</v>
          </cell>
          <cell r="AC156" t="e">
            <v>#N/A</v>
          </cell>
          <cell r="AD156" t="str">
            <v>0243-15</v>
          </cell>
          <cell r="AE156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157">
          <cell r="A157" t="str">
            <v>244-15</v>
          </cell>
          <cell r="B157">
            <v>4019</v>
          </cell>
          <cell r="C157" t="str">
            <v>DE.1.0.7.0</v>
          </cell>
          <cell r="D157" t="str">
            <v>204:232982</v>
          </cell>
          <cell r="E157">
            <v>42598.052291666667</v>
          </cell>
          <cell r="F157">
            <v>42598.053229166668</v>
          </cell>
          <cell r="G157">
            <v>1</v>
          </cell>
          <cell r="H157" t="str">
            <v>204:97</v>
          </cell>
          <cell r="I157">
            <v>42598.086296296293</v>
          </cell>
          <cell r="J157">
            <v>0</v>
          </cell>
          <cell r="K157" t="str">
            <v>4019/4020</v>
          </cell>
          <cell r="L157" t="str">
            <v>ISHMAEL</v>
          </cell>
          <cell r="M157">
            <v>3.3067129625123926E-2</v>
          </cell>
          <cell r="N157">
            <v>47.616666660178453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https://search-rtdc-monitor-bjffxe2xuh6vdkpspy63sjmuny.us-east-1.es.amazonaws.com/_plugin/kibana/#/discover/Steve-Slow-Train-Analysis-(2080s-and-2083s)?_g=(refreshInterval:(display:Off,section:0,value:0),time:(from:'2016-08-16 00:15:18-0600',mode:absolute,to:'2016-08-16 03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7" t="str">
            <v>N</v>
          </cell>
          <cell r="X157">
            <v>1</v>
          </cell>
          <cell r="Y157">
            <v>23.298200000000001</v>
          </cell>
          <cell r="Z157">
            <v>9.7000000000000003E-3</v>
          </cell>
          <cell r="AA157">
            <v>23.288500000000003</v>
          </cell>
          <cell r="AB157" t="e">
            <v>#N/A</v>
          </cell>
          <cell r="AC157" t="e">
            <v>#N/A</v>
          </cell>
          <cell r="AD157" t="str">
            <v>0244-15</v>
          </cell>
          <cell r="AE157" t="str">
            <v>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 &amp; 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</v>
          </cell>
        </row>
        <row r="158">
          <cell r="A158" t="str">
            <v>800-15</v>
          </cell>
          <cell r="B158">
            <v>4013</v>
          </cell>
          <cell r="C158" t="str">
            <v>DE.1.0.7.0</v>
          </cell>
          <cell r="D158" t="str">
            <v>300:58621</v>
          </cell>
          <cell r="E158">
            <v>42597.210370370369</v>
          </cell>
          <cell r="F158">
            <v>42597.211273148147</v>
          </cell>
          <cell r="G158">
            <v>1</v>
          </cell>
          <cell r="H158" t="str">
            <v>204:638</v>
          </cell>
          <cell r="I158">
            <v>42597.227071759262</v>
          </cell>
          <cell r="J158">
            <v>0</v>
          </cell>
          <cell r="K158" t="str">
            <v>4013/4014</v>
          </cell>
          <cell r="L158" t="str">
            <v>DAVIS</v>
          </cell>
          <cell r="M158">
            <v>1.5798611115314998E-2</v>
          </cell>
          <cell r="N158">
            <v>22.750000006053597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https://search-rtdc-monitor-bjffxe2xuh6vdkpspy63sjmuny.us-east-1.es.amazonaws.com/_plugin/kibana/#/discover/Steve-Slow-Train-Analysis-(2080s-and-2083s)?_g=(refreshInterval:(display:Off,section:0,value:0),time:(from:'2016-08-15 04:02:56-0600',mode:absolute,to:'2016-08-15 06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8" t="str">
            <v>N</v>
          </cell>
          <cell r="X158">
            <v>556</v>
          </cell>
          <cell r="Y158">
            <v>5.8620999999999999</v>
          </cell>
          <cell r="Z158">
            <v>6.3799999999999996E-2</v>
          </cell>
          <cell r="AA158">
            <v>5.7983000000000002</v>
          </cell>
          <cell r="AB158" t="e">
            <v>#N/A</v>
          </cell>
          <cell r="AC158" t="e">
            <v>#N/A</v>
          </cell>
          <cell r="AD158" t="str">
            <v>0800-15</v>
          </cell>
          <cell r="AE158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59">
          <cell r="A159" t="str">
            <v>801-15</v>
          </cell>
          <cell r="B159">
            <v>4014</v>
          </cell>
          <cell r="C159" t="str">
            <v>DE.1.0.7.0</v>
          </cell>
          <cell r="D159" t="str">
            <v>204:927</v>
          </cell>
          <cell r="E159">
            <v>42597.236122685186</v>
          </cell>
          <cell r="F159">
            <v>42597.237233796295</v>
          </cell>
          <cell r="G159">
            <v>1</v>
          </cell>
          <cell r="H159" t="str">
            <v>300:58928</v>
          </cell>
          <cell r="I159">
            <v>42597.254270833335</v>
          </cell>
          <cell r="J159">
            <v>0</v>
          </cell>
          <cell r="K159" t="str">
            <v>4013/4014</v>
          </cell>
          <cell r="L159" t="str">
            <v>DAVIS</v>
          </cell>
          <cell r="M159">
            <v>1.7037037039699499E-2</v>
          </cell>
          <cell r="N159">
            <v>24.533333337167278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https://search-rtdc-monitor-bjffxe2xuh6vdkpspy63sjmuny.us-east-1.es.amazonaws.com/_plugin/kibana/#/discover/Steve-Slow-Train-Analysis-(2080s-and-2083s)?_g=(refreshInterval:(display:Off,section:0,value:0),time:(from:'2016-08-15 04:40:01-0600',mode:absolute,to:'2016-08-15 07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9" t="str">
            <v>N</v>
          </cell>
          <cell r="X159">
            <v>1</v>
          </cell>
          <cell r="Y159">
            <v>9.2700000000000005E-2</v>
          </cell>
          <cell r="Z159">
            <v>5.8928000000000003</v>
          </cell>
          <cell r="AA159">
            <v>5.8001000000000005</v>
          </cell>
          <cell r="AB159" t="e">
            <v>#N/A</v>
          </cell>
          <cell r="AC159" t="e">
            <v>#N/A</v>
          </cell>
          <cell r="AD159" t="str">
            <v>0801-15</v>
          </cell>
          <cell r="AE159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0">
          <cell r="A160" t="str">
            <v>802-15</v>
          </cell>
          <cell r="B160">
            <v>4013</v>
          </cell>
          <cell r="C160" t="str">
            <v>DE.1.0.7.0</v>
          </cell>
          <cell r="D160" t="str">
            <v>300:58615</v>
          </cell>
          <cell r="E160">
            <v>42597.255196759259</v>
          </cell>
          <cell r="F160">
            <v>42597.256180555552</v>
          </cell>
          <cell r="G160">
            <v>1</v>
          </cell>
          <cell r="H160" t="str">
            <v>204:654</v>
          </cell>
          <cell r="I160">
            <v>42597.267650462964</v>
          </cell>
          <cell r="J160">
            <v>0</v>
          </cell>
          <cell r="K160" t="str">
            <v>4013/4014</v>
          </cell>
          <cell r="L160" t="str">
            <v>DAVIS</v>
          </cell>
          <cell r="M160">
            <v>1.1469907411083113E-2</v>
          </cell>
          <cell r="N160">
            <v>16.516666671959683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https://search-rtdc-monitor-bjffxe2xuh6vdkpspy63sjmuny.us-east-1.es.amazonaws.com/_plugin/kibana/#/discover/Steve-Slow-Train-Analysis-(2080s-and-2083s)?_g=(refreshInterval:(display:Off,section:0,value:0),time:(from:'2016-08-15 05:07:29-0600',mode:absolute,to:'2016-08-15 07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0" t="str">
            <v>N</v>
          </cell>
          <cell r="X160">
            <v>1</v>
          </cell>
          <cell r="Y160">
            <v>5.8615000000000004</v>
          </cell>
          <cell r="Z160">
            <v>6.54E-2</v>
          </cell>
          <cell r="AA160">
            <v>5.7961</v>
          </cell>
          <cell r="AB160" t="e">
            <v>#N/A</v>
          </cell>
          <cell r="AC160" t="e">
            <v>#N/A</v>
          </cell>
          <cell r="AD160" t="str">
            <v>0802-15</v>
          </cell>
          <cell r="AE160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1">
          <cell r="A161" t="str">
            <v>803-15</v>
          </cell>
          <cell r="B161">
            <v>4016</v>
          </cell>
          <cell r="C161" t="str">
            <v>DE.1.0.7.0</v>
          </cell>
          <cell r="D161" t="str">
            <v>204:334</v>
          </cell>
          <cell r="E161">
            <v>42597.265509259261</v>
          </cell>
          <cell r="F161">
            <v>42597.266400462962</v>
          </cell>
          <cell r="G161">
            <v>1</v>
          </cell>
          <cell r="H161" t="str">
            <v>300:58950</v>
          </cell>
          <cell r="I161">
            <v>42597.280347222222</v>
          </cell>
          <cell r="J161">
            <v>0</v>
          </cell>
          <cell r="K161" t="str">
            <v>4015/4016</v>
          </cell>
          <cell r="L161" t="str">
            <v>ROCHA</v>
          </cell>
          <cell r="M161">
            <v>1.3946759259852115E-2</v>
          </cell>
          <cell r="N161">
            <v>20.083333334187046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1" t="str">
            <v>N</v>
          </cell>
          <cell r="X161">
            <v>1</v>
          </cell>
          <cell r="Y161">
            <v>3.3399999999999999E-2</v>
          </cell>
          <cell r="Z161">
            <v>5.8949999999999996</v>
          </cell>
          <cell r="AA161">
            <v>5.8615999999999993</v>
          </cell>
          <cell r="AB161" t="e">
            <v>#N/A</v>
          </cell>
          <cell r="AC161" t="e">
            <v>#N/A</v>
          </cell>
          <cell r="AD161" t="str">
            <v>0803-15</v>
          </cell>
          <cell r="AE16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62">
          <cell r="A162" t="str">
            <v>804-15</v>
          </cell>
          <cell r="B162">
            <v>4015</v>
          </cell>
          <cell r="C162" t="str">
            <v>DE.1.0.7.0</v>
          </cell>
          <cell r="D162" t="str">
            <v>300:58638</v>
          </cell>
          <cell r="E162">
            <v>42597.281134259261</v>
          </cell>
          <cell r="F162">
            <v>42597.281967592593</v>
          </cell>
          <cell r="G162">
            <v>1</v>
          </cell>
          <cell r="H162" t="str">
            <v>204:663</v>
          </cell>
          <cell r="I162">
            <v>42597.291331018518</v>
          </cell>
          <cell r="J162">
            <v>0</v>
          </cell>
          <cell r="K162" t="str">
            <v>4015/4016</v>
          </cell>
          <cell r="L162" t="str">
            <v>ROCHA</v>
          </cell>
          <cell r="M162">
            <v>9.3634259246755391E-3</v>
          </cell>
          <cell r="N162">
            <v>13.483333331532776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https://search-rtdc-monitor-bjffxe2xuh6vdkpspy63sjmuny.us-east-1.es.amazonaws.com/_plugin/kibana/#/discover/Steve-Slow-Train-Analysis-(2080s-and-2083s)?_g=(refreshInterval:(display:Off,section:0,value:0),time:(from:'2016-08-15 05:44:50-0600',mode:absolute,to:'2016-08-15 07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2" t="str">
            <v>N</v>
          </cell>
          <cell r="X162">
            <v>1</v>
          </cell>
          <cell r="Y162">
            <v>5.8638000000000003</v>
          </cell>
          <cell r="Z162">
            <v>6.6299999999999998E-2</v>
          </cell>
          <cell r="AA162">
            <v>5.7975000000000003</v>
          </cell>
          <cell r="AB162" t="e">
            <v>#N/A</v>
          </cell>
          <cell r="AC162" t="e">
            <v>#N/A</v>
          </cell>
          <cell r="AD162" t="str">
            <v>0804-15</v>
          </cell>
          <cell r="AE16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63">
          <cell r="A163" t="str">
            <v>805-15</v>
          </cell>
          <cell r="B163">
            <v>4014</v>
          </cell>
          <cell r="C163" t="str">
            <v>DE.1.0.7.0</v>
          </cell>
          <cell r="D163" t="str">
            <v>204:946</v>
          </cell>
          <cell r="E163">
            <v>42597.277881944443</v>
          </cell>
          <cell r="F163">
            <v>42597.278831018521</v>
          </cell>
          <cell r="G163">
            <v>1</v>
          </cell>
          <cell r="H163" t="str">
            <v>300:58922</v>
          </cell>
          <cell r="I163">
            <v>42597.29650462963</v>
          </cell>
          <cell r="J163">
            <v>0</v>
          </cell>
          <cell r="K163" t="str">
            <v>4013/4014</v>
          </cell>
          <cell r="L163" t="str">
            <v>DAVIS</v>
          </cell>
          <cell r="M163">
            <v>1.767361110978527E-2</v>
          </cell>
          <cell r="N163">
            <v>25.449999998090789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https://search-rtdc-monitor-bjffxe2xuh6vdkpspy63sjmuny.us-east-1.es.amazonaws.com/_plugin/kibana/#/discover/Steve-Slow-Train-Analysis-(2080s-and-2083s)?_g=(refreshInterval:(display:Off,section:0,value:0),time:(from:'2016-08-15 05:40:09-0600',mode:absolute,to:'2016-08-15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3" t="str">
            <v>N</v>
          </cell>
          <cell r="X163">
            <v>1</v>
          </cell>
          <cell r="Y163">
            <v>9.4600000000000004E-2</v>
          </cell>
          <cell r="Z163">
            <v>5.8921999999999999</v>
          </cell>
          <cell r="AA163">
            <v>5.7976000000000001</v>
          </cell>
          <cell r="AB163" t="e">
            <v>#N/A</v>
          </cell>
          <cell r="AC163" t="e">
            <v>#N/A</v>
          </cell>
          <cell r="AD163" t="str">
            <v>0805-15</v>
          </cell>
          <cell r="AE163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4">
          <cell r="A164" t="str">
            <v>806-15</v>
          </cell>
          <cell r="B164">
            <v>4013</v>
          </cell>
          <cell r="C164" t="str">
            <v>DE.1.0.7.0</v>
          </cell>
          <cell r="D164" t="str">
            <v>300:58606</v>
          </cell>
          <cell r="E164">
            <v>42597.2971875</v>
          </cell>
          <cell r="F164">
            <v>42597.298009259262</v>
          </cell>
          <cell r="G164">
            <v>1</v>
          </cell>
          <cell r="H164" t="str">
            <v>204:638</v>
          </cell>
          <cell r="I164">
            <v>42597.309641203705</v>
          </cell>
          <cell r="J164">
            <v>0</v>
          </cell>
          <cell r="K164" t="str">
            <v>4013/4014</v>
          </cell>
          <cell r="L164" t="str">
            <v>DAVIS</v>
          </cell>
          <cell r="M164">
            <v>1.1631944442342501E-2</v>
          </cell>
          <cell r="N164">
            <v>16.749999996973202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https://search-rtdc-monitor-bjffxe2xuh6vdkpspy63sjmuny.us-east-1.es.amazonaws.com/_plugin/kibana/#/discover/Steve-Slow-Train-Analysis-(2080s-and-2083s)?_g=(refreshInterval:(display:Off,section:0,value:0),time:(from:'2016-08-15 06:07:57-0600',mode:absolute,to:'2016-08-15 08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4" t="str">
            <v>N</v>
          </cell>
          <cell r="X164">
            <v>1</v>
          </cell>
          <cell r="Y164">
            <v>5.8605999999999998</v>
          </cell>
          <cell r="Z164">
            <v>6.3799999999999996E-2</v>
          </cell>
          <cell r="AA164">
            <v>5.7968000000000002</v>
          </cell>
          <cell r="AB164" t="e">
            <v>#N/A</v>
          </cell>
          <cell r="AC164" t="e">
            <v>#N/A</v>
          </cell>
          <cell r="AD164" t="str">
            <v>0806-15</v>
          </cell>
          <cell r="AE164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5">
          <cell r="A165" t="str">
            <v>807-15</v>
          </cell>
          <cell r="B165">
            <v>4016</v>
          </cell>
          <cell r="C165" t="str">
            <v>DE.1.0.7.0</v>
          </cell>
          <cell r="D165" t="str">
            <v>204:943</v>
          </cell>
          <cell r="E165">
            <v>42597.292824074073</v>
          </cell>
          <cell r="F165">
            <v>42597.293564814812</v>
          </cell>
          <cell r="G165">
            <v>1</v>
          </cell>
          <cell r="H165" t="str">
            <v>300:58954</v>
          </cell>
          <cell r="I165">
            <v>42597.315879629627</v>
          </cell>
          <cell r="J165">
            <v>0</v>
          </cell>
          <cell r="K165" t="str">
            <v>4015/4016</v>
          </cell>
          <cell r="L165" t="str">
            <v>ROCHA</v>
          </cell>
          <cell r="M165">
            <v>2.2314814814308193E-2</v>
          </cell>
          <cell r="N165">
            <v>32.133333332603797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https://search-rtdc-monitor-bjffxe2xuh6vdkpspy63sjmuny.us-east-1.es.amazonaws.com/_plugin/kibana/#/discover/Steve-Slow-Train-Analysis-(2080s-and-2083s)?_g=(refreshInterval:(display:Off,section:0,value:0),time:(from:'2016-08-15 06:01:40-0600',mode:absolute,to:'2016-08-15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5" t="str">
            <v>N</v>
          </cell>
          <cell r="X165">
            <v>1</v>
          </cell>
          <cell r="Y165">
            <v>9.4299999999999995E-2</v>
          </cell>
          <cell r="Z165">
            <v>5.8954000000000004</v>
          </cell>
          <cell r="AA165">
            <v>5.8011000000000008</v>
          </cell>
          <cell r="AB165" t="e">
            <v>#N/A</v>
          </cell>
          <cell r="AC165" t="e">
            <v>#N/A</v>
          </cell>
          <cell r="AD165" t="str">
            <v>0807-15</v>
          </cell>
          <cell r="AE16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66">
          <cell r="A166" t="str">
            <v>808-15</v>
          </cell>
          <cell r="B166">
            <v>4015</v>
          </cell>
          <cell r="C166" t="str">
            <v>DE.1.0.7.0</v>
          </cell>
          <cell r="D166" t="str">
            <v>300:58643</v>
          </cell>
          <cell r="E166">
            <v>42597.316851851851</v>
          </cell>
          <cell r="F166">
            <v>42597.317523148151</v>
          </cell>
          <cell r="G166">
            <v>0</v>
          </cell>
          <cell r="H166" t="str">
            <v>204:642</v>
          </cell>
          <cell r="I166">
            <v>42597.343726851854</v>
          </cell>
          <cell r="J166">
            <v>0</v>
          </cell>
          <cell r="K166" t="str">
            <v>4015/4016</v>
          </cell>
          <cell r="L166" t="str">
            <v>ROCHA</v>
          </cell>
          <cell r="M166">
            <v>2.6203703702776693E-2</v>
          </cell>
          <cell r="N166">
            <v>37.733333331998438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https://search-rtdc-monitor-bjffxe2xuh6vdkpspy63sjmuny.us-east-1.es.amazonaws.com/_plugin/kibana/#/discover/Steve-Slow-Train-Analysis-(2080s-and-2083s)?_g=(refreshInterval:(display:Off,section:0,value:0),time:(from:'2016-08-15 06:36:16-0600',mode:absolute,to:'2016-08-15 09:14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6" t="str">
            <v>N</v>
          </cell>
          <cell r="X166">
            <v>1</v>
          </cell>
          <cell r="Y166">
            <v>5.8643000000000001</v>
          </cell>
          <cell r="Z166">
            <v>6.4199999999999993E-2</v>
          </cell>
          <cell r="AA166">
            <v>5.8001000000000005</v>
          </cell>
          <cell r="AB166" t="e">
            <v>#N/A</v>
          </cell>
          <cell r="AC166" t="e">
            <v>#N/A</v>
          </cell>
          <cell r="AD166" t="str">
            <v>0808-15</v>
          </cell>
          <cell r="AE16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67">
          <cell r="A167" t="str">
            <v>809-15</v>
          </cell>
          <cell r="B167">
            <v>4014</v>
          </cell>
          <cell r="C167" t="str">
            <v>DE.1.0.7.0</v>
          </cell>
          <cell r="D167" t="str">
            <v>204:930</v>
          </cell>
          <cell r="E167">
            <v>42597.324224537035</v>
          </cell>
          <cell r="F167">
            <v>42597.325115740743</v>
          </cell>
          <cell r="G167">
            <v>1</v>
          </cell>
          <cell r="H167" t="str">
            <v>300:58931</v>
          </cell>
          <cell r="I167">
            <v>42597.337060185186</v>
          </cell>
          <cell r="J167">
            <v>0</v>
          </cell>
          <cell r="K167" t="str">
            <v>4013/4014</v>
          </cell>
          <cell r="L167" t="str">
            <v>DAVIS</v>
          </cell>
          <cell r="M167">
            <v>1.1944444442633539E-2</v>
          </cell>
          <cell r="N167">
            <v>17.199999997392297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https://search-rtdc-monitor-bjffxe2xuh6vdkpspy63sjmuny.us-east-1.es.amazonaws.com/_plugin/kibana/#/discover/Steve-Slow-Train-Analysis-(2080s-and-2083s)?_g=(refreshInterval:(display:Off,section:0,value:0),time:(from:'2016-08-15 06:46:53-0600',mode:absolute,to:'2016-08-15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7" t="str">
            <v>N</v>
          </cell>
          <cell r="X167">
            <v>1</v>
          </cell>
          <cell r="Y167">
            <v>9.2999999999999999E-2</v>
          </cell>
          <cell r="Z167">
            <v>5.8930999999999996</v>
          </cell>
          <cell r="AA167">
            <v>5.8000999999999996</v>
          </cell>
          <cell r="AB167" t="e">
            <v>#N/A</v>
          </cell>
          <cell r="AC167" t="e">
            <v>#N/A</v>
          </cell>
          <cell r="AD167" t="str">
            <v>0809-15</v>
          </cell>
          <cell r="AE167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68">
          <cell r="A168" t="str">
            <v>810-15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42597.337777777779</v>
          </cell>
          <cell r="F168">
            <v>42597.338541666664</v>
          </cell>
          <cell r="G168">
            <v>1</v>
          </cell>
          <cell r="H168" t="str">
            <v>204:810</v>
          </cell>
          <cell r="I168">
            <v>42597.351168981484</v>
          </cell>
          <cell r="J168">
            <v>0</v>
          </cell>
          <cell r="K168" t="str">
            <v>4013/4014</v>
          </cell>
          <cell r="L168" t="str">
            <v>DAVIS</v>
          </cell>
          <cell r="M168">
            <v>1.262731481983792E-2</v>
          </cell>
          <cell r="N168">
            <v>18.183333340566605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https://search-rtdc-monitor-bjffxe2xuh6vdkpspy63sjmuny.us-east-1.es.amazonaws.com/_plugin/kibana/#/discover/Steve-Slow-Train-Analysis-(2080s-and-2083s)?_g=(refreshInterval:(display:Off,section:0,value:0),time:(from:'2016-08-15 07:06:24-0600',mode:absolute,to:'2016-08-15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8.1000000000000003E-2</v>
          </cell>
          <cell r="AA168">
            <v>5.7797999999999998</v>
          </cell>
          <cell r="AB168" t="e">
            <v>#N/A</v>
          </cell>
          <cell r="AC168" t="e">
            <v>#N/A</v>
          </cell>
          <cell r="AD168" t="str">
            <v>0810-15</v>
          </cell>
          <cell r="AE168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69">
          <cell r="A169" t="str">
            <v>811-15</v>
          </cell>
          <cell r="B169">
            <v>4016</v>
          </cell>
          <cell r="C169" t="str">
            <v>DE.1.0.7.0</v>
          </cell>
          <cell r="D169" t="str">
            <v>204:941</v>
          </cell>
          <cell r="E169">
            <v>42597.331782407404</v>
          </cell>
          <cell r="F169">
            <v>42597.332604166666</v>
          </cell>
          <cell r="G169">
            <v>1</v>
          </cell>
          <cell r="H169" t="str">
            <v>300:58837</v>
          </cell>
          <cell r="I169">
            <v>42597.357569444444</v>
          </cell>
          <cell r="J169">
            <v>0</v>
          </cell>
          <cell r="K169" t="str">
            <v>4015/4016</v>
          </cell>
          <cell r="L169" t="str">
            <v>ROCHA</v>
          </cell>
          <cell r="M169">
            <v>2.4965277778392192E-2</v>
          </cell>
          <cell r="N169">
            <v>35.950000000884756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https://search-rtdc-monitor-bjffxe2xuh6vdkpspy63sjmuny.us-east-1.es.amazonaws.com/_plugin/kibana/#/discover/Steve-Slow-Train-Analysis-(2080s-and-2083s)?_g=(refreshInterval:(display:Off,section:0,value:0),time:(from:'2016-08-15 06:57:46-0600',mode:absolute,to:'2016-08-15 09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9" t="str">
            <v>N</v>
          </cell>
          <cell r="X169">
            <v>1</v>
          </cell>
          <cell r="Y169">
            <v>9.4100000000000003E-2</v>
          </cell>
          <cell r="Z169">
            <v>5.8837000000000002</v>
          </cell>
          <cell r="AA169">
            <v>5.7896000000000001</v>
          </cell>
          <cell r="AB169" t="e">
            <v>#N/A</v>
          </cell>
          <cell r="AC169" t="e">
            <v>#N/A</v>
          </cell>
          <cell r="AD169" t="str">
            <v>0811-15</v>
          </cell>
          <cell r="AE16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0">
          <cell r="A170" t="str">
            <v>812-15</v>
          </cell>
          <cell r="B170">
            <v>4015</v>
          </cell>
          <cell r="C170" t="str">
            <v>DE.1.0.7.0</v>
          </cell>
          <cell r="D170" t="str">
            <v>300:58517</v>
          </cell>
          <cell r="E170">
            <v>42597.358530092592</v>
          </cell>
          <cell r="F170">
            <v>42597.359340277777</v>
          </cell>
          <cell r="G170">
            <v>1</v>
          </cell>
          <cell r="H170" t="str">
            <v>204:642</v>
          </cell>
          <cell r="I170">
            <v>42597.373263888891</v>
          </cell>
          <cell r="J170">
            <v>0</v>
          </cell>
          <cell r="K170" t="str">
            <v>4015/4016</v>
          </cell>
          <cell r="L170" t="str">
            <v>ROCHA</v>
          </cell>
          <cell r="M170">
            <v>1.3923611113568768E-2</v>
          </cell>
          <cell r="N170">
            <v>20.050000003539026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https://search-rtdc-monitor-bjffxe2xuh6vdkpspy63sjmuny.us-east-1.es.amazonaws.com/_plugin/kibana/#/discover/Steve-Slow-Train-Analysis-(2080s-and-2083s)?_g=(refreshInterval:(display:Off,section:0,value:0),time:(from:'2016-08-15 07:36:17-0600',mode:absolute,to:'2016-08-15 09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0" t="str">
            <v>N</v>
          </cell>
          <cell r="X170">
            <v>1</v>
          </cell>
          <cell r="Y170">
            <v>5.8517000000000001</v>
          </cell>
          <cell r="Z170">
            <v>6.4199999999999993E-2</v>
          </cell>
          <cell r="AA170">
            <v>5.7875000000000005</v>
          </cell>
          <cell r="AB170" t="e">
            <v>#N/A</v>
          </cell>
          <cell r="AC170" t="e">
            <v>#N/A</v>
          </cell>
          <cell r="AD170" t="str">
            <v>0812-15</v>
          </cell>
          <cell r="AE17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1">
          <cell r="A171" t="str">
            <v>813-15</v>
          </cell>
          <cell r="B171">
            <v>4016</v>
          </cell>
          <cell r="C171" t="str">
            <v>DE.1.0.7.0</v>
          </cell>
          <cell r="D171" t="str">
            <v>204:932</v>
          </cell>
          <cell r="E171">
            <v>42597.374907407408</v>
          </cell>
          <cell r="F171">
            <v>42597.375787037039</v>
          </cell>
          <cell r="G171">
            <v>1</v>
          </cell>
          <cell r="H171" t="str">
            <v>204:2794</v>
          </cell>
          <cell r="I171">
            <v>42597.391076388885</v>
          </cell>
          <cell r="J171">
            <v>0</v>
          </cell>
          <cell r="K171" t="str">
            <v>4015/4016</v>
          </cell>
          <cell r="L171" t="str">
            <v>ROCHA</v>
          </cell>
          <cell r="M171">
            <v>1.5289351846149657E-2</v>
          </cell>
          <cell r="P171">
            <v>22.016666658455506</v>
          </cell>
          <cell r="R171" t="str">
            <v>Known issue with DUS 28N when train is on Track 2</v>
          </cell>
          <cell r="S171">
            <v>0</v>
          </cell>
          <cell r="T171" t="str">
            <v>NorthBound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https://search-rtdc-monitor-bjffxe2xuh6vdkpspy63sjmuny.us-east-1.es.amazonaws.com/_plugin/kibana/#/discover/Steve-Slow-Train-Analysis-(2080s-and-2083s)?_g=(refreshInterval:(display:Off,section:0,value:0),time:(from:'2016-08-15 07:59:52-0600',mode:absolute,to:'2016-08-15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1" t="str">
            <v>Y</v>
          </cell>
          <cell r="X171">
            <v>1</v>
          </cell>
          <cell r="Y171">
            <v>9.3200000000000005E-2</v>
          </cell>
          <cell r="Z171">
            <v>0.27939999999999998</v>
          </cell>
          <cell r="AA171">
            <v>0.18619999999999998</v>
          </cell>
          <cell r="AB171" t="e">
            <v>#N/A</v>
          </cell>
          <cell r="AC171" t="e">
            <v>#N/A</v>
          </cell>
          <cell r="AD171" t="str">
            <v>0813-15</v>
          </cell>
          <cell r="AE17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2">
          <cell r="A172" t="str">
            <v>814-15</v>
          </cell>
          <cell r="B172">
            <v>4015</v>
          </cell>
          <cell r="C172" t="str">
            <v>DE.1.0.7.0</v>
          </cell>
          <cell r="D172" t="str">
            <v>300:58726</v>
          </cell>
          <cell r="E172">
            <v>42597.403263888889</v>
          </cell>
          <cell r="F172">
            <v>42597.403865740744</v>
          </cell>
          <cell r="G172">
            <v>0</v>
          </cell>
          <cell r="H172" t="str">
            <v>204:666</v>
          </cell>
          <cell r="I172">
            <v>42597.413541666669</v>
          </cell>
          <cell r="J172">
            <v>0</v>
          </cell>
          <cell r="K172" t="str">
            <v>4015/4016</v>
          </cell>
          <cell r="L172" t="str">
            <v>ROCHA</v>
          </cell>
          <cell r="M172">
            <v>9.6759259249665774E-3</v>
          </cell>
          <cell r="N172">
            <v>13.933333331951872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https://search-rtdc-monitor-bjffxe2xuh6vdkpspy63sjmuny.us-east-1.es.amazonaws.com/_plugin/kibana/#/discover/Steve-Slow-Train-Analysis-(2080s-and-2083s)?_g=(refreshInterval:(display:Off,section:0,value:0),time:(from:'2016-08-15 08:40:42-0600',mode:absolute,to:'2016-08-15 10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2" t="str">
            <v>N</v>
          </cell>
          <cell r="X172">
            <v>1</v>
          </cell>
          <cell r="Y172">
            <v>5.8726000000000003</v>
          </cell>
          <cell r="Z172">
            <v>6.6600000000000006E-2</v>
          </cell>
          <cell r="AA172">
            <v>5.806</v>
          </cell>
          <cell r="AB172" t="e">
            <v>#N/A</v>
          </cell>
          <cell r="AC172" t="e">
            <v>#N/A</v>
          </cell>
          <cell r="AD172" t="str">
            <v>0814-15</v>
          </cell>
          <cell r="AE17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3">
          <cell r="A173" t="str">
            <v>815-15</v>
          </cell>
          <cell r="B173">
            <v>4016</v>
          </cell>
          <cell r="C173" t="str">
            <v>DE.1.0.7.0</v>
          </cell>
          <cell r="D173" t="str">
            <v>204:955</v>
          </cell>
          <cell r="E173">
            <v>42597.415578703702</v>
          </cell>
          <cell r="F173">
            <v>42597.416458333333</v>
          </cell>
          <cell r="G173">
            <v>1</v>
          </cell>
          <cell r="H173" t="str">
            <v>300:58997</v>
          </cell>
          <cell r="I173">
            <v>42597.441458333335</v>
          </cell>
          <cell r="J173">
            <v>0</v>
          </cell>
          <cell r="K173" t="str">
            <v>4015/4016</v>
          </cell>
          <cell r="L173" t="str">
            <v>ROCHA</v>
          </cell>
          <cell r="M173">
            <v>2.5000000001455192E-2</v>
          </cell>
          <cell r="N173">
            <v>36.000000002095476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https://search-rtdc-monitor-bjffxe2xuh6vdkpspy63sjmuny.us-east-1.es.amazonaws.com/_plugin/kibana/#/discover/Steve-Slow-Train-Analysis-(2080s-and-2083s)?_g=(refreshInterval:(display:Off,section:0,value:0),time:(from:'2016-08-15 08:58:26-0600',mode:absolute,to:'2016-08-15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3" t="str">
            <v>N</v>
          </cell>
          <cell r="X173">
            <v>1</v>
          </cell>
          <cell r="Y173">
            <v>9.5500000000000002E-2</v>
          </cell>
          <cell r="Z173">
            <v>5.8997000000000002</v>
          </cell>
          <cell r="AA173">
            <v>5.8041999999999998</v>
          </cell>
          <cell r="AB173" t="e">
            <v>#N/A</v>
          </cell>
          <cell r="AC173" t="e">
            <v>#N/A</v>
          </cell>
          <cell r="AD173" t="str">
            <v>0815-15</v>
          </cell>
          <cell r="AE17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4">
          <cell r="A174" t="str">
            <v>816-15</v>
          </cell>
          <cell r="B174">
            <v>4015</v>
          </cell>
          <cell r="C174" t="str">
            <v>DE.1.0.7.0</v>
          </cell>
          <cell r="D174" t="str">
            <v>300:58677</v>
          </cell>
          <cell r="E174">
            <v>42597.442604166667</v>
          </cell>
          <cell r="F174">
            <v>42597.443344907406</v>
          </cell>
          <cell r="G174">
            <v>1</v>
          </cell>
          <cell r="H174" t="str">
            <v>204:680</v>
          </cell>
          <cell r="I174">
            <v>42597.456041666665</v>
          </cell>
          <cell r="J174">
            <v>0</v>
          </cell>
          <cell r="K174" t="str">
            <v>4015/4016</v>
          </cell>
          <cell r="L174" t="str">
            <v>ROCHA</v>
          </cell>
          <cell r="M174">
            <v>1.2696759258687962E-2</v>
          </cell>
          <cell r="N174">
            <v>18.283333332510665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https://search-rtdc-monitor-bjffxe2xuh6vdkpspy63sjmuny.us-east-1.es.amazonaws.com/_plugin/kibana/#/discover/Steve-Slow-Train-Analysis-(2080s-and-2083s)?_g=(refreshInterval:(display:Off,section:0,value:0),time:(from:'2016-08-15 09:37:21-0600',mode:absolute,to:'2016-08-15 11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4" t="str">
            <v>N</v>
          </cell>
          <cell r="X174">
            <v>1</v>
          </cell>
          <cell r="Y174">
            <v>5.8677000000000001</v>
          </cell>
          <cell r="Z174">
            <v>6.8000000000000005E-2</v>
          </cell>
          <cell r="AA174">
            <v>5.7997000000000005</v>
          </cell>
          <cell r="AB174" t="e">
            <v>#N/A</v>
          </cell>
          <cell r="AC174" t="e">
            <v>#N/A</v>
          </cell>
          <cell r="AD174" t="str">
            <v>0816-15</v>
          </cell>
          <cell r="AE17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5">
          <cell r="A175" t="str">
            <v>817-15</v>
          </cell>
          <cell r="B175">
            <v>4016</v>
          </cell>
          <cell r="C175" t="str">
            <v>DE.1.0.7.0</v>
          </cell>
          <cell r="D175" t="str">
            <v>204:978</v>
          </cell>
          <cell r="E175">
            <v>42597.45722222222</v>
          </cell>
          <cell r="F175">
            <v>42597.458136574074</v>
          </cell>
          <cell r="G175">
            <v>1</v>
          </cell>
          <cell r="H175" t="str">
            <v>300:58980</v>
          </cell>
          <cell r="I175">
            <v>42597.48333333333</v>
          </cell>
          <cell r="J175">
            <v>0</v>
          </cell>
          <cell r="K175" t="str">
            <v>4015/4016</v>
          </cell>
          <cell r="L175" t="str">
            <v>ROCHA</v>
          </cell>
          <cell r="M175">
            <v>2.5196759255777579E-2</v>
          </cell>
          <cell r="N175">
            <v>36.283333328319713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https://search-rtdc-monitor-bjffxe2xuh6vdkpspy63sjmuny.us-east-1.es.amazonaws.com/_plugin/kibana/#/discover/Steve-Slow-Train-Analysis-(2080s-and-2083s)?_g=(refreshInterval:(display:Off,section:0,value:0),time:(from:'2016-08-15 09:58:24-0600',mode:absolute,to:'2016-08-15 12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5" t="str">
            <v>N</v>
          </cell>
          <cell r="X175">
            <v>1</v>
          </cell>
          <cell r="Y175">
            <v>9.7799999999999998E-2</v>
          </cell>
          <cell r="Z175">
            <v>5.8979999999999997</v>
          </cell>
          <cell r="AA175">
            <v>5.8001999999999994</v>
          </cell>
          <cell r="AB175" t="e">
            <v>#N/A</v>
          </cell>
          <cell r="AC175" t="e">
            <v>#N/A</v>
          </cell>
          <cell r="AD175" t="str">
            <v>0817-15</v>
          </cell>
          <cell r="AE17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6">
          <cell r="A176" t="str">
            <v>818-15</v>
          </cell>
          <cell r="B176">
            <v>4015</v>
          </cell>
          <cell r="C176" t="str">
            <v>DE.1.0.7.0</v>
          </cell>
          <cell r="D176" t="str">
            <v>300:58666</v>
          </cell>
          <cell r="E176">
            <v>42597.484398148146</v>
          </cell>
          <cell r="F176">
            <v>42597.485381944447</v>
          </cell>
          <cell r="G176">
            <v>1</v>
          </cell>
          <cell r="H176" t="str">
            <v>204:654</v>
          </cell>
          <cell r="I176">
            <v>42597.496851851851</v>
          </cell>
          <cell r="J176">
            <v>0</v>
          </cell>
          <cell r="K176" t="str">
            <v>4015/4016</v>
          </cell>
          <cell r="L176" t="str">
            <v>ROCHA</v>
          </cell>
          <cell r="M176">
            <v>1.1469907403807156E-2</v>
          </cell>
          <cell r="N176">
            <v>16.516666661482304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https://search-rtdc-monitor-bjffxe2xuh6vdkpspy63sjmuny.us-east-1.es.amazonaws.com/_plugin/kibana/#/discover/Steve-Slow-Train-Analysis-(2080s-and-2083s)?_g=(refreshInterval:(display:Off,section:0,value:0),time:(from:'2016-08-15 10:37:32-0600',mode:absolute,to:'2016-08-15 12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6" t="str">
            <v>N</v>
          </cell>
          <cell r="X176">
            <v>1</v>
          </cell>
          <cell r="Y176">
            <v>5.8666</v>
          </cell>
          <cell r="Z176">
            <v>6.54E-2</v>
          </cell>
          <cell r="AA176">
            <v>5.8011999999999997</v>
          </cell>
          <cell r="AB176" t="e">
            <v>#N/A</v>
          </cell>
          <cell r="AC176" t="e">
            <v>#N/A</v>
          </cell>
          <cell r="AD176" t="str">
            <v>0818-15</v>
          </cell>
          <cell r="AE17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7">
          <cell r="A177" t="str">
            <v>819-15</v>
          </cell>
          <cell r="B177">
            <v>4016</v>
          </cell>
          <cell r="C177" t="str">
            <v>DE.1.0.7.0</v>
          </cell>
          <cell r="D177" t="str">
            <v>204:951</v>
          </cell>
          <cell r="E177">
            <v>42597.498715277776</v>
          </cell>
          <cell r="F177">
            <v>42597.514849537038</v>
          </cell>
          <cell r="G177">
            <v>1</v>
          </cell>
          <cell r="H177" t="str">
            <v>300:23105</v>
          </cell>
          <cell r="I177">
            <v>42597.526250000003</v>
          </cell>
          <cell r="J177">
            <v>0</v>
          </cell>
          <cell r="K177" t="str">
            <v>4015/4016</v>
          </cell>
          <cell r="L177" t="str">
            <v>ROCHA</v>
          </cell>
          <cell r="M177">
            <v>1.1400462964957114E-2</v>
          </cell>
          <cell r="N177">
            <v>16.416666669538245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7" t="str">
            <v>N</v>
          </cell>
          <cell r="X177">
            <v>1</v>
          </cell>
          <cell r="Y177">
            <v>9.5100000000000004E-2</v>
          </cell>
          <cell r="Z177">
            <v>5.9001000000000001</v>
          </cell>
          <cell r="AA177">
            <v>5.8049999999999997</v>
          </cell>
          <cell r="AB177" t="e">
            <v>#N/A</v>
          </cell>
          <cell r="AC177" t="e">
            <v>#N/A</v>
          </cell>
          <cell r="AD177" t="str">
            <v>0819-15</v>
          </cell>
          <cell r="AE177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78">
          <cell r="A178" t="str">
            <v>820-15</v>
          </cell>
          <cell r="B178">
            <v>4015</v>
          </cell>
          <cell r="C178" t="str">
            <v>DE.1.0.7.0</v>
          </cell>
          <cell r="D178" t="str">
            <v>300:58687</v>
          </cell>
          <cell r="E178">
            <v>42597.527812499997</v>
          </cell>
          <cell r="F178">
            <v>42597.528564814813</v>
          </cell>
          <cell r="G178">
            <v>1</v>
          </cell>
          <cell r="H178" t="str">
            <v>204:643</v>
          </cell>
          <cell r="I178">
            <v>42597.539131944446</v>
          </cell>
          <cell r="J178">
            <v>0</v>
          </cell>
          <cell r="K178" t="str">
            <v>4015/4016</v>
          </cell>
          <cell r="L178" t="str">
            <v>ROCHA</v>
          </cell>
          <cell r="M178">
            <v>1.0567129633272998E-2</v>
          </cell>
          <cell r="N178">
            <v>15.216666671913117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8" t="str">
            <v>N</v>
          </cell>
          <cell r="X178">
            <v>1</v>
          </cell>
          <cell r="Y178">
            <v>5.8686999999999996</v>
          </cell>
          <cell r="Z178">
            <v>6.4299999999999996E-2</v>
          </cell>
          <cell r="AA178">
            <v>5.8043999999999993</v>
          </cell>
          <cell r="AB178" t="e">
            <v>#N/A</v>
          </cell>
          <cell r="AC178" t="e">
            <v>#N/A</v>
          </cell>
          <cell r="AD178" t="str">
            <v>0820-15</v>
          </cell>
          <cell r="AE17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79">
          <cell r="A179" t="str">
            <v>821-15</v>
          </cell>
          <cell r="B179">
            <v>4016</v>
          </cell>
          <cell r="C179" t="str">
            <v>DE.1.0.7.0</v>
          </cell>
          <cell r="D179" t="str">
            <v>204:934</v>
          </cell>
          <cell r="E179">
            <v>42597.551307870373</v>
          </cell>
          <cell r="F179">
            <v>42597.552268518521</v>
          </cell>
          <cell r="G179">
            <v>1</v>
          </cell>
          <cell r="H179" t="str">
            <v>300:58929</v>
          </cell>
          <cell r="I179">
            <v>42597.567048611112</v>
          </cell>
          <cell r="J179">
            <v>0</v>
          </cell>
          <cell r="K179" t="str">
            <v>4015/4016</v>
          </cell>
          <cell r="L179" t="str">
            <v>BRUDER</v>
          </cell>
          <cell r="M179">
            <v>1.4780092591536231E-2</v>
          </cell>
          <cell r="N179">
            <v>21.283333331812173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https://search-rtdc-monitor-bjffxe2xuh6vdkpspy63sjmuny.us-east-1.es.amazonaws.com/_plugin/kibana/#/discover/Steve-Slow-Train-Analysis-(2080s-and-2083s)?_g=(refreshInterval:(display:Off,section:0,value:0),time:(from:'2016-08-15 12:13:53-0600',mode:absolute,to:'2016-08-15 14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9" t="str">
            <v>N</v>
          </cell>
          <cell r="X179">
            <v>1</v>
          </cell>
          <cell r="Y179">
            <v>9.3399999999999997E-2</v>
          </cell>
          <cell r="Z179">
            <v>5.8929</v>
          </cell>
          <cell r="AA179">
            <v>5.7995000000000001</v>
          </cell>
          <cell r="AB179" t="e">
            <v>#N/A</v>
          </cell>
          <cell r="AC179" t="e">
            <v>#N/A</v>
          </cell>
          <cell r="AD179" t="str">
            <v>0821-15</v>
          </cell>
          <cell r="AE17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0">
          <cell r="A180" t="str">
            <v>822-15</v>
          </cell>
          <cell r="B180">
            <v>4015</v>
          </cell>
          <cell r="C180" t="str">
            <v>DE.1.0.7.0</v>
          </cell>
          <cell r="D180" t="str">
            <v>300:58611</v>
          </cell>
          <cell r="E180">
            <v>42597.568368055552</v>
          </cell>
          <cell r="F180">
            <v>42597.569618055553</v>
          </cell>
          <cell r="G180">
            <v>1</v>
          </cell>
          <cell r="H180" t="str">
            <v>204:673</v>
          </cell>
          <cell r="I180">
            <v>42597.581886574073</v>
          </cell>
          <cell r="J180">
            <v>0</v>
          </cell>
          <cell r="K180" t="str">
            <v>4015/4016</v>
          </cell>
          <cell r="L180" t="str">
            <v>BRUDER</v>
          </cell>
          <cell r="M180">
            <v>1.226851851970423E-2</v>
          </cell>
          <cell r="N180">
            <v>17.666666668374091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https://search-rtdc-monitor-bjffxe2xuh6vdkpspy63sjmuny.us-east-1.es.amazonaws.com/_plugin/kibana/#/discover/Steve-Slow-Train-Analysis-(2080s-and-2083s)?_g=(refreshInterval:(display:Off,section:0,value:0),time:(from:'2016-08-15 12:38:27-0600',mode:absolute,to:'2016-08-15 14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0" t="str">
            <v>N</v>
          </cell>
          <cell r="X180">
            <v>1</v>
          </cell>
          <cell r="Y180">
            <v>5.8611000000000004</v>
          </cell>
          <cell r="Z180">
            <v>6.7299999999999999E-2</v>
          </cell>
          <cell r="AA180">
            <v>5.7938000000000001</v>
          </cell>
          <cell r="AB180" t="e">
            <v>#N/A</v>
          </cell>
          <cell r="AC180" t="e">
            <v>#N/A</v>
          </cell>
          <cell r="AD180" t="str">
            <v>0822-15</v>
          </cell>
          <cell r="AE18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1">
          <cell r="A181" t="str">
            <v>823-15</v>
          </cell>
          <cell r="B181">
            <v>4016</v>
          </cell>
          <cell r="C181" t="str">
            <v>DE.1.0.7.0</v>
          </cell>
          <cell r="D181" t="str">
            <v>204:967</v>
          </cell>
          <cell r="E181">
            <v>42597.593668981484</v>
          </cell>
          <cell r="F181">
            <v>42597.594502314816</v>
          </cell>
          <cell r="G181">
            <v>1</v>
          </cell>
          <cell r="H181" t="str">
            <v>300:58929</v>
          </cell>
          <cell r="I181">
            <v>42597.607604166667</v>
          </cell>
          <cell r="J181">
            <v>0</v>
          </cell>
          <cell r="K181" t="str">
            <v>4015/4016</v>
          </cell>
          <cell r="L181" t="str">
            <v>BRUDER</v>
          </cell>
          <cell r="M181">
            <v>1.3101851851388346E-2</v>
          </cell>
          <cell r="N181">
            <v>18.866666665999219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https://search-rtdc-monitor-bjffxe2xuh6vdkpspy63sjmuny.us-east-1.es.amazonaws.com/_plugin/kibana/#/discover/Steve-Slow-Train-Analysis-(2080s-and-2083s)?_g=(refreshInterval:(display:Off,section:0,value:0),time:(from:'2016-08-15 13:14:53-0600',mode:absolute,to:'2016-08-15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1" t="str">
            <v>N</v>
          </cell>
          <cell r="X181">
            <v>1</v>
          </cell>
          <cell r="Y181">
            <v>9.6699999999999994E-2</v>
          </cell>
          <cell r="Z181">
            <v>5.8929</v>
          </cell>
          <cell r="AA181">
            <v>5.7961999999999998</v>
          </cell>
          <cell r="AB181" t="e">
            <v>#N/A</v>
          </cell>
          <cell r="AC181" t="e">
            <v>#N/A</v>
          </cell>
          <cell r="AD181" t="str">
            <v>0823-15</v>
          </cell>
          <cell r="AE18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2">
          <cell r="A182" t="str">
            <v>824-15</v>
          </cell>
          <cell r="B182">
            <v>4015</v>
          </cell>
          <cell r="C182" t="str">
            <v>DE.1.0.7.0</v>
          </cell>
          <cell r="D182" t="str">
            <v>300:58606</v>
          </cell>
          <cell r="E182">
            <v>42597.608888888892</v>
          </cell>
          <cell r="F182">
            <v>42597.609768518516</v>
          </cell>
          <cell r="G182">
            <v>1</v>
          </cell>
          <cell r="H182" t="str">
            <v>204:687</v>
          </cell>
          <cell r="I182">
            <v>42597.621805555558</v>
          </cell>
          <cell r="J182">
            <v>0</v>
          </cell>
          <cell r="K182" t="str">
            <v>4015/4016</v>
          </cell>
          <cell r="L182" t="str">
            <v>BRUDER</v>
          </cell>
          <cell r="M182">
            <v>1.2037037042318843E-2</v>
          </cell>
          <cell r="N182">
            <v>17.333333340939134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https://search-rtdc-monitor-bjffxe2xuh6vdkpspy63sjmuny.us-east-1.es.amazonaws.com/_plugin/kibana/#/discover/Steve-Slow-Train-Analysis-(2080s-and-2083s)?_g=(refreshInterval:(display:Off,section:0,value:0),time:(from:'2016-08-15 13:36:48-0600',mode:absolute,to:'2016-08-15 15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2" t="str">
            <v>N</v>
          </cell>
          <cell r="X182">
            <v>1</v>
          </cell>
          <cell r="Y182">
            <v>5.8605999999999998</v>
          </cell>
          <cell r="Z182">
            <v>6.8699999999999997E-2</v>
          </cell>
          <cell r="AA182">
            <v>5.7919</v>
          </cell>
          <cell r="AB182" t="e">
            <v>#N/A</v>
          </cell>
          <cell r="AC182" t="e">
            <v>#N/A</v>
          </cell>
          <cell r="AD182" t="str">
            <v>0824-15</v>
          </cell>
          <cell r="AE18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3">
          <cell r="A183" t="str">
            <v>825-15</v>
          </cell>
          <cell r="B183">
            <v>4016</v>
          </cell>
          <cell r="C183" t="str">
            <v>DE.1.0.7.0</v>
          </cell>
          <cell r="D183" t="str">
            <v>204:978</v>
          </cell>
          <cell r="E183">
            <v>42597.632037037038</v>
          </cell>
          <cell r="F183">
            <v>42597.633009259262</v>
          </cell>
          <cell r="G183">
            <v>1</v>
          </cell>
          <cell r="H183" t="str">
            <v>300:58924</v>
          </cell>
          <cell r="I183">
            <v>42597.649930555555</v>
          </cell>
          <cell r="J183">
            <v>0</v>
          </cell>
          <cell r="K183" t="str">
            <v>4015/4016</v>
          </cell>
          <cell r="L183" t="str">
            <v>BRUDER</v>
          </cell>
          <cell r="M183">
            <v>1.6921296293730848E-2</v>
          </cell>
          <cell r="N183">
            <v>24.36666666297242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https://search-rtdc-monitor-bjffxe2xuh6vdkpspy63sjmuny.us-east-1.es.amazonaws.com/_plugin/kibana/#/discover/Steve-Slow-Train-Analysis-(2080s-and-2083s)?_g=(refreshInterval:(display:Off,section:0,value:0),time:(from:'2016-08-15 14:10:08-0600',mode:absolute,to:'2016-08-15 16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3" t="str">
            <v>N</v>
          </cell>
          <cell r="X183">
            <v>1</v>
          </cell>
          <cell r="Y183">
            <v>9.7799999999999998E-2</v>
          </cell>
          <cell r="Z183">
            <v>5.8924000000000003</v>
          </cell>
          <cell r="AA183">
            <v>5.7946</v>
          </cell>
          <cell r="AB183" t="e">
            <v>#N/A</v>
          </cell>
          <cell r="AC183" t="e">
            <v>#N/A</v>
          </cell>
          <cell r="AD183" t="str">
            <v>0825-15</v>
          </cell>
          <cell r="AE18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4">
          <cell r="A184" t="str">
            <v>826-15</v>
          </cell>
          <cell r="B184">
            <v>4015</v>
          </cell>
          <cell r="C184" t="str">
            <v>DE.1.0.7.0</v>
          </cell>
          <cell r="D184" t="str">
            <v>300:58604</v>
          </cell>
          <cell r="E184">
            <v>42597.650960648149</v>
          </cell>
          <cell r="F184">
            <v>42597.651990740742</v>
          </cell>
          <cell r="G184">
            <v>1</v>
          </cell>
          <cell r="H184" t="str">
            <v>204:801</v>
          </cell>
          <cell r="I184">
            <v>42597.663888888892</v>
          </cell>
          <cell r="J184">
            <v>0</v>
          </cell>
          <cell r="K184" t="str">
            <v>4015/4016</v>
          </cell>
          <cell r="L184" t="str">
            <v>BRUDER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https://search-rtdc-monitor-bjffxe2xuh6vdkpspy63sjmuny.us-east-1.es.amazonaws.com/_plugin/kibana/#/discover/Steve-Slow-Train-Analysis-(2080s-and-2083s)?_g=(refreshInterval:(display:Off,section:0,value:0),time:(from:'2016-08-15 14:37:23-0600',mode:absolute,to:'2016-08-15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8.0100000000000005E-2</v>
          </cell>
          <cell r="AA184">
            <v>5.7803000000000004</v>
          </cell>
          <cell r="AB184" t="e">
            <v>#N/A</v>
          </cell>
          <cell r="AC184" t="e">
            <v>#N/A</v>
          </cell>
          <cell r="AD184" t="str">
            <v>0826-15</v>
          </cell>
          <cell r="AE18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5">
          <cell r="A185" t="str">
            <v>827-15</v>
          </cell>
          <cell r="B185">
            <v>4014</v>
          </cell>
          <cell r="C185" t="str">
            <v>DE.1.0.7.0</v>
          </cell>
          <cell r="D185" t="str">
            <v>204:383</v>
          </cell>
          <cell r="E185">
            <v>42597.656597222223</v>
          </cell>
          <cell r="F185">
            <v>42597.657847222225</v>
          </cell>
          <cell r="G185">
            <v>1</v>
          </cell>
          <cell r="H185" t="str">
            <v>300:58969</v>
          </cell>
          <cell r="I185">
            <v>42597.672083333331</v>
          </cell>
          <cell r="J185">
            <v>0</v>
          </cell>
          <cell r="K185" t="str">
            <v>4013/4014</v>
          </cell>
          <cell r="L185" t="str">
            <v>STORY</v>
          </cell>
          <cell r="M185">
            <v>1.4236111106583849E-2</v>
          </cell>
          <cell r="N185">
            <v>20.499999993480742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https://search-rtdc-monitor-bjffxe2xuh6vdkpspy63sjmuny.us-east-1.es.amazonaws.com/_plugin/kibana/#/discover/Steve-Slow-Train-Analysis-(2080s-and-2083s)?_g=(refreshInterval:(display:Off,section:0,value:0),time:(from:'2016-08-15 14:45:30-0600',mode:absolute,to:'2016-08-15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5" t="str">
            <v>N</v>
          </cell>
          <cell r="X185">
            <v>1</v>
          </cell>
          <cell r="Y185">
            <v>3.8300000000000001E-2</v>
          </cell>
          <cell r="Z185">
            <v>5.8968999999999996</v>
          </cell>
          <cell r="AA185">
            <v>5.8585999999999991</v>
          </cell>
          <cell r="AB185" t="e">
            <v>#N/A</v>
          </cell>
          <cell r="AC185" t="e">
            <v>#N/A</v>
          </cell>
          <cell r="AD185" t="str">
            <v>0827-15</v>
          </cell>
          <cell r="AE185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86">
          <cell r="A186" t="str">
            <v>828-15</v>
          </cell>
          <cell r="B186">
            <v>4013</v>
          </cell>
          <cell r="C186" t="str">
            <v>DE.1.0.7.0</v>
          </cell>
          <cell r="D186" t="str">
            <v>300:58641</v>
          </cell>
          <cell r="E186">
            <v>42597.674270833333</v>
          </cell>
          <cell r="F186">
            <v>42597.675034722219</v>
          </cell>
          <cell r="G186">
            <v>1</v>
          </cell>
          <cell r="H186" t="str">
            <v>204:771</v>
          </cell>
          <cell r="I186">
            <v>42597.684930555559</v>
          </cell>
          <cell r="J186">
            <v>0</v>
          </cell>
          <cell r="K186" t="str">
            <v>4013/4014</v>
          </cell>
          <cell r="L186" t="str">
            <v>STORY</v>
          </cell>
          <cell r="M186">
            <v>9.8958333401242271E-3</v>
          </cell>
          <cell r="N186">
            <v>14.250000009778887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6" t="str">
            <v>N</v>
          </cell>
          <cell r="X186">
            <v>1</v>
          </cell>
          <cell r="Y186">
            <v>5.8640999999999996</v>
          </cell>
          <cell r="Z186">
            <v>7.7100000000000002E-2</v>
          </cell>
          <cell r="AA186">
            <v>5.7869999999999999</v>
          </cell>
          <cell r="AB186" t="e">
            <v>#N/A</v>
          </cell>
          <cell r="AC186" t="e">
            <v>#N/A</v>
          </cell>
          <cell r="AD186" t="str">
            <v>0828-15</v>
          </cell>
          <cell r="AE186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87">
          <cell r="A187" t="str">
            <v>829-15</v>
          </cell>
          <cell r="B187">
            <v>4016</v>
          </cell>
          <cell r="C187" t="str">
            <v>DE.1.0.7.0</v>
          </cell>
          <cell r="D187" t="str">
            <v>204:1100</v>
          </cell>
          <cell r="E187">
            <v>42597.676030092596</v>
          </cell>
          <cell r="F187">
            <v>42597.677106481482</v>
          </cell>
          <cell r="G187">
            <v>1</v>
          </cell>
          <cell r="H187" t="str">
            <v>300:58918</v>
          </cell>
          <cell r="I187">
            <v>42597.692256944443</v>
          </cell>
          <cell r="J187">
            <v>0</v>
          </cell>
          <cell r="K187" t="str">
            <v>4015/4016</v>
          </cell>
          <cell r="L187" t="str">
            <v>BRUDER</v>
          </cell>
          <cell r="M187">
            <v>1.5150462961173616E-2</v>
          </cell>
          <cell r="N187">
            <v>21.816666664090008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https://search-rtdc-monitor-bjffxe2xuh6vdkpspy63sjmuny.us-east-1.es.amazonaws.com/_plugin/kibana/#/discover/Steve-Slow-Train-Analysis-(2080s-and-2083s)?_g=(refreshInterval:(display:Off,section:0,value:0),time:(from:'2016-08-15 15:13:29-0600',mode:absolute,to:'2016-08-15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7" t="str">
            <v>N</v>
          </cell>
          <cell r="X187">
            <v>1</v>
          </cell>
          <cell r="Y187">
            <v>0.11</v>
          </cell>
          <cell r="Z187">
            <v>5.8917999999999999</v>
          </cell>
          <cell r="AA187">
            <v>5.7817999999999996</v>
          </cell>
          <cell r="AB187" t="e">
            <v>#N/A</v>
          </cell>
          <cell r="AC187" t="e">
            <v>#N/A</v>
          </cell>
          <cell r="AD187" t="str">
            <v>0829-15</v>
          </cell>
          <cell r="AE187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88">
          <cell r="A188" t="str">
            <v>830-15</v>
          </cell>
          <cell r="B188">
            <v>4015</v>
          </cell>
          <cell r="C188" t="str">
            <v>DE.1.0.7.0</v>
          </cell>
          <cell r="D188" t="str">
            <v>300:58602</v>
          </cell>
          <cell r="E188">
            <v>42597.693344907406</v>
          </cell>
          <cell r="F188">
            <v>42597.694178240738</v>
          </cell>
          <cell r="G188">
            <v>1</v>
          </cell>
          <cell r="H188" t="str">
            <v>204:687</v>
          </cell>
          <cell r="I188">
            <v>42597.712500000001</v>
          </cell>
          <cell r="J188">
            <v>0</v>
          </cell>
          <cell r="K188" t="str">
            <v>4015/4016</v>
          </cell>
          <cell r="L188" t="str">
            <v>BRUDER</v>
          </cell>
          <cell r="M188">
            <v>1.8321759263926651E-2</v>
          </cell>
          <cell r="N188">
            <v>26.383333340054378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https://search-rtdc-monitor-bjffxe2xuh6vdkpspy63sjmuny.us-east-1.es.amazonaws.com/_plugin/kibana/#/discover/Steve-Slow-Train-Analysis-(2080s-and-2083s)?_g=(refreshInterval:(display:Off,section:0,value:0),time:(from:'2016-08-15 15:38:25-0600',mode:absolute,to:'2016-08-15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8" t="str">
            <v>N</v>
          </cell>
          <cell r="X188">
            <v>1</v>
          </cell>
          <cell r="Y188">
            <v>5.8601999999999999</v>
          </cell>
          <cell r="Z188">
            <v>6.8699999999999997E-2</v>
          </cell>
          <cell r="AA188">
            <v>5.7915000000000001</v>
          </cell>
          <cell r="AB188" t="e">
            <v>#N/A</v>
          </cell>
          <cell r="AC188" t="e">
            <v>#N/A</v>
          </cell>
          <cell r="AD188" t="str">
            <v>0830-15</v>
          </cell>
          <cell r="AE18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89">
          <cell r="A189" t="str">
            <v>831-15</v>
          </cell>
          <cell r="B189">
            <v>4014</v>
          </cell>
          <cell r="C189" t="str">
            <v>DE.1.0.7.0</v>
          </cell>
          <cell r="D189" t="str">
            <v>204:1063</v>
          </cell>
          <cell r="E189">
            <v>42597.699328703704</v>
          </cell>
          <cell r="F189">
            <v>42597.700578703705</v>
          </cell>
          <cell r="G189">
            <v>1</v>
          </cell>
          <cell r="H189" t="str">
            <v>300:58978</v>
          </cell>
          <cell r="I189">
            <v>42597.714444444442</v>
          </cell>
          <cell r="J189">
            <v>0</v>
          </cell>
          <cell r="K189" t="str">
            <v>4013/4014</v>
          </cell>
          <cell r="L189" t="str">
            <v>STORY</v>
          </cell>
          <cell r="M189">
            <v>1.3865740736946464E-2</v>
          </cell>
          <cell r="N189">
            <v>19.966666661202908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https://search-rtdc-monitor-bjffxe2xuh6vdkpspy63sjmuny.us-east-1.es.amazonaws.com/_plugin/kibana/#/discover/Steve-Slow-Train-Analysis-(2080s-and-2083s)?_g=(refreshInterval:(display:Off,section:0,value:0),time:(from:'2016-08-15 15:47:02-0600',mode:absolute,to:'2016-08-15 18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9" t="str">
            <v>N</v>
          </cell>
          <cell r="X189">
            <v>1</v>
          </cell>
          <cell r="Y189">
            <v>0.10630000000000001</v>
          </cell>
          <cell r="Z189">
            <v>5.8978000000000002</v>
          </cell>
          <cell r="AA189">
            <v>5.7915000000000001</v>
          </cell>
          <cell r="AB189" t="e">
            <v>#N/A</v>
          </cell>
          <cell r="AC189" t="e">
            <v>#N/A</v>
          </cell>
          <cell r="AD189" t="str">
            <v>0831-15</v>
          </cell>
          <cell r="AE189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0">
          <cell r="A190" t="str">
            <v>832-15</v>
          </cell>
          <cell r="B190">
            <v>4013</v>
          </cell>
          <cell r="C190" t="str">
            <v>DE.1.0.7.0</v>
          </cell>
          <cell r="D190" t="str">
            <v>300:58664</v>
          </cell>
          <cell r="E190">
            <v>42597.71533564815</v>
          </cell>
          <cell r="F190">
            <v>42597.716226851851</v>
          </cell>
          <cell r="G190">
            <v>1</v>
          </cell>
          <cell r="H190" t="str">
            <v>204:675</v>
          </cell>
          <cell r="I190">
            <v>42597.727256944447</v>
          </cell>
          <cell r="J190">
            <v>0</v>
          </cell>
          <cell r="K190" t="str">
            <v>4013/4014</v>
          </cell>
          <cell r="L190" t="str">
            <v>STORY</v>
          </cell>
          <cell r="M190">
            <v>1.1030092595319729E-2</v>
          </cell>
          <cell r="N190">
            <v>15.88333333726041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https://search-rtdc-monitor-bjffxe2xuh6vdkpspy63sjmuny.us-east-1.es.amazonaws.com/_plugin/kibana/#/discover/Steve-Slow-Train-Analysis-(2080s-and-2083s)?_g=(refreshInterval:(display:Off,section:0,value:0),time:(from:'2016-08-15 16:10:05-0600',mode:absolute,to:'2016-08-15 18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0" t="str">
            <v>N</v>
          </cell>
          <cell r="X190">
            <v>1</v>
          </cell>
          <cell r="Y190">
            <v>5.8663999999999996</v>
          </cell>
          <cell r="Z190">
            <v>6.7500000000000004E-2</v>
          </cell>
          <cell r="AA190">
            <v>5.7988999999999997</v>
          </cell>
          <cell r="AB190" t="e">
            <v>#N/A</v>
          </cell>
          <cell r="AC190" t="e">
            <v>#N/A</v>
          </cell>
          <cell r="AD190" t="str">
            <v>0832-15</v>
          </cell>
          <cell r="AE190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91">
          <cell r="A191" t="str">
            <v>833-15</v>
          </cell>
          <cell r="B191">
            <v>4016</v>
          </cell>
          <cell r="C191" t="str">
            <v>DE.1.0.7.0</v>
          </cell>
          <cell r="D191" t="str">
            <v>204:978</v>
          </cell>
          <cell r="E191">
            <v>42597.716793981483</v>
          </cell>
          <cell r="F191">
            <v>42597.71770833333</v>
          </cell>
          <cell r="G191">
            <v>1</v>
          </cell>
          <cell r="H191" t="str">
            <v>300:58914</v>
          </cell>
          <cell r="I191">
            <v>42597.733414351853</v>
          </cell>
          <cell r="J191">
            <v>0</v>
          </cell>
          <cell r="K191" t="str">
            <v>4015/4016</v>
          </cell>
          <cell r="L191" t="str">
            <v>BRUDER</v>
          </cell>
          <cell r="M191">
            <v>1.5706018522905651E-2</v>
          </cell>
          <cell r="N191">
            <v>22.616666672984138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https://search-rtdc-monitor-bjffxe2xuh6vdkpspy63sjmuny.us-east-1.es.amazonaws.com/_plugin/kibana/#/discover/Steve-Slow-Train-Analysis-(2080s-and-2083s)?_g=(refreshInterval:(display:Off,section:0,value:0),time:(from:'2016-08-15 16:12:11-0600',mode:absolute,to:'2016-08-15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1" t="str">
            <v>N</v>
          </cell>
          <cell r="X191">
            <v>1</v>
          </cell>
          <cell r="Y191">
            <v>9.7799999999999998E-2</v>
          </cell>
          <cell r="Z191">
            <v>5.8914</v>
          </cell>
          <cell r="AA191">
            <v>5.7935999999999996</v>
          </cell>
          <cell r="AB191" t="e">
            <v>#N/A</v>
          </cell>
          <cell r="AC191" t="e">
            <v>#N/A</v>
          </cell>
          <cell r="AD191" t="str">
            <v>0833-15</v>
          </cell>
          <cell r="AE19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92">
          <cell r="A192" t="str">
            <v>834-15</v>
          </cell>
          <cell r="B192">
            <v>4015</v>
          </cell>
          <cell r="C192" t="str">
            <v>DE.1.0.7.0</v>
          </cell>
          <cell r="D192" t="str">
            <v>300:58602</v>
          </cell>
          <cell r="E192">
            <v>42597.734502314815</v>
          </cell>
          <cell r="F192">
            <v>42597.735462962963</v>
          </cell>
          <cell r="G192">
            <v>1</v>
          </cell>
          <cell r="H192" t="str">
            <v>204:685</v>
          </cell>
          <cell r="I192">
            <v>42597.747499999998</v>
          </cell>
          <cell r="J192">
            <v>0</v>
          </cell>
          <cell r="K192" t="str">
            <v>4015/4016</v>
          </cell>
          <cell r="L192" t="str">
            <v>BRUDER</v>
          </cell>
          <cell r="M192">
            <v>1.2037037035042886E-2</v>
          </cell>
          <cell r="N192">
            <v>17.333333330461755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https://search-rtdc-monitor-bjffxe2xuh6vdkpspy63sjmuny.us-east-1.es.amazonaws.com/_plugin/kibana/#/discover/Steve-Slow-Train-Analysis-(2080s-and-2083s)?_g=(refreshInterval:(display:Off,section:0,value:0),time:(from:'2016-08-15 16:37:41-0600',mode:absolute,to:'2016-08-15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2" t="str">
            <v>N</v>
          </cell>
          <cell r="X192">
            <v>1</v>
          </cell>
          <cell r="Y192">
            <v>5.8601999999999999</v>
          </cell>
          <cell r="Z192">
            <v>6.8500000000000005E-2</v>
          </cell>
          <cell r="AA192">
            <v>5.7916999999999996</v>
          </cell>
          <cell r="AB192" t="e">
            <v>#N/A</v>
          </cell>
          <cell r="AC192" t="e">
            <v>#N/A</v>
          </cell>
          <cell r="AD192" t="str">
            <v>0834-15</v>
          </cell>
          <cell r="AE19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3">
          <cell r="A193" t="str">
            <v>835-15</v>
          </cell>
          <cell r="B193">
            <v>4014</v>
          </cell>
          <cell r="C193" t="str">
            <v>DE.1.0.7.0</v>
          </cell>
          <cell r="D193" t="str">
            <v>204:965</v>
          </cell>
          <cell r="E193">
            <v>42597.732719907406</v>
          </cell>
          <cell r="F193">
            <v>42597.733587962961</v>
          </cell>
          <cell r="G193">
            <v>1</v>
          </cell>
          <cell r="H193" t="str">
            <v>300:58980</v>
          </cell>
          <cell r="I193">
            <v>42597.754467592589</v>
          </cell>
          <cell r="J193">
            <v>0</v>
          </cell>
          <cell r="K193" t="str">
            <v>4013/4014</v>
          </cell>
          <cell r="L193" t="str">
            <v>STORY</v>
          </cell>
          <cell r="M193">
            <v>2.0879629628325347E-2</v>
          </cell>
          <cell r="N193">
            <v>30.066666664788499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https://search-rtdc-monitor-bjffxe2xuh6vdkpspy63sjmuny.us-east-1.es.amazonaws.com/_plugin/kibana/#/discover/Steve-Slow-Train-Analysis-(2080s-and-2083s)?_g=(refreshInterval:(display:Off,section:0,value:0),time:(from:'2016-08-15 16:35:07-0600',mode:absolute,to:'2016-08-15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3" t="str">
            <v>N</v>
          </cell>
          <cell r="X193">
            <v>1</v>
          </cell>
          <cell r="Y193">
            <v>9.6500000000000002E-2</v>
          </cell>
          <cell r="Z193">
            <v>5.8979999999999997</v>
          </cell>
          <cell r="AA193">
            <v>5.8014999999999999</v>
          </cell>
          <cell r="AB193" t="e">
            <v>#N/A</v>
          </cell>
          <cell r="AC193" t="e">
            <v>#N/A</v>
          </cell>
          <cell r="AD193" t="str">
            <v>0835-15</v>
          </cell>
          <cell r="AE193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4">
          <cell r="A194" t="str">
            <v>836-15</v>
          </cell>
          <cell r="B194">
            <v>4013</v>
          </cell>
          <cell r="C194" t="str">
            <v>DE.1.0.7.0</v>
          </cell>
          <cell r="D194" t="str">
            <v>300:58668</v>
          </cell>
          <cell r="E194">
            <v>42597.755416666667</v>
          </cell>
          <cell r="F194">
            <v>42597.75640046296</v>
          </cell>
          <cell r="G194">
            <v>1</v>
          </cell>
          <cell r="H194" t="str">
            <v>204:638</v>
          </cell>
          <cell r="I194">
            <v>42597.767847222225</v>
          </cell>
          <cell r="J194">
            <v>0</v>
          </cell>
          <cell r="K194" t="str">
            <v>4013/4014</v>
          </cell>
          <cell r="L194" t="str">
            <v>STORY</v>
          </cell>
          <cell r="M194">
            <v>1.1446759264799766E-2</v>
          </cell>
          <cell r="N194">
            <v>16.483333341311663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https://search-rtdc-monitor-bjffxe2xuh6vdkpspy63sjmuny.us-east-1.es.amazonaws.com/_plugin/kibana/#/discover/Steve-Slow-Train-Analysis-(2080s-and-2083s)?_g=(refreshInterval:(display:Off,section:0,value:0),time:(from:'2016-08-15 17:07:48-0600',mode:absolute,to:'2016-08-15 19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4" t="str">
            <v>N</v>
          </cell>
          <cell r="X194">
            <v>1</v>
          </cell>
          <cell r="Y194">
            <v>5.8667999999999996</v>
          </cell>
          <cell r="Z194">
            <v>6.3799999999999996E-2</v>
          </cell>
          <cell r="AA194">
            <v>5.8029999999999999</v>
          </cell>
          <cell r="AB194" t="e">
            <v>#N/A</v>
          </cell>
          <cell r="AC194" t="e">
            <v>#N/A</v>
          </cell>
          <cell r="AD194" t="str">
            <v>0836-15</v>
          </cell>
          <cell r="AE194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195">
          <cell r="A195" t="str">
            <v>837-15</v>
          </cell>
          <cell r="B195">
            <v>4016</v>
          </cell>
          <cell r="C195" t="str">
            <v>DE.1.0.7.0</v>
          </cell>
          <cell r="D195" t="str">
            <v>204:965</v>
          </cell>
          <cell r="E195">
            <v>42597.749907407408</v>
          </cell>
          <cell r="F195">
            <v>42597.750659722224</v>
          </cell>
          <cell r="G195">
            <v>1</v>
          </cell>
          <cell r="H195" t="str">
            <v>300:58909</v>
          </cell>
          <cell r="I195">
            <v>42597.774583333332</v>
          </cell>
          <cell r="J195">
            <v>0</v>
          </cell>
          <cell r="K195" t="str">
            <v>4015/4016</v>
          </cell>
          <cell r="L195" t="str">
            <v>BRUDER</v>
          </cell>
          <cell r="M195">
            <v>2.3923611108330078E-2</v>
          </cell>
          <cell r="N195">
            <v>34.449999995995313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https://search-rtdc-monitor-bjffxe2xuh6vdkpspy63sjmuny.us-east-1.es.amazonaws.com/_plugin/kibana/#/discover/Steve-Slow-Train-Analysis-(2080s-and-2083s)?_g=(refreshInterval:(display:Off,section:0,value:0),time:(from:'2016-08-15 16:59:52-0600',mode:absolute,to:'2016-08-15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5" t="str">
            <v>N</v>
          </cell>
          <cell r="X195">
            <v>1</v>
          </cell>
          <cell r="Y195">
            <v>9.6500000000000002E-2</v>
          </cell>
          <cell r="Z195">
            <v>5.8909000000000002</v>
          </cell>
          <cell r="AA195">
            <v>5.7944000000000004</v>
          </cell>
          <cell r="AB195" t="e">
            <v>#N/A</v>
          </cell>
          <cell r="AC195" t="e">
            <v>#N/A</v>
          </cell>
          <cell r="AD195" t="str">
            <v>0837-15</v>
          </cell>
          <cell r="AE195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196">
          <cell r="A196" t="str">
            <v>838-15</v>
          </cell>
          <cell r="B196">
            <v>4015</v>
          </cell>
          <cell r="C196" t="str">
            <v>DE.1.0.7.0</v>
          </cell>
          <cell r="D196" t="str">
            <v>300:58604</v>
          </cell>
          <cell r="E196">
            <v>42597.775752314818</v>
          </cell>
          <cell r="F196">
            <v>42597.776805555557</v>
          </cell>
          <cell r="G196">
            <v>1</v>
          </cell>
          <cell r="H196" t="str">
            <v>204:680</v>
          </cell>
          <cell r="I196">
            <v>42597.789050925923</v>
          </cell>
          <cell r="J196">
            <v>0</v>
          </cell>
          <cell r="K196" t="str">
            <v>4015/4016</v>
          </cell>
          <cell r="L196" t="str">
            <v>BRUDER</v>
          </cell>
          <cell r="M196">
            <v>1.2245370366144925E-2</v>
          </cell>
          <cell r="N196">
            <v>17.633333327248693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https://search-rtdc-monitor-bjffxe2xuh6vdkpspy63sjmuny.us-east-1.es.amazonaws.com/_plugin/kibana/#/discover/Steve-Slow-Train-Analysis-(2080s-and-2083s)?_g=(refreshInterval:(display:Off,section:0,value:0),time:(from:'2016-08-15 17:37:05-0600',mode:absolute,to:'2016-08-15 19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6" t="str">
            <v>N</v>
          </cell>
          <cell r="X196">
            <v>1</v>
          </cell>
          <cell r="Y196">
            <v>5.8604000000000003</v>
          </cell>
          <cell r="Z196">
            <v>6.8000000000000005E-2</v>
          </cell>
          <cell r="AA196">
            <v>5.7924000000000007</v>
          </cell>
          <cell r="AB196" t="e">
            <v>#N/A</v>
          </cell>
          <cell r="AC196" t="e">
            <v>#N/A</v>
          </cell>
          <cell r="AD196" t="str">
            <v>0838-15</v>
          </cell>
          <cell r="AE196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7">
          <cell r="A197" t="str">
            <v>839-15</v>
          </cell>
          <cell r="B197">
            <v>4014</v>
          </cell>
          <cell r="C197" t="str">
            <v>DE.1.0.7.0</v>
          </cell>
          <cell r="D197" t="str">
            <v>204:918</v>
          </cell>
          <cell r="E197">
            <v>42597.780624999999</v>
          </cell>
          <cell r="F197">
            <v>42597.781377314815</v>
          </cell>
          <cell r="G197">
            <v>1</v>
          </cell>
          <cell r="H197" t="str">
            <v>300:58965</v>
          </cell>
          <cell r="I197">
            <v>42597.797129629631</v>
          </cell>
          <cell r="J197">
            <v>0</v>
          </cell>
          <cell r="K197" t="str">
            <v>4013/4014</v>
          </cell>
          <cell r="L197" t="str">
            <v>STORY</v>
          </cell>
          <cell r="M197">
            <v>1.5752314815472346E-2</v>
          </cell>
          <cell r="N197">
            <v>22.683333334280178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https://search-rtdc-monitor-bjffxe2xuh6vdkpspy63sjmuny.us-east-1.es.amazonaws.com/_plugin/kibana/#/discover/Steve-Slow-Train-Analysis-(2080s-and-2083s)?_g=(refreshInterval:(display:Off,section:0,value:0),time:(from:'2016-08-15 17:44:06-0600',mode:absolute,to:'2016-08-15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7" t="str">
            <v>N</v>
          </cell>
          <cell r="X197">
            <v>1</v>
          </cell>
          <cell r="Y197">
            <v>9.1800000000000007E-2</v>
          </cell>
          <cell r="Z197">
            <v>5.8964999999999996</v>
          </cell>
          <cell r="AA197">
            <v>5.8046999999999995</v>
          </cell>
          <cell r="AB197" t="e">
            <v>#N/A</v>
          </cell>
          <cell r="AC197" t="e">
            <v>#N/A</v>
          </cell>
          <cell r="AD197" t="str">
            <v>0839-15</v>
          </cell>
          <cell r="AE197" t="str">
    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    </cell>
        </row>
        <row r="198">
          <cell r="A198" t="str">
            <v>840-15</v>
          </cell>
          <cell r="B198">
            <v>4015</v>
          </cell>
          <cell r="C198" t="str">
            <v>DE.1.0.7.0</v>
          </cell>
          <cell r="D198" t="str">
            <v>300:58604</v>
          </cell>
          <cell r="E198">
            <v>42597.817685185182</v>
          </cell>
          <cell r="F198">
            <v>42597.818645833337</v>
          </cell>
          <cell r="G198">
            <v>1</v>
          </cell>
          <cell r="H198" t="str">
            <v>204:701</v>
          </cell>
          <cell r="I198">
            <v>42597.830949074072</v>
          </cell>
          <cell r="J198">
            <v>0</v>
          </cell>
          <cell r="K198" t="str">
            <v>4015/4016</v>
          </cell>
          <cell r="L198" t="str">
            <v>BRUDER</v>
          </cell>
          <cell r="M198">
            <v>1.2303240735491272E-2</v>
          </cell>
          <cell r="N198">
            <v>17.716666659107432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https://search-rtdc-monitor-bjffxe2xuh6vdkpspy63sjmuny.us-east-1.es.amazonaws.com/_plugin/kibana/#/discover/Steve-Slow-Train-Analysis-(2080s-and-2083s)?_g=(refreshInterval:(display:Off,section:0,value:0),time:(from:'2016-08-15 18:37:28-0600',mode:absolute,to:'2016-08-15 20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8" t="str">
            <v>N</v>
          </cell>
          <cell r="X198">
            <v>1</v>
          </cell>
          <cell r="Y198">
            <v>5.8604000000000003</v>
          </cell>
          <cell r="Z198">
            <v>7.0099999999999996E-2</v>
          </cell>
          <cell r="AA198">
            <v>5.7903000000000002</v>
          </cell>
          <cell r="AB198" t="e">
            <v>#N/A</v>
          </cell>
          <cell r="AC198" t="e">
            <v>#N/A</v>
          </cell>
          <cell r="AD198" t="str">
            <v>0840-15</v>
          </cell>
          <cell r="AE198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199">
          <cell r="A199" t="str">
            <v>841-15</v>
          </cell>
          <cell r="B199">
            <v>4016</v>
          </cell>
          <cell r="C199" t="str">
            <v>DE.1.0.7.0</v>
          </cell>
          <cell r="D199" t="str">
            <v>204:985</v>
          </cell>
          <cell r="E199">
            <v>42597.799895833334</v>
          </cell>
          <cell r="F199">
            <v>42597.800740740742</v>
          </cell>
          <cell r="G199">
            <v>1</v>
          </cell>
          <cell r="H199" t="str">
            <v>300:58918</v>
          </cell>
          <cell r="I199">
            <v>42597.816712962966</v>
          </cell>
          <cell r="J199">
            <v>0</v>
          </cell>
          <cell r="K199" t="str">
            <v>4015/4016</v>
          </cell>
          <cell r="L199" t="str">
            <v>BRUDER</v>
          </cell>
          <cell r="M199">
            <v>1.5972222223354038E-2</v>
          </cell>
          <cell r="N199">
            <v>23.000000001629815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https://search-rtdc-monitor-bjffxe2xuh6vdkpspy63sjmuny.us-east-1.es.amazonaws.com/_plugin/kibana/#/discover/Steve-Slow-Train-Analysis-(2080s-and-2083s)?_g=(refreshInterval:(display:Off,section:0,value:0),time:(from:'2016-08-15 18:11:51-0600',mode:absolute,to:'2016-08-15 20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9" t="str">
            <v>N</v>
          </cell>
          <cell r="X199">
            <v>1</v>
          </cell>
          <cell r="Y199">
            <v>9.8500000000000004E-2</v>
          </cell>
          <cell r="Z199">
            <v>5.8917999999999999</v>
          </cell>
          <cell r="AA199">
            <v>5.7933000000000003</v>
          </cell>
          <cell r="AB199" t="e">
            <v>#N/A</v>
          </cell>
          <cell r="AC199" t="e">
            <v>#N/A</v>
          </cell>
          <cell r="AD199" t="str">
            <v>0841-15</v>
          </cell>
          <cell r="AE199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0">
          <cell r="A200" t="str">
            <v>842-15</v>
          </cell>
          <cell r="B200">
            <v>4015</v>
          </cell>
          <cell r="C200" t="str">
            <v>DE.1.0.7.0</v>
          </cell>
          <cell r="D200" t="str">
            <v>300:58608</v>
          </cell>
          <cell r="E200">
            <v>42597.859386574077</v>
          </cell>
          <cell r="F200">
            <v>42597.860613425924</v>
          </cell>
          <cell r="G200">
            <v>1</v>
          </cell>
          <cell r="H200" t="str">
            <v>204:701</v>
          </cell>
          <cell r="I200">
            <v>42597.872662037036</v>
          </cell>
          <cell r="J200">
            <v>0</v>
          </cell>
          <cell r="K200" t="str">
            <v>4015/4016</v>
          </cell>
          <cell r="L200" t="str">
            <v>BRUDER</v>
          </cell>
          <cell r="M200">
            <v>1.2048611111822538E-2</v>
          </cell>
          <cell r="N200">
            <v>17.350000001024455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https://search-rtdc-monitor-bjffxe2xuh6vdkpspy63sjmuny.us-east-1.es.amazonaws.com/_plugin/kibana/#/discover/Steve-Slow-Train-Analysis-(2080s-and-2083s)?_g=(refreshInterval:(display:Off,section:0,value:0),time:(from:'2016-08-15 19:37:31-0600',mode:absolute,to:'2016-08-15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0" t="str">
            <v>N</v>
          </cell>
          <cell r="X200">
            <v>1</v>
          </cell>
          <cell r="Y200">
            <v>5.8608000000000002</v>
          </cell>
          <cell r="Z200">
            <v>7.0099999999999996E-2</v>
          </cell>
          <cell r="AA200">
            <v>5.7907000000000002</v>
          </cell>
          <cell r="AB200" t="e">
            <v>#N/A</v>
          </cell>
          <cell r="AC200" t="e">
            <v>#N/A</v>
          </cell>
          <cell r="AD200" t="str">
            <v>0842-15</v>
          </cell>
          <cell r="AE200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01">
          <cell r="A201" t="str">
            <v>843-15</v>
          </cell>
          <cell r="B201">
            <v>4016</v>
          </cell>
          <cell r="C201" t="str">
            <v>DE.1.0.7.0</v>
          </cell>
          <cell r="D201" t="str">
            <v>204:985</v>
          </cell>
          <cell r="E201">
            <v>42597.840497685182</v>
          </cell>
          <cell r="F201">
            <v>42597.841377314813</v>
          </cell>
          <cell r="G201">
            <v>1</v>
          </cell>
          <cell r="H201" t="str">
            <v>300:58926</v>
          </cell>
          <cell r="I201">
            <v>42597.858356481483</v>
          </cell>
          <cell r="J201">
            <v>0</v>
          </cell>
          <cell r="K201" t="str">
            <v>4015/4016</v>
          </cell>
          <cell r="L201" t="str">
            <v>BRUDER</v>
          </cell>
          <cell r="M201">
            <v>1.6979166670353152E-2</v>
          </cell>
          <cell r="N201">
            <v>24.450000005308539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https://search-rtdc-monitor-bjffxe2xuh6vdkpspy63sjmuny.us-east-1.es.amazonaws.com/_plugin/kibana/#/discover/Steve-Slow-Train-Analysis-(2080s-and-2083s)?_g=(refreshInterval:(display:Off,section:0,value:0),time:(from:'2016-08-15 19:10:19-0600',mode:absolute,to:'2016-08-15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1" t="str">
            <v>N</v>
          </cell>
          <cell r="X201">
            <v>1</v>
          </cell>
          <cell r="Y201">
            <v>9.8500000000000004E-2</v>
          </cell>
          <cell r="Z201">
            <v>5.8925999999999998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0843-15</v>
          </cell>
          <cell r="AE201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2">
          <cell r="A202" t="str">
            <v>844-15</v>
          </cell>
          <cell r="B202">
            <v>4015</v>
          </cell>
          <cell r="C202" t="str">
            <v>DE.1.0.7.0</v>
          </cell>
          <cell r="D202" t="str">
            <v>300:58656</v>
          </cell>
          <cell r="E202">
            <v>42597.901504629626</v>
          </cell>
          <cell r="F202">
            <v>42597.902870370373</v>
          </cell>
          <cell r="G202">
            <v>1</v>
          </cell>
          <cell r="H202" t="str">
            <v>204:635</v>
          </cell>
          <cell r="I202">
            <v>42597.915000000001</v>
          </cell>
          <cell r="J202">
            <v>0</v>
          </cell>
          <cell r="K202" t="str">
            <v>4015/4016</v>
          </cell>
          <cell r="L202" t="str">
            <v>STORY</v>
          </cell>
          <cell r="M202">
            <v>1.2129629627452232E-2</v>
          </cell>
          <cell r="N202">
            <v>17.466666663531214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https://search-rtdc-monitor-bjffxe2xuh6vdkpspy63sjmuny.us-east-1.es.amazonaws.com/_plugin/kibana/#/discover/Steve-Slow-Train-Analysis-(2080s-and-2083s)?_g=(refreshInterval:(display:Off,section:0,value:0),time:(from:'2016-08-15 20:38:10-0600',mode:absolute,to:'2016-08-15 22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2" t="str">
            <v>N</v>
          </cell>
          <cell r="X202">
            <v>1</v>
          </cell>
          <cell r="Y202">
            <v>5.8655999999999997</v>
          </cell>
          <cell r="Z202">
            <v>6.3500000000000001E-2</v>
          </cell>
          <cell r="AA202">
            <v>5.8020999999999994</v>
          </cell>
          <cell r="AB202" t="e">
            <v>#N/A</v>
          </cell>
          <cell r="AC202" t="e">
            <v>#N/A</v>
          </cell>
          <cell r="AD202" t="str">
            <v>0844-15</v>
          </cell>
          <cell r="AE202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03">
          <cell r="A203" t="str">
            <v>845-15</v>
          </cell>
          <cell r="B203">
            <v>4016</v>
          </cell>
          <cell r="C203" t="str">
            <v>DE.1.0.7.0</v>
          </cell>
          <cell r="D203" t="str">
            <v>204:978</v>
          </cell>
          <cell r="E203">
            <v>42597.880381944444</v>
          </cell>
          <cell r="F203">
            <v>42597.881863425922</v>
          </cell>
          <cell r="G203">
            <v>2</v>
          </cell>
          <cell r="H203" t="str">
            <v>300:58967</v>
          </cell>
          <cell r="I203">
            <v>42597.90016203704</v>
          </cell>
          <cell r="J203">
            <v>0</v>
          </cell>
          <cell r="K203" t="str">
            <v>4015/4016</v>
          </cell>
          <cell r="L203" t="str">
            <v>STORY</v>
          </cell>
          <cell r="M203">
            <v>1.8298611117643304E-2</v>
          </cell>
          <cell r="N203">
            <v>26.350000009406358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https://search-rtdc-monitor-bjffxe2xuh6vdkpspy63sjmuny.us-east-1.es.amazonaws.com/_plugin/kibana/#/discover/Steve-Slow-Train-Analysis-(2080s-and-2083s)?_g=(refreshInterval:(display:Off,section:0,value:0),time:(from:'2016-08-15 20:07:45-0600',mode:absolute,to:'2016-08-15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3" t="str">
            <v>N</v>
          </cell>
          <cell r="X203">
            <v>1</v>
          </cell>
          <cell r="Y203">
            <v>9.7799999999999998E-2</v>
          </cell>
          <cell r="Z203">
            <v>5.8967000000000001</v>
          </cell>
          <cell r="AA203">
            <v>5.7988999999999997</v>
          </cell>
          <cell r="AB203" t="e">
            <v>#N/A</v>
          </cell>
          <cell r="AC203" t="e">
            <v>#N/A</v>
          </cell>
          <cell r="AD203" t="str">
            <v>0845-15</v>
          </cell>
          <cell r="AE203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4">
          <cell r="A204" t="str">
            <v>847-15</v>
          </cell>
          <cell r="B204">
            <v>4016</v>
          </cell>
          <cell r="C204" t="str">
            <v>DE.1.0.7.0</v>
          </cell>
          <cell r="D204" t="str">
            <v>204:932</v>
          </cell>
          <cell r="E204">
            <v>42597.926898148151</v>
          </cell>
          <cell r="F204">
            <v>42597.927800925929</v>
          </cell>
          <cell r="G204">
            <v>1</v>
          </cell>
          <cell r="H204" t="str">
            <v>300:58973</v>
          </cell>
          <cell r="I204">
            <v>42597.942164351851</v>
          </cell>
          <cell r="J204">
            <v>0</v>
          </cell>
          <cell r="K204" t="str">
            <v>4015/4016</v>
          </cell>
          <cell r="L204" t="str">
            <v>STORY</v>
          </cell>
          <cell r="M204">
            <v>1.4363425922056194E-2</v>
          </cell>
          <cell r="N204">
            <v>20.68333332776092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https://search-rtdc-monitor-bjffxe2xuh6vdkpspy63sjmuny.us-east-1.es.amazonaws.com/_plugin/kibana/#/discover/Steve-Slow-Train-Analysis-(2080s-and-2083s)?_g=(refreshInterval:(display:Off,section:0,value:0),time:(from:'2016-08-15 21:14:44-0600',mode:absolute,to:'2016-08-15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4" t="str">
            <v>N</v>
          </cell>
          <cell r="X204">
            <v>2</v>
          </cell>
          <cell r="Y204">
            <v>9.3200000000000005E-2</v>
          </cell>
          <cell r="Z204">
            <v>5.8973000000000004</v>
          </cell>
          <cell r="AA204">
            <v>5.8041</v>
          </cell>
          <cell r="AB204" t="e">
            <v>#N/A</v>
          </cell>
          <cell r="AC204" t="e">
            <v>#N/A</v>
          </cell>
          <cell r="AD204" t="str">
            <v>0847-15</v>
          </cell>
          <cell r="AE204" t="str">
    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    </cell>
        </row>
        <row r="205">
          <cell r="A205" t="str">
            <v>302-15</v>
          </cell>
          <cell r="B205">
            <v>4010</v>
          </cell>
          <cell r="C205" t="str">
            <v>DE.1.0.7.0</v>
          </cell>
          <cell r="D205" t="str">
            <v>300:25130</v>
          </cell>
          <cell r="E205">
            <v>42597.117534722223</v>
          </cell>
          <cell r="F205">
            <v>42597.118356481478</v>
          </cell>
          <cell r="G205">
            <v>1</v>
          </cell>
          <cell r="H205" t="str">
            <v>300:24510</v>
          </cell>
          <cell r="I205">
            <v>42597.122569444444</v>
          </cell>
          <cell r="J205">
            <v>0</v>
          </cell>
          <cell r="K205" t="str">
            <v>4009/4010</v>
          </cell>
          <cell r="L205" t="str">
            <v>SWANSON</v>
          </cell>
          <cell r="M205">
            <v>4.2129629655391909E-3</v>
          </cell>
          <cell r="N205">
            <v>6.0666666703764349</v>
          </cell>
          <cell r="S205">
            <v>0</v>
          </cell>
          <cell r="T205" t="str">
            <v>Southbound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https://search-rtdc-monitor-bjffxe2xuh6vdkpspy63sjmuny.us-east-1.es.amazonaws.com/_plugin/kibana/#/discover/Steve-Slow-Train-Analysis-(2080s-and-2083s)?_g=(refreshInterval:(display:Off,section:0,value:0),time:(from:'2016-08-15 01:49:15-0600',mode:absolute,to:'2016-08-15 03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05" t="str">
            <v>Y</v>
          </cell>
          <cell r="X205">
            <v>-545</v>
          </cell>
          <cell r="Y205">
            <v>2.5129999999999999</v>
          </cell>
          <cell r="Z205">
            <v>2.4510000000000001</v>
          </cell>
          <cell r="AA205">
            <v>6.1999999999999833E-2</v>
          </cell>
          <cell r="AB205" t="e">
            <v>#N/A</v>
          </cell>
          <cell r="AC205" t="e">
            <v>#N/A</v>
          </cell>
          <cell r="AD205" t="str">
            <v>0302-15</v>
          </cell>
          <cell r="AE205" t="str">
    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    </cell>
        </row>
        <row r="206">
          <cell r="A206" t="str">
            <v>303-15</v>
          </cell>
          <cell r="B206">
            <v>4038</v>
          </cell>
          <cell r="C206" t="str">
            <v>DE.1.0.7.0</v>
          </cell>
          <cell r="D206" t="str">
            <v>204:467</v>
          </cell>
          <cell r="E206">
            <v>42597.78230324074</v>
          </cell>
          <cell r="F206">
            <v>42597.786597222221</v>
          </cell>
          <cell r="G206">
            <v>6</v>
          </cell>
          <cell r="H206" t="str">
            <v>300:23302</v>
          </cell>
          <cell r="I206">
            <v>42597.795960648145</v>
          </cell>
          <cell r="J206">
            <v>0</v>
          </cell>
          <cell r="K206" t="str">
            <v>4037/4038</v>
          </cell>
          <cell r="L206" t="str">
            <v>MAYBERRY</v>
          </cell>
          <cell r="M206">
            <v>9.3634259246755391E-3</v>
          </cell>
          <cell r="N206">
            <v>13.483333331532776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https://search-rtdc-monitor-bjffxe2xuh6vdkpspy63sjmuny.us-east-1.es.amazonaws.com/_plugin/kibana/#/discover/Steve-Slow-Train-Analysis-(2080s-and-2083s)?_g=(refreshInterval:(display:Off,section:0,value:0),time:(from:'2016-08-15 17:46:31-0600',mode:absolute,to:'2016-08-15 20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6" t="str">
            <v>Y</v>
          </cell>
          <cell r="X206">
            <v>1</v>
          </cell>
          <cell r="Y206">
            <v>4.6699999999999998E-2</v>
          </cell>
          <cell r="Z206">
            <v>2.3302</v>
          </cell>
          <cell r="AA206">
            <v>2.2835000000000001</v>
          </cell>
          <cell r="AB206" t="e">
            <v>#N/A</v>
          </cell>
          <cell r="AC206" t="e">
            <v>#N/A</v>
          </cell>
          <cell r="AD206" t="str">
            <v>0303-15</v>
          </cell>
          <cell r="AE206" t="str">
    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    </cell>
        </row>
        <row r="207">
          <cell r="A207" t="str">
            <v>307-15</v>
          </cell>
          <cell r="B207">
            <v>4044</v>
          </cell>
          <cell r="C207" t="str">
            <v>DE.1.0.7.0</v>
          </cell>
          <cell r="D207" t="str">
            <v>204:498</v>
          </cell>
          <cell r="E207">
            <v>42597.821747685186</v>
          </cell>
          <cell r="F207">
            <v>42597.822662037041</v>
          </cell>
          <cell r="G207">
            <v>1</v>
          </cell>
          <cell r="H207" t="str">
            <v>300:23306</v>
          </cell>
          <cell r="I207">
            <v>42597.830474537041</v>
          </cell>
          <cell r="J207">
            <v>0</v>
          </cell>
          <cell r="K207" t="str">
            <v>4043/4044</v>
          </cell>
          <cell r="L207" t="str">
            <v>HOMIK</v>
          </cell>
          <cell r="M207">
            <v>7.8125E-3</v>
          </cell>
          <cell r="N207">
            <v>11.25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https://search-rtdc-monitor-bjffxe2xuh6vdkpspy63sjmuny.us-east-1.es.amazonaws.com/_plugin/kibana/#/discover/Steve-Slow-Train-Analysis-(2080s-and-2083s)?_g=(refreshInterval:(display:Off,section:0,value:0),time:(from:'2016-08-15 18:43:19-0600',mode:absolute,to:'2016-08-15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7" t="str">
            <v>Y</v>
          </cell>
          <cell r="X207">
            <v>4</v>
          </cell>
          <cell r="Y207">
            <v>4.9799999999999997E-2</v>
          </cell>
          <cell r="Z207">
            <v>2.3306</v>
          </cell>
          <cell r="AA207">
            <v>2.2808000000000002</v>
          </cell>
          <cell r="AB207" t="e">
            <v>#N/A</v>
          </cell>
          <cell r="AC207" t="e">
            <v>#N/A</v>
          </cell>
          <cell r="AD207" t="str">
            <v>0307-15</v>
          </cell>
          <cell r="AE207" t="str">
    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    </cell>
        </row>
        <row r="208">
          <cell r="A208" t="str">
            <v>309-15</v>
          </cell>
          <cell r="B208">
            <v>4042</v>
          </cell>
          <cell r="C208" t="str">
            <v>DE.1.0.7.0</v>
          </cell>
          <cell r="D208" t="str">
            <v>204:413</v>
          </cell>
          <cell r="E208">
            <v>42598.047592592593</v>
          </cell>
          <cell r="F208">
            <v>42598.049675925926</v>
          </cell>
          <cell r="G208">
            <v>2</v>
          </cell>
          <cell r="H208" t="str">
            <v>300:23301</v>
          </cell>
          <cell r="I208">
            <v>42598.055509259262</v>
          </cell>
          <cell r="J208">
            <v>0</v>
          </cell>
          <cell r="K208" t="str">
            <v>4041/4042</v>
          </cell>
          <cell r="L208" t="str">
            <v>NEWELL</v>
          </cell>
          <cell r="M208">
            <v>5.8333333363407291E-3</v>
          </cell>
          <cell r="N208">
            <v>8.40000000433065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https://search-rtdc-monitor-bjffxe2xuh6vdkpspy63sjmuny.us-east-1.es.amazonaws.com/_plugin/kibana/#/discover/Steve-Slow-Train-Analysis-(2080s-and-2083s)?_g=(refreshInterval:(display:Off,section:0,value:0),time:(from:'2016-08-16 00:08:32-0600',mode:absolute,to:'2016-08-16 02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8" t="str">
            <v>Y</v>
          </cell>
          <cell r="X208">
            <v>2</v>
          </cell>
          <cell r="Y208">
            <v>4.1300000000000003E-2</v>
          </cell>
          <cell r="Z208">
            <v>2.3300999999999998</v>
          </cell>
          <cell r="AA208">
            <v>2.2887999999999997</v>
          </cell>
          <cell r="AB208" t="e">
            <v>#N/A</v>
          </cell>
          <cell r="AC208" t="e">
            <v>#N/A</v>
          </cell>
          <cell r="AD208" t="str">
            <v>0309-15</v>
          </cell>
          <cell r="AE208" t="str">
            <v>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 &amp; 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</v>
          </cell>
        </row>
        <row r="209">
          <cell r="A209" t="str">
            <v>313-15</v>
          </cell>
          <cell r="B209">
            <v>4027</v>
          </cell>
          <cell r="C209" t="str">
            <v>DE.1.0.7.0</v>
          </cell>
          <cell r="D209" t="str">
            <v>204:451</v>
          </cell>
          <cell r="E209">
            <v>42598.070555555554</v>
          </cell>
          <cell r="F209">
            <v>42598.071805555555</v>
          </cell>
          <cell r="G209">
            <v>1</v>
          </cell>
          <cell r="H209" t="str">
            <v>300:23299</v>
          </cell>
          <cell r="I209">
            <v>42598.080671296295</v>
          </cell>
          <cell r="J209">
            <v>0</v>
          </cell>
          <cell r="K209" t="str">
            <v>4027/4028</v>
          </cell>
          <cell r="L209" t="str">
            <v>CHANDLER</v>
          </cell>
          <cell r="M209">
            <v>8.8657407395658083E-3</v>
          </cell>
          <cell r="N209">
            <v>12.766666664974764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https://search-rtdc-monitor-bjffxe2xuh6vdkpspy63sjmuny.us-east-1.es.amazonaws.com/_plugin/kibana/#/discover/Steve-Slow-Train-Analysis-(2080s-and-2083s)?_g=(refreshInterval:(display:Off,section:0,value:0),time:(from:'2016-08-16 00:41:36-0600',mode:absolute,to:'2016-08-16 02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09" t="str">
            <v>Y</v>
          </cell>
          <cell r="X209">
            <v>4</v>
          </cell>
          <cell r="Y209">
            <v>4.5100000000000001E-2</v>
          </cell>
          <cell r="Z209">
            <v>2.3298999999999999</v>
          </cell>
          <cell r="AA209">
            <v>2.2847999999999997</v>
          </cell>
          <cell r="AB209" t="e">
            <v>#N/A</v>
          </cell>
          <cell r="AC209" t="e">
            <v>#N/A</v>
          </cell>
          <cell r="AD209" t="str">
            <v>0313-15</v>
          </cell>
          <cell r="AE209" t="str">
            <v>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 &amp; 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</v>
          </cell>
        </row>
        <row r="210">
          <cell r="A210" t="str">
            <v>315-14</v>
          </cell>
          <cell r="B210">
            <v>4025</v>
          </cell>
          <cell r="C210" t="str">
            <v>DE.1.0.7.0</v>
          </cell>
          <cell r="D210" t="str">
            <v>204:447</v>
          </cell>
          <cell r="E210">
            <v>42597.08898148148</v>
          </cell>
          <cell r="F210">
            <v>42597.090254629627</v>
          </cell>
          <cell r="G210">
            <v>1</v>
          </cell>
          <cell r="H210" t="str">
            <v>300:23302</v>
          </cell>
          <cell r="I210">
            <v>42597.09652777778</v>
          </cell>
          <cell r="J210">
            <v>0</v>
          </cell>
          <cell r="K210" t="str">
            <v>4025/4026</v>
          </cell>
          <cell r="L210" t="str">
            <v>STAMBAUGH</v>
          </cell>
          <cell r="M210">
            <v>6.2731481521041133E-3</v>
          </cell>
          <cell r="N210">
            <v>9.0333333390299231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https://search-rtdc-monitor-bjffxe2xuh6vdkpspy63sjmuny.us-east-1.es.amazonaws.com/_plugin/kibana/#/discover/Steve-Slow-Train-Analysis-(2080s-and-2083s)?_g=(refreshInterval:(display:Off,section:0,value:0),time:(from:'2016-08-15 01:08:08-0600',mode:absolute,to:'2016-08-15 03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0" t="str">
            <v>Y</v>
          </cell>
          <cell r="X210">
            <v>2</v>
          </cell>
          <cell r="Y210">
            <v>4.4699999999999997E-2</v>
          </cell>
          <cell r="Z210">
            <v>2.3302</v>
          </cell>
          <cell r="AA210">
            <v>2.2854999999999999</v>
          </cell>
          <cell r="AB210" t="e">
            <v>#N/A</v>
          </cell>
          <cell r="AC210" t="e">
            <v>#N/A</v>
          </cell>
          <cell r="AD210" t="str">
            <v>0315-14</v>
          </cell>
          <cell r="AE210" t="str">
    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    </cell>
        </row>
        <row r="211">
          <cell r="A211" t="str">
            <v>315-15</v>
          </cell>
          <cell r="B211">
            <v>4020</v>
          </cell>
          <cell r="C211" t="str">
            <v>DE.1.0.7.0</v>
          </cell>
          <cell r="D211" t="str">
            <v>204:426</v>
          </cell>
          <cell r="E211">
            <v>42598.088530092595</v>
          </cell>
          <cell r="F211">
            <v>42598.08935185185</v>
          </cell>
          <cell r="G211">
            <v>1</v>
          </cell>
          <cell r="H211" t="str">
            <v>300:23123</v>
          </cell>
          <cell r="I211">
            <v>42598.094212962962</v>
          </cell>
          <cell r="J211">
            <v>0</v>
          </cell>
          <cell r="K211" t="str">
            <v>4019/4020</v>
          </cell>
          <cell r="L211" t="str">
            <v>ISHMAEL</v>
          </cell>
          <cell r="M211">
            <v>4.8611111124046147E-3</v>
          </cell>
          <cell r="N211">
            <v>7.0000000018626451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1" t="str">
            <v>Y</v>
          </cell>
          <cell r="X211">
            <v>0</v>
          </cell>
          <cell r="Y211">
            <v>4.2599999999999999E-2</v>
          </cell>
          <cell r="Z211">
            <v>2.3123</v>
          </cell>
          <cell r="AA211">
            <v>2.2696999999999998</v>
          </cell>
          <cell r="AB211" t="e">
            <v>#N/A</v>
          </cell>
          <cell r="AC211" t="e">
            <v>#N/A</v>
          </cell>
          <cell r="AD211" t="str">
            <v>0315-15</v>
          </cell>
          <cell r="AE211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212">
          <cell r="A212" t="str">
            <v>904-15</v>
          </cell>
          <cell r="B212">
            <v>4013</v>
          </cell>
          <cell r="C212" t="str">
            <v>DE.1.0.7.0</v>
          </cell>
          <cell r="D212" t="str">
            <v>300:30809</v>
          </cell>
          <cell r="E212">
            <v>42597.635057870371</v>
          </cell>
          <cell r="F212">
            <v>42597.636041666665</v>
          </cell>
          <cell r="G212">
            <v>1</v>
          </cell>
          <cell r="H212" t="str">
            <v>204:63</v>
          </cell>
          <cell r="I212">
            <v>42597.644212962965</v>
          </cell>
          <cell r="J212">
            <v>0</v>
          </cell>
          <cell r="K212" t="str">
            <v>4013/4014</v>
          </cell>
          <cell r="L212" t="str">
            <v>STORY</v>
          </cell>
          <cell r="M212">
            <v>8.1712963001336902E-3</v>
          </cell>
          <cell r="N212">
            <v>11.766666672192514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https://search-rtdc-monitor-bjffxe2xuh6vdkpspy63sjmuny.us-east-1.es.amazonaws.com/_plugin/kibana/#/discover/Steve-Slow-Train-Analysis-(2080s-and-2083s)?_g=(refreshInterval:(display:Off,section:0,value:0),time:(from:'2016-08-15 14:14:29-0600',mode:absolute,to:'2016-08-15 16:27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2" t="str">
            <v>Y</v>
          </cell>
          <cell r="X212">
            <v>589</v>
          </cell>
          <cell r="Y212">
            <v>3.0809000000000002</v>
          </cell>
          <cell r="Z212">
            <v>6.3E-3</v>
          </cell>
          <cell r="AA212">
            <v>3.0746000000000002</v>
          </cell>
          <cell r="AB212" t="e">
            <v>#N/A</v>
          </cell>
          <cell r="AC212" t="e">
            <v>#N/A</v>
          </cell>
          <cell r="AD212" t="str">
            <v>0904-15</v>
          </cell>
          <cell r="AE212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213">
          <cell r="A213" t="str">
            <v>906-15</v>
          </cell>
          <cell r="B213">
            <v>4013</v>
          </cell>
          <cell r="C213" t="str">
            <v>DE.1.0.7.0</v>
          </cell>
          <cell r="D213" t="str">
            <v>300:58656</v>
          </cell>
          <cell r="E213">
            <v>42597.798379629632</v>
          </cell>
          <cell r="F213">
            <v>42597.799502314818</v>
          </cell>
          <cell r="G213">
            <v>1</v>
          </cell>
          <cell r="H213" t="str">
            <v>300:28744</v>
          </cell>
          <cell r="I213">
            <v>42597.804918981485</v>
          </cell>
          <cell r="J213">
            <v>0</v>
          </cell>
          <cell r="K213" t="str">
            <v>4013/4014</v>
          </cell>
          <cell r="L213" t="str">
            <v>STORY</v>
          </cell>
          <cell r="M213">
            <v>5.4166666668606922E-3</v>
          </cell>
          <cell r="N213">
            <v>7.8000000002793968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https://search-rtdc-monitor-bjffxe2xuh6vdkpspy63sjmuny.us-east-1.es.amazonaws.com/_plugin/kibana/#/discover/Steve-Slow-Train-Analysis-(2080s-and-2083s)?_g=(refreshInterval:(display:Off,section:0,value:0),time:(from:'2016-08-15 18:09:40-0600',mode:absolute,to:'2016-08-15 20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3" t="str">
            <v>Y</v>
          </cell>
          <cell r="X213">
            <v>2</v>
          </cell>
          <cell r="Y213">
            <v>5.8655999999999997</v>
          </cell>
          <cell r="Z213">
            <v>2.8744000000000001</v>
          </cell>
          <cell r="AA213">
            <v>2.9911999999999996</v>
          </cell>
          <cell r="AB213" t="e">
            <v>#N/A</v>
          </cell>
          <cell r="AC213" t="e">
            <v>#N/A</v>
          </cell>
          <cell r="AD213" t="str">
            <v>0906-15</v>
          </cell>
          <cell r="AE213" t="str">
    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    </cell>
        </row>
        <row r="214">
          <cell r="A214" t="str">
            <v>908-15</v>
          </cell>
          <cell r="B214">
            <v>4015</v>
          </cell>
          <cell r="C214" t="str">
            <v>DE.1.0.7.0</v>
          </cell>
          <cell r="D214" t="str">
            <v>300:58651</v>
          </cell>
          <cell r="E214">
            <v>42597.943437499998</v>
          </cell>
          <cell r="F214">
            <v>42597.944305555553</v>
          </cell>
          <cell r="G214">
            <v>1</v>
          </cell>
          <cell r="H214" t="str">
            <v>300:21678</v>
          </cell>
          <cell r="I214">
            <v>42597.949861111112</v>
          </cell>
          <cell r="J214">
            <v>0</v>
          </cell>
          <cell r="K214" t="str">
            <v>4015/4016</v>
          </cell>
          <cell r="L214" t="str">
            <v>STORY</v>
          </cell>
          <cell r="M214">
            <v>5.5555555591126904E-3</v>
          </cell>
          <cell r="N214">
            <v>8.0000000051222742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https://search-rtdc-monitor-bjffxe2xuh6vdkpspy63sjmuny.us-east-1.es.amazonaws.com/_plugin/kibana/#/discover/Steve-Slow-Train-Analysis-(2080s-and-2083s)?_g=(refreshInterval:(display:Off,section:0,value:0),time:(from:'2016-08-15 21:38:33-0600',mode:absolute,to:'2016-08-15 23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4" t="str">
            <v>Y</v>
          </cell>
          <cell r="X214">
            <v>2</v>
          </cell>
          <cell r="Y214">
            <v>5.8651</v>
          </cell>
          <cell r="Z214">
            <v>2.1678000000000002</v>
          </cell>
          <cell r="AA214">
            <v>3.6972999999999998</v>
          </cell>
          <cell r="AB214" t="e">
            <v>#N/A</v>
          </cell>
          <cell r="AC214" t="e">
            <v>#N/A</v>
          </cell>
          <cell r="AD214" t="str">
            <v>0908-15</v>
          </cell>
          <cell r="AE214" t="str">
    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    </cell>
        </row>
        <row r="215">
          <cell r="A215" t="str">
            <v>63-15</v>
          </cell>
          <cell r="B215">
            <v>4007</v>
          </cell>
          <cell r="C215" t="str">
            <v>DE.1.0.7.0</v>
          </cell>
          <cell r="D215" t="str">
            <v>204:451</v>
          </cell>
          <cell r="E215">
            <v>42598.030462962961</v>
          </cell>
          <cell r="F215">
            <v>42598.031712962962</v>
          </cell>
          <cell r="G215">
            <v>1</v>
          </cell>
          <cell r="H215" t="str">
            <v>300:22812</v>
          </cell>
          <cell r="I215">
            <v>42598.038784722223</v>
          </cell>
          <cell r="J215">
            <v>0</v>
          </cell>
          <cell r="K215" t="str">
            <v>4007/4008</v>
          </cell>
          <cell r="L215" t="str">
            <v>LEVERE</v>
          </cell>
          <cell r="M215">
            <v>7.07175926072523E-3</v>
          </cell>
          <cell r="N215">
            <v>10.183333335444331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https://search-rtdc-monitor-bjffxe2xuh6vdkpspy63sjmuny.us-east-1.es.amazonaws.com/_plugin/kibana/#/discover/Steve-Slow-Train-Analysis-(2080s-and-2083s)?_g=(refreshInterval:(display:Off,section:0,value:0),time:(from:'2016-08-15 23:43:52-0600',mode:absolute,to:'2016-08-16 01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5" t="str">
            <v>Y</v>
          </cell>
          <cell r="X215" t="e">
            <v>#VALUE!</v>
          </cell>
          <cell r="Y215">
            <v>4.5100000000000001E-2</v>
          </cell>
          <cell r="Z215">
            <v>2.2812000000000001</v>
          </cell>
          <cell r="AA215">
            <v>2.2361</v>
          </cell>
          <cell r="AB215" t="e">
            <v>#N/A</v>
          </cell>
          <cell r="AC215" t="e">
            <v>#N/A</v>
          </cell>
          <cell r="AD215" t="str">
            <v>63-15</v>
          </cell>
          <cell r="AE215" t="str">
            <v>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 &amp; 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</v>
          </cell>
        </row>
      </sheetData>
      <sheetData sheetId="1" refreshError="1"/>
      <sheetData sheetId="2" refreshError="1"/>
      <sheetData sheetId="3">
        <row r="1">
          <cell r="C1" t="str">
            <v>311-14</v>
          </cell>
          <cell r="D1">
            <v>1170000</v>
          </cell>
          <cell r="E1" t="str">
            <v>COOPER</v>
          </cell>
        </row>
        <row r="2">
          <cell r="C2" t="str">
            <v>244-14</v>
          </cell>
          <cell r="D2">
            <v>2000000</v>
          </cell>
          <cell r="E2" t="str">
            <v>STAMBAUGH</v>
          </cell>
        </row>
        <row r="3">
          <cell r="C3" t="str">
            <v>313-14</v>
          </cell>
          <cell r="D3">
            <v>1810000</v>
          </cell>
          <cell r="E3" t="str">
            <v>NEWELL</v>
          </cell>
        </row>
        <row r="4">
          <cell r="C4" t="str">
            <v>315-14</v>
          </cell>
          <cell r="D4">
            <v>2000000</v>
          </cell>
          <cell r="E4" t="str">
            <v>STAMBAUGH</v>
          </cell>
        </row>
        <row r="5">
          <cell r="C5" t="str">
            <v>302-15</v>
          </cell>
          <cell r="D5">
            <v>2150000</v>
          </cell>
          <cell r="E5" t="str">
            <v>SWANSON</v>
          </cell>
        </row>
        <row r="6">
          <cell r="C6" t="str">
            <v>302-15</v>
          </cell>
          <cell r="D6">
            <v>2150000</v>
          </cell>
          <cell r="E6" t="str">
            <v>SWANSON</v>
          </cell>
        </row>
        <row r="7">
          <cell r="C7" t="str">
            <v>101-15</v>
          </cell>
          <cell r="D7">
            <v>2150000</v>
          </cell>
          <cell r="E7" t="str">
            <v>SWANSON</v>
          </cell>
        </row>
        <row r="8">
          <cell r="C8" t="str">
            <v>103-15</v>
          </cell>
          <cell r="D8">
            <v>1260000</v>
          </cell>
          <cell r="E8" t="str">
            <v>ACKERMAN</v>
          </cell>
        </row>
        <row r="9">
          <cell r="C9" t="str">
            <v>102-15</v>
          </cell>
          <cell r="D9">
            <v>2150000</v>
          </cell>
          <cell r="E9" t="str">
            <v>SWANSON</v>
          </cell>
        </row>
        <row r="10">
          <cell r="C10" t="str">
            <v>105-15</v>
          </cell>
          <cell r="D10">
            <v>1360000</v>
          </cell>
          <cell r="E10" t="str">
            <v>SANTIZO</v>
          </cell>
        </row>
        <row r="11">
          <cell r="C11" t="str">
            <v>107-15</v>
          </cell>
          <cell r="D11">
            <v>1090000</v>
          </cell>
          <cell r="E11" t="str">
            <v>SPECTOR</v>
          </cell>
        </row>
        <row r="12">
          <cell r="C12" t="str">
            <v>109-15</v>
          </cell>
          <cell r="D12">
            <v>1830000</v>
          </cell>
          <cell r="E12" t="str">
            <v>YORK</v>
          </cell>
        </row>
        <row r="13">
          <cell r="C13" t="str">
            <v>104-15</v>
          </cell>
          <cell r="D13">
            <v>1260000</v>
          </cell>
          <cell r="E13" t="str">
            <v>ACKERMAN</v>
          </cell>
        </row>
        <row r="14">
          <cell r="C14" t="str">
            <v>107-15</v>
          </cell>
          <cell r="D14">
            <v>1090000</v>
          </cell>
          <cell r="E14" t="str">
            <v>SPECTOR</v>
          </cell>
        </row>
        <row r="15">
          <cell r="C15" t="str">
            <v>111-15</v>
          </cell>
          <cell r="D15">
            <v>1110000</v>
          </cell>
          <cell r="E15" t="str">
            <v>STARKS</v>
          </cell>
        </row>
        <row r="16">
          <cell r="C16" t="str">
            <v>113-15</v>
          </cell>
          <cell r="D16">
            <v>2150000</v>
          </cell>
          <cell r="E16" t="str">
            <v>SWANSON</v>
          </cell>
        </row>
        <row r="17">
          <cell r="C17" t="str">
            <v>800-15</v>
          </cell>
          <cell r="D17">
            <v>1990000</v>
          </cell>
          <cell r="E17" t="str">
            <v>DAVIS</v>
          </cell>
        </row>
        <row r="18">
          <cell r="C18" t="str">
            <v>106-15</v>
          </cell>
          <cell r="D18">
            <v>1360000</v>
          </cell>
          <cell r="E18" t="str">
            <v>SANTIZO</v>
          </cell>
        </row>
        <row r="19">
          <cell r="C19" t="str">
            <v>110-15</v>
          </cell>
          <cell r="D19">
            <v>1830000</v>
          </cell>
          <cell r="E19" t="str">
            <v>YORK</v>
          </cell>
        </row>
        <row r="20">
          <cell r="C20" t="str">
            <v>108-15</v>
          </cell>
          <cell r="D20">
            <v>1090000</v>
          </cell>
          <cell r="E20" t="str">
            <v>SPECTOR</v>
          </cell>
        </row>
        <row r="21">
          <cell r="C21" t="str">
            <v>115-15</v>
          </cell>
          <cell r="D21">
            <v>1310000</v>
          </cell>
          <cell r="E21" t="str">
            <v>MALAVE</v>
          </cell>
        </row>
        <row r="22">
          <cell r="C22" t="str">
            <v>117-15</v>
          </cell>
          <cell r="D22">
            <v>1260000</v>
          </cell>
          <cell r="E22" t="str">
            <v>ACKERMAN</v>
          </cell>
        </row>
        <row r="23">
          <cell r="C23" t="str">
            <v>801-15</v>
          </cell>
          <cell r="D23">
            <v>1990000</v>
          </cell>
          <cell r="E23" t="str">
            <v>DAVIS</v>
          </cell>
        </row>
        <row r="24">
          <cell r="C24" t="str">
            <v>112-15</v>
          </cell>
          <cell r="D24">
            <v>1110000</v>
          </cell>
          <cell r="E24" t="str">
            <v>STARKS</v>
          </cell>
        </row>
        <row r="25">
          <cell r="C25" t="str">
            <v>119-15</v>
          </cell>
          <cell r="D25">
            <v>1360000</v>
          </cell>
          <cell r="E25" t="str">
            <v>SANTIZO</v>
          </cell>
        </row>
        <row r="26">
          <cell r="C26" t="str">
            <v>119-15</v>
          </cell>
          <cell r="D26">
            <v>1360000</v>
          </cell>
          <cell r="E26" t="str">
            <v>SANTIZO</v>
          </cell>
        </row>
        <row r="27">
          <cell r="C27" t="str">
            <v>114-15</v>
          </cell>
          <cell r="D27">
            <v>2150000</v>
          </cell>
          <cell r="E27" t="str">
            <v>SWANSON</v>
          </cell>
        </row>
        <row r="28">
          <cell r="C28" t="str">
            <v>802-15</v>
          </cell>
          <cell r="D28">
            <v>1990000</v>
          </cell>
          <cell r="E28" t="str">
            <v>DAVIS</v>
          </cell>
        </row>
        <row r="29">
          <cell r="C29" t="str">
            <v>121-15</v>
          </cell>
          <cell r="D29">
            <v>1090000</v>
          </cell>
          <cell r="E29" t="str">
            <v>SPECTOR</v>
          </cell>
        </row>
        <row r="30">
          <cell r="C30" t="str">
            <v>123-15</v>
          </cell>
          <cell r="D30">
            <v>1830000</v>
          </cell>
          <cell r="E30" t="str">
            <v>YORK</v>
          </cell>
        </row>
        <row r="31">
          <cell r="C31" t="str">
            <v>803-15</v>
          </cell>
          <cell r="D31">
            <v>900000</v>
          </cell>
          <cell r="E31" t="str">
            <v>ROCHA</v>
          </cell>
        </row>
        <row r="32">
          <cell r="C32" t="str">
            <v>116-15</v>
          </cell>
          <cell r="D32">
            <v>1310000</v>
          </cell>
          <cell r="E32" t="str">
            <v>MALAVE</v>
          </cell>
        </row>
        <row r="33">
          <cell r="C33" t="str">
            <v>131-15</v>
          </cell>
          <cell r="D33">
            <v>1260000</v>
          </cell>
          <cell r="E33" t="str">
            <v>ACKERMAN</v>
          </cell>
        </row>
        <row r="34">
          <cell r="C34" t="str">
            <v>118-15</v>
          </cell>
          <cell r="D34">
            <v>1260000</v>
          </cell>
          <cell r="E34" t="str">
            <v>ACKERMAN</v>
          </cell>
        </row>
        <row r="35">
          <cell r="C35" t="str">
            <v>805-15</v>
          </cell>
          <cell r="D35">
            <v>1990000</v>
          </cell>
          <cell r="E35" t="str">
            <v>DAVIS</v>
          </cell>
        </row>
        <row r="36">
          <cell r="C36" t="str">
            <v>120-15</v>
          </cell>
          <cell r="D36">
            <v>1360000</v>
          </cell>
          <cell r="E36" t="str">
            <v>SANTIZO</v>
          </cell>
        </row>
        <row r="37">
          <cell r="C37" t="str">
            <v>125-15</v>
          </cell>
          <cell r="D37">
            <v>1110000</v>
          </cell>
          <cell r="E37" t="str">
            <v>STARKS</v>
          </cell>
        </row>
        <row r="38">
          <cell r="C38" t="str">
            <v>804-15</v>
          </cell>
          <cell r="D38">
            <v>900000</v>
          </cell>
          <cell r="E38" t="str">
            <v>ROCHA</v>
          </cell>
        </row>
        <row r="39">
          <cell r="C39" t="str">
            <v>127-15</v>
          </cell>
          <cell r="D39">
            <v>2150000</v>
          </cell>
          <cell r="E39" t="str">
            <v>SWANSON</v>
          </cell>
        </row>
        <row r="40">
          <cell r="C40" t="str">
            <v>122-15</v>
          </cell>
          <cell r="D40">
            <v>1090000</v>
          </cell>
          <cell r="E40" t="str">
            <v>SPECTOR</v>
          </cell>
        </row>
        <row r="41">
          <cell r="C41" t="str">
            <v>807-15</v>
          </cell>
          <cell r="D41">
            <v>900000</v>
          </cell>
          <cell r="E41" t="str">
            <v>ROCHA</v>
          </cell>
        </row>
        <row r="42">
          <cell r="C42" t="str">
            <v>116-15</v>
          </cell>
          <cell r="D42">
            <v>1310000</v>
          </cell>
          <cell r="E42" t="str">
            <v>MALAVE</v>
          </cell>
        </row>
        <row r="43">
          <cell r="C43" t="str">
            <v>124-15</v>
          </cell>
          <cell r="D43">
            <v>1830000</v>
          </cell>
          <cell r="E43" t="str">
            <v>YORK</v>
          </cell>
        </row>
        <row r="44">
          <cell r="C44" t="str">
            <v>806-15</v>
          </cell>
          <cell r="D44">
            <v>1990000</v>
          </cell>
          <cell r="E44" t="str">
            <v>DAVIS</v>
          </cell>
        </row>
        <row r="45">
          <cell r="C45" t="str">
            <v>129-15</v>
          </cell>
          <cell r="D45">
            <v>1310000</v>
          </cell>
          <cell r="E45" t="str">
            <v>MALAVE</v>
          </cell>
        </row>
        <row r="46">
          <cell r="C46" t="str">
            <v>129-15</v>
          </cell>
          <cell r="D46">
            <v>1310000</v>
          </cell>
          <cell r="E46" t="str">
            <v>MALAVE</v>
          </cell>
        </row>
        <row r="47">
          <cell r="C47" t="str">
            <v>131-15</v>
          </cell>
          <cell r="D47">
            <v>1260000</v>
          </cell>
          <cell r="E47" t="str">
            <v>ACKERMAN</v>
          </cell>
        </row>
        <row r="48">
          <cell r="C48" t="str">
            <v>808-15</v>
          </cell>
          <cell r="D48">
            <v>900000</v>
          </cell>
          <cell r="E48" t="str">
            <v>ROCHA</v>
          </cell>
        </row>
        <row r="49">
          <cell r="C49" t="str">
            <v>126-15</v>
          </cell>
          <cell r="D49">
            <v>1110000</v>
          </cell>
          <cell r="E49" t="str">
            <v>STARKS</v>
          </cell>
        </row>
        <row r="50">
          <cell r="C50" t="str">
            <v>133-15</v>
          </cell>
          <cell r="D50">
            <v>1360000</v>
          </cell>
          <cell r="E50" t="str">
            <v>SANTIZO</v>
          </cell>
        </row>
        <row r="51">
          <cell r="C51" t="str">
            <v>809-15</v>
          </cell>
          <cell r="D51">
            <v>1990000</v>
          </cell>
          <cell r="E51" t="str">
            <v>DAVIS</v>
          </cell>
        </row>
        <row r="52">
          <cell r="C52" t="str">
            <v>128-15</v>
          </cell>
          <cell r="D52">
            <v>2150000</v>
          </cell>
          <cell r="E52" t="str">
            <v>SWANSON</v>
          </cell>
        </row>
        <row r="53">
          <cell r="C53" t="str">
            <v>135-15</v>
          </cell>
          <cell r="D53">
            <v>1090000</v>
          </cell>
          <cell r="E53" t="str">
            <v>SPECTOR</v>
          </cell>
        </row>
        <row r="54">
          <cell r="C54" t="str">
            <v>811-15</v>
          </cell>
          <cell r="D54">
            <v>900000</v>
          </cell>
          <cell r="E54" t="str">
            <v>ROCHA</v>
          </cell>
        </row>
        <row r="55">
          <cell r="C55" t="str">
            <v>810-15</v>
          </cell>
          <cell r="D55">
            <v>1990000</v>
          </cell>
          <cell r="E55" t="str">
            <v>DAVIS</v>
          </cell>
        </row>
        <row r="56">
          <cell r="C56" t="str">
            <v>130-15</v>
          </cell>
          <cell r="D56">
            <v>1310000</v>
          </cell>
          <cell r="E56" t="str">
            <v>MALAVE</v>
          </cell>
        </row>
        <row r="57">
          <cell r="C57" t="str">
            <v>137-15</v>
          </cell>
          <cell r="D57">
            <v>1830000</v>
          </cell>
          <cell r="E57" t="str">
            <v>YORK</v>
          </cell>
        </row>
        <row r="58">
          <cell r="C58" t="str">
            <v>132-15</v>
          </cell>
          <cell r="D58">
            <v>1260000</v>
          </cell>
          <cell r="E58" t="str">
            <v>ACKERMAN</v>
          </cell>
        </row>
        <row r="59">
          <cell r="C59" t="str">
            <v>139-15</v>
          </cell>
          <cell r="D59">
            <v>1110000</v>
          </cell>
          <cell r="E59" t="str">
            <v>STARKS</v>
          </cell>
        </row>
        <row r="60">
          <cell r="C60" t="str">
            <v>812-15</v>
          </cell>
          <cell r="D60">
            <v>900000</v>
          </cell>
          <cell r="E60" t="str">
            <v>ROCHA</v>
          </cell>
        </row>
        <row r="61">
          <cell r="C61" t="str">
            <v>134-15</v>
          </cell>
          <cell r="D61">
            <v>1360000</v>
          </cell>
          <cell r="E61" t="str">
            <v>SANTIZO</v>
          </cell>
        </row>
        <row r="62">
          <cell r="C62" t="str">
            <v>141-15</v>
          </cell>
          <cell r="D62">
            <v>2150000</v>
          </cell>
          <cell r="E62" t="str">
            <v>SWANSON</v>
          </cell>
        </row>
        <row r="63">
          <cell r="C63" t="str">
            <v>138-15</v>
          </cell>
          <cell r="D63">
            <v>1830000</v>
          </cell>
          <cell r="E63" t="str">
            <v>YORK</v>
          </cell>
        </row>
        <row r="64">
          <cell r="C64" t="str">
            <v>136-15</v>
          </cell>
          <cell r="D64">
            <v>1090000</v>
          </cell>
          <cell r="E64" t="str">
            <v>SPECTOR</v>
          </cell>
        </row>
        <row r="65">
          <cell r="C65" t="str">
            <v>143-15</v>
          </cell>
          <cell r="D65">
            <v>1310000</v>
          </cell>
          <cell r="E65" t="str">
            <v>MALAVE</v>
          </cell>
        </row>
        <row r="66">
          <cell r="C66" t="str">
            <v>813-15</v>
          </cell>
          <cell r="D66">
            <v>900000</v>
          </cell>
          <cell r="E66" t="str">
            <v>ROCHA</v>
          </cell>
        </row>
        <row r="67">
          <cell r="C67" t="str">
            <v>145-15</v>
          </cell>
          <cell r="D67">
            <v>1260000</v>
          </cell>
          <cell r="E67" t="str">
            <v>ACKERMAN</v>
          </cell>
        </row>
        <row r="68">
          <cell r="C68" t="str">
            <v>140-15</v>
          </cell>
          <cell r="D68">
            <v>1110000</v>
          </cell>
          <cell r="E68" t="str">
            <v>STARKS</v>
          </cell>
        </row>
        <row r="69">
          <cell r="C69" t="str">
            <v>147-15</v>
          </cell>
          <cell r="D69">
            <v>1360000</v>
          </cell>
          <cell r="E69" t="str">
            <v>SANTIZO</v>
          </cell>
        </row>
        <row r="70">
          <cell r="C70" t="str">
            <v>142-15</v>
          </cell>
          <cell r="D70">
            <v>2150000</v>
          </cell>
          <cell r="E70" t="str">
            <v>SWANSON</v>
          </cell>
        </row>
        <row r="71">
          <cell r="C71" t="str">
            <v>814-15</v>
          </cell>
          <cell r="D71">
            <v>900000</v>
          </cell>
          <cell r="E71" t="str">
            <v>ROCHA</v>
          </cell>
        </row>
        <row r="72">
          <cell r="C72" t="str">
            <v>149-15</v>
          </cell>
          <cell r="D72">
            <v>1090000</v>
          </cell>
          <cell r="E72" t="str">
            <v>SPECTOR</v>
          </cell>
        </row>
        <row r="73">
          <cell r="C73" t="str">
            <v>144-15</v>
          </cell>
          <cell r="D73">
            <v>1310000</v>
          </cell>
          <cell r="E73" t="str">
            <v>MALAVE</v>
          </cell>
        </row>
        <row r="74">
          <cell r="C74" t="str">
            <v>151-15</v>
          </cell>
          <cell r="D74">
            <v>1830000</v>
          </cell>
          <cell r="E74" t="str">
            <v>YORK</v>
          </cell>
        </row>
        <row r="75">
          <cell r="C75" t="str">
            <v>815-15</v>
          </cell>
          <cell r="D75">
            <v>900000</v>
          </cell>
          <cell r="E75" t="str">
            <v>ROCHA</v>
          </cell>
        </row>
        <row r="76">
          <cell r="C76" t="str">
            <v>146-15</v>
          </cell>
          <cell r="D76">
            <v>1260000</v>
          </cell>
          <cell r="E76" t="str">
            <v>ACKERMAN</v>
          </cell>
        </row>
        <row r="77">
          <cell r="C77" t="str">
            <v>148-15</v>
          </cell>
          <cell r="D77">
            <v>1360000</v>
          </cell>
          <cell r="E77" t="str">
            <v>SANTIZO</v>
          </cell>
        </row>
        <row r="78">
          <cell r="C78" t="str">
            <v>153-15</v>
          </cell>
          <cell r="D78">
            <v>1110000</v>
          </cell>
          <cell r="E78" t="str">
            <v>STARKS</v>
          </cell>
        </row>
        <row r="79">
          <cell r="C79" t="str">
            <v>155-15</v>
          </cell>
          <cell r="D79">
            <v>900000</v>
          </cell>
          <cell r="E79" t="str">
            <v>ROCHA</v>
          </cell>
        </row>
        <row r="80">
          <cell r="C80" t="str">
            <v>150-15</v>
          </cell>
          <cell r="D80">
            <v>1090000</v>
          </cell>
          <cell r="E80" t="str">
            <v>SPECTOR</v>
          </cell>
        </row>
        <row r="81">
          <cell r="C81" t="str">
            <v>152-15</v>
          </cell>
          <cell r="D81">
            <v>1830000</v>
          </cell>
          <cell r="E81" t="str">
            <v>YORK</v>
          </cell>
        </row>
        <row r="82">
          <cell r="C82" t="str">
            <v>816-15</v>
          </cell>
          <cell r="D82">
            <v>900000</v>
          </cell>
          <cell r="E82" t="str">
            <v>ROCHA</v>
          </cell>
        </row>
        <row r="83">
          <cell r="C83" t="str">
            <v>157-15</v>
          </cell>
          <cell r="D83">
            <v>1310000</v>
          </cell>
          <cell r="E83" t="str">
            <v>MALAVE</v>
          </cell>
        </row>
        <row r="84">
          <cell r="C84" t="str">
            <v>152-15</v>
          </cell>
          <cell r="D84">
            <v>1830000</v>
          </cell>
          <cell r="E84" t="str">
            <v>YORK</v>
          </cell>
        </row>
        <row r="85">
          <cell r="C85" t="str">
            <v>817-15</v>
          </cell>
          <cell r="D85">
            <v>900000</v>
          </cell>
          <cell r="E85" t="str">
            <v>ROCHA</v>
          </cell>
        </row>
        <row r="86">
          <cell r="C86" t="str">
            <v>159-15</v>
          </cell>
          <cell r="D86">
            <v>880000</v>
          </cell>
          <cell r="E86" t="str">
            <v>STEWART</v>
          </cell>
        </row>
        <row r="87">
          <cell r="C87" t="str">
            <v>154-15</v>
          </cell>
          <cell r="D87">
            <v>1110000</v>
          </cell>
          <cell r="E87" t="str">
            <v>STARKS</v>
          </cell>
        </row>
        <row r="88">
          <cell r="C88" t="str">
            <v>161-15</v>
          </cell>
          <cell r="D88">
            <v>1280000</v>
          </cell>
          <cell r="E88" t="str">
            <v>BARTLETT</v>
          </cell>
        </row>
        <row r="89">
          <cell r="C89" t="str">
            <v>156-15</v>
          </cell>
          <cell r="D89">
            <v>1990000</v>
          </cell>
          <cell r="E89" t="str">
            <v>DAVIS</v>
          </cell>
        </row>
        <row r="90">
          <cell r="C90" t="str">
            <v>163-15</v>
          </cell>
          <cell r="D90">
            <v>2090000</v>
          </cell>
          <cell r="E90" t="str">
            <v>HAITHCOX</v>
          </cell>
        </row>
        <row r="91">
          <cell r="C91" t="str">
            <v>818-15</v>
          </cell>
          <cell r="D91">
            <v>900000</v>
          </cell>
          <cell r="E91" t="str">
            <v>ROCHA</v>
          </cell>
        </row>
        <row r="92">
          <cell r="C92" t="str">
            <v>158-15</v>
          </cell>
          <cell r="D92">
            <v>1310000</v>
          </cell>
          <cell r="E92" t="str">
            <v>MALAVE</v>
          </cell>
        </row>
        <row r="93">
          <cell r="C93" t="str">
            <v>165-15</v>
          </cell>
          <cell r="D93">
            <v>1520000</v>
          </cell>
          <cell r="E93" t="str">
            <v>MAYBERRY</v>
          </cell>
        </row>
        <row r="94">
          <cell r="C94" t="str">
            <v>160-15</v>
          </cell>
          <cell r="D94">
            <v>880000</v>
          </cell>
          <cell r="E94" t="str">
            <v>STEWART</v>
          </cell>
        </row>
        <row r="95">
          <cell r="C95" t="str">
            <v>162-15</v>
          </cell>
          <cell r="D95">
            <v>1280000</v>
          </cell>
          <cell r="E95" t="str">
            <v>BARTLETT</v>
          </cell>
        </row>
        <row r="96">
          <cell r="C96" t="str">
            <v>819-15</v>
          </cell>
          <cell r="D96">
            <v>900000</v>
          </cell>
          <cell r="E96" t="str">
            <v>ROCHA</v>
          </cell>
        </row>
        <row r="97">
          <cell r="C97" t="str">
            <v>167-15</v>
          </cell>
          <cell r="D97">
            <v>1140000</v>
          </cell>
          <cell r="E97" t="str">
            <v>YOUNG</v>
          </cell>
        </row>
        <row r="98">
          <cell r="C98" t="str">
            <v>169-15</v>
          </cell>
          <cell r="D98">
            <v>1540000</v>
          </cell>
          <cell r="E98" t="str">
            <v>HELVIE</v>
          </cell>
        </row>
        <row r="99">
          <cell r="C99" t="str">
            <v>164-15</v>
          </cell>
          <cell r="D99">
            <v>2090000</v>
          </cell>
          <cell r="E99" t="str">
            <v>HAITHCOX</v>
          </cell>
        </row>
        <row r="100">
          <cell r="C100" t="str">
            <v>819-15</v>
          </cell>
          <cell r="D100">
            <v>900000</v>
          </cell>
          <cell r="E100" t="str">
            <v>ROCHA</v>
          </cell>
        </row>
        <row r="101">
          <cell r="C101" t="str">
            <v>166-15</v>
          </cell>
          <cell r="D101">
            <v>1520000</v>
          </cell>
          <cell r="E101" t="str">
            <v>MAYBERRY</v>
          </cell>
        </row>
        <row r="102">
          <cell r="C102" t="str">
            <v>171-15</v>
          </cell>
          <cell r="D102">
            <v>2020000</v>
          </cell>
          <cell r="E102" t="str">
            <v>SHOOK</v>
          </cell>
        </row>
        <row r="103">
          <cell r="C103" t="str">
            <v>820-15</v>
          </cell>
          <cell r="D103">
            <v>900000</v>
          </cell>
          <cell r="E103" t="str">
            <v>ROCHA</v>
          </cell>
        </row>
        <row r="104">
          <cell r="C104" t="str">
            <v>168-15</v>
          </cell>
          <cell r="D104">
            <v>1140000</v>
          </cell>
          <cell r="E104" t="str">
            <v>YOUNG</v>
          </cell>
        </row>
        <row r="105">
          <cell r="C105" t="str">
            <v>173-15</v>
          </cell>
          <cell r="D105">
            <v>880000</v>
          </cell>
          <cell r="E105" t="str">
            <v>STEWART</v>
          </cell>
        </row>
        <row r="106">
          <cell r="C106" t="str">
            <v>175-15</v>
          </cell>
          <cell r="D106">
            <v>1280000</v>
          </cell>
          <cell r="E106" t="str">
            <v>BARTLETT</v>
          </cell>
        </row>
        <row r="107">
          <cell r="C107" t="str">
            <v>170-15</v>
          </cell>
          <cell r="D107">
            <v>1540000</v>
          </cell>
          <cell r="E107" t="str">
            <v>HELVIE</v>
          </cell>
        </row>
        <row r="108">
          <cell r="C108" t="str">
            <v>177-15</v>
          </cell>
          <cell r="D108">
            <v>2090000</v>
          </cell>
          <cell r="E108" t="str">
            <v>HAITHCOX</v>
          </cell>
        </row>
        <row r="109">
          <cell r="C109" t="str">
            <v>821-15</v>
          </cell>
          <cell r="D109">
            <v>1770000</v>
          </cell>
          <cell r="E109" t="str">
            <v>BRUDER</v>
          </cell>
        </row>
        <row r="110">
          <cell r="C110" t="str">
            <v>172-15</v>
          </cell>
          <cell r="D110">
            <v>2020000</v>
          </cell>
          <cell r="E110" t="str">
            <v>SHOOK</v>
          </cell>
        </row>
        <row r="111">
          <cell r="C111" t="str">
            <v>179-15</v>
          </cell>
          <cell r="D111">
            <v>1520000</v>
          </cell>
          <cell r="E111" t="str">
            <v>MAYBERRY</v>
          </cell>
        </row>
        <row r="112">
          <cell r="C112" t="str">
            <v>822-15</v>
          </cell>
          <cell r="D112">
            <v>1770000</v>
          </cell>
          <cell r="E112" t="str">
            <v>BRUDER</v>
          </cell>
        </row>
        <row r="113">
          <cell r="C113" t="str">
            <v>181-15</v>
          </cell>
          <cell r="D113">
            <v>1140000</v>
          </cell>
          <cell r="E113" t="str">
            <v>YOUNG</v>
          </cell>
        </row>
        <row r="114">
          <cell r="C114" t="str">
            <v>174-15</v>
          </cell>
          <cell r="D114">
            <v>880000</v>
          </cell>
          <cell r="E114" t="str">
            <v>STEWART</v>
          </cell>
        </row>
        <row r="115">
          <cell r="C115" t="str">
            <v>176-15</v>
          </cell>
          <cell r="D115">
            <v>1280000</v>
          </cell>
          <cell r="E115" t="str">
            <v>BARTLETT</v>
          </cell>
        </row>
        <row r="116">
          <cell r="C116" t="str">
            <v>178-15</v>
          </cell>
          <cell r="D116">
            <v>2090000</v>
          </cell>
          <cell r="E116" t="str">
            <v>HAITHCOX</v>
          </cell>
        </row>
        <row r="117">
          <cell r="C117" t="str">
            <v>824-15</v>
          </cell>
          <cell r="D117">
            <v>1770000</v>
          </cell>
          <cell r="E117" t="str">
            <v>BRUDER</v>
          </cell>
        </row>
        <row r="118">
          <cell r="C118" t="str">
            <v>183-15</v>
          </cell>
          <cell r="D118">
            <v>1540000</v>
          </cell>
          <cell r="E118" t="str">
            <v>HELVIE</v>
          </cell>
        </row>
        <row r="119">
          <cell r="C119" t="str">
            <v>823-15</v>
          </cell>
          <cell r="D119">
            <v>1770000</v>
          </cell>
          <cell r="E119" t="str">
            <v>BRUDER</v>
          </cell>
        </row>
        <row r="120">
          <cell r="C120" t="str">
            <v>185-15</v>
          </cell>
          <cell r="D120">
            <v>2020000</v>
          </cell>
          <cell r="E120" t="str">
            <v>SHOOK</v>
          </cell>
        </row>
        <row r="121">
          <cell r="C121" t="str">
            <v>180-15</v>
          </cell>
          <cell r="D121">
            <v>1520000</v>
          </cell>
          <cell r="E121" t="str">
            <v>MAYBERRY</v>
          </cell>
        </row>
        <row r="122">
          <cell r="C122" t="str">
            <v>824-15</v>
          </cell>
          <cell r="D122">
            <v>1770000</v>
          </cell>
          <cell r="E122" t="str">
            <v>BRUDER</v>
          </cell>
        </row>
        <row r="123">
          <cell r="C123" t="str">
            <v>182-15</v>
          </cell>
          <cell r="D123">
            <v>1140000</v>
          </cell>
          <cell r="E123" t="str">
            <v>YOUNG</v>
          </cell>
        </row>
        <row r="124">
          <cell r="C124" t="str">
            <v>187-15</v>
          </cell>
          <cell r="D124">
            <v>880000</v>
          </cell>
          <cell r="E124" t="str">
            <v>STEWART</v>
          </cell>
        </row>
        <row r="125">
          <cell r="C125" t="str">
            <v>189-15</v>
          </cell>
          <cell r="D125">
            <v>1280000</v>
          </cell>
          <cell r="E125" t="str">
            <v>BARTLETT</v>
          </cell>
        </row>
        <row r="126">
          <cell r="C126" t="str">
            <v>184-15</v>
          </cell>
          <cell r="D126">
            <v>1540000</v>
          </cell>
          <cell r="E126" t="str">
            <v>HELVIE</v>
          </cell>
        </row>
        <row r="127">
          <cell r="C127" t="str">
            <v>904-15</v>
          </cell>
          <cell r="D127">
            <v>1740000</v>
          </cell>
          <cell r="E127" t="str">
            <v>STORY</v>
          </cell>
        </row>
        <row r="128">
          <cell r="C128" t="str">
            <v>191-15</v>
          </cell>
          <cell r="D128">
            <v>2090000</v>
          </cell>
          <cell r="E128" t="str">
            <v>HAITHCOX</v>
          </cell>
        </row>
        <row r="129">
          <cell r="C129" t="str">
            <v>825-15</v>
          </cell>
          <cell r="D129">
            <v>1770000</v>
          </cell>
          <cell r="E129" t="str">
            <v>BRUDER</v>
          </cell>
        </row>
        <row r="130">
          <cell r="C130" t="str">
            <v>186-15</v>
          </cell>
          <cell r="D130">
            <v>2020000</v>
          </cell>
          <cell r="E130" t="str">
            <v>SHOOK</v>
          </cell>
        </row>
        <row r="131">
          <cell r="C131" t="str">
            <v>193-15</v>
          </cell>
          <cell r="D131">
            <v>1520000</v>
          </cell>
          <cell r="E131" t="str">
            <v>MAYBERRY</v>
          </cell>
        </row>
        <row r="132">
          <cell r="C132" t="str">
            <v>904-15</v>
          </cell>
          <cell r="D132">
            <v>1740000</v>
          </cell>
          <cell r="E132" t="str">
            <v>STORY</v>
          </cell>
        </row>
        <row r="133">
          <cell r="C133" t="str">
            <v>188-15</v>
          </cell>
          <cell r="D133">
            <v>880000</v>
          </cell>
          <cell r="E133" t="str">
            <v>STEWART</v>
          </cell>
        </row>
        <row r="134">
          <cell r="C134" t="str">
            <v>195-15</v>
          </cell>
          <cell r="D134">
            <v>1140000</v>
          </cell>
          <cell r="E134" t="str">
            <v>YOUNG</v>
          </cell>
        </row>
        <row r="135">
          <cell r="C135" t="str">
            <v>190-15</v>
          </cell>
          <cell r="D135">
            <v>1280000</v>
          </cell>
          <cell r="E135" t="str">
            <v>BARTLETT</v>
          </cell>
        </row>
        <row r="136">
          <cell r="C136" t="str">
            <v>826-15</v>
          </cell>
          <cell r="D136">
            <v>1770000</v>
          </cell>
          <cell r="E136" t="str">
            <v>BRUDER</v>
          </cell>
        </row>
        <row r="137">
          <cell r="C137" t="str">
            <v>197-15</v>
          </cell>
          <cell r="D137">
            <v>1540000</v>
          </cell>
          <cell r="E137" t="str">
            <v>HELVIE</v>
          </cell>
        </row>
        <row r="138">
          <cell r="C138" t="str">
            <v>827-15</v>
          </cell>
          <cell r="D138">
            <v>1740000</v>
          </cell>
          <cell r="E138" t="str">
            <v>STORY</v>
          </cell>
        </row>
        <row r="139">
          <cell r="C139" t="str">
            <v>192-15</v>
          </cell>
          <cell r="D139">
            <v>2090000</v>
          </cell>
          <cell r="E139" t="str">
            <v>HAITHCOX</v>
          </cell>
        </row>
        <row r="140">
          <cell r="C140" t="str">
            <v>194-15</v>
          </cell>
          <cell r="D140">
            <v>1520000</v>
          </cell>
          <cell r="E140" t="str">
            <v>MAYBERRY</v>
          </cell>
        </row>
        <row r="141">
          <cell r="C141" t="str">
            <v>199-15</v>
          </cell>
          <cell r="D141">
            <v>730000</v>
          </cell>
          <cell r="E141" t="str">
            <v>HOMIK</v>
          </cell>
        </row>
        <row r="142">
          <cell r="C142" t="str">
            <v>827-15</v>
          </cell>
          <cell r="D142">
            <v>1740000</v>
          </cell>
          <cell r="E142" t="str">
            <v>STORY</v>
          </cell>
        </row>
        <row r="143">
          <cell r="C143" t="str">
            <v>828-15</v>
          </cell>
          <cell r="D143">
            <v>1740000</v>
          </cell>
          <cell r="E143" t="str">
            <v>STORY</v>
          </cell>
        </row>
        <row r="144">
          <cell r="C144" t="str">
            <v>829-15</v>
          </cell>
          <cell r="D144">
            <v>1770000</v>
          </cell>
          <cell r="E144" t="str">
            <v>BRUDER</v>
          </cell>
        </row>
        <row r="145">
          <cell r="C145" t="str">
            <v>201-15</v>
          </cell>
          <cell r="D145">
            <v>880000</v>
          </cell>
          <cell r="E145" t="str">
            <v>STEWART</v>
          </cell>
        </row>
        <row r="146">
          <cell r="C146" t="str">
            <v>196-15</v>
          </cell>
          <cell r="D146">
            <v>1140000</v>
          </cell>
          <cell r="E146" t="str">
            <v>YOUNG</v>
          </cell>
        </row>
        <row r="147">
          <cell r="C147" t="str">
            <v>203-15</v>
          </cell>
          <cell r="D147">
            <v>1280000</v>
          </cell>
          <cell r="E147" t="str">
            <v>BARTLETT</v>
          </cell>
        </row>
        <row r="148">
          <cell r="C148" t="str">
            <v>198-15</v>
          </cell>
          <cell r="D148">
            <v>1540000</v>
          </cell>
          <cell r="E148" t="str">
            <v>HELVIE</v>
          </cell>
        </row>
        <row r="149">
          <cell r="C149" t="str">
            <v>205-15</v>
          </cell>
          <cell r="D149">
            <v>2090000</v>
          </cell>
          <cell r="E149" t="str">
            <v>HAITHCOX</v>
          </cell>
        </row>
        <row r="150">
          <cell r="C150" t="str">
            <v>830-15</v>
          </cell>
          <cell r="D150">
            <v>1770000</v>
          </cell>
          <cell r="E150" t="str">
            <v>BRUDER</v>
          </cell>
        </row>
        <row r="151">
          <cell r="C151" t="str">
            <v>831-15</v>
          </cell>
          <cell r="D151">
            <v>1740000</v>
          </cell>
          <cell r="E151" t="str">
            <v>STORY</v>
          </cell>
        </row>
        <row r="152">
          <cell r="C152" t="str">
            <v>200-15</v>
          </cell>
          <cell r="D152">
            <v>730000</v>
          </cell>
          <cell r="E152" t="str">
            <v>HOMIK</v>
          </cell>
        </row>
        <row r="153">
          <cell r="C153" t="str">
            <v>207-15</v>
          </cell>
          <cell r="D153">
            <v>1520000</v>
          </cell>
          <cell r="E153" t="str">
            <v>MAYBERRY</v>
          </cell>
        </row>
        <row r="154">
          <cell r="C154" t="str">
            <v>202-15</v>
          </cell>
          <cell r="D154">
            <v>880000</v>
          </cell>
          <cell r="E154" t="str">
            <v>STEWART</v>
          </cell>
        </row>
        <row r="155">
          <cell r="C155" t="str">
            <v>832-15</v>
          </cell>
          <cell r="D155">
            <v>1740000</v>
          </cell>
          <cell r="E155" t="str">
            <v>STORY</v>
          </cell>
        </row>
        <row r="156">
          <cell r="C156" t="str">
            <v>833-15</v>
          </cell>
          <cell r="D156">
            <v>1770000</v>
          </cell>
          <cell r="E156" t="str">
            <v>BRUDER</v>
          </cell>
        </row>
        <row r="157">
          <cell r="C157" t="str">
            <v>209-15</v>
          </cell>
          <cell r="D157">
            <v>2110000</v>
          </cell>
          <cell r="E157" t="str">
            <v>OUN</v>
          </cell>
        </row>
        <row r="158">
          <cell r="C158" t="str">
            <v>204-15</v>
          </cell>
          <cell r="D158">
            <v>1280000</v>
          </cell>
          <cell r="E158" t="str">
            <v>BARTLETT</v>
          </cell>
        </row>
        <row r="159">
          <cell r="C159" t="str">
            <v>211-15</v>
          </cell>
          <cell r="D159">
            <v>1140000</v>
          </cell>
          <cell r="E159" t="str">
            <v>YOUNG</v>
          </cell>
        </row>
        <row r="160">
          <cell r="C160" t="str">
            <v>835-15</v>
          </cell>
          <cell r="D160">
            <v>1740000</v>
          </cell>
          <cell r="E160" t="str">
            <v>STORY</v>
          </cell>
        </row>
        <row r="161">
          <cell r="C161" t="str">
            <v>206-15</v>
          </cell>
          <cell r="D161">
            <v>2090000</v>
          </cell>
          <cell r="E161" t="str">
            <v>HAITHCOX</v>
          </cell>
        </row>
        <row r="162">
          <cell r="C162" t="str">
            <v>834-15</v>
          </cell>
          <cell r="D162">
            <v>1770000</v>
          </cell>
          <cell r="E162" t="str">
            <v>BRUDER</v>
          </cell>
        </row>
        <row r="163">
          <cell r="C163" t="str">
            <v>213-15</v>
          </cell>
          <cell r="D163">
            <v>1810000</v>
          </cell>
          <cell r="E163" t="str">
            <v>NEWELL</v>
          </cell>
        </row>
        <row r="164">
          <cell r="C164" t="str">
            <v>208-15</v>
          </cell>
          <cell r="D164">
            <v>1520000</v>
          </cell>
          <cell r="E164" t="str">
            <v>MAYBERRY</v>
          </cell>
        </row>
        <row r="165">
          <cell r="C165" t="str">
            <v>215-15</v>
          </cell>
          <cell r="D165">
            <v>730000</v>
          </cell>
          <cell r="E165" t="str">
            <v>HOMIK</v>
          </cell>
        </row>
        <row r="166">
          <cell r="C166" t="str">
            <v>837-15</v>
          </cell>
          <cell r="D166">
            <v>1770000</v>
          </cell>
          <cell r="E166" t="str">
            <v>BRUDER</v>
          </cell>
        </row>
        <row r="167">
          <cell r="C167" t="str">
            <v>210-15</v>
          </cell>
          <cell r="D167">
            <v>2110000</v>
          </cell>
          <cell r="E167" t="str">
            <v>OUN</v>
          </cell>
        </row>
        <row r="168">
          <cell r="C168" t="str">
            <v>836-15</v>
          </cell>
          <cell r="D168">
            <v>1740000</v>
          </cell>
          <cell r="E168" t="str">
            <v>STORY</v>
          </cell>
        </row>
        <row r="169">
          <cell r="C169" t="str">
            <v>217-15</v>
          </cell>
          <cell r="D169">
            <v>1800000</v>
          </cell>
          <cell r="E169" t="str">
            <v>CHANDLER</v>
          </cell>
        </row>
        <row r="170">
          <cell r="C170" t="str">
            <v>212-15</v>
          </cell>
          <cell r="D170">
            <v>1140000</v>
          </cell>
          <cell r="E170" t="str">
            <v>YOUNG</v>
          </cell>
        </row>
        <row r="171">
          <cell r="C171" t="str">
            <v>214-15</v>
          </cell>
          <cell r="D171">
            <v>1810000</v>
          </cell>
          <cell r="E171" t="str">
            <v>NEWELL</v>
          </cell>
        </row>
        <row r="172">
          <cell r="C172" t="str">
            <v>219-15</v>
          </cell>
          <cell r="D172">
            <v>2100000</v>
          </cell>
          <cell r="E172" t="str">
            <v>ISHMAEL</v>
          </cell>
        </row>
        <row r="173">
          <cell r="C173" t="str">
            <v>838-15</v>
          </cell>
          <cell r="D173">
            <v>1770000</v>
          </cell>
          <cell r="E173" t="str">
            <v>BRUDER</v>
          </cell>
        </row>
        <row r="174">
          <cell r="C174" t="str">
            <v>216-15</v>
          </cell>
          <cell r="D174">
            <v>730000</v>
          </cell>
          <cell r="E174" t="str">
            <v>HOMIK</v>
          </cell>
        </row>
        <row r="175">
          <cell r="C175" t="str">
            <v>839-15</v>
          </cell>
          <cell r="D175">
            <v>1740000</v>
          </cell>
          <cell r="E175" t="str">
            <v>STORY</v>
          </cell>
        </row>
        <row r="176">
          <cell r="C176" t="str">
            <v>303-15</v>
          </cell>
          <cell r="D176">
            <v>1520000</v>
          </cell>
          <cell r="E176" t="str">
            <v>MAYBERRY</v>
          </cell>
        </row>
        <row r="177">
          <cell r="C177" t="str">
            <v>221-15</v>
          </cell>
          <cell r="D177">
            <v>2110000</v>
          </cell>
          <cell r="E177" t="str">
            <v>OUN</v>
          </cell>
        </row>
        <row r="178">
          <cell r="C178" t="str">
            <v>218-15</v>
          </cell>
          <cell r="D178">
            <v>1800000</v>
          </cell>
          <cell r="E178" t="str">
            <v>CHANDLER</v>
          </cell>
        </row>
        <row r="179">
          <cell r="C179" t="str">
            <v>906-15</v>
          </cell>
          <cell r="D179">
            <v>1740000</v>
          </cell>
          <cell r="E179" t="str">
            <v>STORY</v>
          </cell>
        </row>
        <row r="180">
          <cell r="C180" t="str">
            <v>841-15</v>
          </cell>
          <cell r="D180">
            <v>1770000</v>
          </cell>
          <cell r="E180" t="str">
            <v>BRUDER</v>
          </cell>
        </row>
        <row r="181">
          <cell r="C181" t="str">
            <v>220-15</v>
          </cell>
          <cell r="D181">
            <v>2100000</v>
          </cell>
          <cell r="E181" t="str">
            <v>ISHMAEL</v>
          </cell>
        </row>
        <row r="182">
          <cell r="C182" t="str">
            <v>223-15</v>
          </cell>
          <cell r="D182">
            <v>1810000</v>
          </cell>
          <cell r="E182" t="str">
            <v>NEWELL</v>
          </cell>
        </row>
        <row r="183">
          <cell r="C183" t="str">
            <v>840-15</v>
          </cell>
          <cell r="D183">
            <v>1770000</v>
          </cell>
          <cell r="E183" t="str">
            <v>BRUDER</v>
          </cell>
        </row>
        <row r="184">
          <cell r="C184" t="str">
            <v>307-15</v>
          </cell>
          <cell r="D184">
            <v>730000</v>
          </cell>
          <cell r="E184" t="str">
            <v>HOMIK</v>
          </cell>
        </row>
        <row r="185">
          <cell r="C185" t="str">
            <v>222-15</v>
          </cell>
          <cell r="D185">
            <v>2110000</v>
          </cell>
          <cell r="E185" t="str">
            <v>OUN</v>
          </cell>
        </row>
        <row r="186">
          <cell r="C186" t="str">
            <v>225-15</v>
          </cell>
          <cell r="D186">
            <v>1800000</v>
          </cell>
          <cell r="E186" t="str">
            <v>CHANDLER</v>
          </cell>
        </row>
        <row r="187">
          <cell r="C187" t="str">
            <v>843-15</v>
          </cell>
          <cell r="D187">
            <v>1770000</v>
          </cell>
          <cell r="E187" t="str">
            <v>BRUDER</v>
          </cell>
        </row>
        <row r="188">
          <cell r="C188" t="str">
            <v>224-15</v>
          </cell>
          <cell r="D188">
            <v>1810000</v>
          </cell>
          <cell r="E188" t="str">
            <v>NEWELL</v>
          </cell>
        </row>
        <row r="189">
          <cell r="C189" t="str">
            <v>227-15</v>
          </cell>
          <cell r="D189">
            <v>2100000</v>
          </cell>
          <cell r="E189" t="str">
            <v>ISHMAEL</v>
          </cell>
        </row>
        <row r="190">
          <cell r="C190" t="str">
            <v>842-15</v>
          </cell>
          <cell r="D190">
            <v>1770000</v>
          </cell>
          <cell r="E190" t="str">
            <v>BRUDER</v>
          </cell>
        </row>
        <row r="191">
          <cell r="C191" t="str">
            <v>229-15</v>
          </cell>
          <cell r="D191">
            <v>2110000</v>
          </cell>
          <cell r="E191" t="str">
            <v>OUN</v>
          </cell>
        </row>
        <row r="192">
          <cell r="C192" t="str">
            <v>226-15</v>
          </cell>
          <cell r="D192">
            <v>1800000</v>
          </cell>
          <cell r="E192" t="str">
            <v>CHANDLER</v>
          </cell>
        </row>
        <row r="193">
          <cell r="C193" t="str">
            <v>845-15</v>
          </cell>
          <cell r="D193">
            <v>1740000</v>
          </cell>
          <cell r="E193" t="str">
            <v>STORY</v>
          </cell>
        </row>
        <row r="194">
          <cell r="C194" t="str">
            <v>231-15</v>
          </cell>
          <cell r="D194">
            <v>1810000</v>
          </cell>
          <cell r="E194" t="str">
            <v>NEWELL</v>
          </cell>
        </row>
        <row r="195">
          <cell r="C195" t="str">
            <v>228-15</v>
          </cell>
          <cell r="D195">
            <v>2100000</v>
          </cell>
          <cell r="E195" t="str">
            <v>ISHMAEL</v>
          </cell>
        </row>
        <row r="196">
          <cell r="C196" t="str">
            <v>844-15</v>
          </cell>
          <cell r="D196">
            <v>1740000</v>
          </cell>
          <cell r="E196" t="str">
            <v>STORY</v>
          </cell>
        </row>
        <row r="197">
          <cell r="C197" t="str">
            <v>230-15</v>
          </cell>
          <cell r="D197">
            <v>2110000</v>
          </cell>
          <cell r="E197" t="str">
            <v>OUN</v>
          </cell>
        </row>
        <row r="198">
          <cell r="C198" t="str">
            <v>233-15</v>
          </cell>
          <cell r="D198">
            <v>1800000</v>
          </cell>
          <cell r="E198" t="str">
            <v>CHANDLER</v>
          </cell>
        </row>
        <row r="199">
          <cell r="C199" t="str">
            <v>847-15</v>
          </cell>
          <cell r="D199">
            <v>1740000</v>
          </cell>
          <cell r="E199" t="str">
            <v>STORY</v>
          </cell>
        </row>
        <row r="200">
          <cell r="C200" t="str">
            <v>235-15</v>
          </cell>
          <cell r="D200">
            <v>2100000</v>
          </cell>
          <cell r="E200" t="str">
            <v>ISHMAEL</v>
          </cell>
        </row>
        <row r="201">
          <cell r="C201" t="str">
            <v>232-15</v>
          </cell>
          <cell r="D201">
            <v>1810000</v>
          </cell>
          <cell r="E201" t="str">
            <v>NEWELL</v>
          </cell>
        </row>
        <row r="202">
          <cell r="C202" t="str">
            <v>908-15</v>
          </cell>
          <cell r="D202">
            <v>1740000</v>
          </cell>
          <cell r="E202" t="str">
            <v>STORY</v>
          </cell>
        </row>
        <row r="203">
          <cell r="C203" t="str">
            <v>237-15</v>
          </cell>
          <cell r="D203">
            <v>2110000</v>
          </cell>
          <cell r="E203" t="str">
            <v>OUN</v>
          </cell>
        </row>
        <row r="204">
          <cell r="C204" t="str">
            <v>234-15</v>
          </cell>
          <cell r="D204">
            <v>1800000</v>
          </cell>
          <cell r="E204" t="str">
            <v>CHANDLER</v>
          </cell>
        </row>
        <row r="205">
          <cell r="C205" t="str">
            <v>239-15</v>
          </cell>
          <cell r="D205">
            <v>1810000</v>
          </cell>
          <cell r="E205" t="str">
            <v>NEWELL</v>
          </cell>
        </row>
        <row r="206">
          <cell r="C206" t="str">
            <v>236-15</v>
          </cell>
          <cell r="D206">
            <v>2100000</v>
          </cell>
          <cell r="E206" t="str">
            <v>ISHMAEL</v>
          </cell>
        </row>
        <row r="207">
          <cell r="C207" t="str">
            <v>238-15</v>
          </cell>
          <cell r="D207">
            <v>2110000</v>
          </cell>
          <cell r="E207" t="str">
            <v>OUN</v>
          </cell>
        </row>
        <row r="208">
          <cell r="C208" t="str">
            <v>241-15</v>
          </cell>
          <cell r="D208">
            <v>1800000</v>
          </cell>
          <cell r="E208" t="str">
            <v>CHANDLER</v>
          </cell>
        </row>
        <row r="209">
          <cell r="C209" t="str">
            <v>243-15</v>
          </cell>
          <cell r="D209">
            <v>2100000</v>
          </cell>
          <cell r="E209" t="str">
            <v>ISHMAEL</v>
          </cell>
        </row>
        <row r="210">
          <cell r="C210" t="str">
            <v>240-15</v>
          </cell>
          <cell r="D210">
            <v>1810000</v>
          </cell>
          <cell r="E210" t="str">
            <v>NEWELL</v>
          </cell>
        </row>
        <row r="211">
          <cell r="C211" t="str">
            <v>63-15</v>
          </cell>
          <cell r="D211">
            <v>1180000</v>
          </cell>
          <cell r="E211" t="str">
            <v>LEVERE</v>
          </cell>
        </row>
        <row r="212">
          <cell r="C212" t="str">
            <v>242-15</v>
          </cell>
          <cell r="D212">
            <v>1800000</v>
          </cell>
          <cell r="E212" t="str">
            <v>CHANDLER</v>
          </cell>
        </row>
        <row r="213">
          <cell r="C213" t="str">
            <v>309-15</v>
          </cell>
          <cell r="D213">
            <v>1810000</v>
          </cell>
          <cell r="E213" t="str">
            <v>NEWELL</v>
          </cell>
        </row>
        <row r="214">
          <cell r="C214" t="str">
            <v>244-15</v>
          </cell>
          <cell r="D214">
            <v>2100000</v>
          </cell>
          <cell r="E214" t="str">
            <v>ISHMAEL</v>
          </cell>
        </row>
        <row r="215">
          <cell r="C215" t="str">
            <v>313-15</v>
          </cell>
          <cell r="D215">
            <v>1800000</v>
          </cell>
          <cell r="E215" t="str">
            <v>CHANDLER</v>
          </cell>
        </row>
        <row r="216">
          <cell r="C216" t="str">
            <v>315-15</v>
          </cell>
          <cell r="D216">
            <v>2100000</v>
          </cell>
          <cell r="E216" t="str">
            <v>ISHMAEL</v>
          </cell>
        </row>
        <row r="217">
          <cell r="C217" t="str">
            <v>315-15</v>
          </cell>
          <cell r="D217">
            <v>2100000</v>
          </cell>
          <cell r="E217" t="str">
            <v>ISHMAE</v>
          </cell>
        </row>
        <row r="219">
          <cell r="C219" t="str">
            <v>64-12</v>
          </cell>
          <cell r="D219">
            <v>730000</v>
          </cell>
          <cell r="E219" t="str">
            <v>HOMIK</v>
          </cell>
        </row>
        <row r="220">
          <cell r="C220" t="str">
            <v>231-12</v>
          </cell>
          <cell r="D220">
            <v>1230000</v>
          </cell>
          <cell r="E220" t="str">
            <v>YANAI</v>
          </cell>
        </row>
        <row r="221">
          <cell r="C221" t="str">
            <v>64-12</v>
          </cell>
          <cell r="D221">
            <v>730000</v>
          </cell>
          <cell r="E221" t="str">
            <v>HOMIK</v>
          </cell>
        </row>
        <row r="222">
          <cell r="C222" t="str">
            <v>64-12</v>
          </cell>
          <cell r="D222">
            <v>730000</v>
          </cell>
          <cell r="E222" t="str">
            <v>HOMIK</v>
          </cell>
        </row>
        <row r="223">
          <cell r="C223" t="str">
            <v>844-12</v>
          </cell>
          <cell r="D223">
            <v>1460000</v>
          </cell>
          <cell r="E223" t="str">
            <v>NELSON</v>
          </cell>
        </row>
        <row r="224">
          <cell r="C224" t="str">
            <v>64-12</v>
          </cell>
          <cell r="D224">
            <v>730000</v>
          </cell>
          <cell r="E224" t="str">
            <v>HOMIK</v>
          </cell>
        </row>
        <row r="225">
          <cell r="C225" t="str">
            <v>230-12</v>
          </cell>
          <cell r="D225">
            <v>1300000</v>
          </cell>
          <cell r="E225" t="str">
            <v>LEVIN</v>
          </cell>
        </row>
        <row r="226">
          <cell r="C226" t="str">
            <v>233-12</v>
          </cell>
          <cell r="D226">
            <v>2000000</v>
          </cell>
          <cell r="E226" t="str">
            <v>STAMBAUGH</v>
          </cell>
        </row>
        <row r="227">
          <cell r="C227" t="str">
            <v>64-12</v>
          </cell>
          <cell r="D227">
            <v>730000</v>
          </cell>
          <cell r="E227" t="str">
            <v>HOMIK</v>
          </cell>
        </row>
        <row r="228">
          <cell r="C228" t="str">
            <v>847-12</v>
          </cell>
          <cell r="D228">
            <v>1460000</v>
          </cell>
          <cell r="E228" t="str">
            <v>NELSON</v>
          </cell>
        </row>
        <row r="229">
          <cell r="C229" t="str">
            <v>232-12</v>
          </cell>
          <cell r="D229">
            <v>1230000</v>
          </cell>
          <cell r="E229" t="str">
            <v>YANAI</v>
          </cell>
        </row>
        <row r="230">
          <cell r="C230" t="str">
            <v>235-12</v>
          </cell>
          <cell r="D230">
            <v>2100000</v>
          </cell>
          <cell r="E230" t="str">
            <v>ISHMAEL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101-16</v>
          </cell>
          <cell r="B13">
            <v>4011</v>
          </cell>
          <cell r="C13" t="str">
            <v>DE.1.0.7.0</v>
          </cell>
          <cell r="D13" t="str">
            <v>204:746</v>
          </cell>
          <cell r="E13">
            <v>42598.127256944441</v>
          </cell>
          <cell r="F13">
            <v>42598.128229166665</v>
          </cell>
          <cell r="G13">
            <v>1</v>
          </cell>
          <cell r="H13" t="str">
            <v>204:233449</v>
          </cell>
          <cell r="I13">
            <v>42598.160590277781</v>
          </cell>
          <cell r="J13">
            <v>1</v>
          </cell>
          <cell r="K13" t="str">
            <v>4011/4012</v>
          </cell>
          <cell r="L13" t="str">
            <v>KILLION</v>
          </cell>
          <cell r="M13">
            <v>3.2361111116188113E-2</v>
          </cell>
          <cell r="N13">
            <v>46.600000007310882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https://search-rtdc-monitor-bjffxe2xuh6vdkpspy63sjmuny.us-east-1.es.amazonaws.com/_plugin/kibana/#/discover/Steve-Slow-Train-Analysis-(2080s-and-2083s)?_g=(refreshInterval:(display:Off,section:0,value:0),time:(from:'2016-08-16 02:03:15-0600',mode:absolute,to:'2016-08-16 04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" t="str">
            <v>N</v>
          </cell>
          <cell r="X13" t="e">
            <v>#VALUE!</v>
          </cell>
          <cell r="Y13">
            <v>7.46E-2</v>
          </cell>
          <cell r="Z13">
            <v>23.344899999999999</v>
          </cell>
          <cell r="AA13">
            <v>23.270299999999999</v>
          </cell>
          <cell r="AB13" t="e">
            <v>#N/A</v>
          </cell>
          <cell r="AC13" t="e">
            <v>#N/A</v>
          </cell>
          <cell r="AD13" t="str">
            <v>0101-16</v>
          </cell>
          <cell r="AE1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14">
          <cell r="A14" t="str">
            <v>102-16</v>
          </cell>
          <cell r="B14">
            <v>4032</v>
          </cell>
          <cell r="C14" t="str">
            <v>DE.1.0.7.0</v>
          </cell>
          <cell r="D14" t="str">
            <v>204:232637</v>
          </cell>
          <cell r="E14">
            <v>42598.167962962965</v>
          </cell>
          <cell r="F14">
            <v>42598.168854166666</v>
          </cell>
          <cell r="G14">
            <v>1</v>
          </cell>
          <cell r="H14" t="str">
            <v>204:167</v>
          </cell>
          <cell r="I14">
            <v>42598.201990740738</v>
          </cell>
          <cell r="J14">
            <v>1</v>
          </cell>
          <cell r="K14" t="str">
            <v>4031/4032</v>
          </cell>
          <cell r="L14" t="str">
            <v>KILLION</v>
          </cell>
          <cell r="M14">
            <v>3.3136574071249925E-2</v>
          </cell>
          <cell r="N14">
            <v>47.716666662599891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https://search-rtdc-monitor-bjffxe2xuh6vdkpspy63sjmuny.us-east-1.es.amazonaws.com/_plugin/kibana/#/discover/Steve-Slow-Train-Analysis-(2080s-and-2083s)?_g=(refreshInterval:(display:Off,section:0,value:0),time:(from:'2016-08-16 03:01:52-0600',mode:absolute,to:'2016-08-16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" t="str">
            <v>N</v>
          </cell>
          <cell r="X14">
            <v>1</v>
          </cell>
          <cell r="Y14">
            <v>23.2637</v>
          </cell>
          <cell r="Z14">
            <v>1.67E-2</v>
          </cell>
          <cell r="AA14">
            <v>23.247</v>
          </cell>
          <cell r="AB14" t="e">
            <v>#N/A</v>
          </cell>
          <cell r="AC14" t="e">
            <v>#N/A</v>
          </cell>
          <cell r="AD14" t="str">
            <v>0102-16</v>
          </cell>
          <cell r="AE14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5">
          <cell r="A15" t="str">
            <v>103-16</v>
          </cell>
          <cell r="B15">
            <v>4003</v>
          </cell>
          <cell r="C15" t="str">
            <v>DE.1.0.7.0</v>
          </cell>
          <cell r="D15" t="str">
            <v>204:635</v>
          </cell>
          <cell r="E15">
            <v>42598.156504629631</v>
          </cell>
          <cell r="F15">
            <v>42598.157268518517</v>
          </cell>
          <cell r="G15">
            <v>1</v>
          </cell>
          <cell r="H15" t="str">
            <v>204:233410</v>
          </cell>
          <cell r="I15">
            <v>42598.183518518519</v>
          </cell>
          <cell r="J15">
            <v>1</v>
          </cell>
          <cell r="K15" t="str">
            <v>4003/4004</v>
          </cell>
          <cell r="L15" t="str">
            <v>ACKERMAN</v>
          </cell>
          <cell r="M15">
            <v>2.6250000002619345E-2</v>
          </cell>
          <cell r="N15">
            <v>37.800000003771856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5" t="str">
            <v>N</v>
          </cell>
          <cell r="X15">
            <v>1</v>
          </cell>
          <cell r="Y15">
            <v>6.3500000000000001E-2</v>
          </cell>
          <cell r="Z15">
            <v>23.341000000000001</v>
          </cell>
          <cell r="AA15">
            <v>23.2775</v>
          </cell>
          <cell r="AB15" t="e">
            <v>#N/A</v>
          </cell>
          <cell r="AC15" t="e">
            <v>#N/A</v>
          </cell>
          <cell r="AD15" t="str">
            <v>0103-16</v>
          </cell>
          <cell r="AE15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16">
          <cell r="A16" t="str">
            <v>104-16</v>
          </cell>
          <cell r="B16">
            <v>4003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4003/4004</v>
          </cell>
          <cell r="L16" t="e">
            <v>#N/A</v>
          </cell>
          <cell r="P16">
            <v>1</v>
          </cell>
          <cell r="R16" t="str">
            <v>Did not initialize</v>
          </cell>
          <cell r="S16">
            <v>0</v>
          </cell>
          <cell r="T16" t="str">
            <v>Southbound</v>
          </cell>
          <cell r="U16">
            <v>0</v>
          </cell>
          <cell r="V16" t="e">
            <v>#VALUE!</v>
          </cell>
          <cell r="W16" t="e">
            <v>#VALUE!</v>
          </cell>
          <cell r="X16">
            <v>1</v>
          </cell>
          <cell r="Y16" t="e">
            <v>#VALUE!</v>
          </cell>
          <cell r="Z16" t="e">
            <v>#VALUE!</v>
          </cell>
          <cell r="AA16" t="e">
            <v>#VALUE!</v>
          </cell>
          <cell r="AB16" t="e">
            <v>#N/A</v>
          </cell>
          <cell r="AC16" t="e">
            <v>#N/A</v>
          </cell>
          <cell r="AD16" t="str">
            <v>0104-16</v>
          </cell>
          <cell r="AE16" t="e">
            <v>#VALUE!</v>
          </cell>
        </row>
        <row r="17">
          <cell r="A17" t="str">
            <v>105-16</v>
          </cell>
          <cell r="B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e">
            <v>#N/A</v>
          </cell>
          <cell r="P17">
            <v>1</v>
          </cell>
          <cell r="R17" t="str">
            <v>Did not initialize</v>
          </cell>
          <cell r="S17">
            <v>0</v>
          </cell>
          <cell r="T17" t="str">
            <v>NorthBound</v>
          </cell>
          <cell r="U17">
            <v>0</v>
          </cell>
          <cell r="V17" t="e">
            <v>#VALUE!</v>
          </cell>
          <cell r="W17" t="e">
            <v>#VALUE!</v>
          </cell>
          <cell r="X17">
            <v>1</v>
          </cell>
          <cell r="Y17" t="e">
            <v>#VALUE!</v>
          </cell>
          <cell r="Z17" t="e">
            <v>#VALUE!</v>
          </cell>
          <cell r="AA17" t="e">
            <v>#VALUE!</v>
          </cell>
          <cell r="AB17" t="e">
            <v>#N/A</v>
          </cell>
          <cell r="AC17" t="e">
            <v>#N/A</v>
          </cell>
          <cell r="AD17" t="str">
            <v>0105-16</v>
          </cell>
          <cell r="AE17" t="e">
            <v>#VALUE!</v>
          </cell>
        </row>
        <row r="18">
          <cell r="A18" t="str">
            <v>106-16</v>
          </cell>
          <cell r="B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e">
            <v>#N/A</v>
          </cell>
          <cell r="P18">
            <v>1</v>
          </cell>
          <cell r="R18" t="str">
            <v>Did not initialize</v>
          </cell>
          <cell r="S18">
            <v>0</v>
          </cell>
          <cell r="T18" t="str">
            <v>Southbound</v>
          </cell>
          <cell r="U18">
            <v>0</v>
          </cell>
          <cell r="V18" t="e">
            <v>#VALUE!</v>
          </cell>
          <cell r="W18" t="e">
            <v>#VALUE!</v>
          </cell>
          <cell r="X18">
            <v>1</v>
          </cell>
          <cell r="Y18" t="e">
            <v>#VALUE!</v>
          </cell>
          <cell r="Z18" t="e">
            <v>#VALUE!</v>
          </cell>
          <cell r="AA18" t="e">
            <v>#VALUE!</v>
          </cell>
          <cell r="AB18" t="e">
            <v>#N/A</v>
          </cell>
          <cell r="AC18" t="e">
            <v>#N/A</v>
          </cell>
          <cell r="AD18" t="str">
            <v>0106-16</v>
          </cell>
          <cell r="AE18" t="e">
            <v>#VALUE!</v>
          </cell>
        </row>
        <row r="19">
          <cell r="A19" t="str">
            <v>107-16</v>
          </cell>
          <cell r="B19">
            <v>4010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4009/4010</v>
          </cell>
          <cell r="L19" t="e">
            <v>#N/A</v>
          </cell>
          <cell r="P19">
            <v>1</v>
          </cell>
          <cell r="R19" t="str">
            <v>Did not initialize</v>
          </cell>
          <cell r="S19">
            <v>0</v>
          </cell>
          <cell r="T19" t="str">
            <v>NorthBound</v>
          </cell>
          <cell r="U19">
            <v>0</v>
          </cell>
          <cell r="V19" t="e">
            <v>#VALUE!</v>
          </cell>
          <cell r="W19" t="e">
            <v>#VALUE!</v>
          </cell>
          <cell r="X19">
            <v>1</v>
          </cell>
          <cell r="Y19" t="e">
            <v>#VALUE!</v>
          </cell>
          <cell r="Z19" t="e">
            <v>#VALUE!</v>
          </cell>
          <cell r="AA19" t="e">
            <v>#VALUE!</v>
          </cell>
          <cell r="AB19" t="e">
            <v>#N/A</v>
          </cell>
          <cell r="AC19" t="e">
            <v>#N/A</v>
          </cell>
          <cell r="AD19" t="str">
            <v>0107-16</v>
          </cell>
          <cell r="AE19" t="e">
            <v>#VALUE!</v>
          </cell>
        </row>
        <row r="20">
          <cell r="A20" t="str">
            <v>108-16</v>
          </cell>
          <cell r="B20">
            <v>4010</v>
          </cell>
          <cell r="C20" t="str">
            <v>DE.1.0.7.0</v>
          </cell>
          <cell r="D20" t="str">
            <v>204:232994</v>
          </cell>
          <cell r="E20">
            <v>42598.22247685185</v>
          </cell>
          <cell r="F20">
            <v>42598.223912037036</v>
          </cell>
          <cell r="G20">
            <v>2</v>
          </cell>
          <cell r="H20" t="str">
            <v>204:156</v>
          </cell>
          <cell r="I20">
            <v>42598.253935185188</v>
          </cell>
          <cell r="J20">
            <v>1</v>
          </cell>
          <cell r="K20" t="str">
            <v>4009/4010</v>
          </cell>
          <cell r="L20" t="str">
            <v>SPECTOR</v>
          </cell>
          <cell r="M20">
            <v>3.0023148152395152E-2</v>
          </cell>
          <cell r="N20">
            <v>43.233333339449018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https://search-rtdc-monitor-bjffxe2xuh6vdkpspy63sjmuny.us-east-1.es.amazonaws.com/_plugin/kibana/#/discover/Steve-Slow-Train-Analysis-(2080s-and-2083s)?_g=(refreshInterval:(display:Off,section:0,value:0),time:(from:'2016-08-16 04:20:22-0600',mode:absolute,to:'2016-08-16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1.5599999999999999E-2</v>
          </cell>
          <cell r="AA20">
            <v>23.283799999999999</v>
          </cell>
          <cell r="AB20" t="e">
            <v>#N/A</v>
          </cell>
          <cell r="AC20" t="e">
            <v>#N/A</v>
          </cell>
          <cell r="AD20" t="str">
            <v>0108-16</v>
          </cell>
          <cell r="AE2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21">
          <cell r="A21" t="str">
            <v>109-16</v>
          </cell>
          <cell r="B21">
            <v>4044</v>
          </cell>
          <cell r="C21" t="str">
            <v>DE.1.0.7.0</v>
          </cell>
          <cell r="D21" t="str">
            <v>204:482</v>
          </cell>
          <cell r="E21">
            <v>42598.193831018521</v>
          </cell>
          <cell r="F21">
            <v>42598.195115740738</v>
          </cell>
          <cell r="G21">
            <v>1</v>
          </cell>
          <cell r="H21" t="str">
            <v>204:233341</v>
          </cell>
          <cell r="I21">
            <v>42598.226226851853</v>
          </cell>
          <cell r="J21">
            <v>1</v>
          </cell>
          <cell r="K21" t="str">
            <v>4043/4044</v>
          </cell>
          <cell r="L21" t="str">
            <v>DAVIS</v>
          </cell>
          <cell r="M21">
            <v>3.1111111115023959E-2</v>
          </cell>
          <cell r="N21">
            <v>44.800000005634502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https://search-rtdc-monitor-bjffxe2xuh6vdkpspy63sjmuny.us-east-1.es.amazonaws.com/_plugin/kibana/#/discover/Steve-Slow-Train-Analysis-(2080s-and-2083s)?_g=(refreshInterval:(display:Off,section:0,value:0),time:(from:'2016-08-16 03:39:07-0600',mode:absolute,to:'2016-08-16 06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1" t="str">
            <v>N</v>
          </cell>
          <cell r="X21">
            <v>1</v>
          </cell>
          <cell r="Y21">
            <v>4.82E-2</v>
          </cell>
          <cell r="Z21">
            <v>23.334099999999999</v>
          </cell>
          <cell r="AA21">
            <v>23.285899999999998</v>
          </cell>
          <cell r="AB21" t="e">
            <v>#N/A</v>
          </cell>
          <cell r="AC21" t="e">
            <v>#N/A</v>
          </cell>
          <cell r="AD21" t="str">
            <v>0109-16</v>
          </cell>
          <cell r="AE2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22">
          <cell r="A22" t="str">
            <v>110-16</v>
          </cell>
          <cell r="B22">
            <v>4043</v>
          </cell>
          <cell r="C22" t="str">
            <v>DE.1.0.7.0</v>
          </cell>
          <cell r="D22" t="str">
            <v>204:232998</v>
          </cell>
          <cell r="E22">
            <v>42598.231736111113</v>
          </cell>
          <cell r="F22">
            <v>42598.233206018522</v>
          </cell>
          <cell r="G22">
            <v>2</v>
          </cell>
          <cell r="H22" t="str">
            <v>204:371</v>
          </cell>
          <cell r="I22">
            <v>42598.268599537034</v>
          </cell>
          <cell r="J22">
            <v>1</v>
          </cell>
          <cell r="K22" t="str">
            <v>4043/4044</v>
          </cell>
          <cell r="L22" t="str">
            <v>DAVIS</v>
          </cell>
          <cell r="M22">
            <v>3.5393518512137234E-2</v>
          </cell>
          <cell r="N22">
            <v>50.966666657477617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2" t="str">
            <v>N</v>
          </cell>
          <cell r="X22">
            <v>1</v>
          </cell>
          <cell r="Y22">
            <v>23.299800000000001</v>
          </cell>
          <cell r="Z22">
            <v>3.7100000000000001E-2</v>
          </cell>
          <cell r="AA22">
            <v>23.262700000000002</v>
          </cell>
          <cell r="AB22" t="e">
            <v>#N/A</v>
          </cell>
          <cell r="AC22" t="e">
            <v>#N/A</v>
          </cell>
          <cell r="AD22" t="str">
            <v>0110-16</v>
          </cell>
          <cell r="AE2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23">
          <cell r="A23" t="str">
            <v>111-16</v>
          </cell>
          <cell r="B23">
            <v>4011</v>
          </cell>
          <cell r="C23" t="str">
            <v>DE.1.0.7.0</v>
          </cell>
          <cell r="D23" t="str">
            <v>204:741</v>
          </cell>
          <cell r="E23">
            <v>42598.205231481479</v>
          </cell>
          <cell r="F23">
            <v>42598.206875000003</v>
          </cell>
          <cell r="G23">
            <v>2</v>
          </cell>
          <cell r="H23" t="str">
            <v>204:233300</v>
          </cell>
          <cell r="I23">
            <v>42598.233888888892</v>
          </cell>
          <cell r="J23">
            <v>1</v>
          </cell>
          <cell r="K23" t="str">
            <v>4011/4012</v>
          </cell>
          <cell r="L23" t="str">
            <v>SWANSON</v>
          </cell>
          <cell r="M23">
            <v>2.7013888888177462E-2</v>
          </cell>
          <cell r="N23">
            <v>38.899999998975545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https://search-rtdc-monitor-bjffxe2xuh6vdkpspy63sjmuny.us-east-1.es.amazonaws.com/_plugin/kibana/#/discover/Steve-Slow-Train-Analysis-(2080s-and-2083s)?_g=(refreshInterval:(display:Off,section:0,value:0),time:(from:'2016-08-16 03:55:32-0600',mode:absolute,to:'2016-08-16 06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3" t="str">
            <v>N</v>
          </cell>
          <cell r="X23">
            <v>1</v>
          </cell>
          <cell r="Y23">
            <v>7.4099999999999999E-2</v>
          </cell>
          <cell r="Z23">
            <v>23.33</v>
          </cell>
          <cell r="AA23">
            <v>23.255899999999997</v>
          </cell>
          <cell r="AB23" t="e">
            <v>#N/A</v>
          </cell>
          <cell r="AC23" t="e">
            <v>#N/A</v>
          </cell>
          <cell r="AD23" t="str">
            <v>0111-16</v>
          </cell>
          <cell r="AE2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24">
          <cell r="A24" t="str">
            <v>112-16</v>
          </cell>
          <cell r="B24">
            <v>4012</v>
          </cell>
          <cell r="C24" t="str">
            <v>DE.1.0.7.0</v>
          </cell>
          <cell r="D24" t="str">
            <v>204:232993</v>
          </cell>
          <cell r="E24">
            <v>42598.245266203703</v>
          </cell>
          <cell r="F24">
            <v>42598.246412037035</v>
          </cell>
          <cell r="G24">
            <v>1</v>
          </cell>
          <cell r="H24" t="str">
            <v>204:64145</v>
          </cell>
          <cell r="I24">
            <v>42598.268518518518</v>
          </cell>
          <cell r="J24">
            <v>1</v>
          </cell>
          <cell r="K24" t="str">
            <v>4011/4012</v>
          </cell>
          <cell r="L24" t="str">
            <v>SWANSON</v>
          </cell>
          <cell r="M24">
            <v>2.2106481483206153E-2</v>
          </cell>
          <cell r="P24">
            <v>32.76666666730307</v>
          </cell>
          <cell r="R24" t="str">
            <v>Train was being held to restricted speed due to PSS</v>
          </cell>
          <cell r="S24">
            <v>0.25</v>
          </cell>
          <cell r="T24" t="str">
            <v>Southbound</v>
          </cell>
          <cell r="U24">
            <v>3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4" t="str">
            <v>Y</v>
          </cell>
          <cell r="X24">
            <v>1</v>
          </cell>
          <cell r="Y24">
            <v>23.299299999999999</v>
          </cell>
          <cell r="Z24">
            <v>6.4145000000000003</v>
          </cell>
          <cell r="AA24">
            <v>16.884799999999998</v>
          </cell>
          <cell r="AB24">
            <v>36657</v>
          </cell>
          <cell r="AC24" t="str">
            <v>SIGNAL</v>
          </cell>
          <cell r="AD24" t="str">
            <v>0112-16</v>
          </cell>
          <cell r="AE24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25">
          <cell r="A25" t="str">
            <v>112-16</v>
          </cell>
          <cell r="B25">
            <v>4012</v>
          </cell>
          <cell r="C25" t="str">
            <v>DE.1.0.7.0</v>
          </cell>
          <cell r="D25" t="str">
            <v>204:36782</v>
          </cell>
          <cell r="E25">
            <v>42598.272083333337</v>
          </cell>
          <cell r="F25">
            <v>42598.272962962961</v>
          </cell>
          <cell r="G25">
            <v>1</v>
          </cell>
          <cell r="H25" t="str">
            <v>204:36464</v>
          </cell>
          <cell r="I25">
            <v>42598.273611111108</v>
          </cell>
          <cell r="J25">
            <v>1</v>
          </cell>
          <cell r="K25" t="str">
            <v>4011/4012</v>
          </cell>
          <cell r="L25" t="str">
            <v>SWANSON</v>
          </cell>
          <cell r="M25">
            <v>6.4814814686542377E-4</v>
          </cell>
          <cell r="T25" t="str">
            <v>Southbound</v>
          </cell>
          <cell r="U25">
            <v>0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https://search-rtdc-monitor-bjffxe2xuh6vdkpspy63sjmuny.us-east-1.es.amazonaws.com/_plugin/kibana/#/discover/Steve-Slow-Train-Analysis-(2080s-and-2083s)?_g=(refreshInterval:(display:Off,section:0,value:0),time:(from:'2016-08-16 05:31:48-0600',mode:absolute,to:'2016-08-16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5" t="str">
            <v>Y</v>
          </cell>
          <cell r="X25">
            <v>0</v>
          </cell>
          <cell r="Y25">
            <v>3.6781999999999999</v>
          </cell>
          <cell r="Z25">
            <v>3.6463999999999999</v>
          </cell>
          <cell r="AA25">
            <v>3.180000000000005E-2</v>
          </cell>
          <cell r="AB25">
            <v>36657</v>
          </cell>
          <cell r="AC25" t="str">
            <v>SIGNAL</v>
          </cell>
          <cell r="AD25" t="str">
            <v>0112-16</v>
          </cell>
          <cell r="AE25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26">
          <cell r="A26" t="str">
            <v>113-16</v>
          </cell>
          <cell r="B26">
            <v>4031</v>
          </cell>
          <cell r="C26" t="str">
            <v>DE.1.0.7.0</v>
          </cell>
          <cell r="D26" t="str">
            <v>204:462</v>
          </cell>
          <cell r="E26">
            <v>42598.205474537041</v>
          </cell>
          <cell r="F26">
            <v>42598.206701388888</v>
          </cell>
          <cell r="G26">
            <v>1</v>
          </cell>
          <cell r="H26" t="str">
            <v>204:233284</v>
          </cell>
          <cell r="I26">
            <v>42598.243587962963</v>
          </cell>
          <cell r="J26">
            <v>1</v>
          </cell>
          <cell r="K26" t="str">
            <v>4031/4032</v>
          </cell>
          <cell r="L26" t="str">
            <v>KILLION</v>
          </cell>
          <cell r="M26">
            <v>3.6886574074742384E-2</v>
          </cell>
          <cell r="N26">
            <v>53.116666667629033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https://search-rtdc-monitor-bjffxe2xuh6vdkpspy63sjmuny.us-east-1.es.amazonaws.com/_plugin/kibana/#/discover/Steve-Slow-Train-Analysis-(2080s-and-2083s)?_g=(refreshInterval:(display:Off,section:0,value:0),time:(from:'2016-08-16 03:55:53-0600',mode:absolute,to:'2016-08-16 06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6" t="str">
            <v>N</v>
          </cell>
          <cell r="X26">
            <v>1</v>
          </cell>
          <cell r="Y26">
            <v>4.6199999999999998E-2</v>
          </cell>
          <cell r="Z26">
            <v>23.328399999999998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0113-16</v>
          </cell>
          <cell r="AE2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27">
          <cell r="A27" t="str">
            <v>114-16</v>
          </cell>
          <cell r="B27">
            <v>4032</v>
          </cell>
          <cell r="C27" t="str">
            <v>DE.1.0.7.0</v>
          </cell>
          <cell r="D27" t="str">
            <v>204:232967</v>
          </cell>
          <cell r="E27">
            <v>42598.249513888892</v>
          </cell>
          <cell r="F27">
            <v>42598.250416666669</v>
          </cell>
          <cell r="G27">
            <v>1</v>
          </cell>
          <cell r="H27" t="str">
            <v>204:153988</v>
          </cell>
          <cell r="I27">
            <v>42598.267187500001</v>
          </cell>
          <cell r="J27">
            <v>1</v>
          </cell>
          <cell r="K27" t="str">
            <v>4031/4032</v>
          </cell>
          <cell r="L27" t="str">
            <v>KILLION</v>
          </cell>
          <cell r="M27">
            <v>1.6770833331975155E-2</v>
          </cell>
          <cell r="P27">
            <v>24.149999998044223</v>
          </cell>
          <cell r="R27" t="str">
            <v>Wi-MAX outage</v>
          </cell>
          <cell r="S27">
            <v>0</v>
          </cell>
          <cell r="T27" t="str">
            <v>Southbound</v>
          </cell>
          <cell r="U27">
            <v>0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7" t="str">
            <v>Y</v>
          </cell>
          <cell r="X27">
            <v>1</v>
          </cell>
          <cell r="Y27">
            <v>23.296700000000001</v>
          </cell>
          <cell r="Z27">
            <v>15.3988</v>
          </cell>
          <cell r="AA27">
            <v>7.8979000000000017</v>
          </cell>
          <cell r="AB27" t="e">
            <v>#N/A</v>
          </cell>
          <cell r="AC27" t="e">
            <v>#N/A</v>
          </cell>
          <cell r="AD27" t="str">
            <v>0114-16</v>
          </cell>
          <cell r="AE2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28">
          <cell r="A28" t="str">
            <v>115-16</v>
          </cell>
          <cell r="B28">
            <v>4003</v>
          </cell>
          <cell r="C28" t="str">
            <v>DE.1.0.7.0</v>
          </cell>
          <cell r="D28" t="str">
            <v>204:790</v>
          </cell>
          <cell r="E28">
            <v>42598.230219907404</v>
          </cell>
          <cell r="F28">
            <v>42598.231273148151</v>
          </cell>
          <cell r="G28">
            <v>1</v>
          </cell>
          <cell r="H28" t="str">
            <v>204:233312</v>
          </cell>
          <cell r="I28">
            <v>42598.255868055552</v>
          </cell>
          <cell r="J28">
            <v>1</v>
          </cell>
          <cell r="K28" t="str">
            <v>4003/4004</v>
          </cell>
          <cell r="L28" t="str">
            <v>ROCHA</v>
          </cell>
          <cell r="M28">
            <v>2.4594907401478849E-2</v>
          </cell>
          <cell r="N28">
            <v>35.416666658129543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https://search-rtdc-monitor-bjffxe2xuh6vdkpspy63sjmuny.us-east-1.es.amazonaws.com/_plugin/kibana/#/discover/Steve-Slow-Train-Analysis-(2080s-and-2083s)?_g=(refreshInterval:(display:Off,section:0,value:0),time:(from:'2016-08-16 04:31:31-0600',mode:absolute,to:'2016-08-16 07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28" t="str">
            <v>N</v>
          </cell>
          <cell r="X28">
            <v>1</v>
          </cell>
          <cell r="Y28">
            <v>7.9000000000000001E-2</v>
          </cell>
          <cell r="Z28">
            <v>23.331199999999999</v>
          </cell>
          <cell r="AA28">
            <v>23.252199999999998</v>
          </cell>
          <cell r="AB28" t="e">
            <v>#N/A</v>
          </cell>
          <cell r="AC28" t="e">
            <v>#N/A</v>
          </cell>
          <cell r="AD28" t="str">
            <v>0115-16</v>
          </cell>
          <cell r="AE28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29">
          <cell r="A29" t="str">
            <v>116-16</v>
          </cell>
          <cell r="B29">
            <v>4004</v>
          </cell>
          <cell r="C29" t="str">
            <v>DE.1.0.7.0</v>
          </cell>
          <cell r="D29" t="str">
            <v>204:232991</v>
          </cell>
          <cell r="E29">
            <v>42598.267314814817</v>
          </cell>
          <cell r="F29">
            <v>42598.268495370372</v>
          </cell>
          <cell r="G29">
            <v>1</v>
          </cell>
          <cell r="H29" t="str">
            <v>204:1188</v>
          </cell>
          <cell r="I29">
            <v>42598.299884259257</v>
          </cell>
          <cell r="J29">
            <v>1</v>
          </cell>
          <cell r="K29" t="str">
            <v>4003/4004</v>
          </cell>
          <cell r="L29" t="str">
            <v>ROCHA</v>
          </cell>
          <cell r="M29">
            <v>3.1388888884976041E-2</v>
          </cell>
          <cell r="N29">
            <v>45.199999994365498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https://search-rtdc-monitor-bjffxe2xuh6vdkpspy63sjmuny.us-east-1.es.amazonaws.com/_plugin/kibana/#/discover/Steve-Slow-Train-Analysis-(2080s-and-2083s)?_g=(refreshInterval:(display:Off,section:0,value:0),time:(from:'2016-08-16 05:24:56-0600',mode:absolute,to:'2016-08-16 08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9" t="str">
            <v>N</v>
          </cell>
          <cell r="X29">
            <v>1</v>
          </cell>
          <cell r="Y29">
            <v>23.299099999999999</v>
          </cell>
          <cell r="Z29">
            <v>0.1188</v>
          </cell>
          <cell r="AA29">
            <v>23.180299999999999</v>
          </cell>
          <cell r="AB29" t="e">
            <v>#N/A</v>
          </cell>
          <cell r="AC29" t="e">
            <v>#N/A</v>
          </cell>
          <cell r="AD29" t="str">
            <v>0116-16</v>
          </cell>
          <cell r="AE29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30">
          <cell r="A30" t="str">
            <v>117-16</v>
          </cell>
          <cell r="B30" t="str">
            <v>-</v>
          </cell>
          <cell r="F30" t="str">
            <v>-</v>
          </cell>
          <cell r="G30" t="str">
            <v>-</v>
          </cell>
          <cell r="H30" t="str">
            <v>-</v>
          </cell>
          <cell r="I30" t="str">
            <v>-</v>
          </cell>
          <cell r="J30" t="str">
            <v>-</v>
          </cell>
          <cell r="K30" t="e">
            <v>#VALUE!</v>
          </cell>
          <cell r="L30" t="e">
            <v>#N/A</v>
          </cell>
          <cell r="P30">
            <v>1</v>
          </cell>
          <cell r="R30" t="str">
            <v>Did not initialize</v>
          </cell>
          <cell r="S30">
            <v>0</v>
          </cell>
          <cell r="T30" t="str">
            <v>NorthBound</v>
          </cell>
          <cell r="U30">
            <v>0</v>
          </cell>
          <cell r="V30" t="e">
            <v>#VALUE!</v>
          </cell>
          <cell r="W30" t="e">
            <v>#VALUE!</v>
          </cell>
          <cell r="X30">
            <v>1</v>
          </cell>
          <cell r="Y30" t="e">
            <v>#VALUE!</v>
          </cell>
          <cell r="Z30" t="e">
            <v>#VALUE!</v>
          </cell>
          <cell r="AA30" t="e">
            <v>#VALUE!</v>
          </cell>
          <cell r="AB30" t="e">
            <v>#N/A</v>
          </cell>
          <cell r="AC30" t="e">
            <v>#N/A</v>
          </cell>
          <cell r="AD30" t="str">
            <v>0117-16</v>
          </cell>
          <cell r="AE30" t="e">
            <v>#VALUE!</v>
          </cell>
        </row>
        <row r="31">
          <cell r="A31" t="str">
            <v>118-16</v>
          </cell>
          <cell r="B31">
            <v>4037</v>
          </cell>
          <cell r="C31" t="str">
            <v>DE.1.0.7.0</v>
          </cell>
          <cell r="D31" t="str">
            <v>204:232950</v>
          </cell>
          <cell r="E31">
            <v>42598.273043981484</v>
          </cell>
          <cell r="F31">
            <v>42598.274710648147</v>
          </cell>
          <cell r="G31">
            <v>2</v>
          </cell>
          <cell r="H31" t="str">
            <v>204:147</v>
          </cell>
          <cell r="I31">
            <v>42598.309189814812</v>
          </cell>
          <cell r="J31">
            <v>1</v>
          </cell>
          <cell r="K31" t="str">
            <v>4037/4038</v>
          </cell>
          <cell r="L31" t="str">
            <v>ACKERMAN</v>
          </cell>
          <cell r="M31">
            <v>3.4479166664823424E-2</v>
          </cell>
          <cell r="N31">
            <v>49.649999997345731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1" t="str">
            <v>N</v>
          </cell>
          <cell r="X31">
            <v>1</v>
          </cell>
          <cell r="Y31">
            <v>23.295000000000002</v>
          </cell>
          <cell r="Z31">
            <v>1.47E-2</v>
          </cell>
          <cell r="AA31">
            <v>23.2803</v>
          </cell>
          <cell r="AB31">
            <v>127587</v>
          </cell>
          <cell r="AC31" t="str">
            <v>SIGNAL</v>
          </cell>
          <cell r="AD31" t="str">
            <v>0118-16</v>
          </cell>
          <cell r="AE31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32">
          <cell r="A32" t="str">
            <v>119-16</v>
          </cell>
          <cell r="B32" t="str">
            <v>-</v>
          </cell>
          <cell r="F32" t="str">
            <v>-</v>
          </cell>
          <cell r="G32" t="str">
            <v>-</v>
          </cell>
          <cell r="H32" t="str">
            <v>-</v>
          </cell>
          <cell r="I32" t="str">
            <v>-</v>
          </cell>
          <cell r="J32" t="str">
            <v>-</v>
          </cell>
          <cell r="K32" t="e">
            <v>#VALUE!</v>
          </cell>
          <cell r="L32" t="e">
            <v>#N/A</v>
          </cell>
          <cell r="P32">
            <v>1</v>
          </cell>
          <cell r="R32" t="str">
            <v>Did not initialize</v>
          </cell>
          <cell r="S32">
            <v>0</v>
          </cell>
          <cell r="T32" t="str">
            <v>NorthBound</v>
          </cell>
          <cell r="U32">
            <v>0</v>
          </cell>
          <cell r="V32" t="e">
            <v>#VALUE!</v>
          </cell>
          <cell r="W32" t="e">
            <v>#VALUE!</v>
          </cell>
          <cell r="X32">
            <v>1</v>
          </cell>
          <cell r="Y32" t="e">
            <v>#VALUE!</v>
          </cell>
          <cell r="Z32" t="e">
            <v>#VALUE!</v>
          </cell>
          <cell r="AA32" t="e">
            <v>#VALUE!</v>
          </cell>
          <cell r="AB32" t="e">
            <v>#N/A</v>
          </cell>
          <cell r="AC32" t="e">
            <v>#N/A</v>
          </cell>
          <cell r="AD32" t="str">
            <v>0119-16</v>
          </cell>
          <cell r="AE32" t="e">
            <v>#VALUE!</v>
          </cell>
        </row>
        <row r="33">
          <cell r="A33" t="str">
            <v>120-16</v>
          </cell>
          <cell r="B33">
            <v>4029</v>
          </cell>
          <cell r="F33" t="str">
            <v>-</v>
          </cell>
          <cell r="G33" t="str">
            <v>-</v>
          </cell>
          <cell r="H33" t="str">
            <v>-</v>
          </cell>
          <cell r="I33" t="str">
            <v>-</v>
          </cell>
          <cell r="J33" t="str">
            <v>-</v>
          </cell>
          <cell r="K33" t="str">
            <v>4029/4030</v>
          </cell>
          <cell r="L33" t="e">
            <v>#N/A</v>
          </cell>
          <cell r="P33">
            <v>1</v>
          </cell>
          <cell r="R33" t="str">
            <v>Did not initialize</v>
          </cell>
          <cell r="S33">
            <v>0</v>
          </cell>
          <cell r="T33" t="str">
            <v>Southbound</v>
          </cell>
          <cell r="U33">
            <v>0</v>
          </cell>
          <cell r="V33" t="e">
            <v>#VALUE!</v>
          </cell>
          <cell r="W33" t="e">
            <v>#VALUE!</v>
          </cell>
          <cell r="X33">
            <v>1</v>
          </cell>
          <cell r="Y33" t="e">
            <v>#VALUE!</v>
          </cell>
          <cell r="Z33" t="e">
            <v>#VALUE!</v>
          </cell>
          <cell r="AA33" t="e">
            <v>#VALUE!</v>
          </cell>
          <cell r="AB33" t="e">
            <v>#N/A</v>
          </cell>
          <cell r="AC33" t="e">
            <v>#N/A</v>
          </cell>
          <cell r="AD33" t="str">
            <v>0120-16</v>
          </cell>
          <cell r="AE33" t="e">
            <v>#VALUE!</v>
          </cell>
        </row>
        <row r="34">
          <cell r="A34" t="str">
            <v>121-16</v>
          </cell>
          <cell r="B34">
            <v>4009</v>
          </cell>
          <cell r="C34" t="str">
            <v>DE.1.0.7.0</v>
          </cell>
          <cell r="D34" t="str">
            <v>204:37162</v>
          </cell>
          <cell r="E34">
            <v>42598.269166666665</v>
          </cell>
          <cell r="F34">
            <v>42598.269814814812</v>
          </cell>
          <cell r="G34">
            <v>0</v>
          </cell>
          <cell r="H34" t="str">
            <v>204:233318</v>
          </cell>
          <cell r="I34">
            <v>42598.292002314818</v>
          </cell>
          <cell r="J34">
            <v>1</v>
          </cell>
          <cell r="K34" t="str">
            <v>4009/4010</v>
          </cell>
          <cell r="L34" t="str">
            <v>SPECTOR</v>
          </cell>
          <cell r="M34">
            <v>2.2187500006111804E-2</v>
          </cell>
          <cell r="P34">
            <v>31.950000008800998</v>
          </cell>
          <cell r="R34" t="str">
            <v>Onboard in-route failure</v>
          </cell>
          <cell r="S34">
            <v>0.75</v>
          </cell>
          <cell r="T34" t="str">
            <v>NorthBound</v>
          </cell>
          <cell r="U34">
            <v>9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https://search-rtdc-monitor-bjffxe2xuh6vdkpspy63sjmuny.us-east-1.es.amazonaws.com/_plugin/kibana/#/discover/Steve-Slow-Train-Analysis-(2080s-and-2083s)?_g=(refreshInterval:(display:Off,section:0,value:0),time:(from:'2016-08-16 05:27:36-0600',mode:absolute,to:'2016-08-16 08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4" t="str">
            <v>Y</v>
          </cell>
          <cell r="X34">
            <v>1</v>
          </cell>
          <cell r="Y34">
            <v>3.7162000000000002</v>
          </cell>
          <cell r="Z34">
            <v>23.331800000000001</v>
          </cell>
          <cell r="AA34">
            <v>19.615600000000001</v>
          </cell>
          <cell r="AB34" t="e">
            <v>#N/A</v>
          </cell>
          <cell r="AC34" t="e">
            <v>#N/A</v>
          </cell>
          <cell r="AD34" t="str">
            <v>0121-16</v>
          </cell>
          <cell r="AE34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35">
          <cell r="A35" t="str">
            <v>122-16</v>
          </cell>
          <cell r="B35">
            <v>4010</v>
          </cell>
          <cell r="C35" t="str">
            <v>DE.1.0.7.0</v>
          </cell>
          <cell r="D35" t="str">
            <v>204:232990</v>
          </cell>
          <cell r="E35">
            <v>42598.294733796298</v>
          </cell>
          <cell r="F35">
            <v>42598.295590277776</v>
          </cell>
          <cell r="G35">
            <v>1</v>
          </cell>
          <cell r="H35" t="str">
            <v>204:158</v>
          </cell>
          <cell r="I35">
            <v>42598.326377314814</v>
          </cell>
          <cell r="J35">
            <v>1</v>
          </cell>
          <cell r="K35" t="str">
            <v>4009/4010</v>
          </cell>
          <cell r="L35" t="str">
            <v>SPECTOR</v>
          </cell>
          <cell r="M35">
            <v>3.0787037037953269E-2</v>
          </cell>
          <cell r="N35">
            <v>44.333333334652707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https://search-rtdc-monitor-bjffxe2xuh6vdkpspy63sjmuny.us-east-1.es.amazonaws.com/_plugin/kibana/#/discover/Steve-Slow-Train-Analysis-(2080s-and-2083s)?_g=(refreshInterval:(display:Off,section:0,value:0),time:(from:'2016-08-16 06:04:25-0600',mode:absolute,to:'2016-08-16 08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5" t="str">
            <v>N</v>
          </cell>
          <cell r="X35">
            <v>1</v>
          </cell>
          <cell r="Y35">
            <v>23.298999999999999</v>
          </cell>
          <cell r="Z35">
            <v>1.5800000000000002E-2</v>
          </cell>
          <cell r="AA35">
            <v>23.283200000000001</v>
          </cell>
          <cell r="AB35" t="e">
            <v>#N/A</v>
          </cell>
          <cell r="AC35" t="e">
            <v>#N/A</v>
          </cell>
          <cell r="AD35" t="str">
            <v>0122-16</v>
          </cell>
          <cell r="AE35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36">
          <cell r="A36" t="str">
            <v>123-16</v>
          </cell>
          <cell r="B36">
            <v>4044</v>
          </cell>
          <cell r="C36" t="str">
            <v>DE.1.0.7.0</v>
          </cell>
          <cell r="D36" t="str">
            <v>204:684</v>
          </cell>
          <cell r="E36">
            <v>42598.269502314812</v>
          </cell>
          <cell r="F36">
            <v>42598.270497685182</v>
          </cell>
          <cell r="G36">
            <v>1</v>
          </cell>
          <cell r="H36" t="str">
            <v>204:233310</v>
          </cell>
          <cell r="I36">
            <v>42598.299502314818</v>
          </cell>
          <cell r="J36">
            <v>1</v>
          </cell>
          <cell r="K36" t="str">
            <v>4043/4044</v>
          </cell>
          <cell r="L36" t="str">
            <v>DAVIS</v>
          </cell>
          <cell r="M36">
            <v>2.9004629635892343E-2</v>
          </cell>
          <cell r="N36">
            <v>41.766666675684974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https://search-rtdc-monitor-bjffxe2xuh6vdkpspy63sjmuny.us-east-1.es.amazonaws.com/_plugin/kibana/#/discover/Steve-Slow-Train-Analysis-(2080s-and-2083s)?_g=(refreshInterval:(display:Off,section:0,value:0),time:(from:'2016-08-16 05:28:05-0600',mode:absolute,to:'2016-08-16 08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6" t="str">
            <v>N</v>
          </cell>
          <cell r="X36">
            <v>1</v>
          </cell>
          <cell r="Y36">
            <v>6.8400000000000002E-2</v>
          </cell>
          <cell r="Z36">
            <v>23.331</v>
          </cell>
          <cell r="AA36">
            <v>23.262599999999999</v>
          </cell>
          <cell r="AB36" t="e">
            <v>#N/A</v>
          </cell>
          <cell r="AC36" t="e">
            <v>#N/A</v>
          </cell>
          <cell r="AD36" t="str">
            <v>0123-16</v>
          </cell>
          <cell r="AE36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37">
          <cell r="A37" t="str">
            <v>124-16</v>
          </cell>
          <cell r="B37">
            <v>4043</v>
          </cell>
          <cell r="C37" t="str">
            <v>DE.1.0.7.0</v>
          </cell>
          <cell r="D37" t="str">
            <v>204:232996</v>
          </cell>
          <cell r="E37">
            <v>42598.304965277777</v>
          </cell>
          <cell r="F37">
            <v>42598.305717592593</v>
          </cell>
          <cell r="G37">
            <v>1</v>
          </cell>
          <cell r="H37" t="str">
            <v>204:143</v>
          </cell>
          <cell r="I37">
            <v>42598.339641203704</v>
          </cell>
          <cell r="J37">
            <v>1</v>
          </cell>
          <cell r="K37" t="str">
            <v>4043/4044</v>
          </cell>
          <cell r="L37" t="str">
            <v>DAVIS</v>
          </cell>
          <cell r="M37">
            <v>3.3923611110367347E-2</v>
          </cell>
          <cell r="N37">
            <v>48.849999998928979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https://search-rtdc-monitor-bjffxe2xuh6vdkpspy63sjmuny.us-east-1.es.amazonaws.com/_plugin/kibana/#/discover/Steve-Slow-Train-Analysis-(2080s-and-2083s)?_g=(refreshInterval:(display:Off,section:0,value:0),time:(from:'2016-08-16 06:19:09-0600',mode:absolute,to:'2016-08-16 09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7" t="str">
            <v>N</v>
          </cell>
          <cell r="X37">
            <v>1</v>
          </cell>
          <cell r="Y37">
            <v>23.299600000000002</v>
          </cell>
          <cell r="Z37">
            <v>1.43E-2</v>
          </cell>
          <cell r="AA37">
            <v>23.285300000000003</v>
          </cell>
          <cell r="AB37" t="e">
            <v>#N/A</v>
          </cell>
          <cell r="AC37" t="e">
            <v>#N/A</v>
          </cell>
          <cell r="AD37" t="str">
            <v>0124-16</v>
          </cell>
          <cell r="AE37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38">
          <cell r="A38" t="str">
            <v>125-16</v>
          </cell>
          <cell r="B38">
            <v>4011</v>
          </cell>
          <cell r="C38" t="str">
            <v>DE.1.0.7.0</v>
          </cell>
          <cell r="D38" t="str">
            <v>204:462</v>
          </cell>
          <cell r="E38">
            <v>42598.283136574071</v>
          </cell>
          <cell r="F38">
            <v>42598.284062500003</v>
          </cell>
          <cell r="G38">
            <v>1</v>
          </cell>
          <cell r="H38" t="str">
            <v>204:233297</v>
          </cell>
          <cell r="I38">
            <v>42598.313645833332</v>
          </cell>
          <cell r="J38">
            <v>1</v>
          </cell>
          <cell r="K38" t="str">
            <v>4011/4012</v>
          </cell>
          <cell r="L38" t="str">
            <v>SWANSON</v>
          </cell>
          <cell r="M38">
            <v>2.958333332935581E-2</v>
          </cell>
          <cell r="N38">
            <v>42.599999994272366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https://search-rtdc-monitor-bjffxe2xuh6vdkpspy63sjmuny.us-east-1.es.amazonaws.com/_plugin/kibana/#/discover/Steve-Slow-Train-Analysis-(2080s-and-2083s)?_g=(refreshInterval:(display:Off,section:0,value:0),time:(from:'2016-08-16 05:47:43-0600',mode:absolute,to:'2016-08-16 08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38" t="str">
            <v>N</v>
          </cell>
          <cell r="X38">
            <v>1</v>
          </cell>
          <cell r="Y38">
            <v>4.6199999999999998E-2</v>
          </cell>
          <cell r="Z38">
            <v>23.329699999999999</v>
          </cell>
          <cell r="AA38">
            <v>23.2835</v>
          </cell>
          <cell r="AB38" t="e">
            <v>#N/A</v>
          </cell>
          <cell r="AC38" t="e">
            <v>#N/A</v>
          </cell>
          <cell r="AD38" t="str">
            <v>0125-16</v>
          </cell>
          <cell r="AE38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39">
          <cell r="A39" t="str">
            <v>126-16</v>
          </cell>
          <cell r="B39">
            <v>4012</v>
          </cell>
          <cell r="C39" t="str">
            <v>DE.1.0.7.0</v>
          </cell>
          <cell r="D39" t="str">
            <v>204:232978</v>
          </cell>
          <cell r="E39">
            <v>42598.319490740738</v>
          </cell>
          <cell r="F39">
            <v>42598.320277777777</v>
          </cell>
          <cell r="G39">
            <v>1</v>
          </cell>
          <cell r="H39" t="str">
            <v>204:1182</v>
          </cell>
          <cell r="I39">
            <v>42598.350451388891</v>
          </cell>
          <cell r="J39">
            <v>1</v>
          </cell>
          <cell r="K39" t="str">
            <v>4011/4012</v>
          </cell>
          <cell r="L39" t="str">
            <v>SWANSON</v>
          </cell>
          <cell r="M39">
            <v>3.0173611114150845E-2</v>
          </cell>
          <cell r="N39">
            <v>43.450000004377216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https://search-rtdc-monitor-bjffxe2xuh6vdkpspy63sjmuny.us-east-1.es.amazonaws.com/_plugin/kibana/#/discover/Steve-Slow-Train-Analysis-(2080s-and-2083s)?_g=(refreshInterval:(display:Off,section:0,value:0),time:(from:'2016-08-16 06:40:04-0600',mode:absolute,to:'2016-08-16 09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39" t="str">
            <v>N</v>
          </cell>
          <cell r="X39">
            <v>1</v>
          </cell>
          <cell r="Y39">
            <v>23.297799999999999</v>
          </cell>
          <cell r="Z39">
            <v>0.1182</v>
          </cell>
          <cell r="AA39">
            <v>23.179599999999997</v>
          </cell>
          <cell r="AB39" t="e">
            <v>#N/A</v>
          </cell>
          <cell r="AC39" t="e">
            <v>#N/A</v>
          </cell>
          <cell r="AD39" t="str">
            <v>0126-16</v>
          </cell>
          <cell r="AE39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40">
          <cell r="A40" t="str">
            <v>127-16</v>
          </cell>
          <cell r="B40">
            <v>4031</v>
          </cell>
          <cell r="C40" t="str">
            <v>DE.1.0.7.0</v>
          </cell>
          <cell r="D40" t="str">
            <v>204:469</v>
          </cell>
          <cell r="E40">
            <v>42598.28769675926</v>
          </cell>
          <cell r="F40">
            <v>42598.288726851853</v>
          </cell>
          <cell r="G40">
            <v>1</v>
          </cell>
          <cell r="H40" t="str">
            <v>204:233300</v>
          </cell>
          <cell r="I40">
            <v>42598.319166666668</v>
          </cell>
          <cell r="J40">
            <v>1</v>
          </cell>
          <cell r="K40" t="str">
            <v>4031/4032</v>
          </cell>
          <cell r="L40" t="str">
            <v>KILLION</v>
          </cell>
          <cell r="M40">
            <v>3.0439814814599231E-2</v>
          </cell>
          <cell r="N40">
            <v>43.833333333022892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https://search-rtdc-monitor-bjffxe2xuh6vdkpspy63sjmuny.us-east-1.es.amazonaws.com/_plugin/kibana/#/discover/Steve-Slow-Train-Analysis-(2080s-and-2083s)?_g=(refreshInterval:(display:Off,section:0,value:0),time:(from:'2016-08-16 05:54:17-0600',mode:absolute,to:'2016-08-16 08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0" t="str">
            <v>N</v>
          </cell>
          <cell r="X40">
            <v>1</v>
          </cell>
          <cell r="Y40">
            <v>4.6899999999999997E-2</v>
          </cell>
          <cell r="Z40">
            <v>23.33</v>
          </cell>
          <cell r="AA40">
            <v>23.283099999999997</v>
          </cell>
          <cell r="AB40" t="e">
            <v>#N/A</v>
          </cell>
          <cell r="AC40" t="e">
            <v>#N/A</v>
          </cell>
          <cell r="AD40" t="str">
            <v>0127-16</v>
          </cell>
          <cell r="AE40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41">
          <cell r="A41" t="str">
            <v>128-16</v>
          </cell>
          <cell r="B41">
            <v>4032</v>
          </cell>
          <cell r="C41" t="str">
            <v>DE.1.0.7.0</v>
          </cell>
          <cell r="D41" t="str">
            <v>204:232985</v>
          </cell>
          <cell r="E41">
            <v>42598.325555555559</v>
          </cell>
          <cell r="F41">
            <v>42598.326493055552</v>
          </cell>
          <cell r="G41">
            <v>1</v>
          </cell>
          <cell r="H41" t="str">
            <v>204:147</v>
          </cell>
          <cell r="I41">
            <v>42598.361539351848</v>
          </cell>
          <cell r="J41">
            <v>1</v>
          </cell>
          <cell r="K41" t="str">
            <v>4031/4032</v>
          </cell>
          <cell r="L41" t="str">
            <v>KILLION</v>
          </cell>
          <cell r="M41">
            <v>3.5046296296059154E-2</v>
          </cell>
          <cell r="N41">
            <v>50.466666666325182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1" t="str">
            <v>N</v>
          </cell>
          <cell r="X41">
            <v>1</v>
          </cell>
          <cell r="Y41">
            <v>23.298500000000001</v>
          </cell>
          <cell r="Z41">
            <v>1.47E-2</v>
          </cell>
          <cell r="AA41">
            <v>23.283799999999999</v>
          </cell>
          <cell r="AB41" t="e">
            <v>#N/A</v>
          </cell>
          <cell r="AC41" t="e">
            <v>#N/A</v>
          </cell>
          <cell r="AD41" t="str">
            <v>0128-16</v>
          </cell>
          <cell r="AE41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42">
          <cell r="A42" t="str">
            <v>129-16</v>
          </cell>
          <cell r="B42">
            <v>4018</v>
          </cell>
          <cell r="C42" t="str">
            <v>DE.1.0.7.0</v>
          </cell>
          <cell r="D42" t="str">
            <v>204:464</v>
          </cell>
          <cell r="E42">
            <v>42598.299074074072</v>
          </cell>
          <cell r="F42">
            <v>42598.300613425927</v>
          </cell>
          <cell r="G42">
            <v>2</v>
          </cell>
          <cell r="H42" t="str">
            <v>204:233305</v>
          </cell>
          <cell r="I42">
            <v>42598.32885416667</v>
          </cell>
          <cell r="J42">
            <v>1</v>
          </cell>
          <cell r="K42" t="str">
            <v>4017/4018</v>
          </cell>
          <cell r="L42" t="str">
            <v>ROCHA</v>
          </cell>
          <cell r="M42">
            <v>2.8240740743058268E-2</v>
          </cell>
          <cell r="N42">
            <v>40.666666670003906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https://search-rtdc-monitor-bjffxe2xuh6vdkpspy63sjmuny.us-east-1.es.amazonaws.com/_plugin/kibana/#/discover/Steve-Slow-Train-Analysis-(2080s-and-2083s)?_g=(refreshInterval:(display:Off,section:0,value:0),time:(from:'2016-08-16 06:10:40-0600',mode:absolute,to:'2016-08-16 08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2" t="str">
            <v>N</v>
          </cell>
          <cell r="X42">
            <v>1</v>
          </cell>
          <cell r="Y42">
            <v>4.6399999999999997E-2</v>
          </cell>
          <cell r="Z42">
            <v>23.330500000000001</v>
          </cell>
          <cell r="AA42">
            <v>23.284100000000002</v>
          </cell>
          <cell r="AB42" t="e">
            <v>#N/A</v>
          </cell>
          <cell r="AC42" t="e">
            <v>#N/A</v>
          </cell>
          <cell r="AD42" t="str">
            <v>0129-16</v>
          </cell>
          <cell r="AE42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43">
          <cell r="A43" t="str">
            <v>130-16</v>
          </cell>
          <cell r="B43">
            <v>4017</v>
          </cell>
          <cell r="C43" t="str">
            <v>DE.1.0.7.0</v>
          </cell>
          <cell r="D43" t="str">
            <v>204:232973</v>
          </cell>
          <cell r="E43">
            <v>42598.341550925928</v>
          </cell>
          <cell r="F43">
            <v>42598.342442129629</v>
          </cell>
          <cell r="G43">
            <v>1</v>
          </cell>
          <cell r="H43" t="str">
            <v>204:147</v>
          </cell>
          <cell r="I43">
            <v>42598.379837962966</v>
          </cell>
          <cell r="J43">
            <v>1</v>
          </cell>
          <cell r="K43" t="str">
            <v>4017/4018</v>
          </cell>
          <cell r="L43" t="str">
            <v>ROCHA</v>
          </cell>
          <cell r="M43">
            <v>3.7395833336631767E-2</v>
          </cell>
          <cell r="N43">
            <v>53.850000004749745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3" t="str">
            <v>N</v>
          </cell>
          <cell r="X43">
            <v>1</v>
          </cell>
          <cell r="Y43">
            <v>23.2973</v>
          </cell>
          <cell r="Z43">
            <v>1.47E-2</v>
          </cell>
          <cell r="AA43">
            <v>23.282599999999999</v>
          </cell>
          <cell r="AB43" t="e">
            <v>#N/A</v>
          </cell>
          <cell r="AC43" t="e">
            <v>#N/A</v>
          </cell>
          <cell r="AD43" t="str">
            <v>0130-16</v>
          </cell>
          <cell r="AE43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44">
          <cell r="A44" t="str">
            <v>131-16</v>
          </cell>
          <cell r="B44">
            <v>4038</v>
          </cell>
          <cell r="C44" t="str">
            <v>DE.1.0.7.0</v>
          </cell>
          <cell r="D44" t="str">
            <v>204:453</v>
          </cell>
          <cell r="E44">
            <v>42598.310254629629</v>
          </cell>
          <cell r="F44">
            <v>42598.311307870368</v>
          </cell>
          <cell r="G44">
            <v>1</v>
          </cell>
          <cell r="H44" t="str">
            <v>204:233281</v>
          </cell>
          <cell r="I44">
            <v>42598.340219907404</v>
          </cell>
          <cell r="J44">
            <v>1</v>
          </cell>
          <cell r="K44" t="str">
            <v>4037/4038</v>
          </cell>
          <cell r="L44" t="str">
            <v>ACKERMAN</v>
          </cell>
          <cell r="M44">
            <v>2.8912037036207039E-2</v>
          </cell>
          <cell r="N44">
            <v>41.633333332138136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https://search-rtdc-monitor-bjffxe2xuh6vdkpspy63sjmuny.us-east-1.es.amazonaws.com/_plugin/kibana/#/discover/Steve-Slow-Train-Analysis-(2080s-and-2083s)?_g=(refreshInterval:(display:Off,section:0,value:0),time:(from:'2016-08-16 06:26:46-0600',mode:absolute,to:'2016-08-16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23.328099999999999</v>
          </cell>
          <cell r="AA44">
            <v>23.282799999999998</v>
          </cell>
          <cell r="AB44" t="e">
            <v>#N/A</v>
          </cell>
          <cell r="AC44" t="e">
            <v>#N/A</v>
          </cell>
          <cell r="AD44" t="str">
            <v>0131-16</v>
          </cell>
          <cell r="AE44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45">
          <cell r="A45" t="str">
            <v>132-16</v>
          </cell>
          <cell r="B45">
            <v>4037</v>
          </cell>
          <cell r="C45" t="str">
            <v>DE.1.0.7.0</v>
          </cell>
          <cell r="D45" t="str">
            <v>204:232964</v>
          </cell>
          <cell r="E45">
            <v>42598.345856481479</v>
          </cell>
          <cell r="F45">
            <v>42598.347129629627</v>
          </cell>
          <cell r="G45">
            <v>1</v>
          </cell>
          <cell r="H45" t="str">
            <v>204:143</v>
          </cell>
          <cell r="I45">
            <v>42598.391134259262</v>
          </cell>
          <cell r="J45">
            <v>1</v>
          </cell>
          <cell r="K45" t="str">
            <v>4037/4038</v>
          </cell>
          <cell r="L45" t="str">
            <v>ACKERMAN</v>
          </cell>
          <cell r="M45">
            <v>4.4004629635310266E-2</v>
          </cell>
          <cell r="N45">
            <v>63.366666674846783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https://search-rtdc-monitor-bjffxe2xuh6vdkpspy63sjmuny.us-east-1.es.amazonaws.com/_plugin/kibana/#/discover/Steve-Slow-Train-Analysis-(2080s-and-2083s)?_g=(refreshInterval:(display:Off,section:0,value:0),time:(from:'2016-08-16 07:18:02-0600',mode:absolute,to:'2016-08-16 10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5" t="str">
            <v>N</v>
          </cell>
          <cell r="X45">
            <v>1</v>
          </cell>
          <cell r="Y45">
            <v>23.296399999999998</v>
          </cell>
          <cell r="Z45">
            <v>1.43E-2</v>
          </cell>
          <cell r="AA45">
            <v>23.2821</v>
          </cell>
          <cell r="AB45" t="e">
            <v>#N/A</v>
          </cell>
          <cell r="AC45" t="e">
            <v>#N/A</v>
          </cell>
          <cell r="AD45" t="str">
            <v>0132-16</v>
          </cell>
          <cell r="AE45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46">
          <cell r="A46" t="str">
            <v>133-16</v>
          </cell>
          <cell r="B46">
            <v>4029</v>
          </cell>
          <cell r="C46" t="str">
            <v>DE.1.0.7.0</v>
          </cell>
          <cell r="D46" t="str">
            <v>204:455</v>
          </cell>
          <cell r="E46">
            <v>42598.324236111112</v>
          </cell>
          <cell r="F46">
            <v>42598.325810185182</v>
          </cell>
          <cell r="G46">
            <v>2</v>
          </cell>
          <cell r="H46" t="str">
            <v>204:233324</v>
          </cell>
          <cell r="I46">
            <v>42598.353576388887</v>
          </cell>
          <cell r="J46">
            <v>1</v>
          </cell>
          <cell r="K46" t="str">
            <v>4029/4030</v>
          </cell>
          <cell r="L46" t="str">
            <v>BRANNON</v>
          </cell>
          <cell r="M46">
            <v>2.7766203704231884E-2</v>
          </cell>
          <cell r="N46">
            <v>39.983333334093913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https://search-rtdc-monitor-bjffxe2xuh6vdkpspy63sjmuny.us-east-1.es.amazonaws.com/_plugin/kibana/#/discover/Steve-Slow-Train-Analysis-(2080s-and-2083s)?_g=(refreshInterval:(display:Off,section:0,value:0),time:(from:'2016-08-16 06:46:54-0600',mode:absolute,to:'2016-08-16 09:29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46" t="str">
            <v>N</v>
          </cell>
          <cell r="X46">
            <v>1</v>
          </cell>
          <cell r="Y46">
            <v>4.5499999999999999E-2</v>
          </cell>
          <cell r="Z46">
            <v>23.3324</v>
          </cell>
          <cell r="AA46">
            <v>23.286899999999999</v>
          </cell>
          <cell r="AB46">
            <v>33137</v>
          </cell>
          <cell r="AC46" t="str">
            <v>GRADE CROSSING</v>
          </cell>
          <cell r="AD46" t="str">
            <v>0133-16</v>
          </cell>
          <cell r="AE46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47">
          <cell r="A47" t="str">
            <v>134-16</v>
          </cell>
          <cell r="B47">
            <v>4030</v>
          </cell>
          <cell r="C47" t="str">
            <v>DE.1.0.7.0</v>
          </cell>
          <cell r="D47" t="str">
            <v>204:232990</v>
          </cell>
          <cell r="E47">
            <v>42598.363368055558</v>
          </cell>
          <cell r="F47">
            <v>42598.36451388889</v>
          </cell>
          <cell r="G47">
            <v>1</v>
          </cell>
          <cell r="H47" t="str">
            <v>204:165</v>
          </cell>
          <cell r="I47">
            <v>42598.403391203705</v>
          </cell>
          <cell r="J47">
            <v>1</v>
          </cell>
          <cell r="K47" t="str">
            <v>4029/4030</v>
          </cell>
          <cell r="L47" t="str">
            <v>CLARK</v>
          </cell>
          <cell r="M47">
            <v>3.8877314815181307E-2</v>
          </cell>
          <cell r="N47">
            <v>55.983333333861083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https://search-rtdc-monitor-bjffxe2xuh6vdkpspy63sjmuny.us-east-1.es.amazonaws.com/_plugin/kibana/#/discover/Steve-Slow-Train-Analysis-(2080s-and-2083s)?_g=(refreshInterval:(display:Off,section:0,value:0),time:(from:'2016-08-16 07:43:15-0600',mode:absolute,to:'2016-08-16 10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7" t="str">
            <v>N</v>
          </cell>
          <cell r="X47">
            <v>1</v>
          </cell>
          <cell r="Y47">
            <v>23.298999999999999</v>
          </cell>
          <cell r="Z47">
            <v>1.6500000000000001E-2</v>
          </cell>
          <cell r="AA47">
            <v>23.282499999999999</v>
          </cell>
          <cell r="AB47" t="e">
            <v>#N/A</v>
          </cell>
          <cell r="AC47" t="e">
            <v>#N/A</v>
          </cell>
          <cell r="AD47" t="str">
            <v>0134-16</v>
          </cell>
          <cell r="AE47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48">
          <cell r="A48" t="str">
            <v>135-16</v>
          </cell>
          <cell r="B48">
            <v>4009</v>
          </cell>
          <cell r="C48" t="str">
            <v>DE.1.0.7.0</v>
          </cell>
          <cell r="D48" t="str">
            <v>204:484</v>
          </cell>
          <cell r="E48">
            <v>42598.328993055555</v>
          </cell>
          <cell r="F48">
            <v>42598.329895833333</v>
          </cell>
          <cell r="G48">
            <v>1</v>
          </cell>
          <cell r="H48" t="str">
            <v>204:204409</v>
          </cell>
          <cell r="I48">
            <v>42598.368773148148</v>
          </cell>
          <cell r="J48">
            <v>1</v>
          </cell>
          <cell r="K48" t="str">
            <v>4009/4010</v>
          </cell>
          <cell r="L48" t="str">
            <v>SPECTOR</v>
          </cell>
          <cell r="M48">
            <v>3.8877314815181307E-2</v>
          </cell>
          <cell r="P48">
            <v>55.983333333861083</v>
          </cell>
          <cell r="R48" t="str">
            <v>Bad card at 78th: PSS to pass Pena 2N, every signal was STOP afterward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https://search-rtdc-monitor-bjffxe2xuh6vdkpspy63sjmuny.us-east-1.es.amazonaws.com/_plugin/kibana/#/discover/Steve-Slow-Train-Analysis-(2080s-and-2083s)?_g=(refreshInterval:(display:Off,section:0,value:0),time:(from:'2016-08-16 06:53:45-0600',mode:absolute,to:'2016-08-16 09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8" t="str">
            <v>Y</v>
          </cell>
          <cell r="X48">
            <v>1</v>
          </cell>
          <cell r="Y48">
            <v>4.8399999999999999E-2</v>
          </cell>
          <cell r="Z48">
            <v>20.440899999999999</v>
          </cell>
          <cell r="AA48">
            <v>20.392499999999998</v>
          </cell>
          <cell r="AB48" t="e">
            <v>#N/A</v>
          </cell>
          <cell r="AC48" t="e">
            <v>#N/A</v>
          </cell>
          <cell r="AD48" t="str">
            <v>0135-16</v>
          </cell>
          <cell r="AE48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49">
          <cell r="A49" t="str">
            <v>136-16</v>
          </cell>
          <cell r="B49">
            <v>4010</v>
          </cell>
          <cell r="C49" t="str">
            <v>DE.1.0.7.0</v>
          </cell>
          <cell r="D49" t="str">
            <v>204:127860</v>
          </cell>
          <cell r="E49">
            <v>42598.397280092591</v>
          </cell>
          <cell r="F49">
            <v>42598.397962962961</v>
          </cell>
          <cell r="G49">
            <v>0</v>
          </cell>
          <cell r="H49" t="str">
            <v>204:147</v>
          </cell>
          <cell r="I49">
            <v>42598.415833333333</v>
          </cell>
          <cell r="J49">
            <v>1</v>
          </cell>
          <cell r="K49" t="str">
            <v>4009/4010</v>
          </cell>
          <cell r="L49" t="str">
            <v>SPECTOR</v>
          </cell>
          <cell r="M49">
            <v>1.7870370371383615E-2</v>
          </cell>
          <cell r="P49">
            <v>30.083333335351199</v>
          </cell>
          <cell r="R49" t="str">
            <v>Bad card at 78th: 78th 4S stuck at STOP, cut out and re-init at 40th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https://search-rtdc-monitor-bjffxe2xuh6vdkpspy63sjmuny.us-east-1.es.amazonaws.com/_plugin/kibana/#/discover/Steve-Slow-Train-Analysis-(2080s-and-2083s)?_g=(refreshInterval:(display:Off,section:0,value:0),time:(from:'2016-08-16 08:32:05-0600',mode:absolute,to:'2016-08-16 10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9" t="str">
            <v>Y</v>
          </cell>
          <cell r="X49">
            <v>1</v>
          </cell>
          <cell r="Y49">
            <v>12.786</v>
          </cell>
          <cell r="Z49">
            <v>1.47E-2</v>
          </cell>
          <cell r="AA49">
            <v>12.7713</v>
          </cell>
          <cell r="AB49">
            <v>10694</v>
          </cell>
          <cell r="AC49" t="str">
            <v>PERMANENT SPEED RESTRICTION</v>
          </cell>
          <cell r="AD49" t="str">
            <v>0136-16</v>
          </cell>
          <cell r="AE49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50">
          <cell r="A50" t="str">
            <v>136-16</v>
          </cell>
          <cell r="B50">
            <v>4010</v>
          </cell>
          <cell r="C50" t="str">
            <v>DE.1.0.7.0</v>
          </cell>
          <cell r="D50" t="str">
            <v>204:233023</v>
          </cell>
          <cell r="E50">
            <v>42598.376793981479</v>
          </cell>
          <cell r="F50">
            <v>42598.377743055556</v>
          </cell>
          <cell r="G50">
            <v>1</v>
          </cell>
          <cell r="H50" t="str">
            <v>204:222886</v>
          </cell>
          <cell r="I50">
            <v>42598.38076388889</v>
          </cell>
          <cell r="J50">
            <v>1</v>
          </cell>
          <cell r="K50" t="str">
            <v>4009/4010</v>
          </cell>
          <cell r="L50" t="str">
            <v>SPECTOR</v>
          </cell>
          <cell r="M50">
            <v>3.0208333337213844E-3</v>
          </cell>
          <cell r="T50" t="str">
            <v>Southbound</v>
          </cell>
          <cell r="U50">
            <v>0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https://search-rtdc-monitor-bjffxe2xuh6vdkpspy63sjmuny.us-east-1.es.amazonaws.com/_plugin/kibana/#/discover/Steve-Slow-Train-Analysis-(2080s-and-2083s)?_g=(refreshInterval:(display:Off,section:0,value:0),time:(from:'2016-08-16 08:02:35-0600',mode:absolute,to:'2016-08-16 10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Y</v>
          </cell>
          <cell r="X50">
            <v>0</v>
          </cell>
          <cell r="Y50">
            <v>23.302299999999999</v>
          </cell>
          <cell r="Z50">
            <v>22.288599999999999</v>
          </cell>
          <cell r="AA50">
            <v>1.0137</v>
          </cell>
          <cell r="AB50">
            <v>10694</v>
          </cell>
          <cell r="AC50" t="str">
            <v>PERMANENT SPEED RESTRICTION</v>
          </cell>
          <cell r="AD50" t="str">
            <v>0136-16</v>
          </cell>
          <cell r="AE5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51">
          <cell r="A51" t="str">
            <v>137-16</v>
          </cell>
          <cell r="B51">
            <v>4044</v>
          </cell>
          <cell r="C51" t="str">
            <v>DE.1.0.7.0</v>
          </cell>
          <cell r="D51" t="str">
            <v>204:446</v>
          </cell>
          <cell r="E51">
            <v>42598.341099537036</v>
          </cell>
          <cell r="F51">
            <v>42598.34202546296</v>
          </cell>
          <cell r="G51">
            <v>1</v>
          </cell>
          <cell r="H51" t="str">
            <v>204:189460</v>
          </cell>
          <cell r="I51">
            <v>42598.373113425929</v>
          </cell>
          <cell r="J51">
            <v>1</v>
          </cell>
          <cell r="K51" t="str">
            <v>4043/4044</v>
          </cell>
          <cell r="L51" t="str">
            <v>DAVIS</v>
          </cell>
          <cell r="M51">
            <v>3.1087962968740612E-2</v>
          </cell>
          <cell r="P51">
            <v>44.766666674986482</v>
          </cell>
          <cell r="R51" t="str">
            <v>Bad card at 78th, cut out at Pena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https://search-rtdc-monitor-bjffxe2xuh6vdkpspy63sjmuny.us-east-1.es.amazonaws.com/_plugin/kibana/#/discover/Steve-Slow-Train-Analysis-(2080s-and-2083s)?_g=(refreshInterval:(display:Off,section:0,value:0),time:(from:'2016-08-16 07:11:11-0600',mode:absolute,to:'2016-08-16 09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1" t="str">
            <v>Y</v>
          </cell>
          <cell r="X51">
            <v>1</v>
          </cell>
          <cell r="Y51">
            <v>4.4600000000000001E-2</v>
          </cell>
          <cell r="Z51">
            <v>18.946000000000002</v>
          </cell>
          <cell r="AA51">
            <v>18.901400000000002</v>
          </cell>
          <cell r="AB51" t="e">
            <v>#N/A</v>
          </cell>
          <cell r="AC51" t="e">
            <v>#N/A</v>
          </cell>
          <cell r="AD51" t="str">
            <v>0137-16</v>
          </cell>
          <cell r="AE5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52">
          <cell r="A52" t="str">
            <v>138-16</v>
          </cell>
          <cell r="B52">
            <v>4043</v>
          </cell>
          <cell r="C52" t="str">
            <v>DE.1.0.7.0</v>
          </cell>
          <cell r="D52" t="str">
            <v>204:232994</v>
          </cell>
          <cell r="E52">
            <v>42598.3828125</v>
          </cell>
          <cell r="F52">
            <v>42598.383576388886</v>
          </cell>
          <cell r="G52">
            <v>1</v>
          </cell>
          <cell r="H52" t="str">
            <v>204:220280</v>
          </cell>
          <cell r="I52">
            <v>42598.392060185186</v>
          </cell>
          <cell r="J52">
            <v>1</v>
          </cell>
          <cell r="K52" t="str">
            <v>4043/4044</v>
          </cell>
          <cell r="L52" t="str">
            <v>DAVIS</v>
          </cell>
          <cell r="M52">
            <v>8.4837963004247285E-3</v>
          </cell>
          <cell r="P52">
            <v>12.216666672611609</v>
          </cell>
          <cell r="R52" t="str">
            <v>Bad card at 78th, cut out at 78th</v>
          </cell>
          <cell r="S52">
            <v>0</v>
          </cell>
          <cell r="T52" t="str">
            <v>Southbound</v>
          </cell>
          <cell r="U52">
            <v>0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https://search-rtdc-monitor-bjffxe2xuh6vdkpspy63sjmuny.us-east-1.es.amazonaws.com/_plugin/kibana/#/discover/Steve-Slow-Train-Analysis-(2080s-and-2083s)?_g=(refreshInterval:(display:Off,section:0,value:0),time:(from:'2016-08-16 08:11:15-0600',mode:absolute,to:'2016-08-16 10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2" t="str">
            <v>Y</v>
          </cell>
          <cell r="X52">
            <v>1</v>
          </cell>
          <cell r="Y52">
            <v>23.299399999999999</v>
          </cell>
          <cell r="Z52">
            <v>22.027999999999999</v>
          </cell>
          <cell r="AA52">
            <v>1.2713999999999999</v>
          </cell>
          <cell r="AB52" t="e">
            <v>#N/A</v>
          </cell>
          <cell r="AC52" t="e">
            <v>#N/A</v>
          </cell>
          <cell r="AD52" t="str">
            <v>0138-16</v>
          </cell>
          <cell r="AE5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53">
          <cell r="A53" t="str">
            <v>139-16</v>
          </cell>
          <cell r="B53">
            <v>4003</v>
          </cell>
          <cell r="C53" t="str">
            <v>DE.1.0.7.0</v>
          </cell>
          <cell r="D53" t="str">
            <v>204:460</v>
          </cell>
          <cell r="E53">
            <v>42598.348796296297</v>
          </cell>
          <cell r="F53">
            <v>42598.351099537038</v>
          </cell>
          <cell r="G53">
            <v>3</v>
          </cell>
          <cell r="H53" t="str">
            <v>204:233295</v>
          </cell>
          <cell r="I53">
            <v>42598.387164351851</v>
          </cell>
          <cell r="J53">
            <v>1</v>
          </cell>
          <cell r="K53" t="str">
            <v>4003/4004</v>
          </cell>
          <cell r="L53" t="str">
            <v>SWANSON</v>
          </cell>
          <cell r="M53">
            <v>3.6064814812561963E-2</v>
          </cell>
          <cell r="N53">
            <v>51.933333330089226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https://search-rtdc-monitor-bjffxe2xuh6vdkpspy63sjmuny.us-east-1.es.amazonaws.com/_plugin/kibana/#/discover/Steve-Slow-Train-Analysis-(2080s-and-2083s)?_g=(refreshInterval:(display:Off,section:0,value:0),time:(from:'2016-08-16 07:22:16-0600',mode:absolute,to:'2016-08-16 10:17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53" t="str">
            <v>N</v>
          </cell>
          <cell r="X53">
            <v>1</v>
          </cell>
          <cell r="Y53">
            <v>4.5999999999999999E-2</v>
          </cell>
          <cell r="Z53">
            <v>23.329499999999999</v>
          </cell>
          <cell r="AA53">
            <v>23.2835</v>
          </cell>
          <cell r="AB53" t="e">
            <v>#N/A</v>
          </cell>
          <cell r="AC53" t="e">
            <v>#N/A</v>
          </cell>
          <cell r="AD53" t="str">
            <v>0139-16</v>
          </cell>
          <cell r="AE53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54">
          <cell r="A54" t="str">
            <v>140-16</v>
          </cell>
          <cell r="B54">
            <v>4004</v>
          </cell>
          <cell r="C54" t="str">
            <v>DE.1.0.7.0</v>
          </cell>
          <cell r="D54" t="str">
            <v>204:127849</v>
          </cell>
          <cell r="E54">
            <v>42598.40892361111</v>
          </cell>
          <cell r="F54">
            <v>42598.409583333334</v>
          </cell>
          <cell r="G54">
            <v>0</v>
          </cell>
          <cell r="H54" t="str">
            <v>204:152</v>
          </cell>
          <cell r="I54">
            <v>42598.427858796298</v>
          </cell>
          <cell r="J54">
            <v>1</v>
          </cell>
          <cell r="K54" t="str">
            <v>4003/4004</v>
          </cell>
          <cell r="L54" t="str">
            <v>SWANSON</v>
          </cell>
          <cell r="M54">
            <v>1.8275462964083999E-2</v>
          </cell>
          <cell r="P54">
            <v>41.433333337772638</v>
          </cell>
          <cell r="R54" t="str">
            <v>Bad card at 78th, initialized at 40th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https://search-rtdc-monitor-bjffxe2xuh6vdkpspy63sjmuny.us-east-1.es.amazonaws.com/_plugin/kibana/#/discover/Steve-Slow-Train-Analysis-(2080s-and-2083s)?_g=(refreshInterval:(display:Off,section:0,value:0),time:(from:'2016-08-16 08:48:51-0600',mode:absolute,to:'2016-08-16 11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4" t="str">
            <v>Y</v>
          </cell>
          <cell r="X54">
            <v>1</v>
          </cell>
          <cell r="Y54">
            <v>12.7849</v>
          </cell>
          <cell r="Z54">
            <v>1.52E-2</v>
          </cell>
          <cell r="AA54">
            <v>12.7697</v>
          </cell>
          <cell r="AB54" t="e">
            <v>#N/A</v>
          </cell>
          <cell r="AC54" t="e">
            <v>#N/A</v>
          </cell>
          <cell r="AD54" t="str">
            <v>0140-16</v>
          </cell>
          <cell r="AE54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55">
          <cell r="A55" t="str">
            <v>140-16</v>
          </cell>
          <cell r="B55">
            <v>4004</v>
          </cell>
          <cell r="C55" t="str">
            <v>DE.1.0.7.0</v>
          </cell>
          <cell r="D55" t="str">
            <v>204:232996</v>
          </cell>
          <cell r="E55">
            <v>42598.389432870368</v>
          </cell>
          <cell r="F55">
            <v>42598.390497685185</v>
          </cell>
          <cell r="G55">
            <v>1</v>
          </cell>
          <cell r="H55" t="str">
            <v>204:205461</v>
          </cell>
          <cell r="I55">
            <v>42598.400995370372</v>
          </cell>
          <cell r="J55">
            <v>1</v>
          </cell>
          <cell r="K55" t="str">
            <v>4003/4004</v>
          </cell>
          <cell r="L55" t="str">
            <v>SWANSON</v>
          </cell>
          <cell r="M55">
            <v>1.0497685187146999E-2</v>
          </cell>
          <cell r="T55" t="str">
            <v>Southbound</v>
          </cell>
          <cell r="U55">
            <v>0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https://search-rtdc-monitor-bjffxe2xuh6vdkpspy63sjmuny.us-east-1.es.amazonaws.com/_plugin/kibana/#/discover/Steve-Slow-Train-Analysis-(2080s-and-2083s)?_g=(refreshInterval:(display:Off,section:0,value:0),time:(from:'2016-08-16 08:20:47-0600',mode:absolute,to:'2016-08-16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5" t="str">
            <v>Y</v>
          </cell>
          <cell r="X55">
            <v>0</v>
          </cell>
          <cell r="Y55">
            <v>23.299600000000002</v>
          </cell>
          <cell r="Z55">
            <v>20.546099999999999</v>
          </cell>
          <cell r="AA55">
            <v>2.7535000000000025</v>
          </cell>
          <cell r="AB55" t="e">
            <v>#N/A</v>
          </cell>
          <cell r="AC55" t="e">
            <v>#N/A</v>
          </cell>
          <cell r="AD55" t="str">
            <v>0140-16</v>
          </cell>
          <cell r="AE55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56">
          <cell r="A56" t="str">
            <v>141-16</v>
          </cell>
          <cell r="B56">
            <v>4031</v>
          </cell>
          <cell r="C56" t="str">
            <v>DE.1.0.7.0</v>
          </cell>
          <cell r="D56" t="str">
            <v>204:457</v>
          </cell>
          <cell r="E56">
            <v>42598.363530092596</v>
          </cell>
          <cell r="F56">
            <v>42598.364502314813</v>
          </cell>
          <cell r="G56">
            <v>1</v>
          </cell>
          <cell r="H56" t="str">
            <v>204:233276</v>
          </cell>
          <cell r="I56">
            <v>42598.394606481481</v>
          </cell>
          <cell r="J56">
            <v>1</v>
          </cell>
          <cell r="K56" t="str">
            <v>4031/4032</v>
          </cell>
          <cell r="L56" t="str">
            <v>KILLION</v>
          </cell>
          <cell r="M56">
            <v>3.0104166668024845E-2</v>
          </cell>
          <cell r="N56">
            <v>43.350000001955777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https://search-rtdc-monitor-bjffxe2xuh6vdkpspy63sjmuny.us-east-1.es.amazonaws.com/_plugin/kibana/#/discover/Steve-Slow-Train-Analysis-(2080s-and-2083s)?_g=(refreshInterval:(display:Off,section:0,value:0),time:(from:'2016-08-16 07:43:29-0600',mode:absolute,to:'2016-08-16 10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6" t="str">
            <v>N</v>
          </cell>
          <cell r="X56">
            <v>1</v>
          </cell>
          <cell r="Y56">
            <v>4.5699999999999998E-2</v>
          </cell>
          <cell r="Z56">
            <v>23.3276</v>
          </cell>
          <cell r="AA56">
            <v>23.2819</v>
          </cell>
          <cell r="AB56" t="e">
            <v>#N/A</v>
          </cell>
          <cell r="AC56" t="e">
            <v>#N/A</v>
          </cell>
          <cell r="AD56" t="str">
            <v>0141-16</v>
          </cell>
          <cell r="AE5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57">
          <cell r="A57" t="str">
            <v>142-16</v>
          </cell>
          <cell r="B57">
            <v>4032</v>
          </cell>
          <cell r="C57" t="str">
            <v>DE.1.0.7.0</v>
          </cell>
          <cell r="D57" t="str">
            <v>204:232971</v>
          </cell>
          <cell r="E57">
            <v>42598.400694444441</v>
          </cell>
          <cell r="F57">
            <v>42598.402118055557</v>
          </cell>
          <cell r="G57">
            <v>2</v>
          </cell>
          <cell r="H57" t="str">
            <v>204:1184</v>
          </cell>
          <cell r="I57">
            <v>42598.435243055559</v>
          </cell>
          <cell r="J57">
            <v>1</v>
          </cell>
          <cell r="K57" t="str">
            <v>4031/4032</v>
          </cell>
          <cell r="L57" t="str">
            <v>KILLION</v>
          </cell>
          <cell r="M57">
            <v>3.312500000174623E-2</v>
          </cell>
          <cell r="N57">
            <v>47.700000002514571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https://search-rtdc-monitor-bjffxe2xuh6vdkpspy63sjmuny.us-east-1.es.amazonaws.com/_plugin/kibana/#/discover/Steve-Slow-Train-Analysis-(2080s-and-2083s)?_g=(refreshInterval:(display:Off,section:0,value:0),time:(from:'2016-08-16 08:37:00-0600',mode:absolute,to:'2016-08-16 11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7" t="str">
            <v>N</v>
          </cell>
          <cell r="X57">
            <v>1</v>
          </cell>
          <cell r="Y57">
            <v>23.2971</v>
          </cell>
          <cell r="Z57">
            <v>0.11840000000000001</v>
          </cell>
          <cell r="AA57">
            <v>23.178699999999999</v>
          </cell>
          <cell r="AB57" t="e">
            <v>#N/A</v>
          </cell>
          <cell r="AC57" t="e">
            <v>#N/A</v>
          </cell>
          <cell r="AD57" t="str">
            <v>0142-16</v>
          </cell>
          <cell r="AE5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58">
          <cell r="A58" t="str">
            <v>143-16</v>
          </cell>
          <cell r="B58">
            <v>4011</v>
          </cell>
          <cell r="C58" t="str">
            <v>DE.1.0.7.0</v>
          </cell>
          <cell r="D58" t="str">
            <v>204:1500</v>
          </cell>
          <cell r="E58">
            <v>42598.376238425924</v>
          </cell>
          <cell r="F58">
            <v>42598.376967592594</v>
          </cell>
          <cell r="G58">
            <v>1</v>
          </cell>
          <cell r="H58" t="str">
            <v>204:204079</v>
          </cell>
          <cell r="I58">
            <v>42598.400057870371</v>
          </cell>
          <cell r="J58">
            <v>1</v>
          </cell>
          <cell r="K58" t="str">
            <v>4011/4012</v>
          </cell>
          <cell r="L58" t="str">
            <v>GRASTON</v>
          </cell>
          <cell r="M58">
            <v>2.3090277776645962E-2</v>
          </cell>
          <cell r="P58">
            <v>33.249999998370185</v>
          </cell>
          <cell r="R58" t="str">
            <v>Bad card at 78th, cut out at ML2044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https://search-rtdc-monitor-bjffxe2xuh6vdkpspy63sjmuny.us-east-1.es.amazonaws.com/_plugin/kibana/#/discover/Steve-Slow-Train-Analysis-(2080s-and-2083s)?_g=(refreshInterval:(display:Off,section:0,value:0),time:(from:'2016-08-16 08:01:47-0600',mode:absolute,to:'2016-08-16 10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8" t="str">
            <v>Y</v>
          </cell>
          <cell r="X58">
            <v>1</v>
          </cell>
          <cell r="Y58">
            <v>0.15</v>
          </cell>
          <cell r="Z58">
            <v>20.407900000000001</v>
          </cell>
          <cell r="AA58">
            <v>20.257900000000003</v>
          </cell>
          <cell r="AB58" t="e">
            <v>#N/A</v>
          </cell>
          <cell r="AC58" t="e">
            <v>#N/A</v>
          </cell>
          <cell r="AD58" t="str">
            <v>0143-16</v>
          </cell>
          <cell r="AE58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59">
          <cell r="A59" t="str">
            <v>144-16</v>
          </cell>
          <cell r="B59">
            <v>4012</v>
          </cell>
          <cell r="C59" t="str">
            <v>DE.1.0.7.0</v>
          </cell>
          <cell r="D59" t="str">
            <v>204:192124</v>
          </cell>
          <cell r="E59">
            <v>42598.420069444444</v>
          </cell>
          <cell r="F59">
            <v>42598.420856481483</v>
          </cell>
          <cell r="G59">
            <v>1</v>
          </cell>
          <cell r="H59" t="str">
            <v>204:163</v>
          </cell>
          <cell r="I59">
            <v>42598.445069444446</v>
          </cell>
          <cell r="J59">
            <v>1</v>
          </cell>
          <cell r="K59" t="str">
            <v>4011/4012</v>
          </cell>
          <cell r="L59" t="str">
            <v>GRASTON</v>
          </cell>
          <cell r="M59">
            <v>2.421296296233777E-2</v>
          </cell>
          <cell r="P59">
            <v>34.866666665766388</v>
          </cell>
          <cell r="R59" t="str">
            <v>Bad card at 78th, initialized at Pena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https://search-rtdc-monitor-bjffxe2xuh6vdkpspy63sjmuny.us-east-1.es.amazonaws.com/_plugin/kibana/#/discover/Steve-Slow-Train-Analysis-(2080s-and-2083s)?_g=(refreshInterval:(display:Off,section:0,value:0),time:(from:'2016-08-16 09:04:54-0600',mode:absolute,to:'2016-08-16 11:40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9" t="str">
            <v>Y</v>
          </cell>
          <cell r="X59">
            <v>1</v>
          </cell>
          <cell r="Y59">
            <v>19.212399999999999</v>
          </cell>
          <cell r="Z59">
            <v>1.6299999999999999E-2</v>
          </cell>
          <cell r="AA59">
            <v>19.196099999999998</v>
          </cell>
          <cell r="AB59" t="e">
            <v>#N/A</v>
          </cell>
          <cell r="AC59" t="e">
            <v>#N/A</v>
          </cell>
          <cell r="AD59" t="str">
            <v>0144-16</v>
          </cell>
          <cell r="AE59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60">
          <cell r="A60" t="str">
            <v>144-16</v>
          </cell>
          <cell r="B60">
            <v>4012</v>
          </cell>
          <cell r="C60" t="str">
            <v>DE.1.0.7.0</v>
          </cell>
          <cell r="D60" t="str">
            <v>204:232985</v>
          </cell>
          <cell r="E60">
            <v>42598.410624999997</v>
          </cell>
          <cell r="F60">
            <v>42598.41138888889</v>
          </cell>
          <cell r="G60">
            <v>1</v>
          </cell>
          <cell r="H60" t="str">
            <v>204:204656</v>
          </cell>
          <cell r="I60">
            <v>42598.417048611111</v>
          </cell>
          <cell r="J60">
            <v>1</v>
          </cell>
          <cell r="K60" t="str">
            <v>4011/4012</v>
          </cell>
          <cell r="L60" t="str">
            <v>GRASTON</v>
          </cell>
          <cell r="M60">
            <v>5.6597222210257314E-3</v>
          </cell>
          <cell r="T60" t="str">
            <v>Southbound</v>
          </cell>
          <cell r="U60">
            <v>0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https://search-rtdc-monitor-bjffxe2xuh6vdkpspy63sjmuny.us-east-1.es.amazonaws.com/_plugin/kibana/#/discover/Steve-Slow-Train-Analysis-(2080s-and-2083s)?_g=(refreshInterval:(display:Off,section:0,value:0),time:(from:'2016-08-16 08:51:18-0600',mode:absolute,to:'2016-08-16 11:00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60" t="str">
            <v>Y</v>
          </cell>
          <cell r="X60">
            <v>0</v>
          </cell>
          <cell r="Y60">
            <v>23.298500000000001</v>
          </cell>
          <cell r="Z60">
            <v>20.465599999999998</v>
          </cell>
          <cell r="AA60">
            <v>2.8329000000000022</v>
          </cell>
          <cell r="AB60" t="e">
            <v>#N/A</v>
          </cell>
          <cell r="AC60" t="e">
            <v>#N/A</v>
          </cell>
          <cell r="AD60" t="str">
            <v>0144-16</v>
          </cell>
          <cell r="AE60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61">
          <cell r="A61" t="str">
            <v>145-16</v>
          </cell>
          <cell r="B61">
            <v>4018</v>
          </cell>
          <cell r="C61" t="str">
            <v>DE.1.0.7.0</v>
          </cell>
          <cell r="D61" t="str">
            <v>204:442</v>
          </cell>
          <cell r="E61">
            <v>42598.383310185185</v>
          </cell>
          <cell r="F61">
            <v>42598.384120370371</v>
          </cell>
          <cell r="G61">
            <v>1</v>
          </cell>
          <cell r="H61" t="str">
            <v>204:202242</v>
          </cell>
          <cell r="I61">
            <v>42598.410057870373</v>
          </cell>
          <cell r="J61">
            <v>1</v>
          </cell>
          <cell r="K61" t="str">
            <v>4017/4018</v>
          </cell>
          <cell r="L61" t="str">
            <v>ROCHA</v>
          </cell>
          <cell r="M61">
            <v>2.5937500002328306E-2</v>
          </cell>
          <cell r="P61">
            <v>37.350000003352761</v>
          </cell>
          <cell r="R61" t="str">
            <v>Bad card at 78th, cut out at ML2044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1" t="str">
            <v>Y</v>
          </cell>
          <cell r="X61">
            <v>1</v>
          </cell>
          <cell r="Y61">
            <v>4.4200000000000003E-2</v>
          </cell>
          <cell r="Z61">
            <v>20.2242</v>
          </cell>
          <cell r="AA61">
            <v>20.18</v>
          </cell>
          <cell r="AB61">
            <v>161962</v>
          </cell>
          <cell r="AC61" t="str">
            <v>PERMANENT SPEED RESTRICTION</v>
          </cell>
          <cell r="AD61" t="str">
            <v>0145-16</v>
          </cell>
          <cell r="AE61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62">
          <cell r="A62" t="str">
            <v>146-16</v>
          </cell>
          <cell r="B62">
            <v>4017</v>
          </cell>
          <cell r="C62" t="str">
            <v>DE.1.0.7.0</v>
          </cell>
          <cell r="D62" t="str">
            <v>204:127861</v>
          </cell>
          <cell r="E62">
            <v>42598.43650462963</v>
          </cell>
          <cell r="F62">
            <v>42598.437083333331</v>
          </cell>
          <cell r="G62">
            <v>0</v>
          </cell>
          <cell r="H62" t="str">
            <v>204:136</v>
          </cell>
          <cell r="I62">
            <v>42598.455590277779</v>
          </cell>
          <cell r="J62">
            <v>1</v>
          </cell>
          <cell r="K62" t="str">
            <v>4017/4018</v>
          </cell>
          <cell r="L62" t="str">
            <v>ROCHA</v>
          </cell>
          <cell r="M62">
            <v>1.8506944448745344E-2</v>
          </cell>
          <cell r="P62">
            <v>33.450000003213063</v>
          </cell>
          <cell r="R62" t="str">
            <v>Bad card at 78th, initialized at 40th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https://search-rtdc-monitor-bjffxe2xuh6vdkpspy63sjmuny.us-east-1.es.amazonaws.com/_plugin/kibana/#/discover/Steve-Slow-Train-Analysis-(2080s-and-2083s)?_g=(refreshInterval:(display:Off,section:0,value:0),time:(from:'2016-08-16 09:28:34-0600',mode:absolute,to:'2016-08-16 11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2" t="str">
            <v>Y</v>
          </cell>
          <cell r="X62">
            <v>1</v>
          </cell>
          <cell r="Y62">
            <v>12.786099999999999</v>
          </cell>
          <cell r="Z62">
            <v>1.3599999999999999E-2</v>
          </cell>
          <cell r="AA62">
            <v>12.772499999999999</v>
          </cell>
          <cell r="AB62" t="e">
            <v>#N/A</v>
          </cell>
          <cell r="AC62" t="e">
            <v>#N/A</v>
          </cell>
          <cell r="AD62" t="str">
            <v>0146-16</v>
          </cell>
          <cell r="AE62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63">
          <cell r="A63" t="str">
            <v>146-16</v>
          </cell>
          <cell r="B63">
            <v>4017</v>
          </cell>
          <cell r="C63" t="str">
            <v>DE.1.0.7.0</v>
          </cell>
          <cell r="D63" t="str">
            <v>204:233080</v>
          </cell>
          <cell r="E63">
            <v>42598.421875</v>
          </cell>
          <cell r="F63">
            <v>42598.423472222225</v>
          </cell>
          <cell r="G63">
            <v>2</v>
          </cell>
          <cell r="H63" t="str">
            <v>204:206683</v>
          </cell>
          <cell r="I63">
            <v>42598.428194444445</v>
          </cell>
          <cell r="J63">
            <v>1</v>
          </cell>
          <cell r="K63" t="str">
            <v>4017/4018</v>
          </cell>
          <cell r="L63" t="str">
            <v>ROCHA</v>
          </cell>
          <cell r="M63">
            <v>4.7222222201526165E-3</v>
          </cell>
          <cell r="T63" t="str">
            <v>Southbound</v>
          </cell>
          <cell r="U63">
            <v>0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https://search-rtdc-monitor-bjffxe2xuh6vdkpspy63sjmuny.us-east-1.es.amazonaws.com/_plugin/kibana/#/discover/Steve-Slow-Train-Analysis-(2080s-and-2083s)?_g=(refreshInterval:(display:Off,section:0,value:0),time:(from:'2016-08-16 09:07:30-0600',mode:absolute,to:'2016-08-16 11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3" t="str">
            <v>Y</v>
          </cell>
          <cell r="X63">
            <v>0</v>
          </cell>
          <cell r="Y63">
            <v>23.308</v>
          </cell>
          <cell r="Z63">
            <v>20.668299999999999</v>
          </cell>
          <cell r="AA63">
            <v>2.6397000000000013</v>
          </cell>
          <cell r="AB63" t="e">
            <v>#N/A</v>
          </cell>
          <cell r="AC63" t="e">
            <v>#N/A</v>
          </cell>
          <cell r="AD63" t="str">
            <v>0146-16</v>
          </cell>
          <cell r="AE63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64">
          <cell r="A64" t="str">
            <v>147-16</v>
          </cell>
          <cell r="B64">
            <v>4038</v>
          </cell>
          <cell r="C64" t="str">
            <v>DE.1.0.7.0</v>
          </cell>
          <cell r="D64" t="str">
            <v>204:19134</v>
          </cell>
          <cell r="E64">
            <v>42598.40053240741</v>
          </cell>
          <cell r="F64">
            <v>42598.401678240742</v>
          </cell>
          <cell r="G64">
            <v>1</v>
          </cell>
          <cell r="H64" t="str">
            <v>204:202132</v>
          </cell>
          <cell r="I64">
            <v>42598.421481481484</v>
          </cell>
          <cell r="J64">
            <v>1</v>
          </cell>
          <cell r="K64" t="str">
            <v>4037/4038</v>
          </cell>
          <cell r="L64" t="str">
            <v>ACKERMAN</v>
          </cell>
          <cell r="M64">
            <v>1.9803240742476191E-2</v>
          </cell>
          <cell r="P64">
            <v>28.516666669165716</v>
          </cell>
          <cell r="R64" t="str">
            <v>Bad card at 78th, cut out at ML2044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https://search-rtdc-monitor-bjffxe2xuh6vdkpspy63sjmuny.us-east-1.es.amazonaws.com/_plugin/kibana/#/discover/Steve-Slow-Train-Analysis-(2080s-and-2083s)?_g=(refreshInterval:(display:Off,section:0,value:0),time:(from:'2016-08-16 08:36:46-0600',mode:absolute,to:'2016-08-16 11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4" t="str">
            <v>Y</v>
          </cell>
          <cell r="X64">
            <v>1</v>
          </cell>
          <cell r="Y64">
            <v>1.9134</v>
          </cell>
          <cell r="Z64">
            <v>20.213200000000001</v>
          </cell>
          <cell r="AA64">
            <v>18.299800000000001</v>
          </cell>
          <cell r="AB64" t="e">
            <v>#N/A</v>
          </cell>
          <cell r="AC64" t="e">
            <v>#N/A</v>
          </cell>
          <cell r="AD64" t="str">
            <v>0147-16</v>
          </cell>
          <cell r="AE64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65">
          <cell r="A65" t="str">
            <v>147-16</v>
          </cell>
          <cell r="B65">
            <v>4038</v>
          </cell>
          <cell r="C65" t="str">
            <v>DE.1.0.7.0</v>
          </cell>
          <cell r="D65" t="str">
            <v>204:440</v>
          </cell>
          <cell r="E65">
            <v>42598.392476851855</v>
          </cell>
          <cell r="F65">
            <v>42598.393587962964</v>
          </cell>
          <cell r="G65">
            <v>1</v>
          </cell>
          <cell r="H65" t="str">
            <v>204:1397</v>
          </cell>
          <cell r="I65">
            <v>42598.396932870368</v>
          </cell>
          <cell r="J65">
            <v>1</v>
          </cell>
          <cell r="K65" t="str">
            <v>4037/4038</v>
          </cell>
          <cell r="L65" t="str">
            <v>ACKERMAN</v>
          </cell>
          <cell r="M65">
            <v>3.3449074035161175E-3</v>
          </cell>
          <cell r="T65" t="str">
            <v>NorthBound</v>
          </cell>
          <cell r="U65">
            <v>0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https://search-rtdc-monitor-bjffxe2xuh6vdkpspy63sjmuny.us-east-1.es.amazonaws.com/_plugin/kibana/#/discover/Steve-Slow-Train-Analysis-(2080s-and-2083s)?_g=(refreshInterval:(display:Off,section:0,value:0),time:(from:'2016-08-16 08:25:10-0600',mode:absolute,to:'2016-08-16 10:31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5" t="str">
            <v>Y</v>
          </cell>
          <cell r="X65">
            <v>0</v>
          </cell>
          <cell r="Y65">
            <v>4.3999999999999997E-2</v>
          </cell>
          <cell r="Z65">
            <v>0.13969999999999999</v>
          </cell>
          <cell r="AA65">
            <v>9.5699999999999993E-2</v>
          </cell>
          <cell r="AB65" t="e">
            <v>#N/A</v>
          </cell>
          <cell r="AC65" t="e">
            <v>#N/A</v>
          </cell>
          <cell r="AD65" t="str">
            <v>0147-16</v>
          </cell>
          <cell r="AE65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66">
          <cell r="A66" t="str">
            <v>148-16</v>
          </cell>
          <cell r="B66">
            <v>4037</v>
          </cell>
          <cell r="C66" t="str">
            <v>DE.1.0.7.0</v>
          </cell>
          <cell r="D66" t="str">
            <v>204:233011</v>
          </cell>
          <cell r="E66">
            <v>42598.430462962962</v>
          </cell>
          <cell r="F66">
            <v>42598.431574074071</v>
          </cell>
          <cell r="G66">
            <v>1</v>
          </cell>
          <cell r="H66" t="str">
            <v>204:96</v>
          </cell>
          <cell r="I66">
            <v>42598.466215277775</v>
          </cell>
          <cell r="J66">
            <v>1</v>
          </cell>
          <cell r="K66" t="str">
            <v>4037/4038</v>
          </cell>
          <cell r="L66" t="str">
            <v>ACKERMAN</v>
          </cell>
          <cell r="M66">
            <v>3.4641203703358769E-2</v>
          </cell>
          <cell r="N66">
            <v>49.883333332836628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https://search-rtdc-monitor-bjffxe2xuh6vdkpspy63sjmuny.us-east-1.es.amazonaws.com/_plugin/kibana/#/discover/Steve-Slow-Train-Analysis-(2080s-and-2083s)?_g=(refreshInterval:(display:Off,section:0,value:0),time:(from:'2016-08-16 09:19:52-0600',mode:absolute,to:'2016-08-16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6" t="str">
            <v>N</v>
          </cell>
          <cell r="X66">
            <v>1</v>
          </cell>
          <cell r="Y66">
            <v>23.301100000000002</v>
          </cell>
          <cell r="Z66">
            <v>9.5999999999999992E-3</v>
          </cell>
          <cell r="AA66">
            <v>23.291500000000003</v>
          </cell>
          <cell r="AB66" t="e">
            <v>#N/A</v>
          </cell>
          <cell r="AC66" t="e">
            <v>#N/A</v>
          </cell>
          <cell r="AD66" t="str">
            <v>0148-16</v>
          </cell>
          <cell r="AE66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67">
          <cell r="A67" t="str">
            <v>149-16</v>
          </cell>
          <cell r="B67">
            <v>4029</v>
          </cell>
          <cell r="C67" t="str">
            <v>DE.1.0.7.0</v>
          </cell>
          <cell r="D67" t="str">
            <v>204:477</v>
          </cell>
          <cell r="E67">
            <v>42598.404166666667</v>
          </cell>
          <cell r="F67">
            <v>42598.405821759261</v>
          </cell>
          <cell r="G67">
            <v>2</v>
          </cell>
          <cell r="H67" t="str">
            <v>204:199559</v>
          </cell>
          <cell r="I67">
            <v>42598.430162037039</v>
          </cell>
          <cell r="J67">
            <v>1</v>
          </cell>
          <cell r="K67" t="str">
            <v>4029/4030</v>
          </cell>
          <cell r="L67" t="str">
            <v>CLARK</v>
          </cell>
          <cell r="M67">
            <v>2.4340277777810115E-2</v>
          </cell>
          <cell r="P67">
            <v>35.050000000046566</v>
          </cell>
          <cell r="R67" t="str">
            <v>Bad card at 78th, cut out at ML2044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https://search-rtdc-monitor-bjffxe2xuh6vdkpspy63sjmuny.us-east-1.es.amazonaws.com/_plugin/kibana/#/discover/Steve-Slow-Train-Analysis-(2080s-and-2083s)?_g=(refreshInterval:(display:Off,section:0,value:0),time:(from:'2016-08-16 08:42:00-0600',mode:absolute,to:'2016-08-16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7" t="str">
            <v>Y</v>
          </cell>
          <cell r="X67">
            <v>1</v>
          </cell>
          <cell r="Y67">
            <v>4.7699999999999999E-2</v>
          </cell>
          <cell r="Z67">
            <v>19.9559</v>
          </cell>
          <cell r="AA67">
            <v>19.908200000000001</v>
          </cell>
          <cell r="AB67">
            <v>0</v>
          </cell>
          <cell r="AC67" t="str">
            <v>PERMANENT SPEED RESTRICTION</v>
          </cell>
          <cell r="AD67" t="str">
            <v>0149-16</v>
          </cell>
          <cell r="AE67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68">
          <cell r="A68" t="str">
            <v>150-16</v>
          </cell>
          <cell r="B68">
            <v>4030</v>
          </cell>
          <cell r="C68" t="str">
            <v>DE.1.0.7.0</v>
          </cell>
          <cell r="D68" t="str">
            <v>204:232975</v>
          </cell>
          <cell r="E68">
            <v>42598.440104166664</v>
          </cell>
          <cell r="F68">
            <v>42598.441423611112</v>
          </cell>
          <cell r="G68">
            <v>1</v>
          </cell>
          <cell r="H68" t="str">
            <v>204:174</v>
          </cell>
          <cell r="I68">
            <v>42598.475810185184</v>
          </cell>
          <cell r="J68">
            <v>1</v>
          </cell>
          <cell r="K68" t="str">
            <v>4029/4030</v>
          </cell>
          <cell r="L68" t="str">
            <v>CLARK</v>
          </cell>
          <cell r="M68">
            <v>3.4386574072414078E-2</v>
          </cell>
          <cell r="N68">
            <v>49.516666664276272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https://search-rtdc-monitor-bjffxe2xuh6vdkpspy63sjmuny.us-east-1.es.amazonaws.com/_plugin/kibana/#/discover/Steve-Slow-Train-Analysis-(2080s-and-2083s)?_g=(refreshInterval:(display:Off,section:0,value:0),time:(from:'2016-08-16 09:33:45-0600',mode:absolute,to:'2016-08-16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8" t="str">
            <v>N</v>
          </cell>
          <cell r="X68">
            <v>1</v>
          </cell>
          <cell r="Y68">
            <v>23.297499999999999</v>
          </cell>
          <cell r="Z68">
            <v>1.7399999999999999E-2</v>
          </cell>
          <cell r="AA68">
            <v>23.280100000000001</v>
          </cell>
          <cell r="AB68" t="e">
            <v>#N/A</v>
          </cell>
          <cell r="AC68" t="e">
            <v>#N/A</v>
          </cell>
          <cell r="AD68" t="str">
            <v>0150-16</v>
          </cell>
          <cell r="AE68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69">
          <cell r="A69" t="str">
            <v>151-16</v>
          </cell>
          <cell r="B69">
            <v>4009</v>
          </cell>
          <cell r="C69" t="str">
            <v>DE.1.0.7.0</v>
          </cell>
          <cell r="D69" t="str">
            <v>204:449</v>
          </cell>
          <cell r="E69">
            <v>42598.418043981481</v>
          </cell>
          <cell r="F69">
            <v>42598.419166666667</v>
          </cell>
          <cell r="G69">
            <v>1</v>
          </cell>
          <cell r="H69" t="str">
            <v>204:233319</v>
          </cell>
          <cell r="I69">
            <v>42598.444826388892</v>
          </cell>
          <cell r="J69">
            <v>1</v>
          </cell>
          <cell r="K69" t="str">
            <v>4009/4010</v>
          </cell>
          <cell r="L69" t="str">
            <v>SPECTOR</v>
          </cell>
          <cell r="M69">
            <v>2.5659722225100268E-2</v>
          </cell>
          <cell r="N69">
            <v>36.950000004144385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https://search-rtdc-monitor-bjffxe2xuh6vdkpspy63sjmuny.us-east-1.es.amazonaws.com/_plugin/kibana/#/discover/Steve-Slow-Train-Analysis-(2080s-and-2083s)?_g=(refreshInterval:(display:Off,section:0,value:0),time:(from:'2016-08-16 09:01:59-0600',mode:absolute,to:'2016-08-16 11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9" t="str">
            <v>N</v>
          </cell>
          <cell r="X69">
            <v>1</v>
          </cell>
          <cell r="Y69">
            <v>4.4900000000000002E-2</v>
          </cell>
          <cell r="Z69">
            <v>23.331900000000001</v>
          </cell>
          <cell r="AA69">
            <v>23.287000000000003</v>
          </cell>
          <cell r="AB69" t="e">
            <v>#N/A</v>
          </cell>
          <cell r="AC69" t="e">
            <v>#N/A</v>
          </cell>
          <cell r="AD69" t="str">
            <v>0151-16</v>
          </cell>
          <cell r="AE69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70">
          <cell r="A70" t="str">
            <v>152-16</v>
          </cell>
          <cell r="B70">
            <v>4010</v>
          </cell>
          <cell r="C70" t="str">
            <v>DE.1.0.7.0</v>
          </cell>
          <cell r="D70" t="str">
            <v>204:233008</v>
          </cell>
          <cell r="E70">
            <v>42598.452349537038</v>
          </cell>
          <cell r="F70">
            <v>42598.453368055554</v>
          </cell>
          <cell r="G70">
            <v>1</v>
          </cell>
          <cell r="H70" t="str">
            <v>204:147</v>
          </cell>
          <cell r="I70">
            <v>42598.484293981484</v>
          </cell>
          <cell r="J70">
            <v>1</v>
          </cell>
          <cell r="K70" t="str">
            <v>4009/4010</v>
          </cell>
          <cell r="L70" t="str">
            <v>SPECTOR</v>
          </cell>
          <cell r="M70">
            <v>3.0925925930205267E-2</v>
          </cell>
          <cell r="N70">
            <v>44.533333339495584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https://search-rtdc-monitor-bjffxe2xuh6vdkpspy63sjmuny.us-east-1.es.amazonaws.com/_plugin/kibana/#/discover/Steve-Slow-Train-Analysis-(2080s-and-2083s)?_g=(refreshInterval:(display:Off,section:0,value:0),time:(from:'2016-08-16 09:51:23-0600',mode:absolute,to:'2016-08-16 12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0" t="str">
            <v>N</v>
          </cell>
          <cell r="X70">
            <v>1</v>
          </cell>
          <cell r="Y70">
            <v>23.300799999999999</v>
          </cell>
          <cell r="Z70">
            <v>1.47E-2</v>
          </cell>
          <cell r="AA70">
            <v>23.286099999999998</v>
          </cell>
          <cell r="AB70" t="e">
            <v>#N/A</v>
          </cell>
          <cell r="AC70" t="e">
            <v>#N/A</v>
          </cell>
          <cell r="AD70" t="str">
            <v>0152-16</v>
          </cell>
          <cell r="AE70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71">
          <cell r="A71" t="str">
            <v>153-16</v>
          </cell>
          <cell r="B71">
            <v>4044</v>
          </cell>
          <cell r="C71" t="str">
            <v>DE.1.0.7.0</v>
          </cell>
          <cell r="D71" t="str">
            <v>204:451</v>
          </cell>
          <cell r="E71">
            <v>42598.425474537034</v>
          </cell>
          <cell r="F71">
            <v>42598.426446759258</v>
          </cell>
          <cell r="G71">
            <v>1</v>
          </cell>
          <cell r="H71" t="str">
            <v>204:233309</v>
          </cell>
          <cell r="I71">
            <v>42598.453298611108</v>
          </cell>
          <cell r="J71">
            <v>1</v>
          </cell>
          <cell r="K71" t="str">
            <v>4043/4044</v>
          </cell>
          <cell r="L71" t="str">
            <v>DAVIS</v>
          </cell>
          <cell r="M71">
            <v>2.6851851849642117E-2</v>
          </cell>
          <cell r="N71">
            <v>38.666666663484648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https://search-rtdc-monitor-bjffxe2xuh6vdkpspy63sjmuny.us-east-1.es.amazonaws.com/_plugin/kibana/#/discover/Steve-Slow-Train-Analysis-(2080s-and-2083s)?_g=(refreshInterval:(display:Off,section:0,value:0),time:(from:'2016-08-16 09:12:41-0600',mode:absolute,to:'2016-08-16 11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1" t="str">
            <v>N</v>
          </cell>
          <cell r="X71">
            <v>1</v>
          </cell>
          <cell r="Y71">
            <v>4.5100000000000001E-2</v>
          </cell>
          <cell r="Z71">
            <v>23.3309</v>
          </cell>
          <cell r="AA71">
            <v>23.285799999999998</v>
          </cell>
          <cell r="AB71" t="e">
            <v>#N/A</v>
          </cell>
          <cell r="AC71" t="e">
            <v>#N/A</v>
          </cell>
          <cell r="AD71" t="str">
            <v>0153-16</v>
          </cell>
          <cell r="AE71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72">
          <cell r="A72" t="str">
            <v>154-16</v>
          </cell>
          <cell r="B72">
            <v>4043</v>
          </cell>
          <cell r="C72" t="str">
            <v>DE.1.0.7.0</v>
          </cell>
          <cell r="D72" t="str">
            <v>204:233000</v>
          </cell>
          <cell r="E72">
            <v>42598.458333333336</v>
          </cell>
          <cell r="F72">
            <v>42598.459039351852</v>
          </cell>
          <cell r="G72">
            <v>1</v>
          </cell>
          <cell r="H72" t="str">
            <v>204:152</v>
          </cell>
          <cell r="I72">
            <v>42598.495046296295</v>
          </cell>
          <cell r="J72">
            <v>1</v>
          </cell>
          <cell r="K72" t="str">
            <v>4043/4044</v>
          </cell>
          <cell r="L72" t="str">
            <v>DAVIS</v>
          </cell>
          <cell r="M72">
            <v>3.6006944443215616E-2</v>
          </cell>
          <cell r="N72">
            <v>51.849999998230487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https://search-rtdc-monitor-bjffxe2xuh6vdkpspy63sjmuny.us-east-1.es.amazonaws.com/_plugin/kibana/#/discover/Steve-Slow-Train-Analysis-(2080s-and-2083s)?_g=(refreshInterval:(display:Off,section:0,value:0),time:(from:'2016-08-16 10:00:00-0600',mode:absolute,to:'2016-08-16 12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2" t="str">
            <v>N</v>
          </cell>
          <cell r="X72">
            <v>1</v>
          </cell>
          <cell r="Y72">
            <v>23.3</v>
          </cell>
          <cell r="Z72">
            <v>1.52E-2</v>
          </cell>
          <cell r="AA72">
            <v>23.284800000000001</v>
          </cell>
          <cell r="AB72" t="e">
            <v>#N/A</v>
          </cell>
          <cell r="AC72" t="e">
            <v>#N/A</v>
          </cell>
          <cell r="AD72" t="str">
            <v>0154-16</v>
          </cell>
          <cell r="AE72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73">
          <cell r="A73" t="str">
            <v>155-16</v>
          </cell>
          <cell r="B73">
            <v>4003</v>
          </cell>
          <cell r="C73" t="str">
            <v>DE.1.0.7.0</v>
          </cell>
          <cell r="D73" t="str">
            <v>204:462</v>
          </cell>
          <cell r="E73">
            <v>42598.436944444446</v>
          </cell>
          <cell r="F73">
            <v>42598.437604166669</v>
          </cell>
          <cell r="G73">
            <v>0</v>
          </cell>
          <cell r="H73" t="str">
            <v>204:233308</v>
          </cell>
          <cell r="I73">
            <v>42598.463206018518</v>
          </cell>
          <cell r="J73">
            <v>1</v>
          </cell>
          <cell r="K73" t="str">
            <v>4003/4004</v>
          </cell>
          <cell r="L73" t="str">
            <v>GEBRETEKLE</v>
          </cell>
          <cell r="M73">
            <v>2.5601851848477963E-2</v>
          </cell>
          <cell r="N73">
            <v>36.866666661808267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https://search-rtdc-monitor-bjffxe2xuh6vdkpspy63sjmuny.us-east-1.es.amazonaws.com/_plugin/kibana/#/discover/Steve-Slow-Train-Analysis-(2080s-and-2083s)?_g=(refreshInterval:(display:Off,section:0,value:0),time:(from:'2016-08-16 09:29:12-0600',mode:absolute,to:'2016-08-16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73" t="str">
            <v>N</v>
          </cell>
          <cell r="X73">
            <v>1</v>
          </cell>
          <cell r="Y73">
            <v>4.6199999999999998E-2</v>
          </cell>
          <cell r="Z73">
            <v>23.3308</v>
          </cell>
          <cell r="AA73">
            <v>23.284600000000001</v>
          </cell>
          <cell r="AB73">
            <v>4677</v>
          </cell>
          <cell r="AC73" t="str">
            <v>PERMANENT SPEED RESTRICTION</v>
          </cell>
          <cell r="AD73" t="str">
            <v>0155-16</v>
          </cell>
          <cell r="AE73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74">
          <cell r="A74" t="str">
            <v>156-16</v>
          </cell>
          <cell r="B74">
            <v>4004</v>
          </cell>
          <cell r="C74" t="str">
            <v>DE.1.0.7.0</v>
          </cell>
          <cell r="D74" t="str">
            <v>204:232981</v>
          </cell>
          <cell r="E74">
            <v>42598.473587962966</v>
          </cell>
          <cell r="F74">
            <v>42598.474861111114</v>
          </cell>
          <cell r="G74">
            <v>1</v>
          </cell>
          <cell r="H74" t="str">
            <v>204:158</v>
          </cell>
          <cell r="I74">
            <v>42598.505798611113</v>
          </cell>
          <cell r="J74">
            <v>1</v>
          </cell>
          <cell r="K74" t="str">
            <v>4003/4004</v>
          </cell>
          <cell r="L74" t="str">
            <v>STARKS</v>
          </cell>
          <cell r="M74">
            <v>3.0937499999708962E-2</v>
          </cell>
          <cell r="N74">
            <v>44.549999999580905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https://search-rtdc-monitor-bjffxe2xuh6vdkpspy63sjmuny.us-east-1.es.amazonaws.com/_plugin/kibana/#/discover/Steve-Slow-Train-Analysis-(2080s-and-2083s)?_g=(refreshInterval:(display:Off,section:0,value:0),time:(from:'2016-08-16 10:21:58-0600',mode:absolute,to:'2016-08-16 13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74" t="str">
            <v>N</v>
          </cell>
          <cell r="X74">
            <v>1</v>
          </cell>
          <cell r="Y74">
            <v>23.298100000000002</v>
          </cell>
          <cell r="Z74">
            <v>1.5800000000000002E-2</v>
          </cell>
          <cell r="AA74">
            <v>23.282300000000003</v>
          </cell>
          <cell r="AB74">
            <v>127587</v>
          </cell>
          <cell r="AC74" t="str">
            <v>SIGNAL</v>
          </cell>
          <cell r="AD74" t="str">
            <v>0156-16</v>
          </cell>
          <cell r="AE74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75">
          <cell r="A75" t="str">
            <v>157-16</v>
          </cell>
          <cell r="B75">
            <v>4011</v>
          </cell>
          <cell r="C75" t="str">
            <v>DE.1.0.7.0</v>
          </cell>
          <cell r="D75" t="str">
            <v>204:466</v>
          </cell>
          <cell r="E75">
            <v>42598.445763888885</v>
          </cell>
          <cell r="F75">
            <v>42598.447870370372</v>
          </cell>
          <cell r="G75">
            <v>3</v>
          </cell>
          <cell r="H75" t="str">
            <v>204:233314</v>
          </cell>
          <cell r="I75">
            <v>42598.473541666666</v>
          </cell>
          <cell r="J75">
            <v>1</v>
          </cell>
          <cell r="K75" t="str">
            <v>4011/4012</v>
          </cell>
          <cell r="L75" t="str">
            <v>GRASTON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https://search-rtdc-monitor-bjffxe2xuh6vdkpspy63sjmuny.us-east-1.es.amazonaws.com/_plugin/kibana/#/discover/Steve-Slow-Train-Analysis-(2080s-and-2083s)?_g=(refreshInterval:(display:Off,section:0,value:0),time:(from:'2016-08-16 09:41:54-0600',mode:absolute,to:'2016-08-16 12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75" t="str">
            <v>N</v>
          </cell>
          <cell r="X75">
            <v>1</v>
          </cell>
          <cell r="Y75">
            <v>4.6600000000000003E-2</v>
          </cell>
          <cell r="Z75">
            <v>23.331399999999999</v>
          </cell>
          <cell r="AA75">
            <v>23.284799999999997</v>
          </cell>
          <cell r="AB75" t="e">
            <v>#N/A</v>
          </cell>
          <cell r="AC75" t="e">
            <v>#N/A</v>
          </cell>
          <cell r="AD75" t="str">
            <v>0157-16</v>
          </cell>
          <cell r="AE75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76">
          <cell r="A76" t="str">
            <v>158-16</v>
          </cell>
          <cell r="B76">
            <v>4012</v>
          </cell>
          <cell r="C76" t="str">
            <v>DE.1.0.7.0</v>
          </cell>
          <cell r="D76" t="str">
            <v>204:232988</v>
          </cell>
          <cell r="E76">
            <v>42598.478414351855</v>
          </cell>
          <cell r="F76">
            <v>42598.479097222225</v>
          </cell>
          <cell r="G76">
            <v>0</v>
          </cell>
          <cell r="H76" t="str">
            <v>204:36785</v>
          </cell>
          <cell r="I76">
            <v>42598.510034722225</v>
          </cell>
          <cell r="J76">
            <v>1</v>
          </cell>
          <cell r="K76" t="str">
            <v>4011/4012</v>
          </cell>
          <cell r="L76" t="str">
            <v>GRASTON</v>
          </cell>
          <cell r="M76">
            <v>3.0937499999708962E-2</v>
          </cell>
          <cell r="P76">
            <v>44.549999999580905</v>
          </cell>
          <cell r="R76" t="str">
            <v>Mechanical issue?</v>
          </cell>
          <cell r="S76">
            <v>0.75</v>
          </cell>
          <cell r="T76" t="str">
            <v>Southbound</v>
          </cell>
          <cell r="U76">
            <v>9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https://search-rtdc-monitor-bjffxe2xuh6vdkpspy63sjmuny.us-east-1.es.amazonaws.com/_plugin/kibana/#/discover/Steve-Slow-Train-Analysis-(2080s-and-2083s)?_g=(refreshInterval:(display:Off,section:0,value:0),time:(from:'2016-08-16 10:28:55-0600',mode:absolute,to:'2016-08-16 13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6" t="str">
            <v>Y</v>
          </cell>
          <cell r="X76">
            <v>1</v>
          </cell>
          <cell r="Y76">
            <v>23.2988</v>
          </cell>
          <cell r="Z76">
            <v>3.6785000000000001</v>
          </cell>
          <cell r="AA76">
            <v>19.6203</v>
          </cell>
          <cell r="AB76" t="e">
            <v>#N/A</v>
          </cell>
          <cell r="AC76" t="e">
            <v>#N/A</v>
          </cell>
          <cell r="AD76" t="str">
            <v>0158-16</v>
          </cell>
          <cell r="AE76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77">
          <cell r="A77" t="str">
            <v>159-16</v>
          </cell>
          <cell r="B77">
            <v>4018</v>
          </cell>
          <cell r="C77" t="str">
            <v>DE.1.0.7.0</v>
          </cell>
          <cell r="D77" t="str">
            <v>204:433</v>
          </cell>
          <cell r="E77">
            <v>42598.456365740742</v>
          </cell>
          <cell r="F77">
            <v>42598.457395833335</v>
          </cell>
          <cell r="G77">
            <v>1</v>
          </cell>
          <cell r="H77" t="str">
            <v>204:233314</v>
          </cell>
          <cell r="I77">
            <v>42598.484016203707</v>
          </cell>
          <cell r="J77">
            <v>1</v>
          </cell>
          <cell r="K77" t="str">
            <v>4017/4018</v>
          </cell>
          <cell r="L77" t="str">
            <v>BARTLETT</v>
          </cell>
          <cell r="M77">
            <v>2.662037037225673E-2</v>
          </cell>
          <cell r="N77">
            <v>38.333333336049691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https://search-rtdc-monitor-bjffxe2xuh6vdkpspy63sjmuny.us-east-1.es.amazonaws.com/_plugin/kibana/#/discover/Steve-Slow-Train-Analysis-(2080s-and-2083s)?_g=(refreshInterval:(display:Off,section:0,value:0),time:(from:'2016-08-16 09:57:10-0600',mode:absolute,to:'2016-08-16 12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7" t="str">
            <v>N</v>
          </cell>
          <cell r="X77">
            <v>1</v>
          </cell>
          <cell r="Y77">
            <v>4.3299999999999998E-2</v>
          </cell>
          <cell r="Z77">
            <v>23.331399999999999</v>
          </cell>
          <cell r="AA77">
            <v>23.2881</v>
          </cell>
          <cell r="AB77" t="e">
            <v>#N/A</v>
          </cell>
          <cell r="AC77" t="e">
            <v>#N/A</v>
          </cell>
          <cell r="AD77" t="str">
            <v>0159-16</v>
          </cell>
          <cell r="AE77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78">
          <cell r="A78" t="str">
            <v>160-16</v>
          </cell>
          <cell r="B78">
            <v>4017</v>
          </cell>
          <cell r="C78" t="str">
            <v>DE.1.0.7.0</v>
          </cell>
          <cell r="D78" t="str">
            <v>204:232989</v>
          </cell>
          <cell r="E78">
            <v>42598.485706018517</v>
          </cell>
          <cell r="F78">
            <v>42598.486921296295</v>
          </cell>
          <cell r="G78">
            <v>1</v>
          </cell>
          <cell r="H78" t="str">
            <v>204:165</v>
          </cell>
          <cell r="I78">
            <v>42598.530613425923</v>
          </cell>
          <cell r="J78">
            <v>1</v>
          </cell>
          <cell r="K78" t="str">
            <v>4017/4018</v>
          </cell>
          <cell r="L78" t="str">
            <v>BARTLETT</v>
          </cell>
          <cell r="M78">
            <v>4.369212962774327E-2</v>
          </cell>
          <cell r="N78">
            <v>62.916666663950309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https://search-rtdc-monitor-bjffxe2xuh6vdkpspy63sjmuny.us-east-1.es.amazonaws.com/_plugin/kibana/#/discover/Steve-Slow-Train-Analysis-(2080s-and-2083s)?_g=(refreshInterval:(display:Off,section:0,value:0),time:(from:'2016-08-16 10:39:25-0600',mode:absolute,to:'2016-08-16 13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8" t="str">
            <v>N</v>
          </cell>
          <cell r="X78">
            <v>1</v>
          </cell>
          <cell r="Y78">
            <v>23.2989</v>
          </cell>
          <cell r="Z78">
            <v>1.6500000000000001E-2</v>
          </cell>
          <cell r="AA78">
            <v>23.282399999999999</v>
          </cell>
          <cell r="AB78" t="e">
            <v>#N/A</v>
          </cell>
          <cell r="AC78" t="e">
            <v>#N/A</v>
          </cell>
          <cell r="AD78" t="str">
            <v>0160-16</v>
          </cell>
          <cell r="AE78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79">
          <cell r="A79" t="str">
            <v>161-16</v>
          </cell>
          <cell r="B79">
            <v>4038</v>
          </cell>
          <cell r="C79" t="str">
            <v>DE.1.0.7.0</v>
          </cell>
          <cell r="D79" t="str">
            <v>204:406</v>
          </cell>
          <cell r="E79">
            <v>42598.469756944447</v>
          </cell>
          <cell r="F79">
            <v>42598.471099537041</v>
          </cell>
          <cell r="G79">
            <v>1</v>
          </cell>
          <cell r="H79" t="str">
            <v>204:233293</v>
          </cell>
          <cell r="I79">
            <v>42598.502025462964</v>
          </cell>
          <cell r="J79">
            <v>1</v>
          </cell>
          <cell r="K79" t="str">
            <v>4037/4038</v>
          </cell>
          <cell r="L79" t="str">
            <v>STEWART</v>
          </cell>
          <cell r="M79">
            <v>3.0925925922929309E-2</v>
          </cell>
          <cell r="N79">
            <v>44.533333329018205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https://search-rtdc-monitor-bjffxe2xuh6vdkpspy63sjmuny.us-east-1.es.amazonaws.com/_plugin/kibana/#/discover/Steve-Slow-Train-Analysis-(2080s-and-2083s)?_g=(refreshInterval:(display:Off,section:0,value:0),time:(from:'2016-08-16 10:16:27-0600',mode:absolute,to:'2016-08-16 13:02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9" t="str">
            <v>N</v>
          </cell>
          <cell r="X79">
            <v>1</v>
          </cell>
          <cell r="Y79">
            <v>4.0599999999999997E-2</v>
          </cell>
          <cell r="Z79">
            <v>23.3293</v>
          </cell>
          <cell r="AA79">
            <v>23.288699999999999</v>
          </cell>
          <cell r="AB79" t="e">
            <v>#N/A</v>
          </cell>
          <cell r="AC79" t="e">
            <v>#N/A</v>
          </cell>
          <cell r="AD79" t="str">
            <v>0161-16</v>
          </cell>
          <cell r="AE79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80">
          <cell r="A80" t="str">
            <v>162-16</v>
          </cell>
          <cell r="B80">
            <v>4037</v>
          </cell>
          <cell r="C80" t="str">
            <v>DE.1.0.7.0</v>
          </cell>
          <cell r="D80" t="str">
            <v>204:232975</v>
          </cell>
          <cell r="E80">
            <v>42598.504502314812</v>
          </cell>
          <cell r="F80">
            <v>42598.505902777775</v>
          </cell>
          <cell r="G80">
            <v>2</v>
          </cell>
          <cell r="H80" t="str">
            <v>204:154</v>
          </cell>
          <cell r="I80">
            <v>42598.537395833337</v>
          </cell>
          <cell r="J80">
            <v>1</v>
          </cell>
          <cell r="K80" t="str">
            <v>4037/4038</v>
          </cell>
          <cell r="L80" t="str">
            <v>STEWART</v>
          </cell>
          <cell r="M80">
            <v>3.1493055561440997E-2</v>
          </cell>
          <cell r="N80">
            <v>45.350000008475035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https://search-rtdc-monitor-bjffxe2xuh6vdkpspy63sjmuny.us-east-1.es.amazonaws.com/_plugin/kibana/#/discover/Steve-Slow-Train-Analysis-(2080s-and-2083s)?_g=(refreshInterval:(display:Off,section:0,value:0),time:(from:'2016-08-16 11:06:29-0600',mode:absolute,to:'2016-08-16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80" t="str">
            <v>N</v>
          </cell>
          <cell r="X80">
            <v>1</v>
          </cell>
          <cell r="Y80">
            <v>23.297499999999999</v>
          </cell>
          <cell r="Z80">
            <v>1.54E-2</v>
          </cell>
          <cell r="AA80">
            <v>23.2821</v>
          </cell>
          <cell r="AB80">
            <v>78469</v>
          </cell>
          <cell r="AC80" t="str">
            <v>GRADE CROSSING</v>
          </cell>
          <cell r="AD80" t="str">
            <v>0162-16</v>
          </cell>
          <cell r="AE80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81">
          <cell r="A81" t="str">
            <v>163-16</v>
          </cell>
          <cell r="B81">
            <v>4029</v>
          </cell>
          <cell r="C81" t="str">
            <v>DE.1.0.7.0</v>
          </cell>
          <cell r="D81" t="str">
            <v>204:467</v>
          </cell>
          <cell r="E81">
            <v>42598.478136574071</v>
          </cell>
          <cell r="F81">
            <v>42598.47965277778</v>
          </cell>
          <cell r="G81">
            <v>2</v>
          </cell>
          <cell r="H81" t="str">
            <v>204:233293</v>
          </cell>
          <cell r="I81">
            <v>42598.508043981485</v>
          </cell>
          <cell r="J81">
            <v>1</v>
          </cell>
          <cell r="K81" t="str">
            <v>4029/4030</v>
          </cell>
          <cell r="L81" t="str">
            <v>HELVIE</v>
          </cell>
          <cell r="M81">
            <v>2.8391203704813961E-2</v>
          </cell>
          <cell r="N81">
            <v>40.883333334932104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https://search-rtdc-monitor-bjffxe2xuh6vdkpspy63sjmuny.us-east-1.es.amazonaws.com/_plugin/kibana/#/discover/Steve-Slow-Train-Analysis-(2080s-and-2083s)?_g=(refreshInterval:(display:Off,section:0,value:0),time:(from:'2016-08-16 10:28:31-0600',mode:absolute,to:'2016-08-16 13:11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1" t="str">
            <v>N</v>
          </cell>
          <cell r="X81">
            <v>1</v>
          </cell>
          <cell r="Y81">
            <v>4.6699999999999998E-2</v>
          </cell>
          <cell r="Z81">
            <v>23.3293</v>
          </cell>
          <cell r="AA81">
            <v>23.282599999999999</v>
          </cell>
          <cell r="AB81" t="e">
            <v>#N/A</v>
          </cell>
          <cell r="AC81" t="e">
            <v>#N/A</v>
          </cell>
          <cell r="AD81" t="str">
            <v>0163-16</v>
          </cell>
          <cell r="AE81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82">
          <cell r="A82" t="str">
            <v>164-16</v>
          </cell>
          <cell r="B82">
            <v>4030</v>
          </cell>
          <cell r="C82" t="str">
            <v>DE.1.0.7.0</v>
          </cell>
          <cell r="D82" t="str">
            <v>204:232976</v>
          </cell>
          <cell r="E82">
            <v>42598.510497685187</v>
          </cell>
          <cell r="F82">
            <v>42598.512071759258</v>
          </cell>
          <cell r="G82">
            <v>2</v>
          </cell>
          <cell r="H82" t="str">
            <v>204:149</v>
          </cell>
          <cell r="I82">
            <v>42598.549641203703</v>
          </cell>
          <cell r="J82">
            <v>1</v>
          </cell>
          <cell r="K82" t="str">
            <v>4029/4030</v>
          </cell>
          <cell r="L82" t="str">
            <v>HELVIE</v>
          </cell>
          <cell r="M82">
            <v>3.7569444444670808E-2</v>
          </cell>
          <cell r="N82">
            <v>54.100000000325963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https://search-rtdc-monitor-bjffxe2xuh6vdkpspy63sjmuny.us-east-1.es.amazonaws.com/_plugin/kibana/#/discover/Steve-Slow-Train-Analysis-(2080s-and-2083s)?_g=(refreshInterval:(display:Off,section:0,value:0),time:(from:'2016-08-16 11:15:07-0600',mode:absolute,to:'2016-08-16 14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2" t="str">
            <v>N</v>
          </cell>
          <cell r="X82">
            <v>1</v>
          </cell>
          <cell r="Y82">
            <v>23.297599999999999</v>
          </cell>
          <cell r="Z82">
            <v>1.49E-2</v>
          </cell>
          <cell r="AA82">
            <v>23.282699999999998</v>
          </cell>
          <cell r="AB82" t="e">
            <v>#N/A</v>
          </cell>
          <cell r="AC82" t="e">
            <v>#N/A</v>
          </cell>
          <cell r="AD82" t="str">
            <v>0164-16</v>
          </cell>
          <cell r="AE82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83">
          <cell r="A83" t="str">
            <v>165-16</v>
          </cell>
          <cell r="B83">
            <v>4009</v>
          </cell>
          <cell r="C83" t="str">
            <v>DE.1.0.7.0</v>
          </cell>
          <cell r="D83" t="str">
            <v>204:449</v>
          </cell>
          <cell r="E83">
            <v>42598.486446759256</v>
          </cell>
          <cell r="F83">
            <v>42598.487442129626</v>
          </cell>
          <cell r="G83">
            <v>1</v>
          </cell>
          <cell r="H83" t="str">
            <v>204:233299</v>
          </cell>
          <cell r="I83">
            <v>42598.515428240738</v>
          </cell>
          <cell r="J83">
            <v>1</v>
          </cell>
          <cell r="K83" t="str">
            <v>4009/4010</v>
          </cell>
          <cell r="L83" t="str">
            <v>HAITHCOX</v>
          </cell>
          <cell r="M83">
            <v>2.7986111112113576E-2</v>
          </cell>
          <cell r="N83">
            <v>40.30000000144355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https://search-rtdc-monitor-bjffxe2xuh6vdkpspy63sjmuny.us-east-1.es.amazonaws.com/_plugin/kibana/#/discover/Steve-Slow-Train-Analysis-(2080s-and-2083s)?_g=(refreshInterval:(display:Off,section:0,value:0),time:(from:'2016-08-16 10:40:29-0600',mode:absolute,to:'2016-08-16 13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3" t="str">
            <v>N</v>
          </cell>
          <cell r="X83">
            <v>1</v>
          </cell>
          <cell r="Y83">
            <v>4.4900000000000002E-2</v>
          </cell>
          <cell r="Z83">
            <v>23.329899999999999</v>
          </cell>
          <cell r="AA83">
            <v>23.285</v>
          </cell>
          <cell r="AB83" t="e">
            <v>#N/A</v>
          </cell>
          <cell r="AC83" t="e">
            <v>#N/A</v>
          </cell>
          <cell r="AD83" t="str">
            <v>0165-16</v>
          </cell>
          <cell r="AE83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84">
          <cell r="A84" t="str">
            <v>166-16</v>
          </cell>
          <cell r="B84">
            <v>4010</v>
          </cell>
          <cell r="C84" t="str">
            <v>DE.1.0.7.0</v>
          </cell>
          <cell r="D84" t="str">
            <v>204:232994</v>
          </cell>
          <cell r="E84">
            <v>42598.520312499997</v>
          </cell>
          <cell r="F84">
            <v>42598.52138888889</v>
          </cell>
          <cell r="G84">
            <v>1</v>
          </cell>
          <cell r="H84" t="str">
            <v>204:143</v>
          </cell>
          <cell r="I84">
            <v>42598.557997685188</v>
          </cell>
          <cell r="J84">
            <v>1</v>
          </cell>
          <cell r="K84" t="str">
            <v>4009/4010</v>
          </cell>
          <cell r="L84" t="str">
            <v>HAITHCOX</v>
          </cell>
          <cell r="M84">
            <v>3.6608796297514345E-2</v>
          </cell>
          <cell r="N84">
            <v>52.716666668420658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https://search-rtdc-monitor-bjffxe2xuh6vdkpspy63sjmuny.us-east-1.es.amazonaws.com/_plugin/kibana/#/discover/Steve-Slow-Train-Analysis-(2080s-and-2083s)?_g=(refreshInterval:(display:Off,section:0,value:0),time:(from:'2016-08-16 11:29:15-0600',mode:absolute,to:'2016-08-16 14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4" t="str">
            <v>N</v>
          </cell>
          <cell r="X84">
            <v>1</v>
          </cell>
          <cell r="Y84">
            <v>23.299399999999999</v>
          </cell>
          <cell r="Z84">
            <v>1.43E-2</v>
          </cell>
          <cell r="AA84">
            <v>23.2851</v>
          </cell>
          <cell r="AB84" t="e">
            <v>#N/A</v>
          </cell>
          <cell r="AC84" t="e">
            <v>#N/A</v>
          </cell>
          <cell r="AD84" t="str">
            <v>0166-16</v>
          </cell>
          <cell r="AE84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85">
          <cell r="A85" t="str">
            <v>167-16</v>
          </cell>
          <cell r="B85">
            <v>4044</v>
          </cell>
          <cell r="C85" t="str">
            <v>DE.1.0.7.0</v>
          </cell>
          <cell r="D85" t="str">
            <v>204:469</v>
          </cell>
          <cell r="E85">
            <v>42598.49796296296</v>
          </cell>
          <cell r="F85">
            <v>42598.499178240738</v>
          </cell>
          <cell r="G85">
            <v>1</v>
          </cell>
          <cell r="H85" t="str">
            <v>204:233310</v>
          </cell>
          <cell r="I85">
            <v>42598.525567129633</v>
          </cell>
          <cell r="J85">
            <v>1</v>
          </cell>
          <cell r="K85" t="str">
            <v>4043/4044</v>
          </cell>
          <cell r="L85" t="str">
            <v>NEWELL</v>
          </cell>
          <cell r="M85">
            <v>2.6388888894871343E-2</v>
          </cell>
          <cell r="N85">
            <v>38.000000008614734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https://search-rtdc-monitor-bjffxe2xuh6vdkpspy63sjmuny.us-east-1.es.amazonaws.com/_plugin/kibana/#/discover/Steve-Slow-Train-Analysis-(2080s-and-2083s)?_g=(refreshInterval:(display:Off,section:0,value:0),time:(from:'2016-08-16 10:57:04-0600',mode:absolute,to:'2016-08-16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5" t="str">
            <v>N</v>
          </cell>
          <cell r="X85">
            <v>1</v>
          </cell>
          <cell r="Y85">
            <v>4.6899999999999997E-2</v>
          </cell>
          <cell r="Z85">
            <v>23.331</v>
          </cell>
          <cell r="AA85">
            <v>23.284099999999999</v>
          </cell>
          <cell r="AB85" t="e">
            <v>#N/A</v>
          </cell>
          <cell r="AC85" t="e">
            <v>#N/A</v>
          </cell>
          <cell r="AD85" t="str">
            <v>0167-16</v>
          </cell>
          <cell r="AE85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86">
          <cell r="A86" t="str">
            <v>168-16</v>
          </cell>
          <cell r="B86">
            <v>4043</v>
          </cell>
          <cell r="C86" t="str">
            <v>DE.1.0.7.0</v>
          </cell>
          <cell r="D86" t="str">
            <v>204:232989</v>
          </cell>
          <cell r="E86">
            <v>42598.531435185185</v>
          </cell>
          <cell r="F86">
            <v>42598.532442129632</v>
          </cell>
          <cell r="G86">
            <v>1</v>
          </cell>
          <cell r="H86" t="str">
            <v>204:85766</v>
          </cell>
          <cell r="I86">
            <v>42598.552812499998</v>
          </cell>
          <cell r="J86">
            <v>1</v>
          </cell>
          <cell r="K86" t="str">
            <v>4043/4044</v>
          </cell>
          <cell r="L86" t="str">
            <v>NEWELL</v>
          </cell>
          <cell r="M86">
            <v>2.0370370366435964E-2</v>
          </cell>
          <cell r="N86">
            <v>29.333333327667788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https://search-rtdc-monitor-bjffxe2xuh6vdkpspy63sjmuny.us-east-1.es.amazonaws.com/_plugin/kibana/#/discover/Steve-Slow-Train-Analysis-(2080s-and-2083s)?_g=(refreshInterval:(display:Off,section:0,value:0),time:(from:'2016-08-16 11:45:16-0600',mode:absolute,to:'2016-08-16 14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6" t="str">
            <v>N</v>
          </cell>
          <cell r="X86">
            <v>1</v>
          </cell>
          <cell r="Y86">
            <v>23.2989</v>
          </cell>
          <cell r="Z86">
            <v>0.01</v>
          </cell>
          <cell r="AA86">
            <v>23.288899999999998</v>
          </cell>
          <cell r="AB86" t="e">
            <v>#N/A</v>
          </cell>
          <cell r="AC86" t="e">
            <v>#N/A</v>
          </cell>
          <cell r="AD86" t="str">
            <v>0168-16</v>
          </cell>
          <cell r="AE86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87">
          <cell r="A87" t="str">
            <v>169-16</v>
          </cell>
          <cell r="B87">
            <v>4003</v>
          </cell>
          <cell r="C87" t="str">
            <v>DE.1.0.7.0</v>
          </cell>
          <cell r="D87" t="str">
            <v>204:462</v>
          </cell>
          <cell r="E87">
            <v>42598.510601851849</v>
          </cell>
          <cell r="F87">
            <v>42598.511620370373</v>
          </cell>
          <cell r="G87">
            <v>1</v>
          </cell>
          <cell r="H87" t="str">
            <v>204:233322</v>
          </cell>
          <cell r="I87">
            <v>42598.537418981483</v>
          </cell>
          <cell r="J87">
            <v>1</v>
          </cell>
          <cell r="K87" t="str">
            <v>4003/4004</v>
          </cell>
          <cell r="L87" t="str">
            <v>MAYBERRY</v>
          </cell>
          <cell r="M87">
            <v>2.5798611110076308E-2</v>
          </cell>
          <cell r="N87">
            <v>37.149999998509884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https://search-rtdc-monitor-bjffxe2xuh6vdkpspy63sjmuny.us-east-1.es.amazonaws.com/_plugin/kibana/#/discover/Steve-Slow-Train-Analysis-(2080s-and-2083s)?_g=(refreshInterval:(display:Off,section:0,value:0),time:(from:'2016-08-16 11:15:16-0600',mode:absolute,to:'2016-08-16 13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87" t="str">
            <v>N</v>
          </cell>
          <cell r="X87">
            <v>1</v>
          </cell>
          <cell r="Y87">
            <v>4.6199999999999998E-2</v>
          </cell>
          <cell r="Z87">
            <v>23.3322</v>
          </cell>
          <cell r="AA87">
            <v>23.286000000000001</v>
          </cell>
          <cell r="AB87" t="e">
            <v>#N/A</v>
          </cell>
          <cell r="AC87" t="e">
            <v>#N/A</v>
          </cell>
          <cell r="AD87" t="str">
            <v>0169-16</v>
          </cell>
          <cell r="AE87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88">
          <cell r="A88" t="str">
            <v>170-16</v>
          </cell>
          <cell r="B88">
            <v>4004</v>
          </cell>
          <cell r="C88" t="str">
            <v>DE.1.0.7.0</v>
          </cell>
          <cell r="D88" t="str">
            <v>204:232977</v>
          </cell>
          <cell r="E88">
            <v>42598.541273148148</v>
          </cell>
          <cell r="F88">
            <v>42598.545335648145</v>
          </cell>
          <cell r="G88">
            <v>5</v>
          </cell>
          <cell r="H88" t="str">
            <v>204:1167</v>
          </cell>
          <cell r="I88">
            <v>42598.583043981482</v>
          </cell>
          <cell r="J88">
            <v>1</v>
          </cell>
          <cell r="K88" t="str">
            <v>4003/4004</v>
          </cell>
          <cell r="L88" t="str">
            <v>MAYBERRY</v>
          </cell>
          <cell r="M88">
            <v>3.7708333336922806E-2</v>
          </cell>
          <cell r="N88">
            <v>54.30000000516884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https://search-rtdc-monitor-bjffxe2xuh6vdkpspy63sjmuny.us-east-1.es.amazonaws.com/_plugin/kibana/#/discover/Steve-Slow-Train-Analysis-(2080s-and-2083s)?_g=(refreshInterval:(display:Off,section:0,value:0),time:(from:'2016-08-16 11:59:26-0600',mode:absolute,to:'2016-08-16 14:59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0.1167</v>
          </cell>
          <cell r="AA88">
            <v>23.180999999999997</v>
          </cell>
          <cell r="AB88" t="e">
            <v>#N/A</v>
          </cell>
          <cell r="AC88" t="e">
            <v>#N/A</v>
          </cell>
          <cell r="AD88" t="str">
            <v>0170-16</v>
          </cell>
          <cell r="AE88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89">
          <cell r="A89" t="str">
            <v>171-16</v>
          </cell>
          <cell r="B89">
            <v>4011</v>
          </cell>
          <cell r="C89" t="str">
            <v>DE.1.0.7.0</v>
          </cell>
          <cell r="D89" t="str">
            <v>204:453</v>
          </cell>
          <cell r="E89">
            <v>42598.525312500002</v>
          </cell>
          <cell r="F89">
            <v>42598.526226851849</v>
          </cell>
          <cell r="G89">
            <v>1</v>
          </cell>
          <cell r="H89" t="str">
            <v>204:233291</v>
          </cell>
          <cell r="I89">
            <v>42598.555567129632</v>
          </cell>
          <cell r="J89">
            <v>1</v>
          </cell>
          <cell r="K89" t="str">
            <v>4011/4012</v>
          </cell>
          <cell r="L89" t="str">
            <v>GRASTON</v>
          </cell>
          <cell r="M89">
            <v>2.9340277782466728E-2</v>
          </cell>
          <cell r="N89">
            <v>42.250000006752089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https://search-rtdc-monitor-bjffxe2xuh6vdkpspy63sjmuny.us-east-1.es.amazonaws.com/_plugin/kibana/#/discover/Steve-Slow-Train-Analysis-(2080s-and-2083s)?_g=(refreshInterval:(display:Off,section:0,value:0),time:(from:'2016-08-16 11:36:27-0600',mode:absolute,to:'2016-08-16 14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9" t="str">
            <v>N</v>
          </cell>
          <cell r="X89">
            <v>1</v>
          </cell>
          <cell r="Y89">
            <v>4.53E-2</v>
          </cell>
          <cell r="Z89">
            <v>23.3291</v>
          </cell>
          <cell r="AA89">
            <v>23.283799999999999</v>
          </cell>
          <cell r="AB89" t="e">
            <v>#N/A</v>
          </cell>
          <cell r="AC89" t="e">
            <v>#N/A</v>
          </cell>
          <cell r="AD89" t="str">
            <v>0171-16</v>
          </cell>
          <cell r="AE89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90">
          <cell r="A90" t="str">
            <v>172-16</v>
          </cell>
          <cell r="B90">
            <v>4012</v>
          </cell>
          <cell r="C90" t="str">
            <v>DE.1.0.7.0</v>
          </cell>
          <cell r="D90" t="str">
            <v>204:232987</v>
          </cell>
          <cell r="E90">
            <v>42598.557291666664</v>
          </cell>
          <cell r="F90">
            <v>42598.558576388888</v>
          </cell>
          <cell r="G90">
            <v>1</v>
          </cell>
          <cell r="H90" t="str">
            <v>204:143</v>
          </cell>
          <cell r="I90">
            <v>42598.591435185182</v>
          </cell>
          <cell r="J90">
            <v>1</v>
          </cell>
          <cell r="K90" t="str">
            <v>4011/4012</v>
          </cell>
          <cell r="L90" t="str">
            <v>GRASTON</v>
          </cell>
          <cell r="M90">
            <v>3.2858796294021886E-2</v>
          </cell>
          <cell r="N90">
            <v>47.316666663391516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https://search-rtdc-monitor-bjffxe2xuh6vdkpspy63sjmuny.us-east-1.es.amazonaws.com/_plugin/kibana/#/discover/Steve-Slow-Train-Analysis-(2080s-and-2083s)?_g=(refreshInterval:(display:Off,section:0,value:0),time:(from:'2016-08-16 12:22:30-0600',mode:absolute,to:'2016-08-16 15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0" t="str">
            <v>N</v>
          </cell>
          <cell r="X90">
            <v>1</v>
          </cell>
          <cell r="Y90">
            <v>23.2987</v>
          </cell>
          <cell r="Z90">
            <v>1.43E-2</v>
          </cell>
          <cell r="AA90">
            <v>23.284400000000002</v>
          </cell>
          <cell r="AB90" t="e">
            <v>#N/A</v>
          </cell>
          <cell r="AC90" t="e">
            <v>#N/A</v>
          </cell>
          <cell r="AD90" t="str">
            <v>0172-16</v>
          </cell>
          <cell r="AE90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91">
          <cell r="A91" t="str">
            <v>173-16</v>
          </cell>
          <cell r="B91">
            <v>4018</v>
          </cell>
          <cell r="C91" t="str">
            <v>DE.1.0.7.0</v>
          </cell>
          <cell r="D91" t="str">
            <v>204:480</v>
          </cell>
          <cell r="E91">
            <v>42598.531400462962</v>
          </cell>
          <cell r="F91">
            <v>42598.532233796293</v>
          </cell>
          <cell r="G91">
            <v>1</v>
          </cell>
          <cell r="H91" t="str">
            <v>204:233213</v>
          </cell>
          <cell r="I91">
            <v>42598.564513888887</v>
          </cell>
          <cell r="J91">
            <v>1</v>
          </cell>
          <cell r="K91" t="str">
            <v>4017/4018</v>
          </cell>
          <cell r="L91" t="str">
            <v>BARTLETT</v>
          </cell>
          <cell r="M91">
            <v>3.2280092593282461E-2</v>
          </cell>
          <cell r="N91">
            <v>46.483333334326744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https://search-rtdc-monitor-bjffxe2xuh6vdkpspy63sjmuny.us-east-1.es.amazonaws.com/_plugin/kibana/#/discover/Steve-Slow-Train-Analysis-(2080s-and-2083s)?_g=(refreshInterval:(display:Off,section:0,value:0),time:(from:'2016-08-16 11:45:13-0600',mode:absolute,to:'2016-08-16 14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91" t="str">
            <v>N</v>
          </cell>
          <cell r="X91">
            <v>1</v>
          </cell>
          <cell r="Y91">
            <v>4.8000000000000001E-2</v>
          </cell>
          <cell r="Z91">
            <v>23.321300000000001</v>
          </cell>
          <cell r="AA91">
            <v>23.273300000000003</v>
          </cell>
          <cell r="AB91" t="e">
            <v>#N/A</v>
          </cell>
          <cell r="AC91" t="e">
            <v>#N/A</v>
          </cell>
          <cell r="AD91" t="str">
            <v>0173-16</v>
          </cell>
          <cell r="AE91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92">
          <cell r="A92" t="str">
            <v>174-16</v>
          </cell>
          <cell r="B92">
            <v>4017</v>
          </cell>
          <cell r="C92" t="str">
            <v>DE.1.0.7.0</v>
          </cell>
          <cell r="D92" t="str">
            <v>204:232884</v>
          </cell>
          <cell r="E92">
            <v>42598.568773148145</v>
          </cell>
          <cell r="F92">
            <v>42598.56994212963</v>
          </cell>
          <cell r="G92">
            <v>1</v>
          </cell>
          <cell r="H92" t="str">
            <v>204:152</v>
          </cell>
          <cell r="I92">
            <v>42598.601365740738</v>
          </cell>
          <cell r="J92">
            <v>1</v>
          </cell>
          <cell r="K92" t="str">
            <v>4017/4018</v>
          </cell>
          <cell r="L92" t="str">
            <v>BARTLETT</v>
          </cell>
          <cell r="M92">
            <v>3.142361110803904E-2</v>
          </cell>
          <cell r="N92">
            <v>45.249999995576218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https://search-rtdc-monitor-bjffxe2xuh6vdkpspy63sjmuny.us-east-1.es.amazonaws.com/_plugin/kibana/#/discover/Steve-Slow-Train-Analysis-(2080s-and-2083s)?_g=(refreshInterval:(display:Off,section:0,value:0),time:(from:'2016-08-16 12:39:02-0600',mode:absolute,to:'2016-08-16 15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92" t="str">
            <v>N</v>
          </cell>
          <cell r="X92">
            <v>1</v>
          </cell>
          <cell r="Y92">
            <v>23.288399999999999</v>
          </cell>
          <cell r="Z92">
            <v>1.52E-2</v>
          </cell>
          <cell r="AA92">
            <v>23.273199999999999</v>
          </cell>
          <cell r="AB92" t="e">
            <v>#N/A</v>
          </cell>
          <cell r="AC92" t="e">
            <v>#N/A</v>
          </cell>
          <cell r="AD92" t="str">
            <v>0174-16</v>
          </cell>
          <cell r="AE92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93">
          <cell r="A93" t="str">
            <v>175-16</v>
          </cell>
          <cell r="B93">
            <v>4038</v>
          </cell>
          <cell r="C93" t="str">
            <v>DE.1.0.7.0</v>
          </cell>
          <cell r="D93" t="str">
            <v>204:466</v>
          </cell>
          <cell r="E93">
            <v>42598.539293981485</v>
          </cell>
          <cell r="F93">
            <v>42598.540335648147</v>
          </cell>
          <cell r="G93">
            <v>1</v>
          </cell>
          <cell r="H93" t="str">
            <v>204:233285</v>
          </cell>
          <cell r="I93">
            <v>42598.570150462961</v>
          </cell>
          <cell r="J93">
            <v>1</v>
          </cell>
          <cell r="K93" t="str">
            <v>4037/4038</v>
          </cell>
          <cell r="L93" t="str">
            <v>STEWART</v>
          </cell>
          <cell r="M93">
            <v>2.9814814814017154E-2</v>
          </cell>
          <cell r="N93">
            <v>42.933333332184702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https://search-rtdc-monitor-bjffxe2xuh6vdkpspy63sjmuny.us-east-1.es.amazonaws.com/_plugin/kibana/#/discover/Steve-Slow-Train-Analysis-(2080s-and-2083s)?_g=(refreshInterval:(display:Off,section:0,value:0),time:(from:'2016-08-16 11:56:35-0600',mode:absolute,to:'2016-08-16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93" t="str">
            <v>N</v>
          </cell>
          <cell r="X93">
            <v>1</v>
          </cell>
          <cell r="Y93">
            <v>4.6600000000000003E-2</v>
          </cell>
          <cell r="Z93">
            <v>23.328499999999998</v>
          </cell>
          <cell r="AA93">
            <v>23.281899999999997</v>
          </cell>
          <cell r="AB93" t="e">
            <v>#N/A</v>
          </cell>
          <cell r="AC93" t="e">
            <v>#N/A</v>
          </cell>
          <cell r="AD93" t="str">
            <v>0175-16</v>
          </cell>
          <cell r="AE93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94">
          <cell r="A94" t="str">
            <v>176-16</v>
          </cell>
          <cell r="B94">
            <v>4037</v>
          </cell>
          <cell r="C94" t="str">
            <v>DE.1.0.7.0</v>
          </cell>
          <cell r="D94" t="str">
            <v>204:232972</v>
          </cell>
          <cell r="E94">
            <v>42598.577743055554</v>
          </cell>
          <cell r="F94">
            <v>42598.578796296293</v>
          </cell>
          <cell r="G94">
            <v>1</v>
          </cell>
          <cell r="H94" t="str">
            <v>204:149</v>
          </cell>
          <cell r="I94">
            <v>42598.611747685187</v>
          </cell>
          <cell r="J94">
            <v>1</v>
          </cell>
          <cell r="K94" t="str">
            <v>4037/4038</v>
          </cell>
          <cell r="L94" t="str">
            <v>STEWART</v>
          </cell>
          <cell r="M94">
            <v>3.295138889370719E-2</v>
          </cell>
          <cell r="N94">
            <v>47.450000006938353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https://search-rtdc-monitor-bjffxe2xuh6vdkpspy63sjmuny.us-east-1.es.amazonaws.com/_plugin/kibana/#/discover/Steve-Slow-Train-Analysis-(2080s-and-2083s)?_g=(refreshInterval:(display:Off,section:0,value:0),time:(from:'2016-08-16 12:51:57-0600',mode:absolute,to:'2016-08-16 15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4" t="str">
            <v>N</v>
          </cell>
          <cell r="X94">
            <v>1</v>
          </cell>
          <cell r="Y94">
            <v>23.2972</v>
          </cell>
          <cell r="Z94">
            <v>1.49E-2</v>
          </cell>
          <cell r="AA94">
            <v>23.282299999999999</v>
          </cell>
          <cell r="AB94" t="e">
            <v>#N/A</v>
          </cell>
          <cell r="AC94" t="e">
            <v>#N/A</v>
          </cell>
          <cell r="AD94" t="str">
            <v>0176-16</v>
          </cell>
          <cell r="AE9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95">
          <cell r="A95" t="str">
            <v>177-16</v>
          </cell>
          <cell r="B95">
            <v>4029</v>
          </cell>
          <cell r="C95" t="str">
            <v>DE.1.0.7.0</v>
          </cell>
          <cell r="D95" t="str">
            <v>204:453</v>
          </cell>
          <cell r="E95">
            <v>42598.550891203704</v>
          </cell>
          <cell r="F95">
            <v>42598.55196759259</v>
          </cell>
          <cell r="G95">
            <v>1</v>
          </cell>
          <cell r="H95" t="str">
            <v>204:233274</v>
          </cell>
          <cell r="I95">
            <v>42598.583761574075</v>
          </cell>
          <cell r="J95">
            <v>1</v>
          </cell>
          <cell r="K95" t="str">
            <v>4029/4030</v>
          </cell>
          <cell r="L95" t="str">
            <v>HELVIE</v>
          </cell>
          <cell r="M95">
            <v>3.1793981484952383E-2</v>
          </cell>
          <cell r="N95">
            <v>45.783333338331431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https://search-rtdc-monitor-bjffxe2xuh6vdkpspy63sjmuny.us-east-1.es.amazonaws.com/_plugin/kibana/#/discover/Steve-Slow-Train-Analysis-(2080s-and-2083s)?_g=(refreshInterval:(display:Off,section:0,value:0),time:(from:'2016-08-16 12:13:17-0600',mode:absolute,to:'2016-08-16 15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5" t="str">
            <v>N</v>
          </cell>
          <cell r="X95">
            <v>1</v>
          </cell>
          <cell r="Y95">
            <v>4.53E-2</v>
          </cell>
          <cell r="Z95">
            <v>23.327400000000001</v>
          </cell>
          <cell r="AA95">
            <v>23.2821</v>
          </cell>
          <cell r="AB95" t="e">
            <v>#N/A</v>
          </cell>
          <cell r="AC95" t="e">
            <v>#N/A</v>
          </cell>
          <cell r="AD95" t="str">
            <v>0177-16</v>
          </cell>
          <cell r="AE9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96">
          <cell r="A96" t="str">
            <v>178-16</v>
          </cell>
          <cell r="B96">
            <v>4030</v>
          </cell>
          <cell r="C96" t="str">
            <v>DE.1.0.7.0</v>
          </cell>
          <cell r="D96" t="str">
            <v>204:232980</v>
          </cell>
          <cell r="E96">
            <v>42598.585358796299</v>
          </cell>
          <cell r="F96">
            <v>42598.58666666667</v>
          </cell>
          <cell r="G96">
            <v>1</v>
          </cell>
          <cell r="H96" t="str">
            <v>204:143</v>
          </cell>
          <cell r="I96">
            <v>42598.621562499997</v>
          </cell>
          <cell r="J96">
            <v>1</v>
          </cell>
          <cell r="K96" t="str">
            <v>4029/4030</v>
          </cell>
          <cell r="L96" t="str">
            <v>HELVIE</v>
          </cell>
          <cell r="M96">
            <v>3.4895833327027503E-2</v>
          </cell>
          <cell r="N96">
            <v>50.249999990919605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https://search-rtdc-monitor-bjffxe2xuh6vdkpspy63sjmuny.us-east-1.es.amazonaws.com/_plugin/kibana/#/discover/Steve-Slow-Train-Analysis-(2080s-and-2083s)?_g=(refreshInterval:(display:Off,section:0,value:0),time:(from:'2016-08-16 13:02:55-0600',mode:absolute,to:'2016-08-16 15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6" t="str">
            <v>N</v>
          </cell>
          <cell r="X96">
            <v>1</v>
          </cell>
          <cell r="Y96">
            <v>23.297999999999998</v>
          </cell>
          <cell r="Z96">
            <v>1.43E-2</v>
          </cell>
          <cell r="AA96">
            <v>23.2837</v>
          </cell>
          <cell r="AB96" t="e">
            <v>#N/A</v>
          </cell>
          <cell r="AC96" t="e">
            <v>#N/A</v>
          </cell>
          <cell r="AD96" t="str">
            <v>0178-16</v>
          </cell>
          <cell r="AE9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97">
          <cell r="A97" t="str">
            <v>179-16</v>
          </cell>
          <cell r="B97">
            <v>4009</v>
          </cell>
          <cell r="C97" t="str">
            <v>DE.1.0.7.0</v>
          </cell>
          <cell r="D97" t="str">
            <v>204:464</v>
          </cell>
          <cell r="E97">
            <v>42598.559293981481</v>
          </cell>
          <cell r="F97">
            <v>42598.560243055559</v>
          </cell>
          <cell r="G97">
            <v>1</v>
          </cell>
          <cell r="H97" t="str">
            <v>204:233300</v>
          </cell>
          <cell r="I97">
            <v>42598.588553240741</v>
          </cell>
          <cell r="J97">
            <v>1</v>
          </cell>
          <cell r="K97" t="str">
            <v>4009/4010</v>
          </cell>
          <cell r="L97" t="str">
            <v>HAITHCOX</v>
          </cell>
          <cell r="M97">
            <v>2.8310185181908309E-2</v>
          </cell>
          <cell r="N97">
            <v>40.766666661947966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https://search-rtdc-monitor-bjffxe2xuh6vdkpspy63sjmuny.us-east-1.es.amazonaws.com/_plugin/kibana/#/discover/Steve-Slow-Train-Analysis-(2080s-and-2083s)?_g=(refreshInterval:(display:Off,section:0,value:0),time:(from:'2016-08-16 12:25:23-0600',mode:absolute,to:'2016-08-16 15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7" t="str">
            <v>N</v>
          </cell>
          <cell r="X97">
            <v>1</v>
          </cell>
          <cell r="Y97">
            <v>4.6399999999999997E-2</v>
          </cell>
          <cell r="Z97">
            <v>23.33</v>
          </cell>
          <cell r="AA97">
            <v>23.2836</v>
          </cell>
          <cell r="AB97" t="e">
            <v>#N/A</v>
          </cell>
          <cell r="AC97" t="e">
            <v>#N/A</v>
          </cell>
          <cell r="AD97" t="str">
            <v>0179-16</v>
          </cell>
          <cell r="AE97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98">
          <cell r="A98" t="str">
            <v>180-16</v>
          </cell>
          <cell r="B98">
            <v>4010</v>
          </cell>
          <cell r="C98" t="str">
            <v>DE.1.0.7.0</v>
          </cell>
          <cell r="D98" t="str">
            <v>204:232996</v>
          </cell>
          <cell r="E98">
            <v>42598.597685185188</v>
          </cell>
          <cell r="F98">
            <v>42598.598368055558</v>
          </cell>
          <cell r="G98">
            <v>0</v>
          </cell>
          <cell r="H98" t="str">
            <v>204:130</v>
          </cell>
          <cell r="I98">
            <v>42598.629247685189</v>
          </cell>
          <cell r="J98">
            <v>1</v>
          </cell>
          <cell r="K98" t="str">
            <v>4009/4010</v>
          </cell>
          <cell r="L98" t="str">
            <v>HAITHCOX</v>
          </cell>
          <cell r="M98">
            <v>3.0879629630362615E-2</v>
          </cell>
          <cell r="N98">
            <v>44.466666667722166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https://search-rtdc-monitor-bjffxe2xuh6vdkpspy63sjmuny.us-east-1.es.amazonaws.com/_plugin/kibana/#/discover/Steve-Slow-Train-Analysis-(2080s-and-2083s)?_g=(refreshInterval:(display:Off,section:0,value:0),time:(from:'2016-08-16 13:20:40-0600',mode:absolute,to:'2016-08-16 16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8" t="str">
            <v>N</v>
          </cell>
          <cell r="X98">
            <v>1</v>
          </cell>
          <cell r="Y98">
            <v>23.299600000000002</v>
          </cell>
          <cell r="Z98">
            <v>1.2999999999999999E-2</v>
          </cell>
          <cell r="AA98">
            <v>23.2866</v>
          </cell>
          <cell r="AB98" t="e">
            <v>#N/A</v>
          </cell>
          <cell r="AC98" t="e">
            <v>#N/A</v>
          </cell>
          <cell r="AD98" t="str">
            <v>0180-16</v>
          </cell>
          <cell r="AE98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99">
          <cell r="A99" t="str">
            <v>181-16</v>
          </cell>
          <cell r="B99">
            <v>4044</v>
          </cell>
          <cell r="C99" t="str">
            <v>DE.1.0.7.0</v>
          </cell>
          <cell r="D99" t="str">
            <v>204:467</v>
          </cell>
          <cell r="E99">
            <v>42598.573645833334</v>
          </cell>
          <cell r="F99">
            <v>42598.574803240743</v>
          </cell>
          <cell r="G99">
            <v>1</v>
          </cell>
          <cell r="H99" t="str">
            <v>204:233307</v>
          </cell>
          <cell r="I99">
            <v>42598.600636574076</v>
          </cell>
          <cell r="J99">
            <v>1</v>
          </cell>
          <cell r="K99" t="str">
            <v>4043/4044</v>
          </cell>
          <cell r="L99" t="str">
            <v>NEWELL</v>
          </cell>
          <cell r="M99">
            <v>2.5833333333139308E-2</v>
          </cell>
          <cell r="N99">
            <v>37.199999999720603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https://search-rtdc-monitor-bjffxe2xuh6vdkpspy63sjmuny.us-east-1.es.amazonaws.com/_plugin/kibana/#/discover/Steve-Slow-Train-Analysis-(2080s-and-2083s)?_g=(refreshInterval:(display:Off,section:0,value:0),time:(from:'2016-08-16 12:46:03-0600',mode:absolute,to:'2016-08-16 15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9" t="str">
            <v>N</v>
          </cell>
          <cell r="X99">
            <v>1</v>
          </cell>
          <cell r="Y99">
            <v>4.6699999999999998E-2</v>
          </cell>
          <cell r="Z99">
            <v>23.3307</v>
          </cell>
          <cell r="AA99">
            <v>23.283999999999999</v>
          </cell>
          <cell r="AB99" t="e">
            <v>#N/A</v>
          </cell>
          <cell r="AC99" t="e">
            <v>#N/A</v>
          </cell>
          <cell r="AD99" t="str">
            <v>0181-16</v>
          </cell>
          <cell r="AE99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00">
          <cell r="A100" t="str">
            <v>182-16</v>
          </cell>
          <cell r="B100">
            <v>4043</v>
          </cell>
          <cell r="C100" t="str">
            <v>DE.1.0.7.0</v>
          </cell>
          <cell r="D100" t="str">
            <v>204:232980</v>
          </cell>
          <cell r="E100">
            <v>42598.602256944447</v>
          </cell>
          <cell r="F100">
            <v>42598.603101851855</v>
          </cell>
          <cell r="G100">
            <v>1</v>
          </cell>
          <cell r="H100" t="str">
            <v>204:163</v>
          </cell>
          <cell r="I100">
            <v>42598.638472222221</v>
          </cell>
          <cell r="J100">
            <v>1</v>
          </cell>
          <cell r="K100" t="str">
            <v>4043/4044</v>
          </cell>
          <cell r="L100" t="str">
            <v>NEWELL</v>
          </cell>
          <cell r="M100">
            <v>3.5370370365853887E-2</v>
          </cell>
          <cell r="N100">
            <v>50.933333326829597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https://search-rtdc-monitor-bjffxe2xuh6vdkpspy63sjmuny.us-east-1.es.amazonaws.com/_plugin/kibana/#/discover/Steve-Slow-Train-Analysis-(2080s-and-2083s)?_g=(refreshInterval:(display:Off,section:0,value:0),time:(from:'2016-08-16 13:27:15-0600',mode:absolute,to:'2016-08-16 16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0" t="str">
            <v>N</v>
          </cell>
          <cell r="X100">
            <v>1</v>
          </cell>
          <cell r="Y100">
            <v>23.297999999999998</v>
          </cell>
          <cell r="Z100">
            <v>1.6299999999999999E-2</v>
          </cell>
          <cell r="AA100">
            <v>23.281699999999997</v>
          </cell>
          <cell r="AB100" t="e">
            <v>#N/A</v>
          </cell>
          <cell r="AC100" t="e">
            <v>#N/A</v>
          </cell>
          <cell r="AD100" t="str">
            <v>0182-16</v>
          </cell>
          <cell r="AE100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01">
          <cell r="A101" t="str">
            <v>183-16</v>
          </cell>
          <cell r="B101">
            <v>4031</v>
          </cell>
          <cell r="C101" t="str">
            <v>DE.1.0.7.0</v>
          </cell>
          <cell r="D101" t="str">
            <v>204:457</v>
          </cell>
          <cell r="E101">
            <v>42598.585821759261</v>
          </cell>
          <cell r="F101">
            <v>42598.587141203701</v>
          </cell>
          <cell r="G101">
            <v>1</v>
          </cell>
          <cell r="H101" t="str">
            <v>204:233298</v>
          </cell>
          <cell r="I101">
            <v>42598.616087962961</v>
          </cell>
          <cell r="J101">
            <v>1</v>
          </cell>
          <cell r="K101" t="str">
            <v>4031/4032</v>
          </cell>
          <cell r="L101" t="str">
            <v>MAYBERRY</v>
          </cell>
          <cell r="M101">
            <v>2.8946759259270038E-2</v>
          </cell>
          <cell r="N101">
            <v>41.683333333348855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https://search-rtdc-monitor-bjffxe2xuh6vdkpspy63sjmuny.us-east-1.es.amazonaws.com/_plugin/kibana/#/discover/Steve-Slow-Train-Analysis-(2080s-and-2083s)?_g=(refreshInterval:(display:Off,section:0,value:0),time:(from:'2016-08-16 13:03:35-0600',mode:absolute,to:'2016-08-16 15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01" t="str">
            <v>N</v>
          </cell>
          <cell r="X101">
            <v>1</v>
          </cell>
          <cell r="Y101">
            <v>4.5699999999999998E-2</v>
          </cell>
          <cell r="Z101">
            <v>23.329799999999999</v>
          </cell>
          <cell r="AA101">
            <v>23.284099999999999</v>
          </cell>
          <cell r="AB101" t="e">
            <v>#N/A</v>
          </cell>
          <cell r="AC101" t="e">
            <v>#N/A</v>
          </cell>
          <cell r="AD101" t="str">
            <v>0183-16</v>
          </cell>
          <cell r="AE101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02">
          <cell r="A102" t="str">
            <v>184-16</v>
          </cell>
          <cell r="B102">
            <v>4032</v>
          </cell>
          <cell r="C102" t="str">
            <v>DE.1.0.7.0</v>
          </cell>
          <cell r="D102" t="str">
            <v>204:232976</v>
          </cell>
          <cell r="E102">
            <v>42598.617893518516</v>
          </cell>
          <cell r="F102">
            <v>42598.622881944444</v>
          </cell>
          <cell r="G102">
            <v>7</v>
          </cell>
          <cell r="H102" t="str">
            <v>204:167</v>
          </cell>
          <cell r="I102">
            <v>42598.652430555558</v>
          </cell>
          <cell r="J102">
            <v>1</v>
          </cell>
          <cell r="K102" t="str">
            <v>4031/4032</v>
          </cell>
          <cell r="L102" t="str">
            <v>MAYBERRY</v>
          </cell>
          <cell r="M102">
            <v>2.9548611113568768E-2</v>
          </cell>
          <cell r="N102">
            <v>42.550000003539026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https://search-rtdc-monitor-bjffxe2xuh6vdkpspy63sjmuny.us-east-1.es.amazonaws.com/_plugin/kibana/#/discover/Steve-Slow-Train-Analysis-(2080s-and-2083s)?_g=(refreshInterval:(display:Off,section:0,value:0),time:(from:'2016-08-16 13:49:46-0600',mode:absolute,to:'2016-08-16 16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2" t="str">
            <v>N</v>
          </cell>
          <cell r="X102">
            <v>1</v>
          </cell>
          <cell r="Y102">
            <v>23.297599999999999</v>
          </cell>
          <cell r="Z102">
            <v>1.67E-2</v>
          </cell>
          <cell r="AA102">
            <v>23.280899999999999</v>
          </cell>
          <cell r="AB102" t="e">
            <v>#N/A</v>
          </cell>
          <cell r="AC102" t="e">
            <v>#N/A</v>
          </cell>
          <cell r="AD102" t="str">
            <v>0184-16</v>
          </cell>
          <cell r="AE102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03">
          <cell r="A103" t="str">
            <v>185-16</v>
          </cell>
          <cell r="B103">
            <v>4011</v>
          </cell>
          <cell r="C103" t="str">
            <v>DE.1.0.7.0</v>
          </cell>
          <cell r="D103" t="str">
            <v>204:442</v>
          </cell>
          <cell r="E103">
            <v>42598.592812499999</v>
          </cell>
          <cell r="F103">
            <v>42598.594837962963</v>
          </cell>
          <cell r="G103">
            <v>2</v>
          </cell>
          <cell r="H103" t="str">
            <v>204:233266</v>
          </cell>
          <cell r="I103">
            <v>42598.62736111111</v>
          </cell>
          <cell r="J103">
            <v>1</v>
          </cell>
          <cell r="K103" t="str">
            <v>4011/4012</v>
          </cell>
          <cell r="L103" t="str">
            <v>GRASTON</v>
          </cell>
          <cell r="M103">
            <v>3.25231481474475E-2</v>
          </cell>
          <cell r="N103">
            <v>46.833333332324401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https://search-rtdc-monitor-bjffxe2xuh6vdkpspy63sjmuny.us-east-1.es.amazonaws.com/_plugin/kibana/#/discover/Steve-Slow-Train-Analysis-(2080s-and-2083s)?_g=(refreshInterval:(display:Off,section:0,value:0),time:(from:'2016-08-16 13:13:39-0600',mode:absolute,to:'2016-08-16 16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03" t="str">
            <v>N</v>
          </cell>
          <cell r="X103">
            <v>1</v>
          </cell>
          <cell r="Y103">
            <v>4.4200000000000003E-2</v>
          </cell>
          <cell r="Z103">
            <v>23.326599999999999</v>
          </cell>
          <cell r="AA103">
            <v>23.282399999999999</v>
          </cell>
          <cell r="AB103" t="e">
            <v>#N/A</v>
          </cell>
          <cell r="AC103" t="e">
            <v>#N/A</v>
          </cell>
          <cell r="AD103" t="str">
            <v>0185-16</v>
          </cell>
          <cell r="AE103" t="str">
    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    </cell>
        </row>
        <row r="104">
          <cell r="A104" t="str">
            <v>186-16</v>
          </cell>
          <cell r="B104">
            <v>4012</v>
          </cell>
          <cell r="C104" t="str">
            <v>DE.1.0.7.0</v>
          </cell>
          <cell r="D104" t="str">
            <v>204:232965</v>
          </cell>
          <cell r="E104">
            <v>42598.630740740744</v>
          </cell>
          <cell r="F104">
            <v>42598.631678240738</v>
          </cell>
          <cell r="G104">
            <v>1</v>
          </cell>
          <cell r="H104" t="str">
            <v>204:18735</v>
          </cell>
          <cell r="I104">
            <v>42598.661134259259</v>
          </cell>
          <cell r="J104">
            <v>1</v>
          </cell>
          <cell r="K104" t="str">
            <v>4011/4012</v>
          </cell>
          <cell r="L104" t="str">
            <v>GRASTON</v>
          </cell>
          <cell r="M104">
            <v>2.9456018521159422E-2</v>
          </cell>
          <cell r="P104">
            <v>42.416666670469567</v>
          </cell>
          <cell r="R104" t="str">
            <v>Mechanical issue?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https://search-rtdc-monitor-bjffxe2xuh6vdkpspy63sjmuny.us-east-1.es.amazonaws.com/_plugin/kibana/#/discover/Steve-Slow-Train-Analysis-(2080s-and-2083s)?_g=(refreshInterval:(display:Off,section:0,value:0),time:(from:'2016-08-16 14:08:16-0600',mode:absolute,to:'2016-08-16 16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04" t="str">
            <v>Y</v>
          </cell>
          <cell r="X104">
            <v>1</v>
          </cell>
          <cell r="Y104">
            <v>23.296500000000002</v>
          </cell>
          <cell r="Z104">
            <v>1.8734999999999999</v>
          </cell>
          <cell r="AA104">
            <v>21.423000000000002</v>
          </cell>
          <cell r="AB104" t="e">
            <v>#N/A</v>
          </cell>
          <cell r="AC104" t="e">
            <v>#N/A</v>
          </cell>
          <cell r="AD104" t="str">
            <v>0186-16</v>
          </cell>
          <cell r="AE104" t="str">
    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    </cell>
        </row>
        <row r="105">
          <cell r="A105" t="str">
            <v>187-16</v>
          </cell>
          <cell r="B105">
            <v>4018</v>
          </cell>
          <cell r="C105" t="str">
            <v>DE.1.0.7.0</v>
          </cell>
          <cell r="D105" t="str">
            <v>204:458</v>
          </cell>
          <cell r="E105">
            <v>42598.602708333332</v>
          </cell>
          <cell r="F105">
            <v>42598.603495370371</v>
          </cell>
          <cell r="G105">
            <v>1</v>
          </cell>
          <cell r="H105" t="str">
            <v>204:233346</v>
          </cell>
          <cell r="I105">
            <v>42598.629849537036</v>
          </cell>
          <cell r="J105">
            <v>1</v>
          </cell>
          <cell r="K105" t="str">
            <v>4017/4018</v>
          </cell>
          <cell r="L105" t="str">
            <v>BARTLETT</v>
          </cell>
          <cell r="M105">
            <v>2.6354166664532386E-2</v>
          </cell>
          <cell r="N105">
            <v>37.949999996926636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https://search-rtdc-monitor-bjffxe2xuh6vdkpspy63sjmuny.us-east-1.es.amazonaws.com/_plugin/kibana/#/discover/Steve-Slow-Train-Analysis-(2080s-and-2083s)?_g=(refreshInterval:(display:Off,section:0,value:0),time:(from:'2016-08-16 13:27:54-0600',mode:absolute,to:'2016-08-16 16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5" t="str">
            <v>N</v>
          </cell>
          <cell r="X105">
            <v>1</v>
          </cell>
          <cell r="Y105">
            <v>4.58E-2</v>
          </cell>
          <cell r="Z105">
            <v>23.334599999999998</v>
          </cell>
          <cell r="AA105">
            <v>23.288799999999998</v>
          </cell>
          <cell r="AB105" t="e">
            <v>#N/A</v>
          </cell>
          <cell r="AC105" t="e">
            <v>#N/A</v>
          </cell>
          <cell r="AD105" t="str">
            <v>0187-16</v>
          </cell>
          <cell r="AE105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06">
          <cell r="A106" t="str">
            <v>188-16</v>
          </cell>
          <cell r="B106">
            <v>4017</v>
          </cell>
          <cell r="C106" t="str">
            <v>DE.1.0.7.0</v>
          </cell>
          <cell r="D106" t="str">
            <v>204:233017</v>
          </cell>
          <cell r="E106">
            <v>42598.63921296296</v>
          </cell>
          <cell r="F106">
            <v>42598.640138888892</v>
          </cell>
          <cell r="G106">
            <v>1</v>
          </cell>
          <cell r="H106" t="str">
            <v>204:149</v>
          </cell>
          <cell r="I106">
            <v>42598.670520833337</v>
          </cell>
          <cell r="J106">
            <v>1</v>
          </cell>
          <cell r="K106" t="str">
            <v>4017/4018</v>
          </cell>
          <cell r="L106" t="str">
            <v>BARTLETT</v>
          </cell>
          <cell r="M106">
            <v>3.0381944445252884E-2</v>
          </cell>
          <cell r="N106">
            <v>43.750000001164153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https://search-rtdc-monitor-bjffxe2xuh6vdkpspy63sjmuny.us-east-1.es.amazonaws.com/_plugin/kibana/#/discover/Steve-Slow-Train-Analysis-(2080s-and-2083s)?_g=(refreshInterval:(display:Off,section:0,value:0),time:(from:'2016-08-16 14:20:28-0600',mode:absolute,to:'2016-08-16 17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6" t="str">
            <v>N</v>
          </cell>
          <cell r="X106">
            <v>1</v>
          </cell>
          <cell r="Y106">
            <v>23.3017</v>
          </cell>
          <cell r="Z106">
            <v>1.49E-2</v>
          </cell>
          <cell r="AA106">
            <v>23.286799999999999</v>
          </cell>
          <cell r="AB106" t="e">
            <v>#N/A</v>
          </cell>
          <cell r="AC106" t="e">
            <v>#N/A</v>
          </cell>
          <cell r="AD106" t="str">
            <v>0188-16</v>
          </cell>
          <cell r="AE106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07">
          <cell r="A107" t="str">
            <v>189-16</v>
          </cell>
          <cell r="B107">
            <v>4038</v>
          </cell>
          <cell r="C107" t="str">
            <v>DE.1.0.7.0</v>
          </cell>
          <cell r="D107" t="str">
            <v>204:449</v>
          </cell>
          <cell r="E107">
            <v>42598.613599537035</v>
          </cell>
          <cell r="F107">
            <v>42598.614814814813</v>
          </cell>
          <cell r="G107">
            <v>1</v>
          </cell>
          <cell r="H107" t="str">
            <v>204:233320</v>
          </cell>
          <cell r="I107">
            <v>42598.642175925925</v>
          </cell>
          <cell r="J107">
            <v>1</v>
          </cell>
          <cell r="K107" t="str">
            <v>4037/4038</v>
          </cell>
          <cell r="L107" t="str">
            <v>STEWART</v>
          </cell>
          <cell r="M107">
            <v>2.73611111115315E-2</v>
          </cell>
          <cell r="N107">
            <v>39.40000000060536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https://search-rtdc-monitor-bjffxe2xuh6vdkpspy63sjmuny.us-east-1.es.amazonaws.com/_plugin/kibana/#/discover/Steve-Slow-Train-Analysis-(2080s-and-2083s)?_g=(refreshInterval:(display:Off,section:0,value:0),time:(from:'2016-08-16 13:43:35-0600',mode:absolute,to:'2016-08-16 16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7" t="str">
            <v>N</v>
          </cell>
          <cell r="X107">
            <v>1</v>
          </cell>
          <cell r="Y107">
            <v>4.4900000000000002E-2</v>
          </cell>
          <cell r="Z107">
            <v>23.332000000000001</v>
          </cell>
          <cell r="AA107">
            <v>23.287100000000002</v>
          </cell>
          <cell r="AB107" t="e">
            <v>#N/A</v>
          </cell>
          <cell r="AC107" t="e">
            <v>#N/A</v>
          </cell>
          <cell r="AD107" t="str">
            <v>0189-16</v>
          </cell>
          <cell r="AE107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08">
          <cell r="A108" t="str">
            <v>190-16</v>
          </cell>
          <cell r="B108">
            <v>4037</v>
          </cell>
          <cell r="C108" t="str">
            <v>DE.1.0.7.0</v>
          </cell>
          <cell r="D108" t="str">
            <v>204:232957</v>
          </cell>
          <cell r="E108">
            <v>42598.650706018518</v>
          </cell>
          <cell r="F108">
            <v>42598.651655092595</v>
          </cell>
          <cell r="G108">
            <v>1</v>
          </cell>
          <cell r="H108" t="str">
            <v>204:236</v>
          </cell>
          <cell r="I108">
            <v>42598.684745370374</v>
          </cell>
          <cell r="J108">
            <v>1</v>
          </cell>
          <cell r="K108" t="str">
            <v>4037/4038</v>
          </cell>
          <cell r="L108" t="str">
            <v>STEWART</v>
          </cell>
          <cell r="M108">
            <v>3.309027777868323E-2</v>
          </cell>
          <cell r="N108">
            <v>47.650000001303852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8" t="str">
            <v>N</v>
          </cell>
          <cell r="X108">
            <v>1</v>
          </cell>
          <cell r="Y108">
            <v>23.2957</v>
          </cell>
          <cell r="Z108">
            <v>2.3599999999999999E-2</v>
          </cell>
          <cell r="AA108">
            <v>23.272100000000002</v>
          </cell>
          <cell r="AB108">
            <v>30562</v>
          </cell>
          <cell r="AC108" t="str">
            <v>PERMANENT SPEED RESTRICTION</v>
          </cell>
          <cell r="AD108" t="str">
            <v>0190-16</v>
          </cell>
          <cell r="AE108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09">
          <cell r="A109" t="str">
            <v>191-16</v>
          </cell>
          <cell r="B109">
            <v>4029</v>
          </cell>
          <cell r="C109" t="str">
            <v>DE.1.0.7.0</v>
          </cell>
          <cell r="D109" t="str">
            <v>204:473</v>
          </cell>
          <cell r="E109">
            <v>42598.622800925928</v>
          </cell>
          <cell r="F109">
            <v>42598.62395833333</v>
          </cell>
          <cell r="G109">
            <v>1</v>
          </cell>
          <cell r="H109" t="str">
            <v>204:233319</v>
          </cell>
          <cell r="I109">
            <v>42598.650972222225</v>
          </cell>
          <cell r="J109">
            <v>1</v>
          </cell>
          <cell r="K109" t="str">
            <v>4029/4030</v>
          </cell>
          <cell r="L109" t="str">
            <v>HELVIE</v>
          </cell>
          <cell r="M109">
            <v>2.701388889545342E-2</v>
          </cell>
          <cell r="N109">
            <v>38.900000009452924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https://search-rtdc-monitor-bjffxe2xuh6vdkpspy63sjmuny.us-east-1.es.amazonaws.com/_plugin/kibana/#/discover/Steve-Slow-Train-Analysis-(2080s-and-2083s)?_g=(refreshInterval:(display:Off,section:0,value:0),time:(from:'2016-08-16 13:56:50-0600',mode:absolute,to:'2016-08-16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9" t="str">
            <v>N</v>
          </cell>
          <cell r="X109">
            <v>1</v>
          </cell>
          <cell r="Y109">
            <v>4.7300000000000002E-2</v>
          </cell>
          <cell r="Z109">
            <v>23.331900000000001</v>
          </cell>
          <cell r="AA109">
            <v>23.284600000000001</v>
          </cell>
          <cell r="AB109" t="e">
            <v>#N/A</v>
          </cell>
          <cell r="AC109" t="e">
            <v>#N/A</v>
          </cell>
          <cell r="AD109" t="str">
            <v>0191-16</v>
          </cell>
          <cell r="AE109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10">
          <cell r="A110" t="str">
            <v>192-16</v>
          </cell>
          <cell r="B110">
            <v>4030</v>
          </cell>
          <cell r="C110" t="str">
            <v>DE.1.0.7.0</v>
          </cell>
          <cell r="D110" t="str">
            <v>204:127861</v>
          </cell>
          <cell r="E110">
            <v>42598.675821759258</v>
          </cell>
          <cell r="F110">
            <v>42598.676759259259</v>
          </cell>
          <cell r="G110">
            <v>1</v>
          </cell>
          <cell r="H110" t="str">
            <v>204:165</v>
          </cell>
          <cell r="I110">
            <v>42598.695763888885</v>
          </cell>
          <cell r="J110">
            <v>1</v>
          </cell>
          <cell r="K110" t="str">
            <v>4029/4030</v>
          </cell>
          <cell r="L110" t="str">
            <v>HELVIE</v>
          </cell>
          <cell r="M110">
            <v>1.9004629626579117E-2</v>
          </cell>
          <cell r="P110">
            <v>46.266666658921167</v>
          </cell>
          <cell r="R110" t="str">
            <v>Pena 4S was stuck at STOP, no controls sent by TMDS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https://search-rtdc-monitor-bjffxe2xuh6vdkpspy63sjmuny.us-east-1.es.amazonaws.com/_plugin/kibana/#/discover/Steve-Slow-Train-Analysis-(2080s-and-2083s)?_g=(refreshInterval:(display:Off,section:0,value:0),time:(from:'2016-08-16 15:13:11-0600',mode:absolute,to:'2016-08-16 17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0" t="str">
            <v>Y</v>
          </cell>
          <cell r="X110">
            <v>1</v>
          </cell>
          <cell r="Y110">
            <v>12.786099999999999</v>
          </cell>
          <cell r="Z110">
            <v>1.6500000000000001E-2</v>
          </cell>
          <cell r="AA110">
            <v>12.769599999999999</v>
          </cell>
          <cell r="AB110" t="e">
            <v>#N/A</v>
          </cell>
          <cell r="AC110" t="e">
            <v>#N/A</v>
          </cell>
          <cell r="AD110" t="str">
            <v>0192-16</v>
          </cell>
          <cell r="AE110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11">
          <cell r="A111" t="str">
            <v>192-16</v>
          </cell>
          <cell r="B111">
            <v>4030</v>
          </cell>
          <cell r="C111" t="str">
            <v>DE.1.0.7.0</v>
          </cell>
          <cell r="D111" t="str">
            <v>204:232983</v>
          </cell>
          <cell r="E111">
            <v>42598.653506944444</v>
          </cell>
          <cell r="F111">
            <v>42598.654756944445</v>
          </cell>
          <cell r="G111">
            <v>1</v>
          </cell>
          <cell r="H111" t="str">
            <v>204:194105</v>
          </cell>
          <cell r="I111">
            <v>42598.667881944442</v>
          </cell>
          <cell r="J111">
            <v>1</v>
          </cell>
          <cell r="K111" t="str">
            <v>4029/4030</v>
          </cell>
          <cell r="L111" t="str">
            <v>HELVIE</v>
          </cell>
          <cell r="M111">
            <v>1.3124999997671694E-2</v>
          </cell>
          <cell r="T111" t="str">
            <v>Southbound</v>
          </cell>
          <cell r="U111">
            <v>0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https://search-rtdc-monitor-bjffxe2xuh6vdkpspy63sjmuny.us-east-1.es.amazonaws.com/_plugin/kibana/#/discover/Steve-Slow-Train-Analysis-(2080s-and-2083s)?_g=(refreshInterval:(display:Off,section:0,value:0),time:(from:'2016-08-16 14:41:03-0600',mode:absolute,to:'2016-08-16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1" t="str">
            <v>Y</v>
          </cell>
          <cell r="X111">
            <v>0</v>
          </cell>
          <cell r="Y111">
            <v>23.298300000000001</v>
          </cell>
          <cell r="Z111">
            <v>19.410499999999999</v>
          </cell>
          <cell r="AA111">
            <v>3.8878000000000021</v>
          </cell>
          <cell r="AB111" t="e">
            <v>#N/A</v>
          </cell>
          <cell r="AC111" t="e">
            <v>#N/A</v>
          </cell>
          <cell r="AD111" t="str">
            <v>0192-16</v>
          </cell>
          <cell r="AE111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12">
          <cell r="A112" t="str">
            <v>193-16</v>
          </cell>
          <cell r="B112">
            <v>4009</v>
          </cell>
          <cell r="C112" t="str">
            <v>DE.1.0.7.0</v>
          </cell>
          <cell r="D112" t="str">
            <v>204:460</v>
          </cell>
          <cell r="E112">
            <v>42598.630532407406</v>
          </cell>
          <cell r="F112">
            <v>42598.631319444445</v>
          </cell>
          <cell r="G112">
            <v>1</v>
          </cell>
          <cell r="H112" t="str">
            <v>204:233307</v>
          </cell>
          <cell r="I112">
            <v>42598.660601851851</v>
          </cell>
          <cell r="J112">
            <v>1</v>
          </cell>
          <cell r="K112" t="str">
            <v>4009/4010</v>
          </cell>
          <cell r="L112" t="str">
            <v>HAITHCOX</v>
          </cell>
          <cell r="M112">
            <v>2.9282407405844424E-2</v>
          </cell>
          <cell r="N112">
            <v>42.16666666441597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https://search-rtdc-monitor-bjffxe2xuh6vdkpspy63sjmuny.us-east-1.es.amazonaws.com/_plugin/kibana/#/discover/Steve-Slow-Train-Analysis-(2080s-and-2083s)?_g=(refreshInterval:(display:Off,section:0,value:0),time:(from:'2016-08-16 14:07:58-0600',mode:absolute,to:'2016-08-16 16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2" t="str">
            <v>N</v>
          </cell>
          <cell r="X112">
            <v>1</v>
          </cell>
          <cell r="Y112">
            <v>4.5999999999999999E-2</v>
          </cell>
          <cell r="Z112">
            <v>23.3307</v>
          </cell>
          <cell r="AA112">
            <v>23.284700000000001</v>
          </cell>
          <cell r="AB112" t="e">
            <v>#N/A</v>
          </cell>
          <cell r="AC112" t="e">
            <v>#N/A</v>
          </cell>
          <cell r="AD112" t="str">
            <v>0193-16</v>
          </cell>
          <cell r="AE112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113">
          <cell r="A113" t="str">
            <v>194-16</v>
          </cell>
          <cell r="B113">
            <v>4010</v>
          </cell>
          <cell r="C113" t="str">
            <v>DE.1.0.7.0</v>
          </cell>
          <cell r="D113" t="str">
            <v>204:232994</v>
          </cell>
          <cell r="E113">
            <v>42598.668715277781</v>
          </cell>
          <cell r="F113">
            <v>42598.66946759259</v>
          </cell>
          <cell r="G113">
            <v>1</v>
          </cell>
          <cell r="H113" t="str">
            <v>204:154</v>
          </cell>
          <cell r="I113">
            <v>42598.702939814815</v>
          </cell>
          <cell r="J113">
            <v>1</v>
          </cell>
          <cell r="K113" t="str">
            <v>4009/4010</v>
          </cell>
          <cell r="L113" t="str">
            <v>HAITHCOX</v>
          </cell>
          <cell r="M113">
            <v>3.3472222225100268E-2</v>
          </cell>
          <cell r="N113">
            <v>48.200000004144385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https://search-rtdc-monitor-bjffxe2xuh6vdkpspy63sjmuny.us-east-1.es.amazonaws.com/_plugin/kibana/#/discover/Steve-Slow-Train-Analysis-(2080s-and-2083s)?_g=(refreshInterval:(display:Off,section:0,value:0),time:(from:'2016-08-16 15:02:57-0600',mode:absolute,to:'2016-08-16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3" t="str">
            <v>N</v>
          </cell>
          <cell r="X113">
            <v>1</v>
          </cell>
          <cell r="Y113">
            <v>23.299399999999999</v>
          </cell>
          <cell r="Z113">
            <v>1.54E-2</v>
          </cell>
          <cell r="AA113">
            <v>23.283999999999999</v>
          </cell>
          <cell r="AB113" t="e">
            <v>#N/A</v>
          </cell>
          <cell r="AC113" t="e">
            <v>#N/A</v>
          </cell>
          <cell r="AD113" t="str">
            <v>0194-16</v>
          </cell>
          <cell r="AE113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114">
          <cell r="A114" t="str">
            <v>195-16</v>
          </cell>
          <cell r="B114">
            <v>4044</v>
          </cell>
          <cell r="C114" t="str">
            <v>DE.1.0.7.0</v>
          </cell>
          <cell r="D114" t="str">
            <v>204:462</v>
          </cell>
          <cell r="E114">
            <v>42598.640069444446</v>
          </cell>
          <cell r="F114">
            <v>42598.641006944446</v>
          </cell>
          <cell r="G114">
            <v>1</v>
          </cell>
          <cell r="H114" t="str">
            <v>204:160802</v>
          </cell>
          <cell r="I114">
            <v>42598.665405092594</v>
          </cell>
          <cell r="J114">
            <v>1</v>
          </cell>
          <cell r="K114" t="str">
            <v>4043/4044</v>
          </cell>
          <cell r="L114" t="str">
            <v>NEWELL</v>
          </cell>
          <cell r="M114">
            <v>2.4398148147156462E-2</v>
          </cell>
          <cell r="P114">
            <v>35.133333331905305</v>
          </cell>
          <cell r="R114" t="str">
            <v>EC1620RH 153-1T 1N stuck at STOP &amp; PROCEED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https://search-rtdc-monitor-bjffxe2xuh6vdkpspy63sjmuny.us-east-1.es.amazonaws.com/_plugin/kibana/#/discover/Steve-Slow-Train-Analysis-(2080s-and-2083s)?_g=(refreshInterval:(display:Off,section:0,value:0),time:(from:'2016-08-16 14:21:42-0600',mode:absolute,to:'2016-08-16 16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4" t="str">
            <v>Y</v>
          </cell>
          <cell r="X114">
            <v>1</v>
          </cell>
          <cell r="Y114">
            <v>4.6199999999999998E-2</v>
          </cell>
          <cell r="Z114">
            <v>16.080200000000001</v>
          </cell>
          <cell r="AA114">
            <v>16.034000000000002</v>
          </cell>
          <cell r="AB114" t="e">
            <v>#N/A</v>
          </cell>
          <cell r="AC114" t="e">
            <v>#N/A</v>
          </cell>
          <cell r="AD114" t="str">
            <v>0195-16</v>
          </cell>
          <cell r="AE114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15">
          <cell r="A115" t="str">
            <v>196-16</v>
          </cell>
          <cell r="B115">
            <v>4043</v>
          </cell>
          <cell r="C115" t="str">
            <v>DE.1.0.7.0</v>
          </cell>
          <cell r="D115" t="str">
            <v>204:233002</v>
          </cell>
          <cell r="E115">
            <v>42598.675358796296</v>
          </cell>
          <cell r="F115">
            <v>42598.676307870373</v>
          </cell>
          <cell r="G115">
            <v>1</v>
          </cell>
          <cell r="H115" t="str">
            <v>204:143</v>
          </cell>
          <cell r="I115">
            <v>42598.711481481485</v>
          </cell>
          <cell r="J115">
            <v>1</v>
          </cell>
          <cell r="K115" t="str">
            <v>4043/4044</v>
          </cell>
          <cell r="L115" t="str">
            <v>NEWELL</v>
          </cell>
          <cell r="M115">
            <v>3.51736111115315E-2</v>
          </cell>
          <cell r="N115">
            <v>50.65000000060536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https://search-rtdc-monitor-bjffxe2xuh6vdkpspy63sjmuny.us-east-1.es.amazonaws.com/_plugin/kibana/#/discover/Steve-Slow-Train-Analysis-(2080s-and-2083s)?_g=(refreshInterval:(display:Off,section:0,value:0),time:(from:'2016-08-16 15:12:31-0600',mode:absolute,to:'2016-08-16 18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5" t="str">
            <v>N</v>
          </cell>
          <cell r="X115">
            <v>1</v>
          </cell>
          <cell r="Y115">
            <v>23.3002</v>
          </cell>
          <cell r="Z115">
            <v>1.43E-2</v>
          </cell>
          <cell r="AA115">
            <v>23.285900000000002</v>
          </cell>
          <cell r="AB115" t="e">
            <v>#N/A</v>
          </cell>
          <cell r="AC115" t="e">
            <v>#N/A</v>
          </cell>
          <cell r="AD115" t="str">
            <v>0196-16</v>
          </cell>
          <cell r="AE115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16">
          <cell r="A116" t="str">
            <v>197-16</v>
          </cell>
          <cell r="B116">
            <v>4031</v>
          </cell>
          <cell r="C116" t="str">
            <v>DE.1.0.7.0</v>
          </cell>
          <cell r="D116" t="str">
            <v>204:460</v>
          </cell>
          <cell r="E116">
            <v>42598.655011574076</v>
          </cell>
          <cell r="F116">
            <v>42598.656192129631</v>
          </cell>
          <cell r="G116">
            <v>1</v>
          </cell>
          <cell r="H116" t="str">
            <v>204:233249</v>
          </cell>
          <cell r="I116">
            <v>42598.683680555558</v>
          </cell>
          <cell r="J116">
            <v>1</v>
          </cell>
          <cell r="K116" t="str">
            <v>4031/4032</v>
          </cell>
          <cell r="L116" t="str">
            <v>MAYBERRY</v>
          </cell>
          <cell r="M116">
            <v>2.7488425927003846E-2</v>
          </cell>
          <cell r="N116">
            <v>39.583333334885538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https://search-rtdc-monitor-bjffxe2xuh6vdkpspy63sjmuny.us-east-1.es.amazonaws.com/_plugin/kibana/#/discover/Steve-Slow-Train-Analysis-(2080s-and-2083s)?_g=(refreshInterval:(display:Off,section:0,value:0),time:(from:'2016-08-16 14:43:13-0600',mode:absolute,to:'2016-08-16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6" t="str">
            <v>N</v>
          </cell>
          <cell r="X116">
            <v>1</v>
          </cell>
          <cell r="Y116">
            <v>4.5999999999999999E-2</v>
          </cell>
          <cell r="Z116">
            <v>23.3249</v>
          </cell>
          <cell r="AA116">
            <v>23.2789</v>
          </cell>
          <cell r="AB116">
            <v>119716</v>
          </cell>
          <cell r="AC116" t="str">
            <v>PERMANENT SPEED RESTRICTION</v>
          </cell>
          <cell r="AD116" t="str">
            <v>0197-16</v>
          </cell>
          <cell r="AE116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17">
          <cell r="A117" t="str">
            <v>198-16</v>
          </cell>
          <cell r="B117">
            <v>4032</v>
          </cell>
          <cell r="C117" t="str">
            <v>DE.1.0.7.0</v>
          </cell>
          <cell r="D117" t="str">
            <v>204:232925</v>
          </cell>
          <cell r="E117">
            <v>42598.686469907407</v>
          </cell>
          <cell r="F117">
            <v>42598.687592592592</v>
          </cell>
          <cell r="G117">
            <v>1</v>
          </cell>
          <cell r="H117" t="str">
            <v>204:150</v>
          </cell>
          <cell r="I117">
            <v>42598.725659722222</v>
          </cell>
          <cell r="J117">
            <v>1</v>
          </cell>
          <cell r="K117" t="str">
            <v>4031/4032</v>
          </cell>
          <cell r="L117" t="str">
            <v>MAYBERRY</v>
          </cell>
          <cell r="M117">
            <v>3.8067129629780538E-2</v>
          </cell>
          <cell r="N117">
            <v>54.816666666883975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https://search-rtdc-monitor-bjffxe2xuh6vdkpspy63sjmuny.us-east-1.es.amazonaws.com/_plugin/kibana/#/discover/Steve-Slow-Train-Analysis-(2080s-and-2083s)?_g=(refreshInterval:(display:Off,section:0,value:0),time:(from:'2016-08-16 15:28:31-0600',mode:absolute,to:'2016-08-16 18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7" t="str">
            <v>N</v>
          </cell>
          <cell r="X117">
            <v>1</v>
          </cell>
          <cell r="Y117">
            <v>23.2925</v>
          </cell>
          <cell r="Z117">
            <v>1.4999999999999999E-2</v>
          </cell>
          <cell r="AA117">
            <v>23.2775</v>
          </cell>
          <cell r="AB117">
            <v>78469</v>
          </cell>
          <cell r="AC117" t="str">
            <v>GRADE CROSSING</v>
          </cell>
          <cell r="AD117" t="str">
            <v>0198-16</v>
          </cell>
          <cell r="AE117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18">
          <cell r="A118" t="str">
            <v>199-16</v>
          </cell>
          <cell r="B118">
            <v>4003</v>
          </cell>
          <cell r="C118" t="str">
            <v>DE.1.0.7.0</v>
          </cell>
          <cell r="D118" t="str">
            <v>204:320</v>
          </cell>
          <cell r="E118">
            <v>42598.66810185185</v>
          </cell>
          <cell r="F118">
            <v>42598.669490740744</v>
          </cell>
          <cell r="G118">
            <v>1</v>
          </cell>
          <cell r="H118" t="str">
            <v>204:233323</v>
          </cell>
          <cell r="I118">
            <v>42598.697928240741</v>
          </cell>
          <cell r="J118">
            <v>1</v>
          </cell>
          <cell r="K118" t="str">
            <v>4003/4004</v>
          </cell>
          <cell r="L118" t="str">
            <v>ROBINSON</v>
          </cell>
          <cell r="M118">
            <v>2.8437499997380655E-2</v>
          </cell>
          <cell r="N118">
            <v>40.949999996228144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https://search-rtdc-monitor-bjffxe2xuh6vdkpspy63sjmuny.us-east-1.es.amazonaws.com/_plugin/kibana/#/discover/Steve-Slow-Train-Analysis-(2080s-and-2083s)?_g=(refreshInterval:(display:Off,section:0,value:0),time:(from:'2016-08-16 15:02:04-0600',mode:absolute,to:'2016-08-16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18" t="str">
            <v>N</v>
          </cell>
          <cell r="X118">
            <v>1</v>
          </cell>
          <cell r="Y118">
            <v>3.2000000000000001E-2</v>
          </cell>
          <cell r="Z118">
            <v>23.3323</v>
          </cell>
          <cell r="AA118">
            <v>23.3003</v>
          </cell>
          <cell r="AB118" t="e">
            <v>#N/A</v>
          </cell>
          <cell r="AC118" t="e">
            <v>#N/A</v>
          </cell>
          <cell r="AD118" t="str">
            <v>0199-16</v>
          </cell>
          <cell r="AE118" t="str">
    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    </cell>
        </row>
        <row r="119">
          <cell r="A119" t="str">
            <v>200-16</v>
          </cell>
          <cell r="B119">
            <v>4004</v>
          </cell>
          <cell r="C119" t="str">
            <v>DE.1.0.7.0</v>
          </cell>
          <cell r="D119" t="str">
            <v>204:233006</v>
          </cell>
          <cell r="E119">
            <v>42598.704328703701</v>
          </cell>
          <cell r="F119">
            <v>42598.705254629633</v>
          </cell>
          <cell r="G119">
            <v>1</v>
          </cell>
          <cell r="H119" t="str">
            <v>204:18765</v>
          </cell>
          <cell r="I119">
            <v>42598.729571759257</v>
          </cell>
          <cell r="J119">
            <v>1</v>
          </cell>
          <cell r="K119" t="str">
            <v>4003/4004</v>
          </cell>
          <cell r="L119" t="str">
            <v>ROBINSON</v>
          </cell>
          <cell r="M119">
            <v>2.4317129624250811E-2</v>
          </cell>
          <cell r="P119">
            <v>35.016666658921167</v>
          </cell>
          <cell r="R119" t="str">
            <v>No issue found - cut out at 38th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https://search-rtdc-monitor-bjffxe2xuh6vdkpspy63sjmuny.us-east-1.es.amazonaws.com/_plugin/kibana/#/discover/Steve-Slow-Train-Analysis-(2080s-and-2083s)?_g=(refreshInterval:(display:Off,section:0,value:0),time:(from:'2016-08-16 15:54:14-0600',mode:absolute,to:'2016-08-16 18:30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119" t="str">
            <v>Y</v>
          </cell>
          <cell r="X119">
            <v>1</v>
          </cell>
          <cell r="Y119">
            <v>23.300599999999999</v>
          </cell>
          <cell r="Z119">
            <v>1.8765000000000001</v>
          </cell>
          <cell r="AA119">
            <v>21.424099999999999</v>
          </cell>
          <cell r="AB119" t="e">
            <v>#N/A</v>
          </cell>
          <cell r="AC119" t="e">
            <v>#N/A</v>
          </cell>
          <cell r="AD119" t="str">
            <v>0200-16</v>
          </cell>
          <cell r="AE119" t="str">
    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    </cell>
        </row>
        <row r="120">
          <cell r="A120" t="str">
            <v>201-16</v>
          </cell>
          <cell r="B120">
            <v>4018</v>
          </cell>
          <cell r="C120" t="str">
            <v>DE.1.0.7.0</v>
          </cell>
          <cell r="D120" t="str">
            <v>204:437</v>
          </cell>
          <cell r="E120">
            <v>42598.672800925924</v>
          </cell>
          <cell r="F120">
            <v>42598.673692129632</v>
          </cell>
          <cell r="G120">
            <v>1</v>
          </cell>
          <cell r="H120" t="str">
            <v>204:233336</v>
          </cell>
          <cell r="I120">
            <v>42598.703726851854</v>
          </cell>
          <cell r="J120">
            <v>1</v>
          </cell>
          <cell r="K120" t="str">
            <v>4017/4018</v>
          </cell>
          <cell r="L120" t="str">
            <v>BARTLETT</v>
          </cell>
          <cell r="M120">
            <v>3.0034722221898846E-2</v>
          </cell>
          <cell r="N120">
            <v>43.249999999534339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https://search-rtdc-monitor-bjffxe2xuh6vdkpspy63sjmuny.us-east-1.es.amazonaws.com/_plugin/kibana/#/discover/Steve-Slow-Train-Analysis-(2080s-and-2083s)?_g=(refreshInterval:(display:Off,section:0,value:0),time:(from:'2016-08-16 15:08:50-0600',mode:absolute,to:'2016-08-16 17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0" t="str">
            <v>N</v>
          </cell>
          <cell r="X120">
            <v>1</v>
          </cell>
          <cell r="Y120">
            <v>4.3700000000000003E-2</v>
          </cell>
          <cell r="Z120">
            <v>23.333600000000001</v>
          </cell>
          <cell r="AA120">
            <v>23.289899999999999</v>
          </cell>
          <cell r="AB120" t="e">
            <v>#N/A</v>
          </cell>
          <cell r="AC120" t="e">
            <v>#N/A</v>
          </cell>
          <cell r="AD120" t="str">
            <v>0201-16</v>
          </cell>
          <cell r="AE120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21">
          <cell r="A121" t="str">
            <v>202-16</v>
          </cell>
          <cell r="B121">
            <v>4017</v>
          </cell>
          <cell r="C121" t="str">
            <v>DE.1.0.7.0</v>
          </cell>
          <cell r="D121" t="str">
            <v>204:233007</v>
          </cell>
          <cell r="E121">
            <v>42598.705937500003</v>
          </cell>
          <cell r="F121">
            <v>42598.707048611112</v>
          </cell>
          <cell r="G121">
            <v>1</v>
          </cell>
          <cell r="H121" t="str">
            <v>204:180184</v>
          </cell>
          <cell r="I121">
            <v>42598.726400462961</v>
          </cell>
          <cell r="J121">
            <v>1</v>
          </cell>
          <cell r="K121" t="str">
            <v>4017/4018</v>
          </cell>
          <cell r="L121" t="str">
            <v>BARTLETT</v>
          </cell>
          <cell r="M121">
            <v>1.9351851849933155E-2</v>
          </cell>
          <cell r="P121">
            <v>27.866666663903743</v>
          </cell>
          <cell r="R121" t="str">
            <v>EC1752RH 175-1T 1S stuck at STOP</v>
          </cell>
          <cell r="S121">
            <v>0</v>
          </cell>
          <cell r="T121" t="str">
            <v>Southbound</v>
          </cell>
          <cell r="U121">
            <v>0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https://search-rtdc-monitor-bjffxe2xuh6vdkpspy63sjmuny.us-east-1.es.amazonaws.com/_plugin/kibana/#/discover/Steve-Slow-Train-Analysis-(2080s-and-2083s)?_g=(refreshInterval:(display:Off,section:0,value:0),time:(from:'2016-08-16 15:56:33-0600',mode:absolute,to:'2016-08-16 18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1" t="str">
            <v>Y</v>
          </cell>
          <cell r="X121">
            <v>1</v>
          </cell>
          <cell r="Y121">
            <v>23.300699999999999</v>
          </cell>
          <cell r="Z121">
            <v>18.0184</v>
          </cell>
          <cell r="AA121">
            <v>5.2822999999999993</v>
          </cell>
          <cell r="AB121" t="e">
            <v>#N/A</v>
          </cell>
          <cell r="AC121" t="e">
            <v>#N/A</v>
          </cell>
          <cell r="AD121" t="str">
            <v>0202-16</v>
          </cell>
          <cell r="AE121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22">
          <cell r="A122" t="str">
            <v>203-16</v>
          </cell>
          <cell r="B122">
            <v>4038</v>
          </cell>
          <cell r="C122" t="str">
            <v>DE.1.0.7.0</v>
          </cell>
          <cell r="D122" t="str">
            <v>204:546</v>
          </cell>
          <cell r="E122">
            <v>42598.686435185184</v>
          </cell>
          <cell r="F122">
            <v>42598.687256944446</v>
          </cell>
          <cell r="G122">
            <v>1</v>
          </cell>
          <cell r="H122" t="str">
            <v>204:233291</v>
          </cell>
          <cell r="I122">
            <v>42598.719502314816</v>
          </cell>
          <cell r="J122">
            <v>1</v>
          </cell>
          <cell r="K122" t="str">
            <v>4037/4038</v>
          </cell>
          <cell r="L122" t="str">
            <v>STEWART</v>
          </cell>
          <cell r="M122">
            <v>3.2245370370219462E-2</v>
          </cell>
          <cell r="N122">
            <v>46.433333333116025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https://search-rtdc-monitor-bjffxe2xuh6vdkpspy63sjmuny.us-east-1.es.amazonaws.com/_plugin/kibana/#/discover/Steve-Slow-Train-Analysis-(2080s-and-2083s)?_g=(refreshInterval:(display:Off,section:0,value:0),time:(from:'2016-08-16 15:28:28-0600',mode:absolute,to:'2016-08-16 18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22" t="str">
            <v>N</v>
          </cell>
          <cell r="X122">
            <v>1</v>
          </cell>
          <cell r="Y122">
            <v>5.4600000000000003E-2</v>
          </cell>
          <cell r="Z122">
            <v>23.3291</v>
          </cell>
          <cell r="AA122">
            <v>23.2745</v>
          </cell>
          <cell r="AB122" t="e">
            <v>#N/A</v>
          </cell>
          <cell r="AC122" t="e">
            <v>#N/A</v>
          </cell>
          <cell r="AD122" t="str">
            <v>0203-16</v>
          </cell>
          <cell r="AE122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23">
          <cell r="A123" t="str">
            <v>204-16</v>
          </cell>
          <cell r="B123">
            <v>4037</v>
          </cell>
          <cell r="C123" t="str">
            <v>DE.1.0.7.0</v>
          </cell>
          <cell r="D123" t="str">
            <v>204:127866</v>
          </cell>
          <cell r="E123">
            <v>42598.744166666664</v>
          </cell>
          <cell r="F123">
            <v>42598.744942129626</v>
          </cell>
          <cell r="G123">
            <v>1</v>
          </cell>
          <cell r="H123" t="str">
            <v>204:156</v>
          </cell>
          <cell r="I123">
            <v>42598.763726851852</v>
          </cell>
          <cell r="J123">
            <v>1</v>
          </cell>
          <cell r="K123" t="str">
            <v>4037/4038</v>
          </cell>
          <cell r="L123" t="str">
            <v>STEWART</v>
          </cell>
          <cell r="M123">
            <v>1.8784722225973383E-2</v>
          </cell>
          <cell r="P123">
            <v>41.800000006332994</v>
          </cell>
          <cell r="R123" t="str">
            <v>Pena 4S was stuck at STOP, no controls sent by TMDS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https://search-rtdc-monitor-bjffxe2xuh6vdkpspy63sjmuny.us-east-1.es.amazonaws.com/_plugin/kibana/#/discover/Steve-Slow-Train-Analysis-(2080s-and-2083s)?_g=(refreshInterval:(display:Off,section:0,value:0),time:(from:'2016-08-16 16:51:36-0600',mode:absolute,to:'2016-08-16 19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3" t="str">
            <v>Y</v>
          </cell>
          <cell r="X123">
            <v>1</v>
          </cell>
          <cell r="Y123">
            <v>12.7866</v>
          </cell>
          <cell r="Z123">
            <v>1.5599999999999999E-2</v>
          </cell>
          <cell r="AA123">
            <v>12.771000000000001</v>
          </cell>
          <cell r="AB123" t="e">
            <v>#N/A</v>
          </cell>
          <cell r="AC123" t="e">
            <v>#N/A</v>
          </cell>
          <cell r="AD123" t="str">
            <v>0204-16</v>
          </cell>
          <cell r="AE123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24">
          <cell r="A124" t="str">
            <v>204-16</v>
          </cell>
          <cell r="B124">
            <v>4037</v>
          </cell>
          <cell r="C124" t="str">
            <v>DE.1.0.7.0</v>
          </cell>
          <cell r="D124" t="str">
            <v>204:232959</v>
          </cell>
          <cell r="E124">
            <v>42598.721944444442</v>
          </cell>
          <cell r="F124">
            <v>42598.723009259258</v>
          </cell>
          <cell r="G124">
            <v>1</v>
          </cell>
          <cell r="H124" t="str">
            <v>204:193344</v>
          </cell>
          <cell r="I124">
            <v>42598.733252314814</v>
          </cell>
          <cell r="J124">
            <v>1</v>
          </cell>
          <cell r="K124" t="str">
            <v>4037/4038</v>
          </cell>
          <cell r="L124" t="str">
            <v>STEWART</v>
          </cell>
          <cell r="M124">
            <v>1.0243055556202307E-2</v>
          </cell>
          <cell r="T124" t="str">
            <v>Southbound</v>
          </cell>
          <cell r="U124">
            <v>0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https://search-rtdc-monitor-bjffxe2xuh6vdkpspy63sjmuny.us-east-1.es.amazonaws.com/_plugin/kibana/#/discover/Steve-Slow-Train-Analysis-(2080s-and-2083s)?_g=(refreshInterval:(display:Off,section:0,value:0),time:(from:'2016-08-16 16:19:36-0600',mode:absolute,to:'2016-08-16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4" t="str">
            <v>Y</v>
          </cell>
          <cell r="X124">
            <v>0</v>
          </cell>
          <cell r="Y124">
            <v>23.2959</v>
          </cell>
          <cell r="Z124">
            <v>19.334399999999999</v>
          </cell>
          <cell r="AA124">
            <v>3.9615000000000009</v>
          </cell>
          <cell r="AB124" t="e">
            <v>#N/A</v>
          </cell>
          <cell r="AC124" t="e">
            <v>#N/A</v>
          </cell>
          <cell r="AD124" t="str">
            <v>0204-16</v>
          </cell>
          <cell r="AE12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25">
          <cell r="A125" t="str">
            <v>205-16</v>
          </cell>
          <cell r="B125">
            <v>4029</v>
          </cell>
          <cell r="C125" t="str">
            <v>DE.1.0.7.0</v>
          </cell>
          <cell r="D125" t="str">
            <v>204:477</v>
          </cell>
          <cell r="E125">
            <v>42598.697291666664</v>
          </cell>
          <cell r="F125">
            <v>42598.698414351849</v>
          </cell>
          <cell r="G125">
            <v>1</v>
          </cell>
          <cell r="H125" t="str">
            <v>204:157705</v>
          </cell>
          <cell r="I125">
            <v>42598.720127314817</v>
          </cell>
          <cell r="J125">
            <v>1</v>
          </cell>
          <cell r="K125" t="str">
            <v>4029/4030</v>
          </cell>
          <cell r="L125" t="str">
            <v>HELVIE</v>
          </cell>
          <cell r="M125">
            <v>2.1712962967285421E-2</v>
          </cell>
          <cell r="P125">
            <v>31.266666672891006</v>
          </cell>
          <cell r="R125" t="str">
            <v>EC1620RH 153-1T 1N stuck at STOP &amp; PROCEED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https://search-rtdc-monitor-bjffxe2xuh6vdkpspy63sjmuny.us-east-1.es.amazonaws.com/_plugin/kibana/#/discover/Steve-Slow-Train-Analysis-(2080s-and-2083s)?_g=(refreshInterval:(display:Off,section:0,value:0),time:(from:'2016-08-16 15:44:06-0600',mode:absolute,to:'2016-08-16 18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5" t="str">
            <v>Y</v>
          </cell>
          <cell r="X125">
            <v>1</v>
          </cell>
          <cell r="Y125">
            <v>4.7699999999999999E-2</v>
          </cell>
          <cell r="Z125">
            <v>15.7705</v>
          </cell>
          <cell r="AA125">
            <v>15.722799999999999</v>
          </cell>
          <cell r="AB125" t="e">
            <v>#N/A</v>
          </cell>
          <cell r="AC125" t="e">
            <v>#N/A</v>
          </cell>
          <cell r="AD125" t="str">
            <v>0205-16</v>
          </cell>
          <cell r="AE12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26">
          <cell r="A126" t="str">
            <v>206-16</v>
          </cell>
          <cell r="B126">
            <v>4030</v>
          </cell>
          <cell r="C126" t="str">
            <v>DE.1.0.7.0</v>
          </cell>
          <cell r="D126" t="str">
            <v>204:127871</v>
          </cell>
          <cell r="E126">
            <v>42598.751192129632</v>
          </cell>
          <cell r="F126">
            <v>42598.751875000002</v>
          </cell>
          <cell r="G126">
            <v>0</v>
          </cell>
          <cell r="H126" t="str">
            <v>204:163</v>
          </cell>
          <cell r="I126">
            <v>42598.769062500003</v>
          </cell>
          <cell r="J126">
            <v>1</v>
          </cell>
          <cell r="K126" t="str">
            <v>4029/4030</v>
          </cell>
          <cell r="L126" t="str">
            <v>HELVIE</v>
          </cell>
          <cell r="M126">
            <v>1.7187500001455192E-2</v>
          </cell>
          <cell r="P126">
            <v>37.866666675545275</v>
          </cell>
          <cell r="R126" t="str">
            <v>Pena 4S was stuck at STOP, no controls sent by TMDS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https://search-rtdc-monitor-bjffxe2xuh6vdkpspy63sjmuny.us-east-1.es.amazonaws.com/_plugin/kibana/#/discover/Steve-Slow-Train-Analysis-(2080s-and-2083s)?_g=(refreshInterval:(display:Off,section:0,value:0),time:(from:'2016-08-16 17:01:43-0600',mode:absolute,to:'2016-08-16 19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6" t="str">
            <v>Y</v>
          </cell>
          <cell r="X126">
            <v>1</v>
          </cell>
          <cell r="Y126">
            <v>12.787100000000001</v>
          </cell>
          <cell r="Z126">
            <v>1.6299999999999999E-2</v>
          </cell>
          <cell r="AA126">
            <v>12.770800000000001</v>
          </cell>
          <cell r="AB126">
            <v>229055</v>
          </cell>
          <cell r="AC126" t="str">
            <v>PERMANENT SPEED RESTRICTION</v>
          </cell>
          <cell r="AD126" t="str">
            <v>0206-16</v>
          </cell>
          <cell r="AE12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27">
          <cell r="A127" t="str">
            <v>206-16</v>
          </cell>
          <cell r="B127">
            <v>4030</v>
          </cell>
          <cell r="C127" t="str">
            <v>DE.1.0.7.0</v>
          </cell>
          <cell r="D127" t="str">
            <v>204:232980</v>
          </cell>
          <cell r="E127">
            <v>42598.731354166666</v>
          </cell>
          <cell r="F127">
            <v>42598.732245370367</v>
          </cell>
          <cell r="G127">
            <v>1</v>
          </cell>
          <cell r="H127" t="str">
            <v>204:192996</v>
          </cell>
          <cell r="I127">
            <v>42598.741354166668</v>
          </cell>
          <cell r="J127">
            <v>1</v>
          </cell>
          <cell r="K127" t="str">
            <v>4029/4030</v>
          </cell>
          <cell r="L127" t="str">
            <v>HELVIE</v>
          </cell>
          <cell r="M127">
            <v>9.1087963010068052E-3</v>
          </cell>
          <cell r="T127" t="str">
            <v>Southbound</v>
          </cell>
          <cell r="U127">
            <v>0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https://search-rtdc-monitor-bjffxe2xuh6vdkpspy63sjmuny.us-east-1.es.amazonaws.com/_plugin/kibana/#/discover/Steve-Slow-Train-Analysis-(2080s-and-2083s)?_g=(refreshInterval:(display:Off,section:0,value:0),time:(from:'2016-08-16 16:33:09-0600',mode:absolute,to:'2016-08-16 18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7" t="str">
            <v>Y</v>
          </cell>
          <cell r="X127">
            <v>0</v>
          </cell>
          <cell r="Y127">
            <v>23.297999999999998</v>
          </cell>
          <cell r="Z127">
            <v>19.299600000000002</v>
          </cell>
          <cell r="AA127">
            <v>3.9983999999999966</v>
          </cell>
          <cell r="AB127">
            <v>229055</v>
          </cell>
          <cell r="AC127" t="str">
            <v>PERMANENT SPEED RESTRICTION</v>
          </cell>
          <cell r="AD127" t="str">
            <v>0206-16</v>
          </cell>
          <cell r="AE127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28">
          <cell r="A128" t="str">
            <v>207-16</v>
          </cell>
          <cell r="B128">
            <v>4009</v>
          </cell>
          <cell r="C128" t="str">
            <v>DE.1.0.7.0</v>
          </cell>
          <cell r="D128" t="str">
            <v>204:460</v>
          </cell>
          <cell r="E128">
            <v>42598.704270833332</v>
          </cell>
          <cell r="F128">
            <v>42598.708472222221</v>
          </cell>
          <cell r="G128">
            <v>6</v>
          </cell>
          <cell r="H128" t="str">
            <v>204:159447</v>
          </cell>
          <cell r="I128">
            <v>42598.732175925928</v>
          </cell>
          <cell r="J128">
            <v>1</v>
          </cell>
          <cell r="K128" t="str">
            <v>4009/4010</v>
          </cell>
          <cell r="L128" t="str">
            <v>HAITHCOX</v>
          </cell>
          <cell r="M128">
            <v>2.3703703707724344E-2</v>
          </cell>
          <cell r="P128">
            <v>34.133333339123055</v>
          </cell>
          <cell r="R128" t="str">
            <v>EC1620RH 153-1T 1N stuck at STOP &amp; PROCEED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https://search-rtdc-monitor-bjffxe2xuh6vdkpspy63sjmuny.us-east-1.es.amazonaws.com/_plugin/kibana/#/discover/Steve-Slow-Train-Analysis-(2080s-and-2083s)?_g=(refreshInterval:(display:Off,section:0,value:0),time:(from:'2016-08-16 15:54:09-0600',mode:absolute,to:'2016-08-16 18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8" t="str">
            <v>Y</v>
          </cell>
          <cell r="X128">
            <v>1</v>
          </cell>
          <cell r="Y128">
            <v>4.5999999999999999E-2</v>
          </cell>
          <cell r="Z128">
            <v>15.944699999999999</v>
          </cell>
          <cell r="AA128">
            <v>15.8987</v>
          </cell>
          <cell r="AB128" t="e">
            <v>#N/A</v>
          </cell>
          <cell r="AC128" t="e">
            <v>#N/A</v>
          </cell>
          <cell r="AD128" t="str">
            <v>0207-16</v>
          </cell>
          <cell r="AE128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129">
          <cell r="A129" t="str">
            <v>208-16</v>
          </cell>
          <cell r="B129">
            <v>4010</v>
          </cell>
          <cell r="C129" t="str">
            <v>DE.1.0.7.0</v>
          </cell>
          <cell r="D129" t="str">
            <v>204:232991</v>
          </cell>
          <cell r="E129">
            <v>42598.74560185185</v>
          </cell>
          <cell r="F129">
            <v>42598.747384259259</v>
          </cell>
          <cell r="G129">
            <v>2</v>
          </cell>
          <cell r="H129" t="str">
            <v>204:154</v>
          </cell>
          <cell r="I129">
            <v>42598.775150462963</v>
          </cell>
          <cell r="J129">
            <v>1</v>
          </cell>
          <cell r="K129" t="str">
            <v>4009/4010</v>
          </cell>
          <cell r="L129" t="str">
            <v>HAITHCOX</v>
          </cell>
          <cell r="M129">
            <v>2.7766203704231884E-2</v>
          </cell>
          <cell r="N129">
            <v>39.983333334093913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https://search-rtdc-monitor-bjffxe2xuh6vdkpspy63sjmuny.us-east-1.es.amazonaws.com/_plugin/kibana/#/discover/Steve-Slow-Train-Analysis-(2080s-and-2083s)?_g=(refreshInterval:(display:Off,section:0,value:0),time:(from:'2016-08-16 16:53:40-0600',mode:absolute,to:'2016-08-16 19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9" t="str">
            <v>N</v>
          </cell>
          <cell r="X129">
            <v>1</v>
          </cell>
          <cell r="Y129">
            <v>23.299099999999999</v>
          </cell>
          <cell r="Z129">
            <v>1.54E-2</v>
          </cell>
          <cell r="AA129">
            <v>23.2837</v>
          </cell>
          <cell r="AB129" t="e">
            <v>#N/A</v>
          </cell>
          <cell r="AC129" t="e">
            <v>#N/A</v>
          </cell>
          <cell r="AD129" t="str">
            <v>0208-16</v>
          </cell>
          <cell r="AE129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130">
          <cell r="A130" t="str">
            <v>209-16</v>
          </cell>
          <cell r="B130">
            <v>4044</v>
          </cell>
          <cell r="C130" t="str">
            <v>DE.1.0.7.0</v>
          </cell>
          <cell r="D130" t="str">
            <v>204:437</v>
          </cell>
          <cell r="E130">
            <v>42598.717199074075</v>
          </cell>
          <cell r="F130">
            <v>42598.718078703707</v>
          </cell>
          <cell r="G130">
            <v>1</v>
          </cell>
          <cell r="H130" t="str">
            <v>204:154426</v>
          </cell>
          <cell r="I130">
            <v>42598.741562499999</v>
          </cell>
          <cell r="J130">
            <v>1</v>
          </cell>
          <cell r="K130" t="str">
            <v>4043/4044</v>
          </cell>
          <cell r="L130" t="str">
            <v>OUN</v>
          </cell>
          <cell r="M130">
            <v>2.3483796292566694E-2</v>
          </cell>
          <cell r="P130">
            <v>33.81666666129604</v>
          </cell>
          <cell r="R130" t="str">
            <v>EC1620RH 153-1T 1N stuck at STOP &amp; PROCEED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https://search-rtdc-monitor-bjffxe2xuh6vdkpspy63sjmuny.us-east-1.es.amazonaws.com/_plugin/kibana/#/discover/Steve-Slow-Train-Analysis-(2080s-and-2083s)?_g=(refreshInterval:(display:Off,section:0,value:0),time:(from:'2016-08-16 16:12:46-0600',mode:absolute,to:'2016-08-16 18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0" t="str">
            <v>Y</v>
          </cell>
          <cell r="X130">
            <v>1</v>
          </cell>
          <cell r="Y130">
            <v>4.3700000000000003E-2</v>
          </cell>
          <cell r="Z130">
            <v>15.442600000000001</v>
          </cell>
          <cell r="AA130">
            <v>15.398900000000001</v>
          </cell>
          <cell r="AB130" t="e">
            <v>#N/A</v>
          </cell>
          <cell r="AC130" t="e">
            <v>#N/A</v>
          </cell>
          <cell r="AD130" t="str">
            <v>0209-16</v>
          </cell>
          <cell r="AE130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31">
          <cell r="A131" t="str">
            <v>210-16</v>
          </cell>
          <cell r="B131">
            <v>4043</v>
          </cell>
          <cell r="C131" t="str">
            <v>DE.1.0.7.0</v>
          </cell>
          <cell r="D131" t="str">
            <v>204:232977</v>
          </cell>
          <cell r="E131">
            <v>42598.75335648148</v>
          </cell>
          <cell r="F131">
            <v>42598.754502314812</v>
          </cell>
          <cell r="G131">
            <v>1</v>
          </cell>
          <cell r="H131" t="str">
            <v>204:156</v>
          </cell>
          <cell r="I131">
            <v>42598.789421296293</v>
          </cell>
          <cell r="J131">
            <v>1</v>
          </cell>
          <cell r="K131" t="str">
            <v>4043/4044</v>
          </cell>
          <cell r="L131" t="str">
            <v>OUN</v>
          </cell>
          <cell r="M131">
            <v>3.4918981480586808E-2</v>
          </cell>
          <cell r="N131">
            <v>50.283333332045004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https://search-rtdc-monitor-bjffxe2xuh6vdkpspy63sjmuny.us-east-1.es.amazonaws.com/_plugin/kibana/#/discover/Steve-Slow-Train-Analysis-(2080s-and-2083s)?_g=(refreshInterval:(display:Off,section:0,value:0),time:(from:'2016-08-16 17:04:50-0600',mode:absolute,to:'2016-08-16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1" t="str">
            <v>N</v>
          </cell>
          <cell r="X131">
            <v>1</v>
          </cell>
          <cell r="Y131">
            <v>23.297699999999999</v>
          </cell>
          <cell r="Z131">
            <v>1.5599999999999999E-2</v>
          </cell>
          <cell r="AA131">
            <v>23.2821</v>
          </cell>
          <cell r="AB131" t="e">
            <v>#N/A</v>
          </cell>
          <cell r="AC131" t="e">
            <v>#N/A</v>
          </cell>
          <cell r="AD131" t="str">
            <v>0210-16</v>
          </cell>
          <cell r="AE131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32">
          <cell r="A132" t="str">
            <v>211-16</v>
          </cell>
          <cell r="B132">
            <v>4031</v>
          </cell>
          <cell r="C132" t="str">
            <v>DE.1.0.7.0</v>
          </cell>
          <cell r="D132" t="str">
            <v>204:471</v>
          </cell>
          <cell r="E132">
            <v>42598.72965277778</v>
          </cell>
          <cell r="F132">
            <v>42598.730740740742</v>
          </cell>
          <cell r="G132">
            <v>1</v>
          </cell>
          <cell r="H132" t="str">
            <v>204:233314</v>
          </cell>
          <cell r="I132">
            <v>42598.760347222225</v>
          </cell>
          <cell r="J132">
            <v>1</v>
          </cell>
          <cell r="K132" t="str">
            <v>4031/4032</v>
          </cell>
          <cell r="L132" t="str">
            <v>NEWELL</v>
          </cell>
          <cell r="M132">
            <v>2.9606481482915115E-2</v>
          </cell>
          <cell r="N132">
            <v>42.633333335397765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https://search-rtdc-monitor-bjffxe2xuh6vdkpspy63sjmuny.us-east-1.es.amazonaws.com/_plugin/kibana/#/discover/Steve-Slow-Train-Analysis-(2080s-and-2083s)?_g=(refreshInterval:(display:Off,section:0,value:0),time:(from:'2016-08-16 16:30:42-0600',mode:absolute,to:'2016-08-16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2" t="str">
            <v>N</v>
          </cell>
          <cell r="X132">
            <v>1</v>
          </cell>
          <cell r="Y132">
            <v>4.7100000000000003E-2</v>
          </cell>
          <cell r="Z132">
            <v>23.331399999999999</v>
          </cell>
          <cell r="AA132">
            <v>23.284299999999998</v>
          </cell>
          <cell r="AB132">
            <v>107939</v>
          </cell>
          <cell r="AC132" t="str">
            <v>SIGNAL</v>
          </cell>
          <cell r="AD132" t="str">
            <v>0211-16</v>
          </cell>
          <cell r="AE132" t="str">
    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    </cell>
        </row>
        <row r="133">
          <cell r="A133" t="str">
            <v>212-16</v>
          </cell>
          <cell r="B133">
            <v>4032</v>
          </cell>
          <cell r="C133" t="str">
            <v>DE.1.0.7.0</v>
          </cell>
          <cell r="D133" t="str">
            <v>204:232991</v>
          </cell>
          <cell r="E133">
            <v>42598.762488425928</v>
          </cell>
          <cell r="F133">
            <v>42598.763472222221</v>
          </cell>
          <cell r="G133">
            <v>1</v>
          </cell>
          <cell r="H133" t="str">
            <v>204:18800</v>
          </cell>
          <cell r="I133">
            <v>42598.79241898148</v>
          </cell>
          <cell r="J133">
            <v>1</v>
          </cell>
          <cell r="K133" t="str">
            <v>4031/4032</v>
          </cell>
          <cell r="L133" t="str">
            <v>NEWELL</v>
          </cell>
          <cell r="M133">
            <v>2.8946759259270038E-2</v>
          </cell>
          <cell r="P133">
            <v>41.683333333348855</v>
          </cell>
          <cell r="R133" t="str">
            <v>No issue found - cut out at 38th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https://search-rtdc-monitor-bjffxe2xuh6vdkpspy63sjmuny.us-east-1.es.amazonaws.com/_plugin/kibana/#/discover/Steve-Slow-Train-Analysis-(2080s-and-2083s)?_g=(refreshInterval:(display:Off,section:0,value:0),time:(from:'2016-08-16 17:17:59-0600',mode:absolute,to:'2016-08-16 20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3" t="str">
            <v>Y</v>
          </cell>
          <cell r="X133">
            <v>1</v>
          </cell>
          <cell r="Y133">
            <v>23.299099999999999</v>
          </cell>
          <cell r="Z133">
            <v>1.88</v>
          </cell>
          <cell r="AA133">
            <v>21.4191</v>
          </cell>
          <cell r="AB133" t="e">
            <v>#N/A</v>
          </cell>
          <cell r="AC133" t="e">
            <v>#N/A</v>
          </cell>
          <cell r="AD133" t="str">
            <v>0212-16</v>
          </cell>
          <cell r="AE133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134">
          <cell r="A134" t="str">
            <v>213-16</v>
          </cell>
          <cell r="B134">
            <v>4016</v>
          </cell>
          <cell r="C134" t="str">
            <v>DE.1.0.7.0</v>
          </cell>
          <cell r="D134" t="str">
            <v>204:1173</v>
          </cell>
          <cell r="E134">
            <v>42598.733912037038</v>
          </cell>
          <cell r="F134">
            <v>42598.734953703701</v>
          </cell>
          <cell r="G134">
            <v>1</v>
          </cell>
          <cell r="H134" t="str">
            <v>204:233357</v>
          </cell>
          <cell r="I134">
            <v>42598.767511574071</v>
          </cell>
          <cell r="J134">
            <v>1</v>
          </cell>
          <cell r="K134" t="str">
            <v>4015/4016</v>
          </cell>
          <cell r="L134" t="str">
            <v>STORY</v>
          </cell>
          <cell r="M134">
            <v>3.25578703705105E-2</v>
          </cell>
          <cell r="N134">
            <v>46.88333333353512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https://search-rtdc-monitor-bjffxe2xuh6vdkpspy63sjmuny.us-east-1.es.amazonaws.com/_plugin/kibana/#/discover/Steve-Slow-Train-Analysis-(2080s-and-2083s)?_g=(refreshInterval:(display:Off,section:0,value:0),time:(from:'2016-08-16 16:36:50-0600',mode:absolute,to:'2016-08-16 19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4" t="str">
            <v>N</v>
          </cell>
          <cell r="X134">
            <v>1</v>
          </cell>
          <cell r="Y134">
            <v>0.1173</v>
          </cell>
          <cell r="Z134">
            <v>23.335699999999999</v>
          </cell>
          <cell r="AA134">
            <v>23.218399999999999</v>
          </cell>
          <cell r="AB134" t="e">
            <v>#N/A</v>
          </cell>
          <cell r="AC134" t="e">
            <v>#N/A</v>
          </cell>
          <cell r="AD134" t="str">
            <v>0213-16</v>
          </cell>
          <cell r="AE134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35">
          <cell r="A135" t="str">
            <v>214-16</v>
          </cell>
          <cell r="B135">
            <v>4015</v>
          </cell>
          <cell r="C135" t="str">
            <v>DE.1.0.7.0</v>
          </cell>
          <cell r="D135" t="str">
            <v>204:233055</v>
          </cell>
          <cell r="E135">
            <v>42598.774317129632</v>
          </cell>
          <cell r="F135">
            <v>42598.775995370372</v>
          </cell>
          <cell r="G135">
            <v>2</v>
          </cell>
          <cell r="H135" t="str">
            <v>204:158</v>
          </cell>
          <cell r="I135">
            <v>42598.807881944442</v>
          </cell>
          <cell r="J135">
            <v>1</v>
          </cell>
          <cell r="K135" t="str">
            <v>4015/4016</v>
          </cell>
          <cell r="L135" t="str">
            <v>STORY</v>
          </cell>
          <cell r="M135">
            <v>3.1886574070085771E-2</v>
          </cell>
          <cell r="N135">
            <v>45.916666660923511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https://search-rtdc-monitor-bjffxe2xuh6vdkpspy63sjmuny.us-east-1.es.amazonaws.com/_plugin/kibana/#/discover/Steve-Slow-Train-Analysis-(2080s-and-2083s)?_g=(refreshInterval:(display:Off,section:0,value:0),time:(from:'2016-08-16 17:35:01-0600',mode:absolute,to:'2016-08-16 20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5" t="str">
            <v>N</v>
          </cell>
          <cell r="X135">
            <v>1</v>
          </cell>
          <cell r="Y135">
            <v>23.305499999999999</v>
          </cell>
          <cell r="Z135">
            <v>1.5800000000000002E-2</v>
          </cell>
          <cell r="AA135">
            <v>23.2897</v>
          </cell>
          <cell r="AB135" t="e">
            <v>#N/A</v>
          </cell>
          <cell r="AC135" t="e">
            <v>#N/A</v>
          </cell>
          <cell r="AD135" t="str">
            <v>0214-16</v>
          </cell>
          <cell r="AE13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36">
          <cell r="A136" t="str">
            <v>215-16</v>
          </cell>
          <cell r="B136">
            <v>4018</v>
          </cell>
          <cell r="C136" t="str">
            <v>DE.1.0.7.0</v>
          </cell>
          <cell r="D136" t="str">
            <v>204:446</v>
          </cell>
          <cell r="E136">
            <v>42598.752569444441</v>
          </cell>
          <cell r="F136">
            <v>42598.75371527778</v>
          </cell>
          <cell r="G136">
            <v>1</v>
          </cell>
          <cell r="H136" t="str">
            <v>204:233312</v>
          </cell>
          <cell r="I136">
            <v>42598.781990740739</v>
          </cell>
          <cell r="J136">
            <v>1</v>
          </cell>
          <cell r="K136" t="str">
            <v>4017/4018</v>
          </cell>
          <cell r="L136" t="str">
            <v>ROBINSON</v>
          </cell>
          <cell r="M136">
            <v>2.827546295884531E-2</v>
          </cell>
          <cell r="N136">
            <v>40.716666660737246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https://search-rtdc-monitor-bjffxe2xuh6vdkpspy63sjmuny.us-east-1.es.amazonaws.com/_plugin/kibana/#/discover/Steve-Slow-Train-Analysis-(2080s-and-2083s)?_g=(refreshInterval:(display:Off,section:0,value:0),time:(from:'2016-08-16 17:03:42-0600',mode:absolute,to:'2016-08-16 19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23.331199999999999</v>
          </cell>
          <cell r="AA136">
            <v>23.2866</v>
          </cell>
          <cell r="AB136" t="e">
            <v>#N/A</v>
          </cell>
          <cell r="AC136" t="e">
            <v>#N/A</v>
          </cell>
          <cell r="AD136" t="str">
            <v>0215-16</v>
          </cell>
          <cell r="AE136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137">
          <cell r="A137" t="str">
            <v>216-16</v>
          </cell>
          <cell r="B137">
            <v>4017</v>
          </cell>
          <cell r="C137" t="str">
            <v>DE.1.0.7.0</v>
          </cell>
          <cell r="D137" t="str">
            <v>204:233000</v>
          </cell>
          <cell r="E137">
            <v>42598.788275462961</v>
          </cell>
          <cell r="F137">
            <v>42598.7890625</v>
          </cell>
          <cell r="G137">
            <v>1</v>
          </cell>
          <cell r="H137" t="str">
            <v>204:141</v>
          </cell>
          <cell r="I137">
            <v>42598.820497685185</v>
          </cell>
          <cell r="J137">
            <v>1</v>
          </cell>
          <cell r="K137" t="str">
            <v>4017/4018</v>
          </cell>
          <cell r="L137" t="str">
            <v>ROBINSON</v>
          </cell>
          <cell r="M137">
            <v>3.1435185184818693E-2</v>
          </cell>
          <cell r="N137">
            <v>45.266666666138917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https://search-rtdc-monitor-bjffxe2xuh6vdkpspy63sjmuny.us-east-1.es.amazonaws.com/_plugin/kibana/#/discover/Steve-Slow-Train-Analysis-(2080s-and-2083s)?_g=(refreshInterval:(display:Off,section:0,value:0),time:(from:'2016-08-16 17:55:07-0600',mode:absolute,to:'2016-08-16 20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7" t="str">
            <v>N</v>
          </cell>
          <cell r="X137">
            <v>1</v>
          </cell>
          <cell r="Y137">
            <v>23.3</v>
          </cell>
          <cell r="Z137">
            <v>1.41E-2</v>
          </cell>
          <cell r="AA137">
            <v>23.285900000000002</v>
          </cell>
          <cell r="AB137" t="e">
            <v>#N/A</v>
          </cell>
          <cell r="AC137" t="e">
            <v>#N/A</v>
          </cell>
          <cell r="AD137" t="str">
            <v>0216-16</v>
          </cell>
          <cell r="AE137" t="str">
    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    </cell>
        </row>
        <row r="138">
          <cell r="A138" t="str">
            <v>217-16</v>
          </cell>
          <cell r="B138">
            <v>4038</v>
          </cell>
          <cell r="C138" t="str">
            <v>DE.1.0.7.0</v>
          </cell>
          <cell r="D138" t="str">
            <v>204:469</v>
          </cell>
          <cell r="E138">
            <v>42598.765532407408</v>
          </cell>
          <cell r="F138">
            <v>42598.766388888886</v>
          </cell>
          <cell r="G138">
            <v>1</v>
          </cell>
          <cell r="H138" t="str">
            <v>204:233320</v>
          </cell>
          <cell r="I138">
            <v>42598.793298611112</v>
          </cell>
          <cell r="J138">
            <v>1</v>
          </cell>
          <cell r="K138" t="str">
            <v>4037/4038</v>
          </cell>
          <cell r="L138" t="str">
            <v>ISHMAEL</v>
          </cell>
          <cell r="M138">
            <v>2.6909722226264421E-2</v>
          </cell>
          <cell r="N138">
            <v>38.750000005820766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https://search-rtdc-monitor-bjffxe2xuh6vdkpspy63sjmuny.us-east-1.es.amazonaws.com/_plugin/kibana/#/discover/Steve-Slow-Train-Analysis-(2080s-and-2083s)?_g=(refreshInterval:(display:Off,section:0,value:0),time:(from:'2016-08-16 17:22:22-0600',mode:absolute,to:'2016-08-16 20:02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38" t="str">
            <v>N</v>
          </cell>
          <cell r="X138">
            <v>1</v>
          </cell>
          <cell r="Y138">
            <v>4.6899999999999997E-2</v>
          </cell>
          <cell r="Z138">
            <v>23.332000000000001</v>
          </cell>
          <cell r="AA138">
            <v>23.2851</v>
          </cell>
          <cell r="AB138" t="e">
            <v>#N/A</v>
          </cell>
          <cell r="AC138" t="e">
            <v>#N/A</v>
          </cell>
          <cell r="AD138" t="str">
            <v>0217-16</v>
          </cell>
          <cell r="AE138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39">
          <cell r="A139" t="str">
            <v>218-16</v>
          </cell>
          <cell r="B139">
            <v>4037</v>
          </cell>
          <cell r="C139" t="str">
            <v>DE.1.0.7.0</v>
          </cell>
          <cell r="D139" t="str">
            <v>204:233011</v>
          </cell>
          <cell r="E139">
            <v>42598.794432870367</v>
          </cell>
          <cell r="F139">
            <v>42598.795520833337</v>
          </cell>
          <cell r="G139">
            <v>1</v>
          </cell>
          <cell r="H139" t="str">
            <v>204:149</v>
          </cell>
          <cell r="I139">
            <v>42598.827465277776</v>
          </cell>
          <cell r="J139">
            <v>1</v>
          </cell>
          <cell r="K139" t="str">
            <v>4037/4038</v>
          </cell>
          <cell r="L139" t="str">
            <v>ISHMAEL</v>
          </cell>
          <cell r="M139">
            <v>3.1944444439432118E-2</v>
          </cell>
          <cell r="N139">
            <v>45.99999999278225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https://search-rtdc-monitor-bjffxe2xuh6vdkpspy63sjmuny.us-east-1.es.amazonaws.com/_plugin/kibana/#/discover/Steve-Slow-Train-Analysis-(2080s-and-2083s)?_g=(refreshInterval:(display:Off,section:0,value:0),time:(from:'2016-08-16 18:03:59-0600',mode:absolute,to:'2016-08-16 20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39" t="str">
            <v>N</v>
          </cell>
          <cell r="X139">
            <v>1</v>
          </cell>
          <cell r="Y139">
            <v>23.301100000000002</v>
          </cell>
          <cell r="Z139">
            <v>1.49E-2</v>
          </cell>
          <cell r="AA139">
            <v>23.286200000000001</v>
          </cell>
          <cell r="AB139" t="e">
            <v>#N/A</v>
          </cell>
          <cell r="AC139" t="e">
            <v>#N/A</v>
          </cell>
          <cell r="AD139" t="str">
            <v>0218-16</v>
          </cell>
          <cell r="AE139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40">
          <cell r="A140" t="str">
            <v>219-16</v>
          </cell>
          <cell r="B140">
            <v>4029</v>
          </cell>
          <cell r="C140" t="str">
            <v>DE.1.0.7.0</v>
          </cell>
          <cell r="D140" t="str">
            <v>204:471</v>
          </cell>
          <cell r="E140">
            <v>42598.772615740738</v>
          </cell>
          <cell r="F140">
            <v>42598.773414351854</v>
          </cell>
          <cell r="G140">
            <v>1</v>
          </cell>
          <cell r="H140" t="str">
            <v>204:233285</v>
          </cell>
          <cell r="I140">
            <v>42598.798750000002</v>
          </cell>
          <cell r="J140">
            <v>1</v>
          </cell>
          <cell r="K140" t="str">
            <v>4029/4030</v>
          </cell>
          <cell r="L140" t="str">
            <v>CHANDLER</v>
          </cell>
          <cell r="M140">
            <v>2.5335648148029577E-2</v>
          </cell>
          <cell r="N140">
            <v>36.483333333162591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https://search-rtdc-monitor-bjffxe2xuh6vdkpspy63sjmuny.us-east-1.es.amazonaws.com/_plugin/kibana/#/discover/Steve-Slow-Train-Analysis-(2080s-and-2083s)?_g=(refreshInterval:(display:Off,section:0,value:0),time:(from:'2016-08-16 17:32:34-0600',mode:absolute,to:'2016-08-16 20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0" t="str">
            <v>N</v>
          </cell>
          <cell r="X140">
            <v>1</v>
          </cell>
          <cell r="Y140">
            <v>4.7100000000000003E-2</v>
          </cell>
          <cell r="Z140">
            <v>23.328499999999998</v>
          </cell>
          <cell r="AA140">
            <v>23.281399999999998</v>
          </cell>
          <cell r="AB140" t="e">
            <v>#N/A</v>
          </cell>
          <cell r="AC140" t="e">
            <v>#N/A</v>
          </cell>
          <cell r="AD140" t="str">
            <v>0219-16</v>
          </cell>
          <cell r="AE140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41">
          <cell r="A141" t="str">
            <v>220-16</v>
          </cell>
          <cell r="B141">
            <v>4030</v>
          </cell>
          <cell r="C141" t="str">
            <v>DE.1.0.7.0</v>
          </cell>
          <cell r="D141" t="str">
            <v>204:232979</v>
          </cell>
          <cell r="E141">
            <v>42598.808831018519</v>
          </cell>
          <cell r="F141">
            <v>42598.809814814813</v>
          </cell>
          <cell r="G141">
            <v>1</v>
          </cell>
          <cell r="H141" t="str">
            <v>204:161</v>
          </cell>
          <cell r="I141">
            <v>42598.838078703702</v>
          </cell>
          <cell r="J141">
            <v>1</v>
          </cell>
          <cell r="K141" t="str">
            <v>4029/4030</v>
          </cell>
          <cell r="L141" t="str">
            <v>CHANDLER</v>
          </cell>
          <cell r="M141">
            <v>2.8263888889341615E-2</v>
          </cell>
          <cell r="N141">
            <v>40.700000000651926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https://search-rtdc-monitor-bjffxe2xuh6vdkpspy63sjmuny.us-east-1.es.amazonaws.com/_plugin/kibana/#/discover/Steve-Slow-Train-Analysis-(2080s-and-2083s)?_g=(refreshInterval:(display:Off,section:0,value:0),time:(from:'2016-08-16 18:24:43-0600',mode:absolute,to:'2016-08-16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1" t="str">
            <v>N</v>
          </cell>
          <cell r="X141">
            <v>1</v>
          </cell>
          <cell r="Y141">
            <v>23.297899999999998</v>
          </cell>
          <cell r="Z141">
            <v>1.61E-2</v>
          </cell>
          <cell r="AA141">
            <v>23.281799999999997</v>
          </cell>
          <cell r="AB141" t="e">
            <v>#N/A</v>
          </cell>
          <cell r="AC141" t="e">
            <v>#N/A</v>
          </cell>
          <cell r="AD141" t="str">
            <v>0220-16</v>
          </cell>
          <cell r="AE141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42">
          <cell r="A142" t="str">
            <v>221-16</v>
          </cell>
          <cell r="B142">
            <v>4044</v>
          </cell>
          <cell r="C142" t="str">
            <v>DE.1.0.7.0</v>
          </cell>
          <cell r="D142" t="str">
            <v>204:502</v>
          </cell>
          <cell r="E142">
            <v>42598.790763888886</v>
          </cell>
          <cell r="F142">
            <v>42598.791689814818</v>
          </cell>
          <cell r="G142">
            <v>1</v>
          </cell>
          <cell r="H142" t="str">
            <v>204:233289</v>
          </cell>
          <cell r="I142">
            <v>42598.817187499997</v>
          </cell>
          <cell r="J142">
            <v>1</v>
          </cell>
          <cell r="K142" t="str">
            <v>4043/4044</v>
          </cell>
          <cell r="L142" t="str">
            <v>OUN</v>
          </cell>
          <cell r="M142">
            <v>2.5497685179288965E-2</v>
          </cell>
          <cell r="N142">
            <v>36.716666658176109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https://search-rtdc-monitor-bjffxe2xuh6vdkpspy63sjmuny.us-east-1.es.amazonaws.com/_plugin/kibana/#/discover/Steve-Slow-Train-Analysis-(2080s-and-2083s)?_g=(refreshInterval:(display:Off,section:0,value:0),time:(from:'2016-08-16 17:58:42-0600',mode:absolute,to:'2016-08-16 20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2" t="str">
            <v>N</v>
          </cell>
          <cell r="X142">
            <v>1</v>
          </cell>
          <cell r="Y142">
            <v>5.0200000000000002E-2</v>
          </cell>
          <cell r="Z142">
            <v>23.328900000000001</v>
          </cell>
          <cell r="AA142">
            <v>23.278700000000001</v>
          </cell>
          <cell r="AB142" t="e">
            <v>#N/A</v>
          </cell>
          <cell r="AC142" t="e">
            <v>#N/A</v>
          </cell>
          <cell r="AD142" t="str">
            <v>0221-16</v>
          </cell>
          <cell r="AE142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43">
          <cell r="A143" t="str">
            <v>222-16</v>
          </cell>
          <cell r="B143">
            <v>4043</v>
          </cell>
          <cell r="C143" t="str">
            <v>DE.1.0.7.0</v>
          </cell>
          <cell r="D143" t="str">
            <v>204:232971</v>
          </cell>
          <cell r="E143">
            <v>42598.826296296298</v>
          </cell>
          <cell r="F143">
            <v>42598.826967592591</v>
          </cell>
          <cell r="G143">
            <v>0</v>
          </cell>
          <cell r="H143" t="str">
            <v>204:185</v>
          </cell>
          <cell r="I143">
            <v>42598.858761574076</v>
          </cell>
          <cell r="J143">
            <v>1</v>
          </cell>
          <cell r="K143" t="str">
            <v>4043/4044</v>
          </cell>
          <cell r="L143" t="str">
            <v>OUN</v>
          </cell>
          <cell r="M143">
            <v>3.1793981484952383E-2</v>
          </cell>
          <cell r="N143">
            <v>45.783333338331431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https://search-rtdc-monitor-bjffxe2xuh6vdkpspy63sjmuny.us-east-1.es.amazonaws.com/_plugin/kibana/#/discover/Steve-Slow-Train-Analysis-(2080s-and-2083s)?_g=(refreshInterval:(display:Off,section:0,value:0),time:(from:'2016-08-16 18:49:52-0600',mode:absolute,to:'2016-08-16 21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3" t="str">
            <v>N</v>
          </cell>
          <cell r="X143">
            <v>1</v>
          </cell>
          <cell r="Y143">
            <v>23.2971</v>
          </cell>
          <cell r="Z143">
            <v>1.8499999999999999E-2</v>
          </cell>
          <cell r="AA143">
            <v>23.278600000000001</v>
          </cell>
          <cell r="AB143" t="e">
            <v>#N/A</v>
          </cell>
          <cell r="AC143" t="e">
            <v>#N/A</v>
          </cell>
          <cell r="AD143" t="str">
            <v>0222-16</v>
          </cell>
          <cell r="AE143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44">
          <cell r="A144" t="str">
            <v>223-16</v>
          </cell>
          <cell r="B144">
            <v>4016</v>
          </cell>
          <cell r="C144" t="str">
            <v>DE.1.0.7.0</v>
          </cell>
          <cell r="D144" t="str">
            <v>204:457</v>
          </cell>
          <cell r="E144">
            <v>42598.809583333335</v>
          </cell>
          <cell r="F144">
            <v>42598.810567129629</v>
          </cell>
          <cell r="G144">
            <v>1</v>
          </cell>
          <cell r="H144" t="str">
            <v>204:233330</v>
          </cell>
          <cell r="I144">
            <v>42598.837245370371</v>
          </cell>
          <cell r="J144">
            <v>1</v>
          </cell>
          <cell r="K144" t="str">
            <v>4015/4016</v>
          </cell>
          <cell r="L144" t="str">
            <v>STORY</v>
          </cell>
          <cell r="M144">
            <v>2.6678240741603076E-2</v>
          </cell>
          <cell r="N144">
            <v>38.41666666790843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https://search-rtdc-monitor-bjffxe2xuh6vdkpspy63sjmuny.us-east-1.es.amazonaws.com/_plugin/kibana/#/discover/Steve-Slow-Train-Analysis-(2080s-and-2083s)?_g=(refreshInterval:(display:Off,section:0,value:0),time:(from:'2016-08-16 18:25:48-0600',mode:absolute,to:'2016-08-16 21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4" t="str">
            <v>N</v>
          </cell>
          <cell r="X144">
            <v>1</v>
          </cell>
          <cell r="Y144">
            <v>4.5699999999999998E-2</v>
          </cell>
          <cell r="Z144">
            <v>23.332999999999998</v>
          </cell>
          <cell r="AA144">
            <v>23.287299999999998</v>
          </cell>
          <cell r="AB144" t="e">
            <v>#N/A</v>
          </cell>
          <cell r="AC144" t="e">
            <v>#N/A</v>
          </cell>
          <cell r="AD144" t="str">
            <v>0223-16</v>
          </cell>
          <cell r="AE144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45">
          <cell r="A145" t="str">
            <v>224-16</v>
          </cell>
          <cell r="B145">
            <v>4015</v>
          </cell>
          <cell r="C145" t="str">
            <v>DE.1.0.7.0</v>
          </cell>
          <cell r="D145" t="str">
            <v>204:233007</v>
          </cell>
          <cell r="E145">
            <v>42598.844629629632</v>
          </cell>
          <cell r="F145">
            <v>42598.845682870371</v>
          </cell>
          <cell r="G145">
            <v>1</v>
          </cell>
          <cell r="H145" t="str">
            <v>204:125</v>
          </cell>
          <cell r="I145">
            <v>42598.877974537034</v>
          </cell>
          <cell r="J145">
            <v>1</v>
          </cell>
          <cell r="K145" t="str">
            <v>4015/4016</v>
          </cell>
          <cell r="L145" t="str">
            <v>STORY</v>
          </cell>
          <cell r="M145">
            <v>3.2291666662786156E-2</v>
          </cell>
          <cell r="N145">
            <v>46.499999994412065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https://search-rtdc-monitor-bjffxe2xuh6vdkpspy63sjmuny.us-east-1.es.amazonaws.com/_plugin/kibana/#/discover/Steve-Slow-Train-Analysis-(2080s-and-2083s)?_g=(refreshInterval:(display:Off,section:0,value:0),time:(from:'2016-08-16 19:16:16-0600',mode:absolute,to:'2016-08-16 22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5" t="str">
            <v>N</v>
          </cell>
          <cell r="X145">
            <v>1</v>
          </cell>
          <cell r="Y145">
            <v>23.300699999999999</v>
          </cell>
          <cell r="Z145">
            <v>1.2500000000000001E-2</v>
          </cell>
          <cell r="AA145">
            <v>23.2882</v>
          </cell>
          <cell r="AB145" t="e">
            <v>#N/A</v>
          </cell>
          <cell r="AC145" t="e">
            <v>#N/A</v>
          </cell>
          <cell r="AD145" t="str">
            <v>0224-16</v>
          </cell>
          <cell r="AE14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46">
          <cell r="A146" t="str">
            <v>225-16</v>
          </cell>
          <cell r="B146">
            <v>4038</v>
          </cell>
          <cell r="C146" t="str">
            <v>DE.1.0.7.0</v>
          </cell>
          <cell r="D146" t="str">
            <v>204:464</v>
          </cell>
          <cell r="E146">
            <v>42598.828634259262</v>
          </cell>
          <cell r="F146">
            <v>42598.829328703701</v>
          </cell>
          <cell r="G146">
            <v>0</v>
          </cell>
          <cell r="H146" t="str">
            <v>204:233305</v>
          </cell>
          <cell r="I146">
            <v>42598.858680555553</v>
          </cell>
          <cell r="J146">
            <v>1</v>
          </cell>
          <cell r="K146" t="str">
            <v>4037/4038</v>
          </cell>
          <cell r="L146" t="str">
            <v>ISHMAEL</v>
          </cell>
          <cell r="M146">
            <v>2.9351851851970423E-2</v>
          </cell>
          <cell r="N146">
            <v>42.266666666837409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https://search-rtdc-monitor-bjffxe2xuh6vdkpspy63sjmuny.us-east-1.es.amazonaws.com/_plugin/kibana/#/discover/Steve-Slow-Train-Analysis-(2080s-and-2083s)?_g=(refreshInterval:(display:Off,section:0,value:0),time:(from:'2016-08-16 18:53:14-0600',mode:absolute,to:'2016-08-16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46" t="str">
            <v>N</v>
          </cell>
          <cell r="X146">
            <v>1</v>
          </cell>
          <cell r="Y146">
            <v>4.6399999999999997E-2</v>
          </cell>
          <cell r="Z146">
            <v>23.330500000000001</v>
          </cell>
          <cell r="AA146">
            <v>23.284100000000002</v>
          </cell>
          <cell r="AB146" t="e">
            <v>#N/A</v>
          </cell>
          <cell r="AC146" t="e">
            <v>#N/A</v>
          </cell>
          <cell r="AD146" t="str">
            <v>0225-16</v>
          </cell>
          <cell r="AE146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47">
          <cell r="A147" t="str">
            <v>226-16</v>
          </cell>
          <cell r="B147">
            <v>4037</v>
          </cell>
          <cell r="C147" t="str">
            <v>DE.1.0.7.0</v>
          </cell>
          <cell r="D147" t="str">
            <v>204:232971</v>
          </cell>
          <cell r="E147">
            <v>42598.867395833331</v>
          </cell>
          <cell r="F147">
            <v>42598.868368055555</v>
          </cell>
          <cell r="G147">
            <v>1</v>
          </cell>
          <cell r="H147" t="str">
            <v>204:64155</v>
          </cell>
          <cell r="I147">
            <v>42598.890868055554</v>
          </cell>
          <cell r="J147">
            <v>1</v>
          </cell>
          <cell r="K147" t="str">
            <v>4037/4038</v>
          </cell>
          <cell r="L147" t="str">
            <v>ISHMAEL</v>
          </cell>
          <cell r="M147">
            <v>2.2499999999126885E-2</v>
          </cell>
          <cell r="P147">
            <v>32.399999998742715</v>
          </cell>
          <cell r="R147" t="str">
            <v>No issue found - cut out at Central Park</v>
          </cell>
          <cell r="S147">
            <v>0.25</v>
          </cell>
          <cell r="T147" t="str">
            <v>Southbound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https://search-rtdc-monitor-bjffxe2xuh6vdkpspy63sjmuny.us-east-1.es.amazonaws.com/_plugin/kibana/#/discover/Steve-Slow-Train-Analysis-(2080s-and-2083s)?_g=(refreshInterval:(display:Off,section:0,value:0),time:(from:'2016-08-16 19:49:03-0600',mode:absolute,to:'2016-08-16 22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47" t="str">
            <v>Y</v>
          </cell>
          <cell r="X147">
            <v>1</v>
          </cell>
          <cell r="Y147">
            <v>23.2971</v>
          </cell>
          <cell r="Z147">
            <v>6.4154999999999998</v>
          </cell>
          <cell r="AA147">
            <v>16.881599999999999</v>
          </cell>
          <cell r="AB147" t="e">
            <v>#N/A</v>
          </cell>
          <cell r="AC147" t="e">
            <v>#N/A</v>
          </cell>
          <cell r="AD147" t="str">
            <v>0226-16</v>
          </cell>
          <cell r="AE147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48">
          <cell r="A148" t="str">
            <v>227-16</v>
          </cell>
          <cell r="B148">
            <v>4029</v>
          </cell>
          <cell r="C148" t="str">
            <v>DE.1.0.7.0</v>
          </cell>
          <cell r="D148" t="str">
            <v>204:469</v>
          </cell>
          <cell r="E148">
            <v>42598.853344907409</v>
          </cell>
          <cell r="F148">
            <v>42598.854375000003</v>
          </cell>
          <cell r="G148">
            <v>1</v>
          </cell>
          <cell r="H148" t="str">
            <v>204:233289</v>
          </cell>
          <cell r="I148">
            <v>42598.880335648151</v>
          </cell>
          <cell r="J148">
            <v>1</v>
          </cell>
          <cell r="K148" t="str">
            <v>4029/4030</v>
          </cell>
          <cell r="L148" t="str">
            <v>CHANDLER</v>
          </cell>
          <cell r="M148">
            <v>2.5960648148611654E-2</v>
          </cell>
          <cell r="N148">
            <v>37.383333334000781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https://search-rtdc-monitor-bjffxe2xuh6vdkpspy63sjmuny.us-east-1.es.amazonaws.com/_plugin/kibana/#/discover/Steve-Slow-Train-Analysis-(2080s-and-2083s)?_g=(refreshInterval:(display:Off,section:0,value:0),time:(from:'2016-08-16 19:28:49-0600',mode:absolute,to:'2016-08-16 22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8" t="str">
            <v>N</v>
          </cell>
          <cell r="X148">
            <v>1</v>
          </cell>
          <cell r="Y148">
            <v>4.6899999999999997E-2</v>
          </cell>
          <cell r="Z148">
            <v>23.328900000000001</v>
          </cell>
          <cell r="AA148">
            <v>23.282</v>
          </cell>
          <cell r="AB148" t="e">
            <v>#N/A</v>
          </cell>
          <cell r="AC148" t="e">
            <v>#N/A</v>
          </cell>
          <cell r="AD148" t="str">
            <v>0227-16</v>
          </cell>
          <cell r="AE148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49">
          <cell r="A149" t="str">
            <v>228-16</v>
          </cell>
          <cell r="B149">
            <v>4030</v>
          </cell>
          <cell r="C149" t="str">
            <v>DE.1.0.7.0</v>
          </cell>
          <cell r="D149" t="str">
            <v>204:232971</v>
          </cell>
          <cell r="E149">
            <v>42598.892013888886</v>
          </cell>
          <cell r="F149">
            <v>42598.892928240741</v>
          </cell>
          <cell r="G149">
            <v>1</v>
          </cell>
          <cell r="H149" t="str">
            <v>204:169</v>
          </cell>
          <cell r="I149">
            <v>42598.921724537038</v>
          </cell>
          <cell r="J149">
            <v>1</v>
          </cell>
          <cell r="K149" t="str">
            <v>4029/4030</v>
          </cell>
          <cell r="L149" t="str">
            <v>CHANDLER</v>
          </cell>
          <cell r="M149">
            <v>2.8796296297514345E-2</v>
          </cell>
          <cell r="N149">
            <v>41.466666668420658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https://search-rtdc-monitor-bjffxe2xuh6vdkpspy63sjmuny.us-east-1.es.amazonaws.com/_plugin/kibana/#/discover/Steve-Slow-Train-Analysis-(2080s-and-2083s)?_g=(refreshInterval:(display:Off,section:0,value:0),time:(from:'2016-08-16 20:24:30-0600',mode:absolute,to:'2016-08-16 23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9" t="str">
            <v>N</v>
          </cell>
          <cell r="X149">
            <v>1</v>
          </cell>
          <cell r="Y149">
            <v>23.2971</v>
          </cell>
          <cell r="Z149">
            <v>1.6899999999999998E-2</v>
          </cell>
          <cell r="AA149">
            <v>23.280200000000001</v>
          </cell>
          <cell r="AB149" t="e">
            <v>#N/A</v>
          </cell>
          <cell r="AC149" t="e">
            <v>#N/A</v>
          </cell>
          <cell r="AD149" t="str">
            <v>0228-16</v>
          </cell>
          <cell r="AE149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50">
          <cell r="A150" t="str">
            <v>229-16</v>
          </cell>
          <cell r="B150">
            <v>4044</v>
          </cell>
          <cell r="C150" t="str">
            <v>DE.1.0.7.0</v>
          </cell>
          <cell r="D150" t="str">
            <v>204:475</v>
          </cell>
          <cell r="E150">
            <v>42598.869131944448</v>
          </cell>
          <cell r="F150">
            <v>42598.870185185187</v>
          </cell>
          <cell r="G150">
            <v>1</v>
          </cell>
          <cell r="H150" t="str">
            <v>204:233295</v>
          </cell>
          <cell r="I150">
            <v>42598.901018518518</v>
          </cell>
          <cell r="J150">
            <v>1</v>
          </cell>
          <cell r="K150" t="str">
            <v>4043/4044</v>
          </cell>
          <cell r="L150" t="str">
            <v>OUN</v>
          </cell>
          <cell r="M150">
            <v>3.0833333330519963E-2</v>
          </cell>
          <cell r="N150">
            <v>44.399999995948747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https://search-rtdc-monitor-bjffxe2xuh6vdkpspy63sjmuny.us-east-1.es.amazonaws.com/_plugin/kibana/#/discover/Steve-Slow-Train-Analysis-(2080s-and-2083s)?_g=(refreshInterval:(display:Off,section:0,value:0),time:(from:'2016-08-16 19:51:33-0600',mode:absolute,to:'2016-08-16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0" t="str">
            <v>N</v>
          </cell>
          <cell r="X150">
            <v>1</v>
          </cell>
          <cell r="Y150">
            <v>4.7500000000000001E-2</v>
          </cell>
          <cell r="Z150">
            <v>23.329499999999999</v>
          </cell>
          <cell r="AA150">
            <v>23.282</v>
          </cell>
          <cell r="AB150" t="e">
            <v>#N/A</v>
          </cell>
          <cell r="AC150" t="e">
            <v>#N/A</v>
          </cell>
          <cell r="AD150" t="str">
            <v>0229-16</v>
          </cell>
          <cell r="AE150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51">
          <cell r="A151" t="str">
            <v>230-16</v>
          </cell>
          <cell r="B151">
            <v>4043</v>
          </cell>
          <cell r="C151" t="str">
            <v>DE.1.0.7.0</v>
          </cell>
          <cell r="D151" t="str">
            <v>204:232975</v>
          </cell>
          <cell r="E151">
            <v>42598.908518518518</v>
          </cell>
          <cell r="F151">
            <v>42598.909421296295</v>
          </cell>
          <cell r="G151">
            <v>1</v>
          </cell>
          <cell r="H151" t="str">
            <v>204:62300</v>
          </cell>
          <cell r="I151">
            <v>42598.932546296295</v>
          </cell>
          <cell r="J151">
            <v>1</v>
          </cell>
          <cell r="K151" t="str">
            <v>4043/4044</v>
          </cell>
          <cell r="L151" t="str">
            <v>OUN</v>
          </cell>
          <cell r="M151">
            <v>2.3124999999708962E-2</v>
          </cell>
          <cell r="P151">
            <v>33.299999999580905</v>
          </cell>
          <cell r="R151" t="str">
            <v>Quebec 4S took 2+ minutes to clear, waiting for crossing arms</v>
          </cell>
          <cell r="S151">
            <v>0.33333333333333331</v>
          </cell>
          <cell r="T151" t="str">
            <v>Southbound</v>
          </cell>
          <cell r="U151">
            <v>4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https://search-rtdc-monitor-bjffxe2xuh6vdkpspy63sjmuny.us-east-1.es.amazonaws.com/_plugin/kibana/#/discover/Steve-Slow-Train-Analysis-(2080s-and-2083s)?_g=(refreshInterval:(display:Off,section:0,value:0),time:(from:'2016-08-16 20:48:16-0600',mode:absolute,to:'2016-08-16 23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1" t="str">
            <v>Y</v>
          </cell>
          <cell r="X151">
            <v>1</v>
          </cell>
          <cell r="Y151">
            <v>23.297499999999999</v>
          </cell>
          <cell r="Z151">
            <v>6.23</v>
          </cell>
          <cell r="AA151">
            <v>17.067499999999999</v>
          </cell>
          <cell r="AB151" t="e">
            <v>#N/A</v>
          </cell>
          <cell r="AC151" t="e">
            <v>#N/A</v>
          </cell>
          <cell r="AD151" t="str">
            <v>0230-16</v>
          </cell>
          <cell r="AE151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52">
          <cell r="A152" t="str">
            <v>231-16</v>
          </cell>
          <cell r="B152">
            <v>4016</v>
          </cell>
          <cell r="C152" t="str">
            <v>DE.1.0.7.0</v>
          </cell>
          <cell r="D152" t="str">
            <v>204:424</v>
          </cell>
          <cell r="E152">
            <v>42598.886342592596</v>
          </cell>
          <cell r="F152">
            <v>42598.88795138889</v>
          </cell>
          <cell r="G152">
            <v>2</v>
          </cell>
          <cell r="H152" t="str">
            <v>204:233336</v>
          </cell>
          <cell r="I152">
            <v>42598.921944444446</v>
          </cell>
          <cell r="J152">
            <v>1</v>
          </cell>
          <cell r="K152" t="str">
            <v>4015/4016</v>
          </cell>
          <cell r="L152" t="str">
            <v>STORY</v>
          </cell>
          <cell r="M152">
            <v>3.3993055556493346E-2</v>
          </cell>
          <cell r="N152">
            <v>48.950000001350418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https://search-rtdc-monitor-bjffxe2xuh6vdkpspy63sjmuny.us-east-1.es.amazonaws.com/_plugin/kibana/#/discover/Steve-Slow-Train-Analysis-(2080s-and-2083s)?_g=(refreshInterval:(display:Off,section:0,value:0),time:(from:'2016-08-16 20:16:20-0600',mode:absolute,to:'2016-08-16 23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2" t="str">
            <v>N</v>
          </cell>
          <cell r="X152">
            <v>1</v>
          </cell>
          <cell r="Y152">
            <v>4.24E-2</v>
          </cell>
          <cell r="Z152">
            <v>23.333600000000001</v>
          </cell>
          <cell r="AA152">
            <v>23.2912</v>
          </cell>
          <cell r="AB152" t="e">
            <v>#N/A</v>
          </cell>
          <cell r="AC152" t="e">
            <v>#N/A</v>
          </cell>
          <cell r="AD152" t="str">
            <v>0231-16</v>
          </cell>
          <cell r="AE152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53">
          <cell r="A153" t="str">
            <v>232-16</v>
          </cell>
          <cell r="B153">
            <v>4015</v>
          </cell>
          <cell r="C153" t="str">
            <v>DE.1.0.7.0</v>
          </cell>
          <cell r="D153" t="str">
            <v>204:233070</v>
          </cell>
          <cell r="E153">
            <v>42598.929224537038</v>
          </cell>
          <cell r="F153">
            <v>42598.933391203704</v>
          </cell>
          <cell r="G153">
            <v>5</v>
          </cell>
          <cell r="H153" t="str">
            <v>204:163</v>
          </cell>
          <cell r="I153">
            <v>42598.963796296295</v>
          </cell>
          <cell r="J153">
            <v>1</v>
          </cell>
          <cell r="K153" t="str">
            <v>4015/4016</v>
          </cell>
          <cell r="L153" t="str">
            <v>STORY</v>
          </cell>
          <cell r="M153">
            <v>3.0405092591536231E-2</v>
          </cell>
          <cell r="N153">
            <v>43.783333331812173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https://search-rtdc-monitor-bjffxe2xuh6vdkpspy63sjmuny.us-east-1.es.amazonaws.com/_plugin/kibana/#/discover/Steve-Slow-Train-Analysis-(2080s-and-2083s)?_g=(refreshInterval:(display:Off,section:0,value:0),time:(from:'2016-08-16 21:18:05-0600',mode:absolute,to:'2016-08-17 00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3" t="str">
            <v>N</v>
          </cell>
          <cell r="X153">
            <v>1</v>
          </cell>
          <cell r="Y153">
            <v>23.306999999999999</v>
          </cell>
          <cell r="Z153">
            <v>1.6299999999999999E-2</v>
          </cell>
          <cell r="AA153">
            <v>23.290699999999998</v>
          </cell>
          <cell r="AB153" t="e">
            <v>#N/A</v>
          </cell>
          <cell r="AC153" t="e">
            <v>#N/A</v>
          </cell>
          <cell r="AD153" t="str">
            <v>0232-16</v>
          </cell>
          <cell r="AE153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  <row r="154">
          <cell r="A154" t="str">
            <v>234-16</v>
          </cell>
          <cell r="B154">
            <v>4037</v>
          </cell>
          <cell r="C154" t="str">
            <v>DE.1.0.7.0</v>
          </cell>
          <cell r="D154" t="str">
            <v>204:232987</v>
          </cell>
          <cell r="E154">
            <v>42598.952268518522</v>
          </cell>
          <cell r="F154">
            <v>42598.953935185185</v>
          </cell>
          <cell r="G154">
            <v>2</v>
          </cell>
          <cell r="H154" t="str">
            <v>204:165</v>
          </cell>
          <cell r="I154">
            <v>42598.991238425922</v>
          </cell>
          <cell r="J154">
            <v>1</v>
          </cell>
          <cell r="K154" t="str">
            <v>4037/4038</v>
          </cell>
          <cell r="L154" t="str">
            <v>CUSHING</v>
          </cell>
          <cell r="M154">
            <v>3.7303240736946464E-2</v>
          </cell>
          <cell r="N154">
            <v>53.716666661202908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https://search-rtdc-monitor-bjffxe2xuh6vdkpspy63sjmuny.us-east-1.es.amazonaws.com/_plugin/kibana/#/discover/Steve-Slow-Train-Analysis-(2080s-and-2083s)?_g=(refreshInterval:(display:Off,section:0,value:0),time:(from:'2016-08-16 21:51:16-0600',mode:absolute,to:'2016-08-17 00:47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54" t="str">
            <v>N</v>
          </cell>
          <cell r="X154">
            <v>2</v>
          </cell>
          <cell r="Y154">
            <v>23.2987</v>
          </cell>
          <cell r="Z154">
            <v>1.6500000000000001E-2</v>
          </cell>
          <cell r="AA154">
            <v>23.2822</v>
          </cell>
          <cell r="AB154" t="e">
            <v>#N/A</v>
          </cell>
          <cell r="AC154" t="e">
            <v>#N/A</v>
          </cell>
          <cell r="AD154" t="str">
            <v>0234-16</v>
          </cell>
          <cell r="AE154" t="str">
    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    </cell>
        </row>
        <row r="155">
          <cell r="A155" t="str">
            <v>235-16</v>
          </cell>
          <cell r="B155">
            <v>4029</v>
          </cell>
          <cell r="C155" t="str">
            <v>DE.1.0.7.0</v>
          </cell>
          <cell r="D155" t="str">
            <v>204:466</v>
          </cell>
          <cell r="E155">
            <v>42598.936273148145</v>
          </cell>
          <cell r="F155">
            <v>42598.937592592592</v>
          </cell>
          <cell r="G155">
            <v>1</v>
          </cell>
          <cell r="H155" t="str">
            <v>204:233295</v>
          </cell>
          <cell r="I155">
            <v>42598.965590277781</v>
          </cell>
          <cell r="J155">
            <v>1</v>
          </cell>
          <cell r="K155" t="str">
            <v>4029/4030</v>
          </cell>
          <cell r="L155" t="str">
            <v>CHANDLER</v>
          </cell>
          <cell r="M155">
            <v>2.7997685188893229E-2</v>
          </cell>
          <cell r="N155">
            <v>40.316666672006249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https://search-rtdc-monitor-bjffxe2xuh6vdkpspy63sjmuny.us-east-1.es.amazonaws.com/_plugin/kibana/#/discover/Steve-Slow-Train-Analysis-(2080s-and-2083s)?_g=(refreshInterval:(display:Off,section:0,value:0),time:(from:'2016-08-16 21:28:14-0600',mode:absolute,to:'2016-08-17 00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5" t="str">
            <v>N</v>
          </cell>
          <cell r="X155">
            <v>1</v>
          </cell>
          <cell r="Y155">
            <v>4.6600000000000003E-2</v>
          </cell>
          <cell r="Z155">
            <v>23.329499999999999</v>
          </cell>
          <cell r="AA155">
            <v>23.282899999999998</v>
          </cell>
          <cell r="AB155" t="e">
            <v>#N/A</v>
          </cell>
          <cell r="AC155" t="e">
            <v>#N/A</v>
          </cell>
          <cell r="AD155" t="str">
            <v>0235-16</v>
          </cell>
          <cell r="AE155" t="str">
    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    </cell>
        </row>
        <row r="156">
          <cell r="A156" t="str">
            <v>236-16</v>
          </cell>
          <cell r="B156">
            <v>4030</v>
          </cell>
          <cell r="C156" t="str">
            <v>DE.1.0.7.0</v>
          </cell>
          <cell r="D156" t="str">
            <v>204:232975</v>
          </cell>
          <cell r="E156">
            <v>42598.975497685184</v>
          </cell>
          <cell r="F156">
            <v>42598.976377314815</v>
          </cell>
          <cell r="G156">
            <v>1</v>
          </cell>
          <cell r="H156" t="str">
            <v>204:169</v>
          </cell>
          <cell r="I156">
            <v>42599.014351851853</v>
          </cell>
          <cell r="J156">
            <v>1</v>
          </cell>
          <cell r="K156" t="str">
            <v>4029/4030</v>
          </cell>
          <cell r="L156" t="str">
            <v>CHANDLER</v>
          </cell>
          <cell r="M156">
            <v>3.7974537037371192E-2</v>
          </cell>
          <cell r="N156">
            <v>54.683333333814517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https://search-rtdc-monitor-bjffxe2xuh6vdkpspy63sjmuny.us-east-1.es.amazonaws.com/_plugin/kibana/#/discover/Steve-Slow-Train-Analysis-(2080s-and-2083s)?_g=(refreshInterval:(display:Off,section:0,value:0),time:(from:'2016-08-16 22:24:43-0600',mode:absolute,to:'2016-08-17 01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6" t="str">
            <v>N</v>
          </cell>
          <cell r="X156">
            <v>1</v>
          </cell>
          <cell r="Y156">
            <v>23.297499999999999</v>
          </cell>
          <cell r="Z156">
            <v>1.6899999999999998E-2</v>
          </cell>
          <cell r="AA156">
            <v>23.2806</v>
          </cell>
          <cell r="AB156" t="e">
            <v>#N/A</v>
          </cell>
          <cell r="AC156" t="e">
            <v>#N/A</v>
          </cell>
          <cell r="AD156" t="str">
            <v>0236-16</v>
          </cell>
          <cell r="AE156" t="str">
    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    </cell>
        </row>
        <row r="157">
          <cell r="A157" t="str">
            <v>237-16</v>
          </cell>
          <cell r="B157">
            <v>4044</v>
          </cell>
          <cell r="C157" t="str">
            <v>DE.1.0.7.0</v>
          </cell>
          <cell r="D157" t="str">
            <v>204:457</v>
          </cell>
          <cell r="E157">
            <v>42598.954791666663</v>
          </cell>
          <cell r="F157">
            <v>42598.955763888887</v>
          </cell>
          <cell r="G157">
            <v>1</v>
          </cell>
          <cell r="H157" t="str">
            <v>204:233300</v>
          </cell>
          <cell r="I157">
            <v>42598.986608796295</v>
          </cell>
          <cell r="J157">
            <v>1</v>
          </cell>
          <cell r="K157" t="str">
            <v>4043/4044</v>
          </cell>
          <cell r="L157" t="str">
            <v>OUN</v>
          </cell>
          <cell r="M157">
            <v>3.0844907407299615E-2</v>
          </cell>
          <cell r="N157">
            <v>44.416666666511446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00:40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7" t="str">
            <v>N</v>
          </cell>
          <cell r="X157">
            <v>1</v>
          </cell>
          <cell r="Y157">
            <v>4.5699999999999998E-2</v>
          </cell>
          <cell r="Z157">
            <v>23.33</v>
          </cell>
          <cell r="AA157">
            <v>23.284299999999998</v>
          </cell>
          <cell r="AB157" t="e">
            <v>#N/A</v>
          </cell>
          <cell r="AC157" t="e">
            <v>#N/A</v>
          </cell>
          <cell r="AD157" t="str">
            <v>0237-16</v>
          </cell>
          <cell r="AE157" t="str">
    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    </cell>
        </row>
        <row r="158">
          <cell r="A158" t="str">
            <v>238-16</v>
          </cell>
          <cell r="B158">
            <v>4043</v>
          </cell>
          <cell r="C158" t="str">
            <v>DE.1.0.7.0</v>
          </cell>
          <cell r="D158" t="str">
            <v>204:457</v>
          </cell>
          <cell r="E158">
            <v>42598.954791666663</v>
          </cell>
          <cell r="F158">
            <v>42598.992164351854</v>
          </cell>
          <cell r="G158">
            <v>1</v>
          </cell>
          <cell r="H158" t="str">
            <v>204:233300</v>
          </cell>
          <cell r="I158">
            <v>42599.02616898148</v>
          </cell>
          <cell r="J158">
            <v>1</v>
          </cell>
          <cell r="K158" t="str">
            <v>4043/4044</v>
          </cell>
          <cell r="L158" t="str">
            <v>OUN</v>
          </cell>
          <cell r="M158">
            <v>3.400462962599704E-2</v>
          </cell>
          <cell r="P158">
            <v>48.966666661435738</v>
          </cell>
          <cell r="R158" t="str">
            <v>BOS crashed?</v>
          </cell>
          <cell r="S158">
            <v>0.75</v>
          </cell>
          <cell r="T158" t="str">
            <v>Southbound</v>
          </cell>
          <cell r="U158">
            <v>9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8" t="str">
            <v>Y</v>
          </cell>
          <cell r="X158">
            <v>1</v>
          </cell>
          <cell r="Y158">
            <v>23.3</v>
          </cell>
          <cell r="Z158">
            <v>4.2</v>
          </cell>
          <cell r="AA158">
            <v>19.100000000000001</v>
          </cell>
          <cell r="AB158" t="e">
            <v>#N/A</v>
          </cell>
          <cell r="AC158" t="e">
            <v>#N/A</v>
          </cell>
          <cell r="AD158" t="str">
            <v>0238-16</v>
          </cell>
          <cell r="AE158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159">
          <cell r="A159" t="str">
            <v>239-16</v>
          </cell>
          <cell r="B159">
            <v>4016</v>
          </cell>
          <cell r="C159" t="str">
            <v>DE.1.0.7.0</v>
          </cell>
          <cell r="D159" t="str">
            <v>204:466</v>
          </cell>
          <cell r="E159">
            <v>42598.976006944446</v>
          </cell>
          <cell r="F159">
            <v>42598.977037037039</v>
          </cell>
          <cell r="G159">
            <v>1</v>
          </cell>
          <cell r="H159" t="str">
            <v>204:233305</v>
          </cell>
          <cell r="I159">
            <v>42599.006365740737</v>
          </cell>
          <cell r="J159">
            <v>1</v>
          </cell>
          <cell r="K159" t="str">
            <v>4015/4016</v>
          </cell>
          <cell r="L159" t="str">
            <v>STORY</v>
          </cell>
          <cell r="M159">
            <v>2.9328703698411118E-2</v>
          </cell>
          <cell r="N159">
            <v>42.23333332571201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9" t="str">
            <v>N</v>
          </cell>
          <cell r="X159">
            <v>1</v>
          </cell>
          <cell r="Y159">
            <v>4.6600000000000003E-2</v>
          </cell>
          <cell r="Z159">
            <v>23.330500000000001</v>
          </cell>
          <cell r="AA159">
            <v>23.283899999999999</v>
          </cell>
          <cell r="AB159">
            <v>228668</v>
          </cell>
          <cell r="AC159" t="str">
            <v>PERMANENT SPEED RESTRICTION</v>
          </cell>
          <cell r="AD159" t="str">
            <v>0239-16</v>
          </cell>
          <cell r="AE159" t="str">
    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    </cell>
        </row>
        <row r="160">
          <cell r="A160" t="str">
            <v>240-16</v>
          </cell>
          <cell r="B160">
            <v>4015</v>
          </cell>
          <cell r="C160" t="str">
            <v>DE.1.0.7.0</v>
          </cell>
          <cell r="D160" t="str">
            <v>204:466</v>
          </cell>
          <cell r="E160">
            <v>42598.976006944446</v>
          </cell>
          <cell r="F160">
            <v>42599.01158564815</v>
          </cell>
          <cell r="G160">
            <v>1</v>
          </cell>
          <cell r="H160" t="str">
            <v>204:233305</v>
          </cell>
          <cell r="I160">
            <v>42599.012106481481</v>
          </cell>
          <cell r="J160">
            <v>1</v>
          </cell>
          <cell r="K160" t="str">
            <v>4015/4016</v>
          </cell>
          <cell r="L160" t="str">
            <v>STORY</v>
          </cell>
          <cell r="M160">
            <v>5.2083333139307797E-4</v>
          </cell>
          <cell r="P160">
            <v>0.74999999720603228</v>
          </cell>
          <cell r="R160" t="str">
            <v>BOS crashed?</v>
          </cell>
          <cell r="S160">
            <v>0</v>
          </cell>
          <cell r="T160" t="str">
            <v>Southbound</v>
          </cell>
          <cell r="U160">
            <v>0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60" t="str">
            <v>Y</v>
          </cell>
          <cell r="X160">
            <v>1</v>
          </cell>
          <cell r="Y160">
            <v>23.3</v>
          </cell>
          <cell r="Z160">
            <v>23.2</v>
          </cell>
          <cell r="AA160">
            <v>0.10000000000000142</v>
          </cell>
          <cell r="AB160" t="e">
            <v>#N/A</v>
          </cell>
          <cell r="AC160" t="e">
            <v>#N/A</v>
          </cell>
          <cell r="AD160" t="str">
            <v>0240-16</v>
          </cell>
          <cell r="AE160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61">
          <cell r="A161" t="str">
            <v>241-16</v>
          </cell>
          <cell r="B161">
            <v>4038</v>
          </cell>
          <cell r="C161" t="str">
            <v>DE.1.0.7.0</v>
          </cell>
          <cell r="D161" t="str">
            <v>204:451</v>
          </cell>
          <cell r="E161">
            <v>42598.993761574071</v>
          </cell>
          <cell r="F161">
            <v>42598.99523148148</v>
          </cell>
          <cell r="G161">
            <v>2</v>
          </cell>
          <cell r="H161" t="str">
            <v>204:233310</v>
          </cell>
          <cell r="I161">
            <v>42599.026782407411</v>
          </cell>
          <cell r="J161">
            <v>1</v>
          </cell>
          <cell r="K161" t="str">
            <v>4037/4038</v>
          </cell>
          <cell r="L161" t="str">
            <v>ISHMAEL</v>
          </cell>
          <cell r="M161">
            <v>3.1550925930787344E-2</v>
          </cell>
          <cell r="N161">
            <v>45.433333340333775</v>
          </cell>
          <cell r="S161">
            <v>1</v>
          </cell>
          <cell r="T161" t="str">
            <v>NorthBound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https://search-rtdc-monitor-bjffxe2xuh6vdkpspy63sjmuny.us-east-1.es.amazonaws.com/_plugin/kibana/#/discover/Steve-Slow-Train-Analysis-(2080s-and-2083s)?_g=(refreshInterval:(display:Off,section:0,value:0),time:(from:'2016-08-16 22:51:01-0600',mode:absolute,to:'2016-08-17 01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1" t="str">
            <v>N</v>
          </cell>
          <cell r="X161">
            <v>1</v>
          </cell>
          <cell r="Y161">
            <v>4.5100000000000001E-2</v>
          </cell>
          <cell r="Z161">
            <v>23.331</v>
          </cell>
          <cell r="AA161">
            <v>23.285899999999998</v>
          </cell>
          <cell r="AB161" t="e">
            <v>#N/A</v>
          </cell>
          <cell r="AC161" t="e">
            <v>#N/A</v>
          </cell>
          <cell r="AD161" t="str">
            <v>0241-16</v>
          </cell>
          <cell r="AE161" t="str">
    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    </cell>
        </row>
        <row r="162">
          <cell r="A162" t="str">
            <v>242-16</v>
          </cell>
          <cell r="B162">
            <v>4038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4037/4038</v>
          </cell>
          <cell r="L162" t="e">
            <v>#N/A</v>
          </cell>
          <cell r="P162">
            <v>1</v>
          </cell>
          <cell r="R162" t="str">
            <v>Did not initialize</v>
          </cell>
          <cell r="S162">
            <v>0</v>
          </cell>
          <cell r="T162" t="str">
            <v>Southbound</v>
          </cell>
          <cell r="U162">
            <v>0</v>
          </cell>
          <cell r="V162" t="e">
            <v>#VALUE!</v>
          </cell>
          <cell r="W162" t="e">
            <v>#VALUE!</v>
          </cell>
          <cell r="X162">
            <v>1</v>
          </cell>
          <cell r="Y162" t="e">
            <v>#VALUE!</v>
          </cell>
          <cell r="Z162" t="e">
            <v>#VALUE!</v>
          </cell>
          <cell r="AA162" t="e">
            <v>#VALUE!</v>
          </cell>
          <cell r="AB162" t="e">
            <v>#N/A</v>
          </cell>
          <cell r="AC162" t="e">
            <v>#N/A</v>
          </cell>
          <cell r="AD162" t="str">
            <v>0242-16</v>
          </cell>
          <cell r="AE162" t="e">
            <v>#VALUE!</v>
          </cell>
        </row>
        <row r="163">
          <cell r="A163" t="str">
            <v>243-16</v>
          </cell>
          <cell r="B163">
            <v>4029</v>
          </cell>
          <cell r="C163" t="str">
            <v>DE.1.0.7.0</v>
          </cell>
          <cell r="D163" t="str">
            <v>204:232978</v>
          </cell>
          <cell r="E163">
            <v>42599.059062499997</v>
          </cell>
          <cell r="F163">
            <v>42599.020590277774</v>
          </cell>
          <cell r="G163">
            <v>1</v>
          </cell>
          <cell r="H163" t="str">
            <v>204:164</v>
          </cell>
          <cell r="I163">
            <v>42599.026238425926</v>
          </cell>
          <cell r="J163">
            <v>1</v>
          </cell>
          <cell r="K163" t="str">
            <v>4029/4030</v>
          </cell>
          <cell r="L163" t="str">
            <v>CHANDLER</v>
          </cell>
          <cell r="M163">
            <v>5.6481481515220366E-3</v>
          </cell>
          <cell r="P163">
            <v>8.1333333381917328</v>
          </cell>
          <cell r="R163" t="str">
            <v>BOS crashed?</v>
          </cell>
          <cell r="S163">
            <v>8.3333333333333329E-2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3" t="str">
            <v>Y</v>
          </cell>
          <cell r="X163">
            <v>1</v>
          </cell>
          <cell r="Y163">
            <v>0.04</v>
          </cell>
          <cell r="Z163">
            <v>2.84</v>
          </cell>
          <cell r="AA163">
            <v>2.8</v>
          </cell>
          <cell r="AB163" t="e">
            <v>#N/A</v>
          </cell>
          <cell r="AC163" t="e">
            <v>#N/A</v>
          </cell>
          <cell r="AD163" t="str">
            <v>0243-16</v>
          </cell>
          <cell r="AE163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164">
          <cell r="A164" t="str">
            <v>244-16</v>
          </cell>
          <cell r="B164">
            <v>4030</v>
          </cell>
          <cell r="C164" t="str">
            <v>DE.1.0.7.0</v>
          </cell>
          <cell r="D164" t="str">
            <v>204:232978</v>
          </cell>
          <cell r="E164">
            <v>42599.059062499997</v>
          </cell>
          <cell r="F164">
            <v>42599.059976851851</v>
          </cell>
          <cell r="G164">
            <v>1</v>
          </cell>
          <cell r="H164" t="str">
            <v>204:164</v>
          </cell>
          <cell r="I164">
            <v>42599.089525462965</v>
          </cell>
          <cell r="J164">
            <v>1</v>
          </cell>
          <cell r="K164" t="str">
            <v>4029/4030</v>
          </cell>
          <cell r="L164" t="str">
            <v>CHANDLER</v>
          </cell>
          <cell r="M164">
            <v>2.9548611113568768E-2</v>
          </cell>
          <cell r="N164">
            <v>42.550000003539026</v>
          </cell>
          <cell r="S164">
            <v>1</v>
          </cell>
          <cell r="T164" t="str">
            <v>Southbound</v>
          </cell>
          <cell r="U164">
            <v>12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4" t="str">
            <v>N</v>
          </cell>
          <cell r="X164">
            <v>1</v>
          </cell>
          <cell r="Y164">
            <v>23.297799999999999</v>
          </cell>
          <cell r="Z164">
            <v>1.6400000000000001E-2</v>
          </cell>
          <cell r="AA164">
            <v>23.281399999999998</v>
          </cell>
          <cell r="AB164" t="e">
            <v>#N/A</v>
          </cell>
          <cell r="AC164" t="e">
            <v>#N/A</v>
          </cell>
          <cell r="AD164" t="str">
            <v>0244-16</v>
          </cell>
          <cell r="AE164" t="str">
            <v>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 &amp; 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</v>
          </cell>
        </row>
        <row r="165">
          <cell r="A165" t="str">
            <v>801-16</v>
          </cell>
          <cell r="B165">
            <v>4002</v>
          </cell>
          <cell r="C165" t="str">
            <v>DE.1.0.7.0</v>
          </cell>
          <cell r="D165" t="str">
            <v>204:953</v>
          </cell>
          <cell r="E165">
            <v>42598.241863425923</v>
          </cell>
          <cell r="F165">
            <v>42598.243113425924</v>
          </cell>
          <cell r="G165">
            <v>1</v>
          </cell>
          <cell r="H165" t="str">
            <v>300:58935</v>
          </cell>
          <cell r="I165">
            <v>42598.253576388888</v>
          </cell>
          <cell r="J165">
            <v>1</v>
          </cell>
          <cell r="K165" t="str">
            <v>4001/4002</v>
          </cell>
          <cell r="L165" t="str">
            <v>STARKS</v>
          </cell>
          <cell r="M165">
            <v>1.0462962964083999E-2</v>
          </cell>
          <cell r="N165">
            <v>15.066666668280959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5" t="str">
            <v>N</v>
          </cell>
          <cell r="X165">
            <v>557</v>
          </cell>
          <cell r="Y165">
            <v>9.5299999999999996E-2</v>
          </cell>
          <cell r="Z165">
            <v>5.8935000000000004</v>
          </cell>
          <cell r="AA165">
            <v>5.7982000000000005</v>
          </cell>
          <cell r="AB165" t="e">
            <v>#N/A</v>
          </cell>
          <cell r="AC165" t="e">
            <v>#N/A</v>
          </cell>
          <cell r="AD165" t="str">
            <v>0801-16</v>
          </cell>
          <cell r="AE165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66">
          <cell r="A166" t="str">
            <v>802-16</v>
          </cell>
          <cell r="B166">
            <v>4001</v>
          </cell>
          <cell r="C166" t="str">
            <v>DE.1.0.7.0</v>
          </cell>
          <cell r="D166" t="str">
            <v>204:953</v>
          </cell>
          <cell r="E166">
            <v>42598.241863425923</v>
          </cell>
          <cell r="F166">
            <v>42598.243113425924</v>
          </cell>
          <cell r="G166">
            <v>1</v>
          </cell>
          <cell r="H166" t="str">
            <v>300:58935</v>
          </cell>
          <cell r="I166">
            <v>42598.253576388888</v>
          </cell>
          <cell r="J166">
            <v>1</v>
          </cell>
          <cell r="K166" t="str">
            <v>4001/4002</v>
          </cell>
          <cell r="L166" t="e">
            <v>#N/A</v>
          </cell>
          <cell r="M166">
            <v>1.0462962964083999E-2</v>
          </cell>
          <cell r="N166">
            <v>15.066666668280959</v>
          </cell>
          <cell r="P166">
            <v>15.066666668280959</v>
          </cell>
          <cell r="R166" t="str">
            <v>Did not initialize</v>
          </cell>
          <cell r="S166">
            <v>0</v>
          </cell>
          <cell r="T166" t="str">
            <v>Southbound</v>
          </cell>
          <cell r="U166">
            <v>0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6" t="str">
            <v>N</v>
          </cell>
          <cell r="X166">
            <v>1</v>
          </cell>
          <cell r="Y166">
            <v>9.5299999999999996E-2</v>
          </cell>
          <cell r="Z166">
            <v>5.8935000000000004</v>
          </cell>
          <cell r="AA166">
            <v>5.7982000000000005</v>
          </cell>
          <cell r="AB166" t="e">
            <v>#N/A</v>
          </cell>
          <cell r="AC166" t="e">
            <v>#N/A</v>
          </cell>
          <cell r="AD166" t="str">
            <v>0802-16</v>
          </cell>
          <cell r="AE166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67">
          <cell r="A167" t="str">
            <v>803-16</v>
          </cell>
          <cell r="B167">
            <v>4014</v>
          </cell>
          <cell r="C167" t="str">
            <v>DE.1.0.7.0</v>
          </cell>
          <cell r="D167" t="str">
            <v>204:1028</v>
          </cell>
          <cell r="E167">
            <v>42598.260706018518</v>
          </cell>
          <cell r="F167">
            <v>42598.261921296296</v>
          </cell>
          <cell r="G167">
            <v>1</v>
          </cell>
          <cell r="H167" t="str">
            <v>300:58922</v>
          </cell>
          <cell r="I167">
            <v>42598.276053240741</v>
          </cell>
          <cell r="J167">
            <v>1</v>
          </cell>
          <cell r="K167" t="str">
            <v>4013/4014</v>
          </cell>
          <cell r="L167" t="str">
            <v>LEVIN</v>
          </cell>
          <cell r="M167">
            <v>1.4131944444670808E-2</v>
          </cell>
          <cell r="N167">
            <v>20.350000000325963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https://search-rtdc-monitor-bjffxe2xuh6vdkpspy63sjmuny.us-east-1.es.amazonaws.com/_plugin/kibana/#/discover/Steve-Slow-Train-Analysis-(2080s-and-2083s)?_g=(refreshInterval:(display:Off,section:0,value:0),time:(from:'2016-08-16 05:15:25-0600',mode:absolute,to:'2016-08-16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7" t="str">
            <v>N</v>
          </cell>
          <cell r="X167">
            <v>1</v>
          </cell>
          <cell r="Y167">
            <v>0.1028</v>
          </cell>
          <cell r="Z167">
            <v>5.8921999999999999</v>
          </cell>
          <cell r="AA167">
            <v>5.7893999999999997</v>
          </cell>
          <cell r="AB167" t="e">
            <v>#N/A</v>
          </cell>
          <cell r="AC167" t="e">
            <v>#N/A</v>
          </cell>
          <cell r="AD167" t="str">
            <v>0803-16</v>
          </cell>
          <cell r="AE16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68">
          <cell r="A168" t="str">
            <v>804-16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42598.277268518519</v>
          </cell>
          <cell r="F168">
            <v>42598.278124999997</v>
          </cell>
          <cell r="G168">
            <v>1</v>
          </cell>
          <cell r="H168" t="str">
            <v>204:748</v>
          </cell>
          <cell r="I168">
            <v>42598.288460648146</v>
          </cell>
          <cell r="J168">
            <v>1</v>
          </cell>
          <cell r="K168" t="str">
            <v>4013/4014</v>
          </cell>
          <cell r="L168" t="str">
            <v>LEVIN</v>
          </cell>
          <cell r="M168">
            <v>1.0335648148611654E-2</v>
          </cell>
          <cell r="N168">
            <v>14.883333334000781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https://search-rtdc-monitor-bjffxe2xuh6vdkpspy63sjmuny.us-east-1.es.amazonaws.com/_plugin/kibana/#/discover/Steve-Slow-Train-Analysis-(2080s-and-2083s)?_g=(refreshInterval:(display:Off,section:0,value:0),time:(from:'2016-08-16 05:39:16-0600',mode:absolute,to:'2016-08-16 07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7.4800000000000005E-2</v>
          </cell>
          <cell r="AA168">
            <v>5.7860000000000005</v>
          </cell>
          <cell r="AB168" t="e">
            <v>#N/A</v>
          </cell>
          <cell r="AC168" t="e">
            <v>#N/A</v>
          </cell>
          <cell r="AD168" t="str">
            <v>0804-16</v>
          </cell>
          <cell r="AE16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69">
          <cell r="A169" t="str">
            <v>805-16</v>
          </cell>
          <cell r="B169">
            <v>4002</v>
          </cell>
          <cell r="C169" t="str">
            <v>DE.1.0.7.0</v>
          </cell>
          <cell r="D169" t="str">
            <v>204:934</v>
          </cell>
          <cell r="E169">
            <v>42598.282673611109</v>
          </cell>
          <cell r="F169">
            <v>42598.283483796295</v>
          </cell>
          <cell r="G169">
            <v>1</v>
          </cell>
          <cell r="H169" t="str">
            <v>300:58933</v>
          </cell>
          <cell r="I169">
            <v>42598.295590277776</v>
          </cell>
          <cell r="J169">
            <v>1</v>
          </cell>
          <cell r="K169" t="str">
            <v>4001/4002</v>
          </cell>
          <cell r="L169" t="str">
            <v>STARKS</v>
          </cell>
          <cell r="M169">
            <v>1.2106481481168885E-2</v>
          </cell>
          <cell r="N169">
            <v>17.433333332883194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https://search-rtdc-monitor-bjffxe2xuh6vdkpspy63sjmuny.us-east-1.es.amazonaws.com/_plugin/kibana/#/discover/Steve-Slow-Train-Analysis-(2080s-and-2083s)?_g=(refreshInterval:(display:Off,section:0,value:0),time:(from:'2016-08-16 05:47:03-0600',mode:absolute,to:'2016-08-16 08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9" t="str">
            <v>N</v>
          </cell>
          <cell r="X169">
            <v>1</v>
          </cell>
          <cell r="Y169">
            <v>9.3399999999999997E-2</v>
          </cell>
          <cell r="Z169">
            <v>5.8933</v>
          </cell>
          <cell r="AA169">
            <v>5.7999000000000001</v>
          </cell>
          <cell r="AB169" t="e">
            <v>#N/A</v>
          </cell>
          <cell r="AC169" t="e">
            <v>#N/A</v>
          </cell>
          <cell r="AD169" t="str">
            <v>0805-16</v>
          </cell>
          <cell r="AE169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70">
          <cell r="A170" t="str">
            <v>806-16</v>
          </cell>
          <cell r="B170">
            <v>4001</v>
          </cell>
          <cell r="C170" t="str">
            <v>DE.1.0.7.0</v>
          </cell>
          <cell r="D170" t="str">
            <v>300:58619</v>
          </cell>
          <cell r="E170">
            <v>42598.2969212963</v>
          </cell>
          <cell r="F170">
            <v>42598.29828703704</v>
          </cell>
          <cell r="G170">
            <v>1</v>
          </cell>
          <cell r="H170" t="str">
            <v>300:4883</v>
          </cell>
          <cell r="I170">
            <v>42598.312824074077</v>
          </cell>
          <cell r="J170">
            <v>1</v>
          </cell>
          <cell r="K170" t="str">
            <v>4001/4002</v>
          </cell>
          <cell r="L170" t="str">
            <v>STARKS</v>
          </cell>
          <cell r="M170">
            <v>1.4537037037371192E-2</v>
          </cell>
          <cell r="P170">
            <v>20.933333333814517</v>
          </cell>
          <cell r="R170" t="str">
            <v>TMDS did not send clear control to DUS 32S until after cut out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0" t="str">
            <v>Y</v>
          </cell>
          <cell r="X170">
            <v>1</v>
          </cell>
          <cell r="Y170">
            <v>5.8619000000000003</v>
          </cell>
          <cell r="Z170">
            <v>0.48830000000000001</v>
          </cell>
          <cell r="AA170">
            <v>5.3736000000000006</v>
          </cell>
          <cell r="AB170" t="e">
            <v>#N/A</v>
          </cell>
          <cell r="AC170" t="e">
            <v>#N/A</v>
          </cell>
          <cell r="AD170" t="str">
            <v>0806-16</v>
          </cell>
          <cell r="AE170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71">
          <cell r="A171" t="str">
            <v>807-16</v>
          </cell>
          <cell r="B171">
            <v>4014</v>
          </cell>
          <cell r="C171" t="str">
            <v>DE.1.0.7.0</v>
          </cell>
          <cell r="D171" t="str">
            <v>204:1030</v>
          </cell>
          <cell r="E171">
            <v>42598.302893518521</v>
          </cell>
          <cell r="F171">
            <v>42598.303738425922</v>
          </cell>
          <cell r="G171">
            <v>1</v>
          </cell>
          <cell r="H171" t="str">
            <v>300:58926</v>
          </cell>
          <cell r="I171">
            <v>42598.315949074073</v>
          </cell>
          <cell r="J171">
            <v>1</v>
          </cell>
          <cell r="K171" t="str">
            <v>4013/4014</v>
          </cell>
          <cell r="L171" t="str">
            <v>LEVIN</v>
          </cell>
          <cell r="M171">
            <v>1.2210648150357883E-2</v>
          </cell>
          <cell r="N171">
            <v>17.583333336515352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https://search-rtdc-monitor-bjffxe2xuh6vdkpspy63sjmuny.us-east-1.es.amazonaws.com/_plugin/kibana/#/discover/Steve-Slow-Train-Analysis-(2080s-and-2083s)?_g=(refreshInterval:(display:Off,section:0,value:0),time:(from:'2016-08-16 06:16:10-0600',mode:absolute,to:'2016-08-16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1" t="str">
            <v>N</v>
          </cell>
          <cell r="X171">
            <v>1</v>
          </cell>
          <cell r="Y171">
            <v>0.10299999999999999</v>
          </cell>
          <cell r="Z171">
            <v>5.8925999999999998</v>
          </cell>
          <cell r="AA171">
            <v>5.7896000000000001</v>
          </cell>
          <cell r="AB171" t="e">
            <v>#N/A</v>
          </cell>
          <cell r="AC171" t="e">
            <v>#N/A</v>
          </cell>
          <cell r="AD171" t="str">
            <v>0807-16</v>
          </cell>
          <cell r="AE17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2">
          <cell r="A172" t="str">
            <v>808-16</v>
          </cell>
          <cell r="B172">
            <v>4013</v>
          </cell>
          <cell r="C172" t="str">
            <v>DE.1.0.7.0</v>
          </cell>
          <cell r="D172" t="str">
            <v>300:58594</v>
          </cell>
          <cell r="E172">
            <v>42598.316874999997</v>
          </cell>
          <cell r="F172">
            <v>42598.31758101852</v>
          </cell>
          <cell r="G172">
            <v>1</v>
          </cell>
          <cell r="H172" t="str">
            <v>204:747</v>
          </cell>
          <cell r="I172">
            <v>42598.330636574072</v>
          </cell>
          <cell r="J172">
            <v>1</v>
          </cell>
          <cell r="K172" t="str">
            <v>4013/4014</v>
          </cell>
          <cell r="L172" t="str">
            <v>LEVIN</v>
          </cell>
          <cell r="M172">
            <v>1.3055555551545694E-2</v>
          </cell>
          <cell r="N172">
            <v>18.7999999942258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https://search-rtdc-monitor-bjffxe2xuh6vdkpspy63sjmuny.us-east-1.es.amazonaws.com/_plugin/kibana/#/discover/Steve-Slow-Train-Analysis-(2080s-and-2083s)?_g=(refreshInterval:(display:Off,section:0,value:0),time:(from:'2016-08-16 06:36:18-0600',mode:absolute,to:'2016-08-16 08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2" t="str">
            <v>N</v>
          </cell>
          <cell r="X172">
            <v>1</v>
          </cell>
          <cell r="Y172">
            <v>5.8593999999999999</v>
          </cell>
          <cell r="Z172">
            <v>7.4700000000000003E-2</v>
          </cell>
          <cell r="AA172">
            <v>5.7847</v>
          </cell>
          <cell r="AB172" t="e">
            <v>#N/A</v>
          </cell>
          <cell r="AC172" t="e">
            <v>#N/A</v>
          </cell>
          <cell r="AD172" t="str">
            <v>0808-16</v>
          </cell>
          <cell r="AE17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3">
          <cell r="A173" t="str">
            <v>809-16</v>
          </cell>
          <cell r="B173">
            <v>4002</v>
          </cell>
          <cell r="C173" t="str">
            <v>DE.1.0.7.0</v>
          </cell>
          <cell r="D173" t="str">
            <v>204:948</v>
          </cell>
          <cell r="E173">
            <v>42598.327303240738</v>
          </cell>
          <cell r="F173">
            <v>42598.328101851854</v>
          </cell>
          <cell r="G173">
            <v>1</v>
          </cell>
          <cell r="H173" t="str">
            <v>300:58950</v>
          </cell>
          <cell r="I173">
            <v>42598.337870370371</v>
          </cell>
          <cell r="J173">
            <v>1</v>
          </cell>
          <cell r="K173" t="str">
            <v>4001/4002</v>
          </cell>
          <cell r="L173" t="str">
            <v>STARKS</v>
          </cell>
          <cell r="M173">
            <v>9.7685185173759237E-3</v>
          </cell>
          <cell r="N173">
            <v>14.06666666502133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https://search-rtdc-monitor-bjffxe2xuh6vdkpspy63sjmuny.us-east-1.es.amazonaws.com/_plugin/kibana/#/discover/Steve-Slow-Train-Analysis-(2080s-and-2083s)?_g=(refreshInterval:(display:Off,section:0,value:0),time:(from:'2016-08-16 06:51:19-0600',mode:absolute,to:'2016-08-16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3" t="str">
            <v>N</v>
          </cell>
          <cell r="X173">
            <v>1</v>
          </cell>
          <cell r="Y173">
            <v>9.4799999999999995E-2</v>
          </cell>
          <cell r="Z173">
            <v>5.8949999999999996</v>
          </cell>
          <cell r="AA173">
            <v>5.8001999999999994</v>
          </cell>
          <cell r="AB173" t="e">
            <v>#N/A</v>
          </cell>
          <cell r="AC173" t="e">
            <v>#N/A</v>
          </cell>
          <cell r="AD173" t="str">
            <v>0809-16</v>
          </cell>
          <cell r="AE173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74">
          <cell r="A174" t="str">
            <v>810-16</v>
          </cell>
          <cell r="B174">
            <v>4001</v>
          </cell>
          <cell r="C174" t="str">
            <v>DE.1.0.7.0</v>
          </cell>
          <cell r="D174" t="str">
            <v>300:58630</v>
          </cell>
          <cell r="E174" t="str">
            <v>2016-08-16T08:07:44</v>
          </cell>
          <cell r="F174">
            <v>42598.340381944443</v>
          </cell>
          <cell r="G174">
            <v>1</v>
          </cell>
          <cell r="H174" t="str">
            <v>300:38326</v>
          </cell>
          <cell r="I174">
            <v>42598.350810185184</v>
          </cell>
          <cell r="J174">
            <v>0</v>
          </cell>
          <cell r="K174" t="str">
            <v>4001/4002</v>
          </cell>
          <cell r="L174" t="str">
            <v>STARKS</v>
          </cell>
          <cell r="M174">
            <v>1.0428240741021E-2</v>
          </cell>
          <cell r="N174">
            <v>15.01666666707024</v>
          </cell>
          <cell r="S174">
            <v>1</v>
          </cell>
          <cell r="T174" t="str">
            <v>Southbound</v>
          </cell>
          <cell r="U174">
            <v>1</v>
          </cell>
          <cell r="V174" t="e">
            <v>#VALUE!</v>
          </cell>
          <cell r="W174" t="str">
            <v>N</v>
          </cell>
          <cell r="X174">
            <v>1</v>
          </cell>
          <cell r="Y174">
            <v>5.8630000000000004</v>
          </cell>
          <cell r="Z174">
            <v>0.01</v>
          </cell>
          <cell r="AA174">
            <v>5.8530000000000006</v>
          </cell>
          <cell r="AB174" t="e">
            <v>#N/A</v>
          </cell>
          <cell r="AC174" t="e">
            <v>#N/A</v>
          </cell>
          <cell r="AD174" t="str">
            <v>0810-16</v>
          </cell>
          <cell r="AE174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75">
          <cell r="A175" t="str">
            <v>811-16</v>
          </cell>
          <cell r="B175">
            <v>4014</v>
          </cell>
          <cell r="C175" t="str">
            <v>DE.1.0.7.0</v>
          </cell>
          <cell r="D175" t="str">
            <v>204:1020</v>
          </cell>
          <cell r="E175">
            <v>42598.346388888887</v>
          </cell>
          <cell r="F175">
            <v>42598.347361111111</v>
          </cell>
          <cell r="G175">
            <v>1</v>
          </cell>
          <cell r="H175" t="str">
            <v>300:58918</v>
          </cell>
          <cell r="I175">
            <v>42598.357071759259</v>
          </cell>
          <cell r="J175">
            <v>1</v>
          </cell>
          <cell r="K175" t="str">
            <v>4013/4014</v>
          </cell>
          <cell r="L175" t="str">
            <v>LEVIN</v>
          </cell>
          <cell r="M175">
            <v>9.710648148029577E-3</v>
          </cell>
          <cell r="N175">
            <v>13.983333333162591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https://search-rtdc-monitor-bjffxe2xuh6vdkpspy63sjmuny.us-east-1.es.amazonaws.com/_plugin/kibana/#/discover/Steve-Slow-Train-Analysis-(2080s-and-2083s)?_g=(refreshInterval:(display:Off,section:0,value:0),time:(from:'2016-08-16 07:18:48-0600',mode:absolute,to:'2016-08-16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5" t="str">
            <v>N</v>
          </cell>
          <cell r="X175">
            <v>1</v>
          </cell>
          <cell r="Y175">
            <v>0.10199999999999999</v>
          </cell>
          <cell r="Z175">
            <v>5.8917999999999999</v>
          </cell>
          <cell r="AA175">
            <v>5.7897999999999996</v>
          </cell>
          <cell r="AB175" t="e">
            <v>#N/A</v>
          </cell>
          <cell r="AC175" t="e">
            <v>#N/A</v>
          </cell>
          <cell r="AD175" t="str">
            <v>0811-16</v>
          </cell>
          <cell r="AE17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6">
          <cell r="A176" t="str">
            <v>812-16</v>
          </cell>
          <cell r="B176">
            <v>4013</v>
          </cell>
          <cell r="C176" t="str">
            <v>DE.1.0.7.0</v>
          </cell>
          <cell r="D176" t="str">
            <v>300:58604</v>
          </cell>
          <cell r="E176">
            <v>42598.357997685183</v>
          </cell>
          <cell r="F176">
            <v>42598.358912037038</v>
          </cell>
          <cell r="G176">
            <v>1</v>
          </cell>
          <cell r="H176" t="str">
            <v>204:736</v>
          </cell>
          <cell r="I176">
            <v>42598.371400462966</v>
          </cell>
          <cell r="J176">
            <v>1</v>
          </cell>
          <cell r="K176" t="str">
            <v>4013/4014</v>
          </cell>
          <cell r="L176" t="str">
            <v>LEVIN</v>
          </cell>
          <cell r="M176">
            <v>1.2488425927585922E-2</v>
          </cell>
          <cell r="N176">
            <v>17.983333335723728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https://search-rtdc-monitor-bjffxe2xuh6vdkpspy63sjmuny.us-east-1.es.amazonaws.com/_plugin/kibana/#/discover/Steve-Slow-Train-Analysis-(2080s-and-2083s)?_g=(refreshInterval:(display:Off,section:0,value:0),time:(from:'2016-08-16 07:35:31-0600',mode:absolute,to:'2016-08-16 09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6" t="str">
            <v>N</v>
          </cell>
          <cell r="X176">
            <v>1</v>
          </cell>
          <cell r="Y176">
            <v>5.8604000000000003</v>
          </cell>
          <cell r="Z176">
            <v>7.3599999999999999E-2</v>
          </cell>
          <cell r="AA176">
            <v>5.7868000000000004</v>
          </cell>
          <cell r="AB176" t="e">
            <v>#N/A</v>
          </cell>
          <cell r="AC176" t="e">
            <v>#N/A</v>
          </cell>
          <cell r="AD176" t="str">
            <v>0812-16</v>
          </cell>
          <cell r="AE17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7">
          <cell r="A177" t="str">
            <v>813-16</v>
          </cell>
          <cell r="B177">
            <v>4014</v>
          </cell>
          <cell r="C177" t="str">
            <v>DE.1.0.7.0</v>
          </cell>
          <cell r="D177" t="str">
            <v>204:1021</v>
          </cell>
          <cell r="E177">
            <v>42598.38517361111</v>
          </cell>
          <cell r="F177">
            <v>42598.38616898148</v>
          </cell>
          <cell r="G177">
            <v>1</v>
          </cell>
          <cell r="H177" t="str">
            <v>300:58899</v>
          </cell>
          <cell r="I177">
            <v>42598.398518518516</v>
          </cell>
          <cell r="J177">
            <v>1</v>
          </cell>
          <cell r="K177" t="str">
            <v>4013/4014</v>
          </cell>
          <cell r="L177" t="str">
            <v>LEVIN</v>
          </cell>
          <cell r="M177">
            <v>1.2349537035333924E-2</v>
          </cell>
          <cell r="N177">
            <v>17.783333330880851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https://search-rtdc-monitor-bjffxe2xuh6vdkpspy63sjmuny.us-east-1.es.amazonaws.com/_plugin/kibana/#/discover/Steve-Slow-Train-Analysis-(2080s-and-2083s)?_g=(refreshInterval:(display:Off,section:0,value:0),time:(from:'2016-08-16 08:14:39-0600',mode:absolute,to:'2016-08-16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7" t="str">
            <v>N</v>
          </cell>
          <cell r="X177">
            <v>1</v>
          </cell>
          <cell r="Y177">
            <v>0.1021</v>
          </cell>
          <cell r="Z177">
            <v>5.8898999999999999</v>
          </cell>
          <cell r="AA177">
            <v>5.7877999999999998</v>
          </cell>
          <cell r="AB177" t="e">
            <v>#N/A</v>
          </cell>
          <cell r="AC177" t="e">
            <v>#N/A</v>
          </cell>
          <cell r="AD177" t="str">
            <v>0813-16</v>
          </cell>
          <cell r="AE17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78">
          <cell r="A178" t="str">
            <v>814-16</v>
          </cell>
          <cell r="B178">
            <v>4013</v>
          </cell>
          <cell r="C178" t="str">
            <v>DE.1.0.7.0</v>
          </cell>
          <cell r="D178" t="str">
            <v>300:58581</v>
          </cell>
          <cell r="E178">
            <v>42598.400046296294</v>
          </cell>
          <cell r="F178">
            <v>42598.400810185187</v>
          </cell>
          <cell r="G178">
            <v>1</v>
          </cell>
          <cell r="H178" t="str">
            <v>204:757</v>
          </cell>
          <cell r="I178">
            <v>42598.414467592593</v>
          </cell>
          <cell r="J178">
            <v>1</v>
          </cell>
          <cell r="K178" t="str">
            <v>4013/4014</v>
          </cell>
          <cell r="L178" t="str">
            <v>LEVIN</v>
          </cell>
          <cell r="M178">
            <v>1.3657407405844424E-2</v>
          </cell>
          <cell r="N178">
            <v>19.66666666441597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https://search-rtdc-monitor-bjffxe2xuh6vdkpspy63sjmuny.us-east-1.es.amazonaws.com/_plugin/kibana/#/discover/Steve-Slow-Train-Analysis-(2080s-and-2083s)?_g=(refreshInterval:(display:Off,section:0,value:0),time:(from:'2016-08-16 08:36:04-0600',mode:absolute,to:'2016-08-16 10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8" t="str">
            <v>N</v>
          </cell>
          <cell r="X178">
            <v>1</v>
          </cell>
          <cell r="Y178">
            <v>5.8581000000000003</v>
          </cell>
          <cell r="Z178">
            <v>7.5700000000000003E-2</v>
          </cell>
          <cell r="AA178">
            <v>5.7824</v>
          </cell>
          <cell r="AB178" t="e">
            <v>#N/A</v>
          </cell>
          <cell r="AC178" t="e">
            <v>#N/A</v>
          </cell>
          <cell r="AD178" t="str">
            <v>0814-16</v>
          </cell>
          <cell r="AE17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79">
          <cell r="A179" t="str">
            <v>815-16</v>
          </cell>
          <cell r="B179">
            <v>4014</v>
          </cell>
          <cell r="C179" t="str">
            <v>DE.1.0.7.0</v>
          </cell>
          <cell r="D179" t="str">
            <v>204:1044</v>
          </cell>
          <cell r="E179">
            <v>42598.428483796299</v>
          </cell>
          <cell r="F179">
            <v>42598.429583333331</v>
          </cell>
          <cell r="G179">
            <v>1</v>
          </cell>
          <cell r="H179" t="str">
            <v>300:58914</v>
          </cell>
          <cell r="I179">
            <v>42598.440370370372</v>
          </cell>
          <cell r="J179">
            <v>1</v>
          </cell>
          <cell r="K179" t="str">
            <v>4013/4014</v>
          </cell>
          <cell r="L179" t="str">
            <v>LEVIN</v>
          </cell>
          <cell r="M179">
            <v>1.078703704115469E-2</v>
          </cell>
          <cell r="N179">
            <v>15.533333339262754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https://search-rtdc-monitor-bjffxe2xuh6vdkpspy63sjmuny.us-east-1.es.amazonaws.com/_plugin/kibana/#/discover/Steve-Slow-Train-Analysis-(2080s-and-2083s)?_g=(refreshInterval:(display:Off,section:0,value:0),time:(from:'2016-08-16 09:17:01-0600',mode:absolute,to:'2016-08-16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9" t="str">
            <v>N</v>
          </cell>
          <cell r="X179">
            <v>1</v>
          </cell>
          <cell r="Y179">
            <v>0.10440000000000001</v>
          </cell>
          <cell r="Z179">
            <v>5.8914</v>
          </cell>
          <cell r="AA179">
            <v>5.7869999999999999</v>
          </cell>
          <cell r="AB179" t="e">
            <v>#N/A</v>
          </cell>
          <cell r="AC179" t="e">
            <v>#N/A</v>
          </cell>
          <cell r="AD179" t="str">
            <v>0815-16</v>
          </cell>
          <cell r="AE17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0">
          <cell r="A180" t="str">
            <v>816-16</v>
          </cell>
          <cell r="B180">
            <v>4013</v>
          </cell>
          <cell r="C180" t="str">
            <v>DE.1.0.7.0</v>
          </cell>
          <cell r="D180" t="str">
            <v>300:58592</v>
          </cell>
          <cell r="E180">
            <v>42598.441412037035</v>
          </cell>
          <cell r="F180">
            <v>42598.442083333335</v>
          </cell>
          <cell r="G180">
            <v>0</v>
          </cell>
          <cell r="H180" t="str">
            <v>204:719</v>
          </cell>
          <cell r="I180">
            <v>42598.454247685186</v>
          </cell>
          <cell r="J180">
            <v>1</v>
          </cell>
          <cell r="K180" t="str">
            <v>4013/4014</v>
          </cell>
          <cell r="L180" t="str">
            <v>LEVIN</v>
          </cell>
          <cell r="M180">
            <v>1.2164351850515231E-2</v>
          </cell>
          <cell r="N180">
            <v>17.516666664741933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https://search-rtdc-monitor-bjffxe2xuh6vdkpspy63sjmuny.us-east-1.es.amazonaws.com/_plugin/kibana/#/discover/Steve-Slow-Train-Analysis-(2080s-and-2083s)?_g=(refreshInterval:(display:Off,section:0,value:0),time:(from:'2016-08-16 09:35:38-0600',mode:absolute,to:'2016-08-16 11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0" t="str">
            <v>N</v>
          </cell>
          <cell r="X180">
            <v>1</v>
          </cell>
          <cell r="Y180">
            <v>5.8592000000000004</v>
          </cell>
          <cell r="Z180">
            <v>7.1900000000000006E-2</v>
          </cell>
          <cell r="AA180">
            <v>5.7873000000000001</v>
          </cell>
          <cell r="AB180" t="e">
            <v>#N/A</v>
          </cell>
          <cell r="AC180" t="e">
            <v>#N/A</v>
          </cell>
          <cell r="AD180" t="str">
            <v>0816-16</v>
          </cell>
          <cell r="AE180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1">
          <cell r="A181" t="str">
            <v>817-16</v>
          </cell>
          <cell r="B181">
            <v>4014</v>
          </cell>
          <cell r="C181" t="str">
            <v>DE.1.0.7.0</v>
          </cell>
          <cell r="D181" t="str">
            <v>204:1016</v>
          </cell>
          <cell r="E181">
            <v>42598.466747685183</v>
          </cell>
          <cell r="F181">
            <v>42598.467812499999</v>
          </cell>
          <cell r="G181">
            <v>1</v>
          </cell>
          <cell r="H181" t="str">
            <v>300:58918</v>
          </cell>
          <cell r="I181">
            <v>42598.482175925928</v>
          </cell>
          <cell r="J181">
            <v>1</v>
          </cell>
          <cell r="K181" t="str">
            <v>4013/4014</v>
          </cell>
          <cell r="L181" t="str">
            <v>LEVIN</v>
          </cell>
          <cell r="M181">
            <v>1.4363425929332152E-2</v>
          </cell>
          <cell r="N181">
            <v>20.683333338238299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https://search-rtdc-monitor-bjffxe2xuh6vdkpspy63sjmuny.us-east-1.es.amazonaws.com/_plugin/kibana/#/discover/Steve-Slow-Train-Analysis-(2080s-and-2083s)?_g=(refreshInterval:(display:Off,section:0,value:0),time:(from:'2016-08-16 10:12:07-0600',mode:absolute,to:'2016-08-16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1" t="str">
            <v>N</v>
          </cell>
          <cell r="X181">
            <v>1</v>
          </cell>
          <cell r="Y181">
            <v>0.1016</v>
          </cell>
          <cell r="Z181">
            <v>5.8917999999999999</v>
          </cell>
          <cell r="AA181">
            <v>5.7901999999999996</v>
          </cell>
          <cell r="AB181" t="e">
            <v>#N/A</v>
          </cell>
          <cell r="AC181" t="e">
            <v>#N/A</v>
          </cell>
          <cell r="AD181" t="str">
            <v>0817-16</v>
          </cell>
          <cell r="AE18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2">
          <cell r="A182" t="str">
            <v>818-16</v>
          </cell>
          <cell r="B182">
            <v>4013</v>
          </cell>
          <cell r="C182" t="str">
            <v>DE.1.0.7.0</v>
          </cell>
          <cell r="D182" t="str">
            <v>300:58604</v>
          </cell>
          <cell r="E182">
            <v>42598.483819444446</v>
          </cell>
          <cell r="F182">
            <v>42598.4846412037</v>
          </cell>
          <cell r="G182">
            <v>1</v>
          </cell>
          <cell r="H182" t="str">
            <v>204:733</v>
          </cell>
          <cell r="I182">
            <v>42598.49622685185</v>
          </cell>
          <cell r="J182">
            <v>1</v>
          </cell>
          <cell r="K182" t="str">
            <v>4013/4014</v>
          </cell>
          <cell r="L182" t="str">
            <v>LEVIN</v>
          </cell>
          <cell r="M182">
            <v>1.1585648149775807E-2</v>
          </cell>
          <cell r="N182">
            <v>16.683333335677162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https://search-rtdc-monitor-bjffxe2xuh6vdkpspy63sjmuny.us-east-1.es.amazonaws.com/_plugin/kibana/#/discover/Steve-Slow-Train-Analysis-(2080s-and-2083s)?_g=(refreshInterval:(display:Off,section:0,value:0),time:(from:'2016-08-16 10:36:42-0600',mode:absolute,to:'2016-08-16 12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2" t="str">
            <v>N</v>
          </cell>
          <cell r="X182">
            <v>1</v>
          </cell>
          <cell r="Y182">
            <v>5.8604000000000003</v>
          </cell>
          <cell r="Z182">
            <v>7.3300000000000004E-2</v>
          </cell>
          <cell r="AA182">
            <v>5.7871000000000006</v>
          </cell>
          <cell r="AB182" t="e">
            <v>#N/A</v>
          </cell>
          <cell r="AC182" t="e">
            <v>#N/A</v>
          </cell>
          <cell r="AD182" t="str">
            <v>0818-16</v>
          </cell>
          <cell r="AE18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3">
          <cell r="A183" t="str">
            <v>819-16</v>
          </cell>
          <cell r="B183">
            <v>4014</v>
          </cell>
          <cell r="C183" t="str">
            <v>DE.1.0.7.0</v>
          </cell>
          <cell r="D183" t="str">
            <v>204:1013</v>
          </cell>
          <cell r="E183">
            <v>42598.507789351854</v>
          </cell>
          <cell r="F183">
            <v>42598.50885416667</v>
          </cell>
          <cell r="G183">
            <v>1</v>
          </cell>
          <cell r="H183" t="str">
            <v>204:1602</v>
          </cell>
          <cell r="I183">
            <v>42598.516226851854</v>
          </cell>
          <cell r="J183">
            <v>1</v>
          </cell>
          <cell r="K183" t="str">
            <v>4013/4014</v>
          </cell>
          <cell r="L183" t="str">
            <v>LEVIN</v>
          </cell>
          <cell r="M183">
            <v>7.3726851842366159E-3</v>
          </cell>
          <cell r="P183">
            <v>10.616666665300727</v>
          </cell>
          <cell r="R183" t="str">
            <v>Wi-MAX outage</v>
          </cell>
          <cell r="S183">
            <v>0</v>
          </cell>
          <cell r="T183" t="str">
            <v>NorthBound</v>
          </cell>
          <cell r="U183">
            <v>0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3" t="str">
            <v>Y</v>
          </cell>
          <cell r="X183">
            <v>1</v>
          </cell>
          <cell r="Y183">
            <v>0.1013</v>
          </cell>
          <cell r="Z183">
            <v>0.16020000000000001</v>
          </cell>
          <cell r="AA183">
            <v>5.8900000000000008E-2</v>
          </cell>
          <cell r="AB183" t="e">
            <v>#N/A</v>
          </cell>
          <cell r="AC183" t="e">
            <v>#N/A</v>
          </cell>
          <cell r="AD183" t="str">
            <v>0819-16</v>
          </cell>
          <cell r="AE183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4">
          <cell r="A184" t="str">
            <v>820-16</v>
          </cell>
          <cell r="B184">
            <v>4013</v>
          </cell>
          <cell r="C184" t="str">
            <v>DE.1.0.7.0</v>
          </cell>
          <cell r="D184" t="str">
            <v>300:58602</v>
          </cell>
          <cell r="E184">
            <v>42598.526192129626</v>
          </cell>
          <cell r="F184">
            <v>42598.526967592596</v>
          </cell>
          <cell r="G184">
            <v>1</v>
          </cell>
          <cell r="H184" t="str">
            <v>204:731</v>
          </cell>
          <cell r="I184">
            <v>42598.538993055554</v>
          </cell>
          <cell r="J184">
            <v>1</v>
          </cell>
          <cell r="K184" t="str">
            <v>4013/4014</v>
          </cell>
          <cell r="L184" t="str">
            <v>LEVIN</v>
          </cell>
          <cell r="M184">
            <v>1.2025462958263233E-2</v>
          </cell>
          <cell r="N184">
            <v>17.316666659899056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https://search-rtdc-monitor-bjffxe2xuh6vdkpspy63sjmuny.us-east-1.es.amazonaws.com/_plugin/kibana/#/discover/Steve-Slow-Train-Analysis-(2080s-and-2083s)?_g=(refreshInterval:(display:Off,section:0,value:0),time:(from:'2016-08-16 11:37:43-0600',mode:absolute,to:'2016-08-16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4" t="str">
            <v>N</v>
          </cell>
          <cell r="X184">
            <v>1</v>
          </cell>
          <cell r="Y184">
            <v>5.8601999999999999</v>
          </cell>
          <cell r="Z184">
            <v>7.3099999999999998E-2</v>
          </cell>
          <cell r="AA184">
            <v>5.7870999999999997</v>
          </cell>
          <cell r="AB184" t="e">
            <v>#N/A</v>
          </cell>
          <cell r="AC184" t="e">
            <v>#N/A</v>
          </cell>
          <cell r="AD184" t="str">
            <v>0820-16</v>
          </cell>
          <cell r="AE18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5">
          <cell r="A185" t="str">
            <v>821-16</v>
          </cell>
          <cell r="B185">
            <v>4014</v>
          </cell>
          <cell r="C185" t="str">
            <v>DE.1.0.7.0</v>
          </cell>
          <cell r="D185" t="str">
            <v>204:1023</v>
          </cell>
          <cell r="E185">
            <v>42598.549108796295</v>
          </cell>
          <cell r="F185">
            <v>42598.550324074073</v>
          </cell>
          <cell r="G185">
            <v>1</v>
          </cell>
          <cell r="H185" t="str">
            <v>300:58916</v>
          </cell>
          <cell r="I185">
            <v>42598.56585648148</v>
          </cell>
          <cell r="J185">
            <v>1</v>
          </cell>
          <cell r="K185" t="str">
            <v>4013/4014</v>
          </cell>
          <cell r="L185" t="str">
            <v>BRUDER</v>
          </cell>
          <cell r="M185">
            <v>1.5532407407590654E-2</v>
          </cell>
          <cell r="N185">
            <v>22.366666666930541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https://search-rtdc-monitor-bjffxe2xuh6vdkpspy63sjmuny.us-east-1.es.amazonaws.com/_plugin/kibana/#/discover/Steve-Slow-Train-Analysis-(2080s-and-2083s)?_g=(refreshInterval:(display:Off,section:0,value:0),time:(from:'2016-08-16 12:10:43-0600',mode:absolute,to:'2016-08-16 14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5" t="str">
            <v>N</v>
          </cell>
          <cell r="X185">
            <v>1</v>
          </cell>
          <cell r="Y185">
            <v>0.1023</v>
          </cell>
          <cell r="Z185">
            <v>5.8916000000000004</v>
          </cell>
          <cell r="AA185">
            <v>5.7893000000000008</v>
          </cell>
          <cell r="AB185" t="e">
            <v>#N/A</v>
          </cell>
          <cell r="AC185" t="e">
            <v>#N/A</v>
          </cell>
          <cell r="AD185" t="str">
            <v>0821-16</v>
          </cell>
          <cell r="AE18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6">
          <cell r="A186" t="str">
            <v>822-16</v>
          </cell>
          <cell r="B186">
            <v>4013</v>
          </cell>
          <cell r="C186" t="str">
            <v>DE.1.0.7.0</v>
          </cell>
          <cell r="D186" t="str">
            <v>300:58596</v>
          </cell>
          <cell r="E186">
            <v>42598.567256944443</v>
          </cell>
          <cell r="F186">
            <v>42598.568703703706</v>
          </cell>
          <cell r="G186">
            <v>2</v>
          </cell>
          <cell r="H186" t="str">
            <v>204:680</v>
          </cell>
          <cell r="I186">
            <v>42598.579965277779</v>
          </cell>
          <cell r="J186">
            <v>1</v>
          </cell>
          <cell r="K186" t="str">
            <v>4013/4014</v>
          </cell>
          <cell r="L186" t="str">
            <v>BRUDER</v>
          </cell>
          <cell r="M186">
            <v>1.1261574072705116E-2</v>
          </cell>
          <cell r="N186">
            <v>16.216666664695367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https://search-rtdc-monitor-bjffxe2xuh6vdkpspy63sjmuny.us-east-1.es.amazonaws.com/_plugin/kibana/#/discover/Steve-Slow-Train-Analysis-(2080s-and-2083s)?_g=(refreshInterval:(display:Off,section:0,value:0),time:(from:'2016-08-16 12:36:51-0600',mode:absolute,to:'2016-08-16 14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6.8000000000000005E-2</v>
          </cell>
          <cell r="AA186">
            <v>5.7916000000000007</v>
          </cell>
          <cell r="AB186" t="e">
            <v>#N/A</v>
          </cell>
          <cell r="AC186" t="e">
            <v>#N/A</v>
          </cell>
          <cell r="AD186" t="str">
            <v>0822-16</v>
          </cell>
          <cell r="AE18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7">
          <cell r="A187" t="str">
            <v>823-16</v>
          </cell>
          <cell r="B187">
            <v>4014</v>
          </cell>
          <cell r="C187" t="str">
            <v>DE.1.0.7.0</v>
          </cell>
          <cell r="D187" t="str">
            <v>204:965</v>
          </cell>
          <cell r="E187">
            <v>42598.593969907408</v>
          </cell>
          <cell r="F187">
            <v>42598.594895833332</v>
          </cell>
          <cell r="G187">
            <v>1</v>
          </cell>
          <cell r="H187" t="str">
            <v>300:58914</v>
          </cell>
          <cell r="I187">
            <v>42598.607812499999</v>
          </cell>
          <cell r="J187">
            <v>1</v>
          </cell>
          <cell r="K187" t="str">
            <v>4013/4014</v>
          </cell>
          <cell r="L187" t="str">
            <v>BRUDER</v>
          </cell>
          <cell r="M187">
            <v>1.2916666666569654E-2</v>
          </cell>
          <cell r="N187">
            <v>18.599999999860302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https://search-rtdc-monitor-bjffxe2xuh6vdkpspy63sjmuny.us-east-1.es.amazonaws.com/_plugin/kibana/#/discover/Steve-Slow-Train-Analysis-(2080s-and-2083s)?_g=(refreshInterval:(display:Off,section:0,value:0),time:(from:'2016-08-16 13:15:19-0600',mode:absolute,to:'2016-08-16 15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7" t="str">
            <v>N</v>
          </cell>
          <cell r="X187">
            <v>1</v>
          </cell>
          <cell r="Y187">
            <v>9.6500000000000002E-2</v>
          </cell>
          <cell r="Z187">
            <v>5.8914</v>
          </cell>
          <cell r="AA187">
            <v>5.7949000000000002</v>
          </cell>
          <cell r="AB187" t="e">
            <v>#N/A</v>
          </cell>
          <cell r="AC187" t="e">
            <v>#N/A</v>
          </cell>
          <cell r="AD187" t="str">
            <v>0823-16</v>
          </cell>
          <cell r="AE18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88">
          <cell r="A188" t="str">
            <v>824-16</v>
          </cell>
          <cell r="B188">
            <v>4013</v>
          </cell>
          <cell r="C188" t="str">
            <v>DE.1.0.7.0</v>
          </cell>
          <cell r="D188" t="str">
            <v>300:58604</v>
          </cell>
          <cell r="E188">
            <v>42598.609155092592</v>
          </cell>
          <cell r="F188">
            <v>42598.610173611109</v>
          </cell>
          <cell r="G188">
            <v>1</v>
          </cell>
          <cell r="H188" t="str">
            <v>204:682</v>
          </cell>
          <cell r="I188">
            <v>42598.621435185189</v>
          </cell>
          <cell r="J188">
            <v>1</v>
          </cell>
          <cell r="K188" t="str">
            <v>4013/4014</v>
          </cell>
          <cell r="L188" t="str">
            <v>BRUDER</v>
          </cell>
          <cell r="M188">
            <v>1.1261574079981074E-2</v>
          </cell>
          <cell r="N188">
            <v>16.216666675172746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https://search-rtdc-monitor-bjffxe2xuh6vdkpspy63sjmuny.us-east-1.es.amazonaws.com/_plugin/kibana/#/discover/Steve-Slow-Train-Analysis-(2080s-and-2083s)?_g=(refreshInterval:(display:Off,section:0,value:0),time:(from:'2016-08-16 13:37:11-0600',mode:absolute,to:'2016-08-16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8" t="str">
            <v>N</v>
          </cell>
          <cell r="X188">
            <v>1</v>
          </cell>
          <cell r="Y188">
            <v>5.8604000000000003</v>
          </cell>
          <cell r="Z188">
            <v>6.8199999999999997E-2</v>
          </cell>
          <cell r="AA188">
            <v>5.7922000000000002</v>
          </cell>
          <cell r="AB188" t="e">
            <v>#N/A</v>
          </cell>
          <cell r="AC188" t="e">
            <v>#N/A</v>
          </cell>
          <cell r="AD188" t="str">
            <v>0824-16</v>
          </cell>
          <cell r="AE18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89">
          <cell r="A189" t="str">
            <v>825-16</v>
          </cell>
          <cell r="B189">
            <v>4014</v>
          </cell>
          <cell r="C189" t="str">
            <v>DE.1.0.7.0</v>
          </cell>
          <cell r="D189" t="str">
            <v>204:962</v>
          </cell>
          <cell r="E189">
            <v>42598.635717592595</v>
          </cell>
          <cell r="F189">
            <v>42598.637048611112</v>
          </cell>
          <cell r="G189">
            <v>1</v>
          </cell>
          <cell r="H189" t="str">
            <v>204:1602</v>
          </cell>
          <cell r="I189">
            <v>42598.641134259262</v>
          </cell>
          <cell r="J189">
            <v>1</v>
          </cell>
          <cell r="K189" t="str">
            <v>4013/4014</v>
          </cell>
          <cell r="L189" t="str">
            <v>BRUDER</v>
          </cell>
          <cell r="M189">
            <v>4.0856481500668451E-3</v>
          </cell>
          <cell r="P189">
            <v>5.883333336096257</v>
          </cell>
          <cell r="R189" t="str">
            <v>Wi-MAX outage</v>
          </cell>
          <cell r="S189">
            <v>0</v>
          </cell>
          <cell r="T189" t="str">
            <v>NorthBound</v>
          </cell>
          <cell r="U189">
            <v>0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https://search-rtdc-monitor-bjffxe2xuh6vdkpspy63sjmuny.us-east-1.es.amazonaws.com/_plugin/kibana/#/discover/Steve-Slow-Train-Analysis-(2080s-and-2083s)?_g=(refreshInterval:(display:Off,section:0,value:0),time:(from:'2016-08-16 14:15:26-0600',mode:absolute,to:'2016-08-16 16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9" t="str">
            <v>Y</v>
          </cell>
          <cell r="X189">
            <v>1</v>
          </cell>
          <cell r="Y189">
            <v>9.6199999999999994E-2</v>
          </cell>
          <cell r="Z189">
            <v>0.16020000000000001</v>
          </cell>
          <cell r="AA189">
            <v>6.4000000000000015E-2</v>
          </cell>
          <cell r="AB189" t="e">
            <v>#N/A</v>
          </cell>
          <cell r="AC189" t="e">
            <v>#N/A</v>
          </cell>
          <cell r="AD189" t="str">
            <v>0825-16</v>
          </cell>
          <cell r="AE18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0">
          <cell r="A190" t="str">
            <v>826-16</v>
          </cell>
          <cell r="B190">
            <v>4013</v>
          </cell>
          <cell r="C190" t="str">
            <v>DE.1.0.7.0</v>
          </cell>
          <cell r="D190" t="str">
            <v>300:58617</v>
          </cell>
          <cell r="E190">
            <v>42598.651712962965</v>
          </cell>
          <cell r="F190">
            <v>42598.652581018519</v>
          </cell>
          <cell r="G190">
            <v>1</v>
          </cell>
          <cell r="H190" t="str">
            <v>204:670</v>
          </cell>
          <cell r="I190">
            <v>42598.668287037035</v>
          </cell>
          <cell r="J190">
            <v>1</v>
          </cell>
          <cell r="K190" t="str">
            <v>4013/4014</v>
          </cell>
          <cell r="L190" t="str">
            <v>BRUDER</v>
          </cell>
          <cell r="M190">
            <v>1.5706018515629694E-2</v>
          </cell>
          <cell r="N190">
            <v>22.616666662506759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https://search-rtdc-monitor-bjffxe2xuh6vdkpspy63sjmuny.us-east-1.es.amazonaws.com/_plugin/kibana/#/discover/Steve-Slow-Train-Analysis-(2080s-and-2083s)?_g=(refreshInterval:(display:Off,section:0,value:0),time:(from:'2016-08-16 14:38:28-0600',mode:absolute,to:'2016-08-16 17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0" t="str">
            <v>N</v>
          </cell>
          <cell r="X190">
            <v>1</v>
          </cell>
          <cell r="Y190">
            <v>5.8616999999999999</v>
          </cell>
          <cell r="Z190">
            <v>6.7000000000000004E-2</v>
          </cell>
          <cell r="AA190">
            <v>5.7946999999999997</v>
          </cell>
          <cell r="AB190" t="e">
            <v>#N/A</v>
          </cell>
          <cell r="AC190" t="e">
            <v>#N/A</v>
          </cell>
          <cell r="AD190" t="str">
            <v>0826-16</v>
          </cell>
          <cell r="AE190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1">
          <cell r="A191" t="str">
            <v>827-16</v>
          </cell>
          <cell r="B191">
            <v>4002</v>
          </cell>
          <cell r="C191" t="str">
            <v>DE.1.0.7.0</v>
          </cell>
          <cell r="D191" t="str">
            <v>204:1007</v>
          </cell>
          <cell r="E191">
            <v>42598.660046296296</v>
          </cell>
          <cell r="F191">
            <v>42598.661678240744</v>
          </cell>
          <cell r="G191">
            <v>2</v>
          </cell>
          <cell r="H191" t="str">
            <v>300:58926</v>
          </cell>
          <cell r="I191">
            <v>42598.676481481481</v>
          </cell>
          <cell r="J191">
            <v>1</v>
          </cell>
          <cell r="K191" t="str">
            <v>4001/4002</v>
          </cell>
          <cell r="L191" t="str">
            <v>STURGEON</v>
          </cell>
          <cell r="M191">
            <v>1.4803240737819578E-2</v>
          </cell>
          <cell r="N191">
            <v>21.316666662460193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https://search-rtdc-monitor-bjffxe2xuh6vdkpspy63sjmuny.us-east-1.es.amazonaws.com/_plugin/kibana/#/discover/Steve-Slow-Train-Analysis-(2080s-and-2083s)?_g=(refreshInterval:(display:Off,section:0,value:0),time:(from:'2016-08-16 14:50:28-0600',mode:absolute,to:'2016-08-16 17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1" t="str">
            <v>N</v>
          </cell>
          <cell r="X191">
            <v>1</v>
          </cell>
          <cell r="Y191">
            <v>0.1007</v>
          </cell>
          <cell r="Z191">
            <v>5.8925999999999998</v>
          </cell>
          <cell r="AA191">
            <v>5.7919</v>
          </cell>
          <cell r="AB191" t="e">
            <v>#N/A</v>
          </cell>
          <cell r="AC191" t="e">
            <v>#N/A</v>
          </cell>
          <cell r="AD191" t="str">
            <v>0827-16</v>
          </cell>
          <cell r="AE191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92">
          <cell r="A192" t="str">
            <v>828-16</v>
          </cell>
          <cell r="B192">
            <v>4001</v>
          </cell>
          <cell r="C192" t="str">
            <v>DE.1.0.7.0</v>
          </cell>
          <cell r="D192" t="str">
            <v>300:58602</v>
          </cell>
          <cell r="E192">
            <v>42598.67763888889</v>
          </cell>
          <cell r="F192">
            <v>42598.678414351853</v>
          </cell>
          <cell r="G192">
            <v>1</v>
          </cell>
          <cell r="H192" t="str">
            <v>204:719</v>
          </cell>
          <cell r="I192">
            <v>42598.689722222225</v>
          </cell>
          <cell r="J192">
            <v>1</v>
          </cell>
          <cell r="K192" t="str">
            <v>4001/4002</v>
          </cell>
          <cell r="L192" t="str">
            <v>STURGEON</v>
          </cell>
          <cell r="M192">
            <v>1.1307870372547768E-2</v>
          </cell>
          <cell r="N192">
            <v>16.283333336468786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https://search-rtdc-monitor-bjffxe2xuh6vdkpspy63sjmuny.us-east-1.es.amazonaws.com/_plugin/kibana/#/discover/Steve-Slow-Train-Analysis-(2080s-and-2083s)?_g=(refreshInterval:(display:Off,section:0,value:0),time:(from:'2016-08-16 15:15:48-0600',mode:absolute,to:'2016-08-16 17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2" t="str">
            <v>N</v>
          </cell>
          <cell r="X192">
            <v>1</v>
          </cell>
          <cell r="Y192">
            <v>5.8601999999999999</v>
          </cell>
          <cell r="Z192">
            <v>7.1900000000000006E-2</v>
          </cell>
          <cell r="AA192">
            <v>5.7882999999999996</v>
          </cell>
          <cell r="AB192" t="e">
            <v>#N/A</v>
          </cell>
          <cell r="AC192" t="e">
            <v>#N/A</v>
          </cell>
          <cell r="AD192" t="str">
            <v>0828-16</v>
          </cell>
          <cell r="AE192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93">
          <cell r="A193" t="str">
            <v>829-16</v>
          </cell>
          <cell r="B193">
            <v>4014</v>
          </cell>
          <cell r="C193" t="str">
            <v>DE.1.0.7.0</v>
          </cell>
          <cell r="D193" t="str">
            <v>204:971</v>
          </cell>
          <cell r="E193">
            <v>42598.676886574074</v>
          </cell>
          <cell r="F193">
            <v>42598.678217592591</v>
          </cell>
          <cell r="G193">
            <v>1</v>
          </cell>
          <cell r="H193" t="str">
            <v>300:58916</v>
          </cell>
          <cell r="I193">
            <v>42598.690393518518</v>
          </cell>
          <cell r="J193">
            <v>1</v>
          </cell>
          <cell r="K193" t="str">
            <v>4013/4014</v>
          </cell>
          <cell r="L193" t="str">
            <v>BRUDER</v>
          </cell>
          <cell r="M193">
            <v>1.2175925927294884E-2</v>
          </cell>
          <cell r="N193">
            <v>17.533333335304633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https://search-rtdc-monitor-bjffxe2xuh6vdkpspy63sjmuny.us-east-1.es.amazonaws.com/_plugin/kibana/#/discover/Steve-Slow-Train-Analysis-(2080s-and-2083s)?_g=(refreshInterval:(display:Off,section:0,value:0),time:(from:'2016-08-16 15:14:43-0600',mode:absolute,to:'2016-08-16 17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3" t="str">
            <v>N</v>
          </cell>
          <cell r="X193">
            <v>1</v>
          </cell>
          <cell r="Y193">
            <v>9.7100000000000006E-2</v>
          </cell>
          <cell r="Z193">
            <v>5.8916000000000004</v>
          </cell>
          <cell r="AA193">
            <v>5.7945000000000002</v>
          </cell>
          <cell r="AB193" t="e">
            <v>#N/A</v>
          </cell>
          <cell r="AC193" t="e">
            <v>#N/A</v>
          </cell>
          <cell r="AD193" t="str">
            <v>0829-16</v>
          </cell>
          <cell r="AE193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4">
          <cell r="A194" t="str">
            <v>830-16</v>
          </cell>
          <cell r="B194">
            <v>4013</v>
          </cell>
          <cell r="C194" t="str">
            <v>DE.1.0.7.0</v>
          </cell>
          <cell r="D194" t="str">
            <v>300:58602</v>
          </cell>
          <cell r="E194">
            <v>42598.691458333335</v>
          </cell>
          <cell r="F194">
            <v>42598.692256944443</v>
          </cell>
          <cell r="G194">
            <v>1</v>
          </cell>
          <cell r="H194" t="str">
            <v>204:678</v>
          </cell>
          <cell r="I194">
            <v>42598.705740740741</v>
          </cell>
          <cell r="J194">
            <v>1</v>
          </cell>
          <cell r="K194" t="str">
            <v>4013/4014</v>
          </cell>
          <cell r="L194" t="str">
            <v>BRUDER</v>
          </cell>
          <cell r="M194">
            <v>1.3483796297805384E-2</v>
          </cell>
          <cell r="N194">
            <v>19.416666668839753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https://search-rtdc-monitor-bjffxe2xuh6vdkpspy63sjmuny.us-east-1.es.amazonaws.com/_plugin/kibana/#/discover/Steve-Slow-Train-Analysis-(2080s-and-2083s)?_g=(refreshInterval:(display:Off,section:0,value:0),time:(from:'2016-08-16 15:35:42-0600',mode:absolute,to:'2016-08-16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4" t="str">
            <v>N</v>
          </cell>
          <cell r="X194">
            <v>1</v>
          </cell>
          <cell r="Y194">
            <v>5.8601999999999999</v>
          </cell>
          <cell r="Z194">
            <v>6.7799999999999999E-2</v>
          </cell>
          <cell r="AA194">
            <v>5.7923999999999998</v>
          </cell>
          <cell r="AB194" t="e">
            <v>#N/A</v>
          </cell>
          <cell r="AC194" t="e">
            <v>#N/A</v>
          </cell>
          <cell r="AD194" t="str">
            <v>0830-16</v>
          </cell>
          <cell r="AE19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5">
          <cell r="A195" t="str">
            <v>831-16</v>
          </cell>
          <cell r="B195">
            <v>4002</v>
          </cell>
          <cell r="C195" t="str">
            <v>DE.1.0.7.0</v>
          </cell>
          <cell r="D195" t="str">
            <v>204:997</v>
          </cell>
          <cell r="E195">
            <v>42598.692465277774</v>
          </cell>
          <cell r="F195">
            <v>42598.693564814814</v>
          </cell>
          <cell r="G195">
            <v>1</v>
          </cell>
          <cell r="H195" t="str">
            <v>300:58924</v>
          </cell>
          <cell r="I195">
            <v>42598.713530092595</v>
          </cell>
          <cell r="J195">
            <v>1</v>
          </cell>
          <cell r="K195" t="str">
            <v>4001/4002</v>
          </cell>
          <cell r="L195" t="str">
            <v>STURGEON</v>
          </cell>
          <cell r="M195">
            <v>1.9965277781011537E-2</v>
          </cell>
          <cell r="N195">
            <v>28.750000004656613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https://search-rtdc-monitor-bjffxe2xuh6vdkpspy63sjmuny.us-east-1.es.amazonaws.com/_plugin/kibana/#/discover/Steve-Slow-Train-Analysis-(2080s-and-2083s)?_g=(refreshInterval:(display:Off,section:0,value:0),time:(from:'2016-08-16 15:37:09-0600',mode:absolute,to:'2016-08-16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5" t="str">
            <v>N</v>
          </cell>
          <cell r="X195">
            <v>1</v>
          </cell>
          <cell r="Y195">
            <v>9.9699999999999997E-2</v>
          </cell>
          <cell r="Z195">
            <v>5.8924000000000003</v>
          </cell>
          <cell r="AA195">
            <v>5.7927</v>
          </cell>
          <cell r="AB195" t="e">
            <v>#N/A</v>
          </cell>
          <cell r="AC195" t="e">
            <v>#N/A</v>
          </cell>
          <cell r="AD195" t="str">
            <v>0831-16</v>
          </cell>
          <cell r="AE195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196">
          <cell r="A196" t="str">
            <v>832-16</v>
          </cell>
          <cell r="B196">
            <v>4001</v>
          </cell>
          <cell r="C196" t="str">
            <v>DE.1.0.7.0</v>
          </cell>
          <cell r="D196" t="str">
            <v>300:58609</v>
          </cell>
          <cell r="E196">
            <v>42598.714641203704</v>
          </cell>
          <cell r="F196">
            <v>42598.715590277781</v>
          </cell>
          <cell r="G196">
            <v>1</v>
          </cell>
          <cell r="H196" t="str">
            <v>204:699</v>
          </cell>
          <cell r="I196">
            <v>42598.726631944446</v>
          </cell>
          <cell r="J196">
            <v>1</v>
          </cell>
          <cell r="K196" t="str">
            <v>4001/4002</v>
          </cell>
          <cell r="L196" t="str">
            <v>STURGEON</v>
          </cell>
          <cell r="M196">
            <v>1.1041666664823424E-2</v>
          </cell>
          <cell r="N196">
            <v>15.899999997345731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https://search-rtdc-monitor-bjffxe2xuh6vdkpspy63sjmuny.us-east-1.es.amazonaws.com/_plugin/kibana/#/discover/Steve-Slow-Train-Analysis-(2080s-and-2083s)?_g=(refreshInterval:(display:Off,section:0,value:0),time:(from:'2016-08-16 16:09:05-0600',mode:absolute,to:'2016-08-16 18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6" t="str">
            <v>N</v>
          </cell>
          <cell r="X196">
            <v>1</v>
          </cell>
          <cell r="Y196">
            <v>5.8609</v>
          </cell>
          <cell r="Z196">
            <v>6.9900000000000004E-2</v>
          </cell>
          <cell r="AA196">
            <v>5.7910000000000004</v>
          </cell>
          <cell r="AB196" t="e">
            <v>#N/A</v>
          </cell>
          <cell r="AC196" t="e">
            <v>#N/A</v>
          </cell>
          <cell r="AD196" t="str">
            <v>0832-16</v>
          </cell>
          <cell r="AE196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197">
          <cell r="A197" t="str">
            <v>833-16</v>
          </cell>
          <cell r="B197">
            <v>4014</v>
          </cell>
          <cell r="C197" t="str">
            <v>DE.1.0.7.0</v>
          </cell>
          <cell r="D197" t="str">
            <v>204:974</v>
          </cell>
          <cell r="E197">
            <v>42598.71603009259</v>
          </cell>
          <cell r="F197">
            <v>42598.716898148145</v>
          </cell>
          <cell r="G197">
            <v>1</v>
          </cell>
          <cell r="H197" t="str">
            <v>300:58914</v>
          </cell>
          <cell r="I197">
            <v>42598.732465277775</v>
          </cell>
          <cell r="J197">
            <v>1</v>
          </cell>
          <cell r="K197" t="str">
            <v>4013/4014</v>
          </cell>
          <cell r="L197" t="str">
            <v>BRUDER</v>
          </cell>
          <cell r="M197">
            <v>1.5567129630653653E-2</v>
          </cell>
          <cell r="N197">
            <v>22.416666668141261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https://search-rtdc-monitor-bjffxe2xuh6vdkpspy63sjmuny.us-east-1.es.amazonaws.com/_plugin/kibana/#/discover/Steve-Slow-Train-Analysis-(2080s-and-2083s)?_g=(refreshInterval:(display:Off,section:0,value:0),time:(from:'2016-08-16 16:11:05-0600',mode:absolute,to:'2016-08-16 18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N</v>
          </cell>
          <cell r="X197">
            <v>1</v>
          </cell>
          <cell r="Y197">
            <v>9.74E-2</v>
          </cell>
          <cell r="Z197">
            <v>5.8914</v>
          </cell>
          <cell r="AA197">
            <v>5.7939999999999996</v>
          </cell>
          <cell r="AB197" t="e">
            <v>#N/A</v>
          </cell>
          <cell r="AC197" t="e">
            <v>#N/A</v>
          </cell>
          <cell r="AD197" t="str">
            <v>0833-16</v>
          </cell>
          <cell r="AE19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198">
          <cell r="A198" t="str">
            <v>834-16</v>
          </cell>
          <cell r="B198">
            <v>4013</v>
          </cell>
          <cell r="C198" t="str">
            <v>DE.1.0.7.0</v>
          </cell>
          <cell r="D198" t="str">
            <v>300:58594</v>
          </cell>
          <cell r="E198">
            <v>42598.733622685184</v>
          </cell>
          <cell r="F198">
            <v>42598.7344212963</v>
          </cell>
          <cell r="G198">
            <v>1</v>
          </cell>
          <cell r="H198" t="str">
            <v>204:680</v>
          </cell>
          <cell r="I198">
            <v>42598.746631944443</v>
          </cell>
          <cell r="J198">
            <v>1</v>
          </cell>
          <cell r="K198" t="str">
            <v>4013/4014</v>
          </cell>
          <cell r="L198" t="str">
            <v>BRUDER</v>
          </cell>
          <cell r="M198">
            <v>1.2210648143081926E-2</v>
          </cell>
          <cell r="N198">
            <v>17.583333326037973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https://search-rtdc-monitor-bjffxe2xuh6vdkpspy63sjmuny.us-east-1.es.amazonaws.com/_plugin/kibana/#/discover/Steve-Slow-Train-Analysis-(2080s-and-2083s)?_g=(refreshInterval:(display:Off,section:0,value:0),time:(from:'2016-08-16 16:36:25-0600',mode:absolute,to:'2016-08-16 18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8" t="str">
            <v>N</v>
          </cell>
          <cell r="X198">
            <v>1</v>
          </cell>
          <cell r="Y198">
            <v>5.8593999999999999</v>
          </cell>
          <cell r="Z198">
            <v>6.8000000000000005E-2</v>
          </cell>
          <cell r="AA198">
            <v>5.7914000000000003</v>
          </cell>
          <cell r="AB198" t="e">
            <v>#N/A</v>
          </cell>
          <cell r="AC198" t="e">
            <v>#N/A</v>
          </cell>
          <cell r="AD198" t="str">
            <v>0834-16</v>
          </cell>
          <cell r="AE19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199">
          <cell r="A199" t="str">
            <v>835-16</v>
          </cell>
          <cell r="B199">
            <v>4002</v>
          </cell>
          <cell r="C199" t="str">
            <v>DE.1.0.7.0</v>
          </cell>
          <cell r="D199" t="str">
            <v>204:997</v>
          </cell>
          <cell r="E199">
            <v>42598.740694444445</v>
          </cell>
          <cell r="F199">
            <v>42598.741712962961</v>
          </cell>
          <cell r="G199">
            <v>1</v>
          </cell>
          <cell r="H199" t="str">
            <v>300:58912</v>
          </cell>
          <cell r="I199">
            <v>42598.754710648151</v>
          </cell>
          <cell r="J199">
            <v>1</v>
          </cell>
          <cell r="K199" t="str">
            <v>4001/4002</v>
          </cell>
          <cell r="L199" t="str">
            <v>STURGEON</v>
          </cell>
          <cell r="M199">
            <v>1.2997685189475305E-2</v>
          </cell>
          <cell r="N199">
            <v>18.71666667284444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https://search-rtdc-monitor-bjffxe2xuh6vdkpspy63sjmuny.us-east-1.es.amazonaws.com/_plugin/kibana/#/discover/Steve-Slow-Train-Analysis-(2080s-and-2083s)?_g=(refreshInterval:(display:Off,section:0,value:0),time:(from:'2016-08-16 16:46:36-0600',mode:absolute,to:'2016-08-16 19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9" t="str">
            <v>N</v>
          </cell>
          <cell r="X199">
            <v>1</v>
          </cell>
          <cell r="Y199">
            <v>9.9699999999999997E-2</v>
          </cell>
          <cell r="Z199">
            <v>5.8912000000000004</v>
          </cell>
          <cell r="AA199">
            <v>5.7915000000000001</v>
          </cell>
          <cell r="AB199" t="e">
            <v>#N/A</v>
          </cell>
          <cell r="AC199" t="e">
            <v>#N/A</v>
          </cell>
          <cell r="AD199" t="str">
            <v>0835-16</v>
          </cell>
          <cell r="AE199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00">
          <cell r="A200" t="str">
            <v>836-16</v>
          </cell>
          <cell r="B200">
            <v>4001</v>
          </cell>
          <cell r="C200" t="str">
            <v>DE.1.0.7.0</v>
          </cell>
          <cell r="D200" t="str">
            <v>300:58592</v>
          </cell>
          <cell r="E200">
            <v>42598.75582175926</v>
          </cell>
          <cell r="F200">
            <v>42598.75681712963</v>
          </cell>
          <cell r="G200">
            <v>1</v>
          </cell>
          <cell r="H200" t="str">
            <v>204:724</v>
          </cell>
          <cell r="I200">
            <v>42598.768217592595</v>
          </cell>
          <cell r="J200">
            <v>1</v>
          </cell>
          <cell r="K200" t="str">
            <v>4001/4002</v>
          </cell>
          <cell r="L200" t="str">
            <v>STURGEON</v>
          </cell>
          <cell r="M200">
            <v>1.1400462964957114E-2</v>
          </cell>
          <cell r="N200">
            <v>16.416666669538245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https://search-rtdc-monitor-bjffxe2xuh6vdkpspy63sjmuny.us-east-1.es.amazonaws.com/_plugin/kibana/#/discover/Steve-Slow-Train-Analysis-(2080s-and-2083s)?_g=(refreshInterval:(display:Off,section:0,value:0),time:(from:'2016-08-16 17:08:23-0600',mode:absolute,to:'2016-08-16 19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0" t="str">
            <v>N</v>
          </cell>
          <cell r="X200">
            <v>1</v>
          </cell>
          <cell r="Y200">
            <v>5.8592000000000004</v>
          </cell>
          <cell r="Z200">
            <v>7.2400000000000006E-2</v>
          </cell>
          <cell r="AA200">
            <v>5.7868000000000004</v>
          </cell>
          <cell r="AB200" t="e">
            <v>#N/A</v>
          </cell>
          <cell r="AC200" t="e">
            <v>#N/A</v>
          </cell>
          <cell r="AD200" t="str">
            <v>0836-16</v>
          </cell>
          <cell r="AE200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01">
          <cell r="A201" t="str">
            <v>837-16</v>
          </cell>
          <cell r="B201">
            <v>4014</v>
          </cell>
          <cell r="C201" t="str">
            <v>DE.1.0.7.0</v>
          </cell>
          <cell r="D201" t="str">
            <v>204:974</v>
          </cell>
          <cell r="E201">
            <v>42598.760439814818</v>
          </cell>
          <cell r="F201">
            <v>42598.76153935185</v>
          </cell>
          <cell r="G201">
            <v>1</v>
          </cell>
          <cell r="H201" t="str">
            <v>300:58918</v>
          </cell>
          <cell r="I201">
            <v>42598.773611111108</v>
          </cell>
          <cell r="J201">
            <v>1</v>
          </cell>
          <cell r="K201" t="str">
            <v>4013/4014</v>
          </cell>
          <cell r="L201" t="str">
            <v>BRUDER</v>
          </cell>
          <cell r="M201">
            <v>1.2071759258105885E-2</v>
          </cell>
          <cell r="N201">
            <v>17.383333331672475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https://search-rtdc-monitor-bjffxe2xuh6vdkpspy63sjmuny.us-east-1.es.amazonaws.com/_plugin/kibana/#/discover/Steve-Slow-Train-Analysis-(2080s-and-2083s)?_g=(refreshInterval:(display:Off,section:0,value:0),time:(from:'2016-08-16 17:15:02-0600',mode:absolute,to:'2016-08-16 19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1" t="str">
            <v>N</v>
          </cell>
          <cell r="X201">
            <v>1</v>
          </cell>
          <cell r="Y201">
            <v>9.74E-2</v>
          </cell>
          <cell r="Z201">
            <v>5.8917999999999999</v>
          </cell>
          <cell r="AA201">
            <v>5.7943999999999996</v>
          </cell>
          <cell r="AB201" t="e">
            <v>#N/A</v>
          </cell>
          <cell r="AC201" t="e">
            <v>#N/A</v>
          </cell>
          <cell r="AD201" t="str">
            <v>0837-16</v>
          </cell>
          <cell r="AE201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2">
          <cell r="A202" t="str">
            <v>838-16</v>
          </cell>
          <cell r="B202">
            <v>4013</v>
          </cell>
          <cell r="C202" t="str">
            <v>DE.1.0.7.0</v>
          </cell>
          <cell r="D202" t="str">
            <v>300:58608</v>
          </cell>
          <cell r="E202">
            <v>42598.774687500001</v>
          </cell>
          <cell r="F202">
            <v>42598.776041666664</v>
          </cell>
          <cell r="G202">
            <v>1</v>
          </cell>
          <cell r="H202" t="str">
            <v>204:689</v>
          </cell>
          <cell r="I202">
            <v>42598.788275462961</v>
          </cell>
          <cell r="J202">
            <v>1</v>
          </cell>
          <cell r="K202" t="str">
            <v>4013/4014</v>
          </cell>
          <cell r="L202" t="str">
            <v>BRUDER</v>
          </cell>
          <cell r="M202">
            <v>1.2233796296641231E-2</v>
          </cell>
          <cell r="N202">
            <v>17.616666667163372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https://search-rtdc-monitor-bjffxe2xuh6vdkpspy63sjmuny.us-east-1.es.amazonaws.com/_plugin/kibana/#/discover/Steve-Slow-Train-Analysis-(2080s-and-2083s)?_g=(refreshInterval:(display:Off,section:0,value:0),time:(from:'2016-08-16 17:35:33-0600',mode:absolute,to:'2016-08-16 19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2" t="str">
            <v>N</v>
          </cell>
          <cell r="X202">
            <v>1</v>
          </cell>
          <cell r="Y202">
            <v>5.8608000000000002</v>
          </cell>
          <cell r="Z202">
            <v>6.8900000000000003E-2</v>
          </cell>
          <cell r="AA202">
            <v>5.7919</v>
          </cell>
          <cell r="AB202" t="e">
            <v>#N/A</v>
          </cell>
          <cell r="AC202" t="e">
            <v>#N/A</v>
          </cell>
          <cell r="AD202" t="str">
            <v>0838-16</v>
          </cell>
          <cell r="AE202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3">
          <cell r="A203" t="str">
            <v>839-16</v>
          </cell>
          <cell r="B203">
            <v>4002</v>
          </cell>
          <cell r="C203" t="str">
            <v>DE.1.0.7.0</v>
          </cell>
          <cell r="D203" t="str">
            <v>204:1002</v>
          </cell>
          <cell r="E203">
            <v>42598.774016203701</v>
          </cell>
          <cell r="F203">
            <v>42598.77542824074</v>
          </cell>
          <cell r="G203">
            <v>2</v>
          </cell>
          <cell r="H203" t="str">
            <v>300:58916</v>
          </cell>
          <cell r="I203">
            <v>42598.796331018515</v>
          </cell>
          <cell r="J203">
            <v>1</v>
          </cell>
          <cell r="K203" t="str">
            <v>4001/4002</v>
          </cell>
          <cell r="L203" t="str">
            <v>STURGEON</v>
          </cell>
          <cell r="M203">
            <v>2.0902777774608694E-2</v>
          </cell>
          <cell r="N203">
            <v>30.099999995436519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https://search-rtdc-monitor-bjffxe2xuh6vdkpspy63sjmuny.us-east-1.es.amazonaws.com/_plugin/kibana/#/discover/Steve-Slow-Train-Analysis-(2080s-and-2083s)?_g=(refreshInterval:(display:Off,section:0,value:0),time:(from:'2016-08-16 17:34:35-0600',mode:absolute,to:'2016-08-16 20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N</v>
          </cell>
          <cell r="X203">
            <v>1</v>
          </cell>
          <cell r="Y203">
            <v>0.1002</v>
          </cell>
          <cell r="Z203">
            <v>5.8916000000000004</v>
          </cell>
          <cell r="AA203">
            <v>5.7914000000000003</v>
          </cell>
          <cell r="AB203" t="e">
            <v>#N/A</v>
          </cell>
          <cell r="AC203" t="e">
            <v>#N/A</v>
          </cell>
          <cell r="AD203" t="str">
            <v>0839-16</v>
          </cell>
          <cell r="AE203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04">
          <cell r="A204" t="str">
            <v>840-16</v>
          </cell>
          <cell r="B204">
            <v>4013</v>
          </cell>
          <cell r="C204" t="str">
            <v>DE.1.0.7.0</v>
          </cell>
          <cell r="D204" t="str">
            <v>300:58602</v>
          </cell>
          <cell r="E204">
            <v>42598.819432870368</v>
          </cell>
          <cell r="F204">
            <v>42598.820173611108</v>
          </cell>
          <cell r="G204">
            <v>1</v>
          </cell>
          <cell r="H204" t="str">
            <v>204:670</v>
          </cell>
          <cell r="I204">
            <v>42598.830011574071</v>
          </cell>
          <cell r="J204">
            <v>1</v>
          </cell>
          <cell r="K204" t="str">
            <v>4013/4014</v>
          </cell>
          <cell r="L204" t="str">
            <v>BRUDER</v>
          </cell>
          <cell r="M204">
            <v>9.8379629635019228E-3</v>
          </cell>
          <cell r="N204">
            <v>14.166666667442769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https://search-rtdc-monitor-bjffxe2xuh6vdkpspy63sjmuny.us-east-1.es.amazonaws.com/_plugin/kibana/#/discover/Steve-Slow-Train-Analysis-(2080s-and-2083s)?_g=(refreshInterval:(display:Off,section:0,value:0),time:(from:'2016-08-16 18:39:59-0600',mode:absolute,to:'2016-08-16 20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4" t="str">
            <v>N</v>
          </cell>
          <cell r="X204">
            <v>1</v>
          </cell>
          <cell r="Y204">
            <v>5.8601999999999999</v>
          </cell>
          <cell r="Z204">
            <v>6.7000000000000004E-2</v>
          </cell>
          <cell r="AA204">
            <v>5.7931999999999997</v>
          </cell>
          <cell r="AB204" t="e">
            <v>#N/A</v>
          </cell>
          <cell r="AC204" t="e">
            <v>#N/A</v>
          </cell>
          <cell r="AD204" t="str">
            <v>0840-16</v>
          </cell>
          <cell r="AE20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5">
          <cell r="A205" t="str">
            <v>841-16</v>
          </cell>
          <cell r="B205">
            <v>4014</v>
          </cell>
          <cell r="C205" t="str">
            <v>DE.1.0.7.0</v>
          </cell>
          <cell r="D205" t="str">
            <v>204:979</v>
          </cell>
          <cell r="E205" t="str">
            <v>2016-08-16T19:14:24</v>
          </cell>
          <cell r="F205">
            <v>42598.848194444443</v>
          </cell>
          <cell r="G205">
            <v>4</v>
          </cell>
          <cell r="H205" t="str">
            <v>300:58922</v>
          </cell>
          <cell r="I205">
            <v>42598.857314814813</v>
          </cell>
          <cell r="K205" t="str">
            <v>4013/4014</v>
          </cell>
          <cell r="L205" t="str">
            <v>BRUDER</v>
          </cell>
          <cell r="M205">
            <v>9.1203703705104999E-3</v>
          </cell>
          <cell r="N205">
            <v>13.13333333353512</v>
          </cell>
          <cell r="S205">
            <v>1</v>
          </cell>
          <cell r="T205" t="str">
            <v>NorthBound</v>
          </cell>
          <cell r="U205">
            <v>1</v>
          </cell>
          <cell r="V205" t="e">
            <v>#VALUE!</v>
          </cell>
          <cell r="W205" t="str">
            <v>N</v>
          </cell>
          <cell r="X205">
            <v>1</v>
          </cell>
          <cell r="Y205">
            <v>9.7900000000000001E-2</v>
          </cell>
          <cell r="Z205">
            <v>5.8921999999999999</v>
          </cell>
          <cell r="AA205">
            <v>5.7942999999999998</v>
          </cell>
          <cell r="AB205" t="e">
            <v>#N/A</v>
          </cell>
          <cell r="AC205" t="e">
            <v>#N/A</v>
          </cell>
          <cell r="AD205" t="str">
            <v>0841-16</v>
          </cell>
          <cell r="AE205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6">
          <cell r="A206" t="str">
            <v>842-16</v>
          </cell>
          <cell r="B206">
            <v>4013</v>
          </cell>
          <cell r="C206" t="str">
            <v>DE.1.0.7.0</v>
          </cell>
          <cell r="D206" t="str">
            <v>300:58598</v>
          </cell>
          <cell r="E206">
            <v>42598.858518518522</v>
          </cell>
          <cell r="F206">
            <v>42598.859386574077</v>
          </cell>
          <cell r="G206">
            <v>1</v>
          </cell>
          <cell r="H206" t="str">
            <v>204:694</v>
          </cell>
          <cell r="I206">
            <v>42598.871886574074</v>
          </cell>
          <cell r="J206">
            <v>1</v>
          </cell>
          <cell r="K206" t="str">
            <v>4013/4014</v>
          </cell>
          <cell r="L206" t="str">
            <v>BRUDER</v>
          </cell>
          <cell r="M206">
            <v>1.2499999997089617E-2</v>
          </cell>
          <cell r="N206">
            <v>17.999999995809048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https://search-rtdc-monitor-bjffxe2xuh6vdkpspy63sjmuny.us-east-1.es.amazonaws.com/_plugin/kibana/#/discover/Steve-Slow-Train-Analysis-(2080s-and-2083s)?_g=(refreshInterval:(display:Off,section:0,value:0),time:(from:'2016-08-16 19:36:16-0600',mode:absolute,to:'2016-08-16 21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6" t="str">
            <v>N</v>
          </cell>
          <cell r="X206">
            <v>1</v>
          </cell>
          <cell r="Y206">
            <v>5.8597999999999999</v>
          </cell>
          <cell r="Z206">
            <v>6.9400000000000003E-2</v>
          </cell>
          <cell r="AA206">
            <v>5.7904</v>
          </cell>
          <cell r="AB206" t="e">
            <v>#N/A</v>
          </cell>
          <cell r="AC206" t="e">
            <v>#N/A</v>
          </cell>
          <cell r="AD206" t="str">
            <v>0842-16</v>
          </cell>
          <cell r="AE206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7">
          <cell r="A207" t="str">
            <v>843-16</v>
          </cell>
          <cell r="B207">
            <v>4014</v>
          </cell>
          <cell r="C207" t="str">
            <v>DE.1.0.7.0</v>
          </cell>
          <cell r="D207" t="str">
            <v>204:971</v>
          </cell>
          <cell r="E207">
            <v>42598.841192129628</v>
          </cell>
          <cell r="F207">
            <v>42598.842152777775</v>
          </cell>
          <cell r="G207">
            <v>1</v>
          </cell>
          <cell r="H207" t="str">
            <v>300:58922</v>
          </cell>
          <cell r="I207">
            <v>42598.857418981483</v>
          </cell>
          <cell r="J207">
            <v>1</v>
          </cell>
          <cell r="K207" t="str">
            <v>4013/4014</v>
          </cell>
          <cell r="L207" t="str">
            <v>BRUDER</v>
          </cell>
          <cell r="M207">
            <v>1.5266203707142267E-2</v>
          </cell>
          <cell r="N207">
            <v>21.983333338284865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https://search-rtdc-monitor-bjffxe2xuh6vdkpspy63sjmuny.us-east-1.es.amazonaws.com/_plugin/kibana/#/discover/Steve-Slow-Train-Analysis-(2080s-and-2083s)?_g=(refreshInterval:(display:Off,section:0,value:0),time:(from:'2016-08-16 19:11:19-0600',mode:absolute,to:'2016-08-16 21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7" t="str">
            <v>N</v>
          </cell>
          <cell r="X207">
            <v>1</v>
          </cell>
          <cell r="Y207">
            <v>9.7100000000000006E-2</v>
          </cell>
          <cell r="Z207">
            <v>5.8921999999999999</v>
          </cell>
          <cell r="AA207">
            <v>5.7950999999999997</v>
          </cell>
          <cell r="AB207" t="e">
            <v>#N/A</v>
          </cell>
          <cell r="AC207" t="e">
            <v>#N/A</v>
          </cell>
          <cell r="AD207" t="str">
            <v>0843-16</v>
          </cell>
          <cell r="AE207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08">
          <cell r="A208" t="str">
            <v>844-16</v>
          </cell>
          <cell r="B208">
            <v>4013</v>
          </cell>
          <cell r="C208" t="str">
            <v>DE.1.0.7.0</v>
          </cell>
          <cell r="D208" t="str">
            <v>300:58602</v>
          </cell>
          <cell r="E208">
            <v>42598.902824074074</v>
          </cell>
          <cell r="F208">
            <v>42598.904120370367</v>
          </cell>
          <cell r="G208">
            <v>1</v>
          </cell>
          <cell r="H208" t="str">
            <v>204:687</v>
          </cell>
          <cell r="I208">
            <v>42598.915763888886</v>
          </cell>
          <cell r="J208">
            <v>1</v>
          </cell>
          <cell r="K208" t="str">
            <v>4013/4014</v>
          </cell>
          <cell r="L208" t="str">
            <v>STURGEON</v>
          </cell>
          <cell r="M208">
            <v>1.1643518519122154E-2</v>
          </cell>
          <cell r="N208">
            <v>16.766666667535901</v>
          </cell>
          <cell r="S208">
            <v>1</v>
          </cell>
          <cell r="T208" t="str">
            <v>Southbound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https://search-rtdc-monitor-bjffxe2xuh6vdkpspy63sjmuny.us-east-1.es.amazonaws.com/_plugin/kibana/#/discover/Steve-Slow-Train-Analysis-(2080s-and-2083s)?_g=(refreshInterval:(display:Off,section:0,value:0),time:(from:'2016-08-16 20:40:04-0600',mode:absolute,to:'2016-08-16 22:58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8" t="str">
            <v>N</v>
          </cell>
          <cell r="X208">
            <v>1</v>
          </cell>
          <cell r="Y208">
            <v>5.8601999999999999</v>
          </cell>
          <cell r="Z208">
            <v>6.8699999999999997E-2</v>
          </cell>
          <cell r="AA208">
            <v>5.7915000000000001</v>
          </cell>
          <cell r="AB208" t="e">
            <v>#N/A</v>
          </cell>
          <cell r="AC208" t="e">
            <v>#N/A</v>
          </cell>
          <cell r="AD208" t="str">
            <v>0844-16</v>
          </cell>
          <cell r="AE208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09">
          <cell r="A209" t="str">
            <v>845-16</v>
          </cell>
          <cell r="B209">
            <v>4014</v>
          </cell>
          <cell r="C209" t="str">
            <v>DE.1.0.7.0</v>
          </cell>
          <cell r="D209" t="str">
            <v>204:969</v>
          </cell>
          <cell r="E209">
            <v>42598.878761574073</v>
          </cell>
          <cell r="F209">
            <v>42598.880925925929</v>
          </cell>
          <cell r="G209">
            <v>3</v>
          </cell>
          <cell r="H209" t="str">
            <v>300:58914</v>
          </cell>
          <cell r="I209">
            <v>42598.901631944442</v>
          </cell>
          <cell r="J209">
            <v>1</v>
          </cell>
          <cell r="K209" t="str">
            <v>4013/4014</v>
          </cell>
          <cell r="L209" t="str">
            <v>STURGEON</v>
          </cell>
          <cell r="M209">
            <v>2.0706018513010349E-2</v>
          </cell>
          <cell r="N209">
            <v>29.816666658734903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https://search-rtdc-monitor-bjffxe2xuh6vdkpspy63sjmuny.us-east-1.es.amazonaws.com/_plugin/kibana/#/discover/Steve-Slow-Train-Analysis-(2080s-and-2083s)?_g=(refreshInterval:(display:Off,section:0,value:0),time:(from:'2016-08-16 20:05:25-0600',mode:absolute,to:'2016-08-16 22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9" t="str">
            <v>N</v>
          </cell>
          <cell r="X209">
            <v>1</v>
          </cell>
          <cell r="Y209">
            <v>9.69E-2</v>
          </cell>
          <cell r="Z209">
            <v>5.8914</v>
          </cell>
          <cell r="AA209">
            <v>5.7945000000000002</v>
          </cell>
          <cell r="AB209" t="e">
            <v>#N/A</v>
          </cell>
          <cell r="AC209" t="e">
            <v>#N/A</v>
          </cell>
          <cell r="AD209" t="str">
            <v>0845-16</v>
          </cell>
          <cell r="AE209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10">
          <cell r="A210" t="str">
            <v>847-16</v>
          </cell>
          <cell r="B210">
            <v>4014</v>
          </cell>
          <cell r="C210" t="str">
            <v>DE.1.0.7.0</v>
          </cell>
          <cell r="D210" t="str">
            <v>204:990</v>
          </cell>
          <cell r="E210">
            <v>42598.926446759258</v>
          </cell>
          <cell r="F210">
            <v>42598.927800925929</v>
          </cell>
          <cell r="G210">
            <v>1</v>
          </cell>
          <cell r="H210" t="str">
            <v>300:58912</v>
          </cell>
          <cell r="I210">
            <v>42598.943460648145</v>
          </cell>
          <cell r="J210">
            <v>1</v>
          </cell>
          <cell r="K210" t="str">
            <v>4013/4014</v>
          </cell>
          <cell r="L210" t="str">
            <v>STURGEON</v>
          </cell>
          <cell r="M210">
            <v>1.5659722215787042E-2</v>
          </cell>
          <cell r="N210">
            <v>22.54999999073334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https://search-rtdc-monitor-bjffxe2xuh6vdkpspy63sjmuny.us-east-1.es.amazonaws.com/_plugin/kibana/#/discover/Steve-Slow-Train-Analysis-(2080s-and-2083s)?_g=(refreshInterval:(display:Off,section:0,value:0),time:(from:'2016-08-16 21:14:05-0600',mode:absolute,to:'2016-08-16 23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0" t="str">
            <v>N</v>
          </cell>
          <cell r="X210">
            <v>2</v>
          </cell>
          <cell r="Y210">
            <v>9.9000000000000005E-2</v>
          </cell>
          <cell r="Z210">
            <v>5.8912000000000004</v>
          </cell>
          <cell r="AA210">
            <v>5.7922000000000002</v>
          </cell>
          <cell r="AB210" t="e">
            <v>#N/A</v>
          </cell>
          <cell r="AC210" t="e">
            <v>#N/A</v>
          </cell>
          <cell r="AD210" t="str">
            <v>0847-16</v>
          </cell>
          <cell r="AE210" t="str">
    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    </cell>
        </row>
        <row r="211">
          <cell r="A211" t="str">
            <v>302-16</v>
          </cell>
          <cell r="B211">
            <v>4032</v>
          </cell>
          <cell r="C211" t="str">
            <v>DE.1.0.7.0</v>
          </cell>
          <cell r="D211" t="str">
            <v>300:25138</v>
          </cell>
          <cell r="E211">
            <v>42598.115914351853</v>
          </cell>
          <cell r="F211">
            <v>42598.116909722223</v>
          </cell>
          <cell r="G211">
            <v>1</v>
          </cell>
          <cell r="H211" t="str">
            <v>300:24904</v>
          </cell>
          <cell r="I211">
            <v>42598.118981481479</v>
          </cell>
          <cell r="J211">
            <v>1</v>
          </cell>
          <cell r="K211" t="str">
            <v>4031/4032</v>
          </cell>
          <cell r="L211" t="str">
            <v>KILLION</v>
          </cell>
          <cell r="M211">
            <v>2.0717592560686171E-3</v>
          </cell>
          <cell r="N211">
            <v>2.9833333287388086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https://search-rtdc-monitor-bjffxe2xuh6vdkpspy63sjmuny.us-east-1.es.amazonaws.com/_plugin/kibana/#/discover/Steve-Slow-Train-Analysis-(2080s-and-2083s)?_g=(refreshInterval:(display:Off,section:0,value:0),time:(from:'2016-08-16 01:46:55-0600',mode:absolute,to:'2016-08-16 03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1" t="str">
            <v>Y</v>
          </cell>
          <cell r="X211">
            <v>-545</v>
          </cell>
          <cell r="Y211">
            <v>2.5137999999999998</v>
          </cell>
          <cell r="Z211">
            <v>2.4904000000000002</v>
          </cell>
          <cell r="AA211">
            <v>2.3399999999999643E-2</v>
          </cell>
          <cell r="AB211" t="e">
            <v>#N/A</v>
          </cell>
          <cell r="AC211" t="e">
            <v>#N/A</v>
          </cell>
          <cell r="AD211" t="str">
            <v>0302-16</v>
          </cell>
          <cell r="AE211" t="str">
    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    </cell>
        </row>
        <row r="212">
          <cell r="A212" t="str">
            <v>303-16</v>
          </cell>
          <cell r="B212">
            <v>4009</v>
          </cell>
          <cell r="C212" t="str">
            <v>DE.1.0.7.0</v>
          </cell>
          <cell r="D212" t="str">
            <v>204:449</v>
          </cell>
          <cell r="E212">
            <v>42598.776736111111</v>
          </cell>
          <cell r="F212">
            <v>42598.77925925926</v>
          </cell>
          <cell r="G212">
            <v>3</v>
          </cell>
          <cell r="H212" t="str">
            <v>300:23308</v>
          </cell>
          <cell r="I212">
            <v>42598.786064814813</v>
          </cell>
          <cell r="J212">
            <v>1</v>
          </cell>
          <cell r="K212" t="str">
            <v>4009/4010</v>
          </cell>
          <cell r="L212" t="str">
            <v>HAITHCOX</v>
          </cell>
          <cell r="M212">
            <v>6.805555553000886E-3</v>
          </cell>
          <cell r="N212">
            <v>9.7999999963212758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https://search-rtdc-monitor-bjffxe2xuh6vdkpspy63sjmuny.us-east-1.es.amazonaws.com/_plugin/kibana/#/discover/Steve-Slow-Train-Analysis-(2080s-and-2083s)?_g=(refreshInterval:(display:Off,section:0,value:0),time:(from:'2016-08-16 17:38:30-0600',mode:absolute,to:'2016-08-16 19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2" t="str">
            <v>Y</v>
          </cell>
          <cell r="X212">
            <v>1</v>
          </cell>
          <cell r="Y212">
            <v>4.4900000000000002E-2</v>
          </cell>
          <cell r="Z212">
            <v>2.3308</v>
          </cell>
          <cell r="AA212">
            <v>2.2858999999999998</v>
          </cell>
          <cell r="AB212" t="e">
            <v>#N/A</v>
          </cell>
          <cell r="AC212" t="e">
            <v>#N/A</v>
          </cell>
          <cell r="AD212" t="str">
            <v>0303-16</v>
          </cell>
          <cell r="AE212" t="str">
    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    </cell>
        </row>
        <row r="213">
          <cell r="A213" t="str">
            <v>307-16</v>
          </cell>
          <cell r="B213">
            <v>4018</v>
          </cell>
          <cell r="C213" t="str">
            <v>DE.1.0.7.0</v>
          </cell>
          <cell r="D213" t="str">
            <v>204:411</v>
          </cell>
          <cell r="E213">
            <v>42598.82203703704</v>
          </cell>
          <cell r="F213">
            <v>42598.822974537034</v>
          </cell>
          <cell r="G213">
            <v>1</v>
          </cell>
          <cell r="H213" t="str">
            <v>300:23346</v>
          </cell>
          <cell r="I213">
            <v>42598.829930555556</v>
          </cell>
          <cell r="J213">
            <v>1</v>
          </cell>
          <cell r="K213" t="str">
            <v>4017/4018</v>
          </cell>
          <cell r="L213" t="str">
            <v>ROBINSON</v>
          </cell>
          <cell r="M213">
            <v>6.9560185220325366E-3</v>
          </cell>
          <cell r="N213">
            <v>10.016666671726853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13" t="str">
            <v>Y</v>
          </cell>
          <cell r="X213">
            <v>4</v>
          </cell>
          <cell r="Y213">
            <v>4.1099999999999998E-2</v>
          </cell>
          <cell r="Z213">
            <v>2.3346</v>
          </cell>
          <cell r="AA213">
            <v>2.2934999999999999</v>
          </cell>
          <cell r="AB213" t="e">
            <v>#N/A</v>
          </cell>
          <cell r="AC213" t="e">
            <v>#N/A</v>
          </cell>
          <cell r="AD213" t="str">
            <v>0307-16</v>
          </cell>
          <cell r="AE213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214">
          <cell r="A214" t="str">
            <v>307-16</v>
          </cell>
          <cell r="B214">
            <v>4018</v>
          </cell>
          <cell r="C214" t="str">
            <v>DE.1.0.7.0</v>
          </cell>
          <cell r="D214" t="str">
            <v>300:23346</v>
          </cell>
          <cell r="E214">
            <v>42598.82203703704</v>
          </cell>
          <cell r="F214">
            <v>42598.829930555556</v>
          </cell>
          <cell r="G214">
            <v>11</v>
          </cell>
          <cell r="H214" t="str">
            <v>300:23346</v>
          </cell>
          <cell r="I214">
            <v>42598.829930555556</v>
          </cell>
          <cell r="J214">
            <v>1</v>
          </cell>
          <cell r="K214" t="str">
            <v>4017/4018</v>
          </cell>
          <cell r="L214" t="str">
            <v>ROBINSON</v>
          </cell>
          <cell r="M214">
            <v>0</v>
          </cell>
          <cell r="N214">
            <v>0</v>
          </cell>
          <cell r="S214">
            <v>0</v>
          </cell>
          <cell r="T214" t="str">
            <v>NorthBound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14" t="str">
            <v>Y</v>
          </cell>
          <cell r="X214">
            <v>0</v>
          </cell>
          <cell r="Y214">
            <v>2.3346</v>
          </cell>
          <cell r="Z214">
            <v>2.3346</v>
          </cell>
          <cell r="AA214">
            <v>0</v>
          </cell>
          <cell r="AB214" t="e">
            <v>#N/A</v>
          </cell>
          <cell r="AC214" t="e">
            <v>#N/A</v>
          </cell>
          <cell r="AD214" t="str">
            <v>0307-16</v>
          </cell>
          <cell r="AE214" t="str">
    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    </cell>
        </row>
        <row r="215">
          <cell r="A215" t="str">
            <v>308-16</v>
          </cell>
          <cell r="B215">
            <v>4010</v>
          </cell>
          <cell r="C215" t="str">
            <v>DE.1.0.7.0</v>
          </cell>
          <cell r="D215" t="str">
            <v>300:23548</v>
          </cell>
          <cell r="E215">
            <v>42598.174189814818</v>
          </cell>
          <cell r="F215">
            <v>42598.175243055557</v>
          </cell>
          <cell r="G215">
            <v>1</v>
          </cell>
          <cell r="H215" t="str">
            <v>204:143</v>
          </cell>
          <cell r="I215">
            <v>42598.182708333334</v>
          </cell>
          <cell r="J215">
            <v>1</v>
          </cell>
          <cell r="K215" t="str">
            <v>4009/4010</v>
          </cell>
          <cell r="L215" t="str">
            <v>SPECTOR</v>
          </cell>
          <cell r="M215">
            <v>7.4652777766459621E-3</v>
          </cell>
          <cell r="N215">
            <v>10.749999998370185</v>
          </cell>
          <cell r="S215">
            <v>1</v>
          </cell>
          <cell r="T215" t="str">
            <v>Southbound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https://search-rtdc-monitor-bjffxe2xuh6vdkpspy63sjmuny.us-east-1.es.amazonaws.com/_plugin/kibana/#/discover/Steve-Slow-Train-Analysis-(2080s-and-2083s)?_g=(refreshInterval:(display:Off,section:0,value:0),time:(from:'2016-08-16 03:10:50-0600',mode:absolute,to:'2016-08-16 05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5" t="str">
            <v>Y</v>
          </cell>
          <cell r="X215">
            <v>1</v>
          </cell>
          <cell r="Y215">
            <v>2.3548</v>
          </cell>
          <cell r="Z215">
            <v>1.43E-2</v>
          </cell>
          <cell r="AA215">
            <v>2.3405</v>
          </cell>
          <cell r="AB215" t="e">
            <v>#N/A</v>
          </cell>
          <cell r="AC215" t="e">
            <v>#N/A</v>
          </cell>
          <cell r="AD215" t="str">
            <v>0308-16</v>
          </cell>
          <cell r="AE215" t="str">
    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    </cell>
        </row>
        <row r="216">
          <cell r="A216" t="str">
            <v>310-16</v>
          </cell>
          <cell r="B216">
            <v>4043</v>
          </cell>
          <cell r="C216" t="str">
            <v>DE.1.0.7.0</v>
          </cell>
          <cell r="D216" t="str">
            <v>300:22546</v>
          </cell>
          <cell r="E216">
            <v>42598.183506944442</v>
          </cell>
          <cell r="F216">
            <v>42598.184467592589</v>
          </cell>
          <cell r="G216">
            <v>1</v>
          </cell>
          <cell r="H216" t="str">
            <v>300:22352</v>
          </cell>
          <cell r="I216">
            <v>42598.184895833336</v>
          </cell>
          <cell r="J216">
            <v>1</v>
          </cell>
          <cell r="K216" t="str">
            <v>4043/4044</v>
          </cell>
          <cell r="L216" t="str">
            <v>DAVIS</v>
          </cell>
          <cell r="M216">
            <v>4.2824074625968933E-4</v>
          </cell>
          <cell r="N216">
            <v>0.61666667461395264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https://search-rtdc-monitor-bjffxe2xuh6vdkpspy63sjmuny.us-east-1.es.amazonaws.com/_plugin/kibana/#/discover/Steve-Slow-Train-Analysis-(2080s-and-2083s)?_g=(refreshInterval:(display:Off,section:0,value:0),time:(from:'2016-08-16 03:24:15-0600',mode:absolute,to:'2016-08-16 05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16" t="str">
            <v>Y</v>
          </cell>
          <cell r="X216">
            <v>2</v>
          </cell>
          <cell r="Y216">
            <v>2.2545999999999999</v>
          </cell>
          <cell r="Z216">
            <v>2.2351999999999999</v>
          </cell>
          <cell r="AA216">
            <v>1.9400000000000084E-2</v>
          </cell>
          <cell r="AB216" t="e">
            <v>#N/A</v>
          </cell>
          <cell r="AC216" t="e">
            <v>#N/A</v>
          </cell>
          <cell r="AD216" t="str">
            <v>0310-16</v>
          </cell>
          <cell r="AE216" t="str">
    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    </cell>
        </row>
        <row r="217">
          <cell r="A217" t="str">
            <v>313-16</v>
          </cell>
          <cell r="B217">
            <v>4038</v>
          </cell>
          <cell r="C217" t="str">
            <v>DE.1.0.7.0</v>
          </cell>
          <cell r="D217" t="str">
            <v>204:332</v>
          </cell>
          <cell r="E217">
            <v>42599.080937500003</v>
          </cell>
          <cell r="F217">
            <v>42599.081793981481</v>
          </cell>
          <cell r="G217">
            <v>1</v>
          </cell>
          <cell r="H217" t="str">
            <v>300:23111</v>
          </cell>
          <cell r="I217">
            <v>42599.086805555555</v>
          </cell>
          <cell r="J217">
            <v>1</v>
          </cell>
          <cell r="K217" t="str">
            <v>4037/4038</v>
          </cell>
          <cell r="L217" t="str">
            <v>ISHMAEL</v>
          </cell>
          <cell r="M217">
            <v>5.0115740741603076E-3</v>
          </cell>
          <cell r="N217">
            <v>7.216666666790843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17" t="str">
            <v>Y</v>
          </cell>
          <cell r="X217">
            <v>3</v>
          </cell>
          <cell r="Y217">
            <v>3.32E-2</v>
          </cell>
          <cell r="Z217">
            <v>2.3111000000000002</v>
          </cell>
          <cell r="AA217">
            <v>2.2779000000000003</v>
          </cell>
          <cell r="AB217" t="e">
            <v>#N/A</v>
          </cell>
          <cell r="AC217" t="e">
            <v>#N/A</v>
          </cell>
          <cell r="AD217" t="str">
            <v>0313-16</v>
          </cell>
          <cell r="AE217" t="str">
    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    </cell>
        </row>
        <row r="218">
          <cell r="A218" t="str">
            <v>315-15</v>
          </cell>
          <cell r="B218">
            <v>4020</v>
          </cell>
          <cell r="C218" t="str">
            <v>DE.1.0.7.0</v>
          </cell>
          <cell r="D218" t="str">
            <v>204:426</v>
          </cell>
          <cell r="E218">
            <v>42598.088530092595</v>
          </cell>
          <cell r="F218">
            <v>42598.08935185185</v>
          </cell>
          <cell r="G218">
            <v>1</v>
          </cell>
          <cell r="H218" t="str">
            <v>300:23123</v>
          </cell>
          <cell r="I218">
            <v>42598.094212962962</v>
          </cell>
          <cell r="J218">
            <v>1</v>
          </cell>
          <cell r="K218" t="str">
            <v>4019/4020</v>
          </cell>
          <cell r="L218" t="str">
            <v>ISHMAEL</v>
          </cell>
          <cell r="M218">
            <v>4.8611111124046147E-3</v>
          </cell>
          <cell r="N218">
            <v>7.0000000018626451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18" t="str">
            <v>Y</v>
          </cell>
          <cell r="X218">
            <v>2</v>
          </cell>
          <cell r="Y218">
            <v>4.2599999999999999E-2</v>
          </cell>
          <cell r="Z218">
            <v>2.3123</v>
          </cell>
          <cell r="AA218">
            <v>2.2696999999999998</v>
          </cell>
          <cell r="AB218" t="e">
            <v>#N/A</v>
          </cell>
          <cell r="AC218" t="e">
            <v>#N/A</v>
          </cell>
          <cell r="AD218" t="str">
            <v>0315-15</v>
          </cell>
          <cell r="AE218" t="str">
    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    </cell>
        </row>
        <row r="219">
          <cell r="A219" t="str">
            <v>315-16</v>
          </cell>
          <cell r="B219">
            <v>4029</v>
          </cell>
          <cell r="C219" t="str">
            <v>DE.1.0.7.0</v>
          </cell>
          <cell r="D219" t="str">
            <v>204:640</v>
          </cell>
          <cell r="E219">
            <v>42599.095069444447</v>
          </cell>
          <cell r="F219">
            <v>42599.095879629633</v>
          </cell>
          <cell r="G219">
            <v>1</v>
          </cell>
          <cell r="H219" t="str">
            <v>300:23312</v>
          </cell>
          <cell r="I219">
            <v>42599.103321759256</v>
          </cell>
          <cell r="J219">
            <v>1</v>
          </cell>
          <cell r="K219" t="str">
            <v>4029/4030</v>
          </cell>
          <cell r="L219" t="str">
            <v>CHANDLE</v>
          </cell>
          <cell r="M219">
            <v>7.4421296230866574E-3</v>
          </cell>
          <cell r="N219">
            <v>10.716666657244787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9" t="str">
            <v>Y</v>
          </cell>
          <cell r="X219">
            <v>0</v>
          </cell>
          <cell r="Y219">
            <v>6.4000000000000001E-2</v>
          </cell>
          <cell r="Z219">
            <v>2.3311999999999999</v>
          </cell>
          <cell r="AA219">
            <v>2.2671999999999999</v>
          </cell>
          <cell r="AB219" t="e">
            <v>#N/A</v>
          </cell>
          <cell r="AC219" t="e">
            <v>#N/A</v>
          </cell>
          <cell r="AD219" t="str">
            <v>0315-16</v>
          </cell>
          <cell r="AE219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20">
          <cell r="A220" t="str">
            <v>315-16</v>
          </cell>
          <cell r="B220">
            <v>4029</v>
          </cell>
          <cell r="C220" t="str">
            <v>DE.1.0.7.0</v>
          </cell>
          <cell r="D220" t="str">
            <v>300:23312</v>
          </cell>
          <cell r="E220">
            <v>42599.095069444447</v>
          </cell>
          <cell r="F220">
            <v>42599.103298611109</v>
          </cell>
          <cell r="G220">
            <v>11</v>
          </cell>
          <cell r="H220" t="str">
            <v>300:23312</v>
          </cell>
          <cell r="I220">
            <v>42599.103321759256</v>
          </cell>
          <cell r="J220">
            <v>1</v>
          </cell>
          <cell r="K220" t="str">
            <v>4029/4030</v>
          </cell>
          <cell r="L220" t="str">
            <v>CHANDLE</v>
          </cell>
          <cell r="M220">
            <v>2.314814628334716E-5</v>
          </cell>
          <cell r="N220">
            <v>3.333333064801991E-2</v>
          </cell>
          <cell r="S220">
            <v>0</v>
          </cell>
          <cell r="T220" t="str">
            <v>NorthBound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20" t="str">
            <v>Y</v>
          </cell>
          <cell r="X220">
            <v>0</v>
          </cell>
          <cell r="Y220">
            <v>2.3311999999999999</v>
          </cell>
          <cell r="Z220">
            <v>2.3311999999999999</v>
          </cell>
          <cell r="AA220">
            <v>0</v>
          </cell>
          <cell r="AB220" t="e">
            <v>#N/A</v>
          </cell>
          <cell r="AC220" t="e">
            <v>#N/A</v>
          </cell>
          <cell r="AD220" t="str">
            <v>0315-16</v>
          </cell>
          <cell r="AE220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21">
          <cell r="A221" t="str">
            <v>903-16</v>
          </cell>
          <cell r="B221">
            <v>4002</v>
          </cell>
          <cell r="C221" t="str">
            <v>DE.1.0.7.0</v>
          </cell>
          <cell r="D221" t="str">
            <v>204:1102</v>
          </cell>
          <cell r="E221">
            <v>42598.354305555556</v>
          </cell>
          <cell r="F221">
            <v>42598.355069444442</v>
          </cell>
          <cell r="G221">
            <v>1</v>
          </cell>
          <cell r="H221" t="str">
            <v>300:24241</v>
          </cell>
          <cell r="I221">
            <v>42598.361354166664</v>
          </cell>
          <cell r="J221">
            <v>1</v>
          </cell>
          <cell r="K221" t="str">
            <v>4001/4002</v>
          </cell>
          <cell r="L221" t="str">
            <v>STARKS</v>
          </cell>
          <cell r="M221">
            <v>6.284722221607808E-3</v>
          </cell>
          <cell r="N221">
            <v>9.0499999991152436</v>
          </cell>
          <cell r="S221">
            <v>1</v>
          </cell>
          <cell r="T221" t="str">
            <v>NorthBound</v>
          </cell>
          <cell r="U221">
            <v>1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https://search-rtdc-monitor-bjffxe2xuh6vdkpspy63sjmuny.us-east-1.es.amazonaws.com/_plugin/kibana/#/discover/Steve-Slow-Train-Analysis-(2080s-and-2083s)?_g=(refreshInterval:(display:Off,section:0,value:0),time:(from:'2016-08-16 07:30:12-0600',mode:absolute,to:'2016-08-16 09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21" t="str">
            <v>Y</v>
          </cell>
          <cell r="X221">
            <v>588</v>
          </cell>
          <cell r="Y221">
            <v>0.11020000000000001</v>
          </cell>
          <cell r="Z221">
            <v>2.4241000000000001</v>
          </cell>
          <cell r="AA221">
            <v>2.3139000000000003</v>
          </cell>
          <cell r="AB221" t="e">
            <v>#N/A</v>
          </cell>
          <cell r="AC221" t="e">
            <v>#N/A</v>
          </cell>
          <cell r="AD221" t="str">
            <v>0903-16</v>
          </cell>
          <cell r="AE221" t="str">
    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    </cell>
        </row>
        <row r="222">
          <cell r="A222" t="str">
            <v>904-16</v>
          </cell>
          <cell r="B222">
            <v>4001</v>
          </cell>
          <cell r="C222" t="str">
            <v>DE.1.0.7.0</v>
          </cell>
          <cell r="D222" t="str">
            <v>300:23502</v>
          </cell>
          <cell r="E222">
            <v>42598.648726851854</v>
          </cell>
          <cell r="F222">
            <v>42598.651643518519</v>
          </cell>
          <cell r="G222">
            <v>4</v>
          </cell>
          <cell r="H222" t="str">
            <v>204:713</v>
          </cell>
          <cell r="I222">
            <v>42598.658472222225</v>
          </cell>
          <cell r="J222">
            <v>1</v>
          </cell>
          <cell r="K222" t="str">
            <v>4001/4002</v>
          </cell>
          <cell r="L222" t="str">
            <v>STURGEON</v>
          </cell>
          <cell r="M222">
            <v>6.8287037065601908E-3</v>
          </cell>
          <cell r="N222">
            <v>9.8333333374466747</v>
          </cell>
          <cell r="S222">
            <v>1</v>
          </cell>
          <cell r="T222" t="str">
            <v>Southbound</v>
          </cell>
          <cell r="U222">
            <v>1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https://search-rtdc-monitor-bjffxe2xuh6vdkpspy63sjmuny.us-east-1.es.amazonaws.com/_plugin/kibana/#/discover/Steve-Slow-Train-Analysis-(2080s-and-2083s)?_g=(refreshInterval:(display:Off,section:0,value:0),time:(from:'2016-08-16 14:34:10-0600',mode:absolute,to:'2016-08-16 16:48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2" t="str">
            <v>Y</v>
          </cell>
          <cell r="X222">
            <v>1</v>
          </cell>
          <cell r="Y222">
            <v>2.3502000000000001</v>
          </cell>
          <cell r="Z222">
            <v>7.1300000000000002E-2</v>
          </cell>
          <cell r="AA222">
            <v>2.2789000000000001</v>
          </cell>
          <cell r="AB222" t="e">
            <v>#N/A</v>
          </cell>
          <cell r="AC222" t="e">
            <v>#N/A</v>
          </cell>
          <cell r="AD222" t="str">
            <v>0904-16</v>
          </cell>
          <cell r="AE222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23">
          <cell r="A223" t="str">
            <v>906-16</v>
          </cell>
          <cell r="B223">
            <v>4001</v>
          </cell>
          <cell r="C223" t="str">
            <v>DE.1.0.7.0</v>
          </cell>
          <cell r="D223" t="str">
            <v>300:58596</v>
          </cell>
          <cell r="E223">
            <v>42598.797800925924</v>
          </cell>
          <cell r="F223">
            <v>42598.798854166664</v>
          </cell>
          <cell r="G223">
            <v>1</v>
          </cell>
          <cell r="H223" t="str">
            <v>300:28788</v>
          </cell>
          <cell r="I223">
            <v>42598.804930555554</v>
          </cell>
          <cell r="J223">
            <v>1</v>
          </cell>
          <cell r="K223" t="str">
            <v>4001/4002</v>
          </cell>
          <cell r="L223" t="str">
            <v>STURGEON</v>
          </cell>
          <cell r="M223">
            <v>6.0763888905057684E-3</v>
          </cell>
          <cell r="N223">
            <v>8.7500000023283064</v>
          </cell>
          <cell r="S223">
            <v>0</v>
          </cell>
          <cell r="T223" t="str">
            <v>Southbound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https://search-rtdc-monitor-bjffxe2xuh6vdkpspy63sjmuny.us-east-1.es.amazonaws.com/_plugin/kibana/#/discover/Steve-Slow-Train-Analysis-(2080s-and-2083s)?_g=(refreshInterval:(display:Off,section:0,value:0),time:(from:'2016-08-16 18:08:50-0600',mode:absolute,to:'2016-08-16 20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3" t="str">
            <v>Y</v>
          </cell>
          <cell r="X223">
            <v>2</v>
          </cell>
          <cell r="Y223">
            <v>5.8596000000000004</v>
          </cell>
          <cell r="Z223">
            <v>2.8788</v>
          </cell>
          <cell r="AA223">
            <v>2.9808000000000003</v>
          </cell>
          <cell r="AB223" t="e">
            <v>#N/A</v>
          </cell>
          <cell r="AC223" t="e">
            <v>#N/A</v>
          </cell>
          <cell r="AD223" t="str">
            <v>0906-16</v>
          </cell>
          <cell r="AE223" t="str">
    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    </cell>
        </row>
        <row r="224">
          <cell r="A224" t="str">
            <v>908-16</v>
          </cell>
          <cell r="B224">
            <v>4013</v>
          </cell>
          <cell r="C224" t="str">
            <v>DE.1.0.7.0</v>
          </cell>
          <cell r="D224" t="str">
            <v>300:58598</v>
          </cell>
          <cell r="E224">
            <v>42598.944907407407</v>
          </cell>
          <cell r="F224">
            <v>42598.946018518516</v>
          </cell>
          <cell r="G224">
            <v>1</v>
          </cell>
          <cell r="H224" t="str">
            <v>300:21765</v>
          </cell>
          <cell r="I224">
            <v>42598.952326388891</v>
          </cell>
          <cell r="J224">
            <v>1</v>
          </cell>
          <cell r="K224" t="str">
            <v>4013/4014</v>
          </cell>
          <cell r="L224" t="str">
            <v>STURGEON</v>
          </cell>
          <cell r="M224">
            <v>6.3078703751671128E-3</v>
          </cell>
          <cell r="N224">
            <v>9.0833333402406424</v>
          </cell>
          <cell r="S224">
            <v>0</v>
          </cell>
          <cell r="T224" t="str">
            <v>Southbound</v>
          </cell>
          <cell r="U224">
            <v>0</v>
          </cell>
          <cell r="V224" t="str">
            <v>https://search-rtdc-monitor-bjffxe2xuh6vdkpspy63sjmuny.us-east-1.es.amazonaws.com/_plugin/kibana/#/discover/Steve-Slow-Train-Analysis-(2080s-and-2083s)?_g=(refreshInterval:(display:Off,section:0,value:0),time:(from:'2016-08-16 21:40:40-0600',mode:absolute,to:'2016-08-16 23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24" t="str">
            <v>Y</v>
          </cell>
          <cell r="X224">
            <v>2</v>
          </cell>
          <cell r="Y224">
            <v>5.8597999999999999</v>
          </cell>
          <cell r="Z224">
            <v>2.1764999999999999</v>
          </cell>
          <cell r="AA224">
            <v>3.6833</v>
          </cell>
          <cell r="AB224" t="e">
            <v>#N/A</v>
          </cell>
          <cell r="AC224" t="e">
            <v>#N/A</v>
          </cell>
          <cell r="AD224" t="str">
            <v>0908-16</v>
          </cell>
          <cell r="AE224" t="str">
    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    </cell>
        </row>
        <row r="225">
          <cell r="A225" t="str">
            <v>52-16</v>
          </cell>
          <cell r="B225">
            <v>4015</v>
          </cell>
          <cell r="C225" t="str">
            <v>DE.1.0.7.0</v>
          </cell>
          <cell r="D225" t="str">
            <v>300:23293</v>
          </cell>
          <cell r="E225">
            <v>42598.70039351852</v>
          </cell>
          <cell r="F225">
            <v>42598.701458333337</v>
          </cell>
          <cell r="G225">
            <v>1</v>
          </cell>
          <cell r="H225" t="str">
            <v>204:1026</v>
          </cell>
          <cell r="I225">
            <v>42598.714988425927</v>
          </cell>
          <cell r="J225">
            <v>1</v>
          </cell>
          <cell r="K225" t="str">
            <v>4015/4016</v>
          </cell>
          <cell r="L225" t="str">
            <v>OUN</v>
          </cell>
          <cell r="M225">
            <v>1.3530092590372078E-2</v>
          </cell>
          <cell r="N225">
            <v>19.483333330135792</v>
          </cell>
          <cell r="S225">
            <v>0</v>
          </cell>
          <cell r="T225" t="e">
            <v>#VALUE!</v>
          </cell>
          <cell r="U225">
            <v>0</v>
          </cell>
          <cell r="V225" t="str">
            <v>https://search-rtdc-monitor-bjffxe2xuh6vdkpspy63sjmuny.us-east-1.es.amazonaws.com/_plugin/kibana/#/discover/Steve-Slow-Train-Analysis-(2080s-and-2083s)?_g=(refreshInterval:(display:Off,section:0,value:0),time:(from:'2016-08-16 15:48:34-0600',mode:absolute,to:'2016-08-16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25" t="str">
            <v>Y</v>
          </cell>
          <cell r="X225" t="e">
            <v>#VALUE!</v>
          </cell>
          <cell r="Y225">
            <v>2.3292999999999999</v>
          </cell>
          <cell r="Z225">
            <v>0.1026</v>
          </cell>
          <cell r="AA225">
            <v>2.2267000000000001</v>
          </cell>
          <cell r="AB225" t="e">
            <v>#N/A</v>
          </cell>
          <cell r="AC225" t="e">
            <v>#N/A</v>
          </cell>
          <cell r="AD225" t="str">
            <v>52-16</v>
          </cell>
          <cell r="AE225" t="str">
    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    </cell>
        </row>
      </sheetData>
      <sheetData sheetId="1" refreshError="1"/>
      <sheetData sheetId="2" refreshError="1"/>
      <sheetData sheetId="3">
        <row r="1">
          <cell r="C1" t="str">
            <v>242-15</v>
          </cell>
          <cell r="D1">
            <v>1800000</v>
          </cell>
          <cell r="E1" t="str">
            <v>CHANDLER</v>
          </cell>
        </row>
        <row r="2">
          <cell r="C2" t="str">
            <v>309-15</v>
          </cell>
          <cell r="D2">
            <v>1810000</v>
          </cell>
          <cell r="E2" t="str">
            <v>NEWELL</v>
          </cell>
        </row>
        <row r="3">
          <cell r="C3" t="str">
            <v>244-15</v>
          </cell>
          <cell r="D3">
            <v>2100000</v>
          </cell>
          <cell r="E3" t="str">
            <v>ISHMAEL</v>
          </cell>
        </row>
        <row r="4">
          <cell r="C4" t="str">
            <v>313-15</v>
          </cell>
          <cell r="D4">
            <v>1800000</v>
          </cell>
          <cell r="E4" t="str">
            <v>CHANDLER</v>
          </cell>
        </row>
        <row r="5">
          <cell r="C5" t="str">
            <v>315-15</v>
          </cell>
          <cell r="D5">
            <v>2100000</v>
          </cell>
          <cell r="E5" t="str">
            <v>ISHMAEL</v>
          </cell>
        </row>
        <row r="6">
          <cell r="C6" t="str">
            <v>315-15</v>
          </cell>
          <cell r="D6">
            <v>2100000</v>
          </cell>
          <cell r="E6" t="str">
            <v>ISHMAEL</v>
          </cell>
        </row>
        <row r="7">
          <cell r="C7" t="str">
            <v>302-16</v>
          </cell>
          <cell r="D7">
            <v>2030000</v>
          </cell>
          <cell r="E7" t="str">
            <v>KILLION</v>
          </cell>
        </row>
        <row r="8">
          <cell r="C8" t="str">
            <v>101-16</v>
          </cell>
          <cell r="D8">
            <v>2030000</v>
          </cell>
          <cell r="E8" t="str">
            <v>KILLION</v>
          </cell>
        </row>
        <row r="9">
          <cell r="C9" t="str">
            <v>103-16</v>
          </cell>
          <cell r="D9">
            <v>1260000</v>
          </cell>
          <cell r="E9" t="str">
            <v>ACKERMAN</v>
          </cell>
        </row>
        <row r="10">
          <cell r="C10" t="str">
            <v>103-16</v>
          </cell>
          <cell r="D10">
            <v>1260000</v>
          </cell>
          <cell r="E10" t="str">
            <v>ACKERMAN</v>
          </cell>
        </row>
        <row r="11">
          <cell r="C11" t="str">
            <v>102-16</v>
          </cell>
          <cell r="D11">
            <v>2030000</v>
          </cell>
          <cell r="E11" t="str">
            <v>KILLION</v>
          </cell>
        </row>
        <row r="12">
          <cell r="C12" t="str">
            <v>308-16</v>
          </cell>
          <cell r="D12">
            <v>1090000</v>
          </cell>
          <cell r="E12" t="str">
            <v>SPECTOR</v>
          </cell>
        </row>
        <row r="13">
          <cell r="C13" t="str">
            <v>310-16</v>
          </cell>
          <cell r="D13">
            <v>1990000</v>
          </cell>
          <cell r="E13" t="str">
            <v>DAVIS</v>
          </cell>
        </row>
        <row r="14">
          <cell r="C14" t="str">
            <v>109-16</v>
          </cell>
          <cell r="D14">
            <v>1990000</v>
          </cell>
          <cell r="E14" t="str">
            <v>DAVIS</v>
          </cell>
        </row>
        <row r="15">
          <cell r="C15" t="str">
            <v>113-16</v>
          </cell>
          <cell r="D15">
            <v>2030000</v>
          </cell>
          <cell r="E15" t="str">
            <v>KILLION</v>
          </cell>
        </row>
        <row r="16">
          <cell r="C16" t="str">
            <v>111-16</v>
          </cell>
          <cell r="D16">
            <v>2150000</v>
          </cell>
          <cell r="E16" t="str">
            <v>SWANSON</v>
          </cell>
        </row>
        <row r="17">
          <cell r="C17" t="str">
            <v>108-16</v>
          </cell>
          <cell r="D17">
            <v>1090000</v>
          </cell>
          <cell r="E17" t="str">
            <v>SPECTOR</v>
          </cell>
        </row>
        <row r="18">
          <cell r="C18" t="str">
            <v>115-16</v>
          </cell>
          <cell r="D18">
            <v>900000</v>
          </cell>
          <cell r="E18" t="str">
            <v>ROCHA</v>
          </cell>
        </row>
        <row r="19">
          <cell r="C19" t="str">
            <v>110-16</v>
          </cell>
          <cell r="D19">
            <v>1990000</v>
          </cell>
          <cell r="E19" t="str">
            <v>DAVIS</v>
          </cell>
        </row>
        <row r="20">
          <cell r="C20" t="str">
            <v>801-16</v>
          </cell>
          <cell r="D20">
            <v>1110000</v>
          </cell>
          <cell r="E20" t="str">
            <v>STARKS</v>
          </cell>
        </row>
        <row r="21">
          <cell r="C21" t="str">
            <v>801-16</v>
          </cell>
          <cell r="D21">
            <v>1110000</v>
          </cell>
          <cell r="E21" t="str">
            <v>STARKS</v>
          </cell>
        </row>
        <row r="22">
          <cell r="C22" t="str">
            <v>112-16</v>
          </cell>
          <cell r="D22">
            <v>2150000</v>
          </cell>
          <cell r="E22" t="str">
            <v>SWANSON</v>
          </cell>
        </row>
        <row r="23">
          <cell r="C23" t="str">
            <v>114-16</v>
          </cell>
          <cell r="D23">
            <v>2030000</v>
          </cell>
          <cell r="E23" t="str">
            <v>KILLION</v>
          </cell>
        </row>
        <row r="24">
          <cell r="C24" t="str">
            <v>803-16</v>
          </cell>
          <cell r="D24">
            <v>1300000</v>
          </cell>
          <cell r="E24" t="str">
            <v>LEVIN</v>
          </cell>
        </row>
        <row r="25">
          <cell r="C25" t="str">
            <v>121-16</v>
          </cell>
          <cell r="D25">
            <v>1090000</v>
          </cell>
          <cell r="E25" t="str">
            <v>SPECTOR</v>
          </cell>
        </row>
        <row r="26">
          <cell r="C26" t="str">
            <v>116-16</v>
          </cell>
          <cell r="D26">
            <v>900000</v>
          </cell>
          <cell r="E26" t="str">
            <v>ROCHA</v>
          </cell>
        </row>
        <row r="27">
          <cell r="C27" t="str">
            <v>121-16</v>
          </cell>
          <cell r="D27">
            <v>1090000</v>
          </cell>
          <cell r="E27" t="str">
            <v>SPECTOR</v>
          </cell>
        </row>
        <row r="28">
          <cell r="C28" t="str">
            <v>123-16</v>
          </cell>
          <cell r="D28">
            <v>1990000</v>
          </cell>
          <cell r="E28" t="str">
            <v>DAVIS</v>
          </cell>
        </row>
        <row r="29">
          <cell r="C29" t="str">
            <v>112-16</v>
          </cell>
          <cell r="D29">
            <v>2150000</v>
          </cell>
          <cell r="E29" t="str">
            <v>SWANSON</v>
          </cell>
        </row>
        <row r="30">
          <cell r="C30" t="str">
            <v>118-16</v>
          </cell>
          <cell r="D30">
            <v>1260000</v>
          </cell>
          <cell r="E30" t="str">
            <v>ACKERMAN</v>
          </cell>
        </row>
        <row r="31">
          <cell r="C31" t="str">
            <v>804-16</v>
          </cell>
          <cell r="D31">
            <v>1300000</v>
          </cell>
          <cell r="E31" t="str">
            <v>LEVIN</v>
          </cell>
        </row>
        <row r="32">
          <cell r="C32" t="str">
            <v>805-16</v>
          </cell>
          <cell r="D32">
            <v>1110000</v>
          </cell>
          <cell r="E32" t="str">
            <v>STARKS</v>
          </cell>
        </row>
        <row r="33">
          <cell r="C33" t="str">
            <v>125-16</v>
          </cell>
          <cell r="D33">
            <v>2150000</v>
          </cell>
          <cell r="E33" t="str">
            <v>SWANSON</v>
          </cell>
        </row>
        <row r="34">
          <cell r="C34" t="str">
            <v>127-16</v>
          </cell>
          <cell r="D34">
            <v>2030000</v>
          </cell>
          <cell r="E34" t="str">
            <v>KILLION</v>
          </cell>
        </row>
        <row r="35">
          <cell r="C35" t="str">
            <v>122-16</v>
          </cell>
          <cell r="D35">
            <v>1090000</v>
          </cell>
          <cell r="E35" t="str">
            <v>SPECTOR</v>
          </cell>
        </row>
        <row r="36">
          <cell r="C36" t="str">
            <v>806-16</v>
          </cell>
          <cell r="D36">
            <v>1110000</v>
          </cell>
          <cell r="E36" t="str">
            <v>STARKS</v>
          </cell>
        </row>
        <row r="37">
          <cell r="C37" t="str">
            <v>129-16</v>
          </cell>
          <cell r="D37">
            <v>900000</v>
          </cell>
          <cell r="E37" t="str">
            <v>ROCHA</v>
          </cell>
        </row>
        <row r="38">
          <cell r="C38" t="str">
            <v>807-16</v>
          </cell>
          <cell r="D38">
            <v>1300000</v>
          </cell>
          <cell r="E38" t="str">
            <v>LEVIN</v>
          </cell>
        </row>
        <row r="39">
          <cell r="C39" t="str">
            <v>124-16</v>
          </cell>
          <cell r="D39">
            <v>1990000</v>
          </cell>
          <cell r="E39" t="str">
            <v>DAVIS</v>
          </cell>
        </row>
        <row r="40">
          <cell r="C40" t="str">
            <v>131-16</v>
          </cell>
          <cell r="D40">
            <v>1260000</v>
          </cell>
          <cell r="E40" t="str">
            <v>ACKERMAN</v>
          </cell>
        </row>
        <row r="41">
          <cell r="C41" t="str">
            <v>808-16</v>
          </cell>
          <cell r="D41">
            <v>1300000</v>
          </cell>
          <cell r="E41" t="str">
            <v>LEVIN</v>
          </cell>
        </row>
        <row r="42">
          <cell r="C42" t="str">
            <v>126-16</v>
          </cell>
          <cell r="D42">
            <v>2150000</v>
          </cell>
          <cell r="E42" t="str">
            <v>SWANSON</v>
          </cell>
        </row>
        <row r="43">
          <cell r="C43" t="str">
            <v>133-16</v>
          </cell>
          <cell r="D43">
            <v>1190000</v>
          </cell>
          <cell r="E43" t="str">
            <v>BRANNON</v>
          </cell>
        </row>
        <row r="44">
          <cell r="C44" t="str">
            <v>133-16</v>
          </cell>
          <cell r="D44">
            <v>1190000</v>
          </cell>
          <cell r="E44" t="str">
            <v>BRANNON</v>
          </cell>
        </row>
        <row r="45">
          <cell r="C45" t="str">
            <v>128-16</v>
          </cell>
          <cell r="D45">
            <v>2030000</v>
          </cell>
          <cell r="E45" t="str">
            <v>KILLION</v>
          </cell>
        </row>
        <row r="46">
          <cell r="C46" t="str">
            <v>809-16</v>
          </cell>
          <cell r="D46">
            <v>1110000</v>
          </cell>
          <cell r="E46" t="str">
            <v>STARKS</v>
          </cell>
        </row>
        <row r="47">
          <cell r="C47" t="str">
            <v>135-16</v>
          </cell>
          <cell r="D47">
            <v>1090000</v>
          </cell>
          <cell r="E47" t="str">
            <v>SPECTOR</v>
          </cell>
        </row>
        <row r="48">
          <cell r="C48" t="str">
            <v>135-16</v>
          </cell>
          <cell r="D48">
            <v>1090000</v>
          </cell>
          <cell r="E48" t="str">
            <v>SPECTOR</v>
          </cell>
        </row>
        <row r="49">
          <cell r="C49" t="str">
            <v>810-16</v>
          </cell>
          <cell r="D49">
            <v>1110000</v>
          </cell>
          <cell r="E49" t="str">
            <v>STARKS</v>
          </cell>
        </row>
        <row r="50">
          <cell r="C50" t="str">
            <v>137-16</v>
          </cell>
          <cell r="D50">
            <v>1990000</v>
          </cell>
          <cell r="E50" t="str">
            <v>DAVIS</v>
          </cell>
        </row>
        <row r="51">
          <cell r="C51" t="str">
            <v>130-16</v>
          </cell>
          <cell r="D51">
            <v>900000</v>
          </cell>
          <cell r="E51" t="str">
            <v>ROCHA</v>
          </cell>
        </row>
        <row r="52">
          <cell r="C52" t="str">
            <v>132-16</v>
          </cell>
          <cell r="D52">
            <v>1260000</v>
          </cell>
          <cell r="E52" t="str">
            <v>ACKERMAN</v>
          </cell>
        </row>
        <row r="53">
          <cell r="C53" t="str">
            <v>811-16</v>
          </cell>
          <cell r="D53">
            <v>1300000</v>
          </cell>
          <cell r="E53" t="str">
            <v>LEVIN</v>
          </cell>
        </row>
        <row r="54">
          <cell r="C54" t="str">
            <v>139-16</v>
          </cell>
          <cell r="D54">
            <v>2150000</v>
          </cell>
          <cell r="E54" t="str">
            <v>SWANSON</v>
          </cell>
        </row>
        <row r="55">
          <cell r="C55" t="str">
            <v>903-16</v>
          </cell>
          <cell r="D55">
            <v>1110000</v>
          </cell>
          <cell r="E55" t="str">
            <v>STARKS</v>
          </cell>
        </row>
        <row r="56">
          <cell r="C56" t="str">
            <v>812-16</v>
          </cell>
          <cell r="D56">
            <v>1300000</v>
          </cell>
          <cell r="E56" t="str">
            <v>LEVIN</v>
          </cell>
        </row>
        <row r="57">
          <cell r="C57" t="str">
            <v>134-16</v>
          </cell>
          <cell r="D57">
            <v>930000</v>
          </cell>
          <cell r="E57" t="str">
            <v>CLARK</v>
          </cell>
        </row>
        <row r="58">
          <cell r="C58" t="str">
            <v>141-16</v>
          </cell>
          <cell r="D58">
            <v>2030000</v>
          </cell>
          <cell r="E58" t="str">
            <v>KILLION</v>
          </cell>
        </row>
        <row r="59">
          <cell r="C59" t="str">
            <v>143-16</v>
          </cell>
          <cell r="D59">
            <v>1240000</v>
          </cell>
          <cell r="E59" t="str">
            <v>GRASTON</v>
          </cell>
        </row>
        <row r="60">
          <cell r="C60" t="str">
            <v>143-16</v>
          </cell>
          <cell r="D60">
            <v>1240000</v>
          </cell>
          <cell r="E60" t="str">
            <v>GRASTON</v>
          </cell>
        </row>
        <row r="61">
          <cell r="C61" t="str">
            <v>143-16</v>
          </cell>
          <cell r="D61">
            <v>1240000</v>
          </cell>
          <cell r="E61" t="str">
            <v>GRASTON</v>
          </cell>
        </row>
        <row r="62">
          <cell r="C62" t="str">
            <v>136-16</v>
          </cell>
          <cell r="D62">
            <v>1090000</v>
          </cell>
          <cell r="E62" t="str">
            <v>SPECTOR</v>
          </cell>
        </row>
        <row r="63">
          <cell r="C63" t="str">
            <v>138-16</v>
          </cell>
          <cell r="D63">
            <v>1990000</v>
          </cell>
          <cell r="E63" t="str">
            <v>DAVIS</v>
          </cell>
        </row>
        <row r="64">
          <cell r="C64" t="str">
            <v>145-16</v>
          </cell>
          <cell r="D64">
            <v>900000</v>
          </cell>
          <cell r="E64" t="str">
            <v>ROCHA</v>
          </cell>
        </row>
        <row r="65">
          <cell r="C65" t="str">
            <v>813-16</v>
          </cell>
          <cell r="D65">
            <v>1300000</v>
          </cell>
          <cell r="E65" t="str">
            <v>LEVIN</v>
          </cell>
        </row>
        <row r="66">
          <cell r="C66" t="str">
            <v>140-16</v>
          </cell>
          <cell r="D66">
            <v>2150000</v>
          </cell>
          <cell r="E66" t="str">
            <v>SWANSON</v>
          </cell>
        </row>
        <row r="67">
          <cell r="C67" t="str">
            <v>147-16</v>
          </cell>
          <cell r="D67">
            <v>1260000</v>
          </cell>
          <cell r="E67" t="str">
            <v>ACKERMAN</v>
          </cell>
        </row>
        <row r="68">
          <cell r="C68" t="str">
            <v>136-16</v>
          </cell>
          <cell r="D68">
            <v>1090000</v>
          </cell>
          <cell r="E68" t="str">
            <v>SPECTOR</v>
          </cell>
        </row>
        <row r="69">
          <cell r="C69" t="str">
            <v>814-16</v>
          </cell>
          <cell r="D69">
            <v>1300000</v>
          </cell>
          <cell r="E69" t="str">
            <v>LEVIN</v>
          </cell>
        </row>
        <row r="70">
          <cell r="C70" t="str">
            <v>147-16</v>
          </cell>
          <cell r="D70">
            <v>1260000</v>
          </cell>
          <cell r="E70" t="str">
            <v>ACKERMAN</v>
          </cell>
        </row>
        <row r="71">
          <cell r="C71" t="str">
            <v>142-16</v>
          </cell>
          <cell r="D71">
            <v>2030000</v>
          </cell>
          <cell r="E71" t="str">
            <v>KILLION</v>
          </cell>
        </row>
        <row r="72">
          <cell r="C72" t="str">
            <v>149-16</v>
          </cell>
          <cell r="D72">
            <v>930000</v>
          </cell>
          <cell r="E72" t="str">
            <v>CLARK</v>
          </cell>
        </row>
        <row r="73">
          <cell r="C73" t="str">
            <v>140-16</v>
          </cell>
          <cell r="D73">
            <v>2150000</v>
          </cell>
          <cell r="E73" t="str">
            <v>SWANSON</v>
          </cell>
        </row>
        <row r="74">
          <cell r="C74" t="str">
            <v>144-16</v>
          </cell>
          <cell r="D74">
            <v>1240000</v>
          </cell>
          <cell r="E74" t="str">
            <v>GRASTON</v>
          </cell>
        </row>
        <row r="75">
          <cell r="C75" t="str">
            <v>151-16</v>
          </cell>
          <cell r="D75">
            <v>1090000</v>
          </cell>
          <cell r="E75" t="str">
            <v>SPECTOR</v>
          </cell>
        </row>
        <row r="76">
          <cell r="C76" t="str">
            <v>144-16</v>
          </cell>
          <cell r="D76">
            <v>1240000</v>
          </cell>
          <cell r="E76" t="str">
            <v>GRASTON</v>
          </cell>
        </row>
        <row r="77">
          <cell r="C77" t="str">
            <v>146-16</v>
          </cell>
          <cell r="D77">
            <v>900000</v>
          </cell>
          <cell r="E77" t="str">
            <v>ROCHA</v>
          </cell>
        </row>
        <row r="78">
          <cell r="C78" t="str">
            <v>153-16</v>
          </cell>
          <cell r="D78">
            <v>1990000</v>
          </cell>
          <cell r="E78" t="str">
            <v>DAVIS</v>
          </cell>
        </row>
        <row r="79">
          <cell r="C79" t="str">
            <v>815-16</v>
          </cell>
          <cell r="D79">
            <v>1300000</v>
          </cell>
          <cell r="E79" t="str">
            <v>LEVIN</v>
          </cell>
        </row>
        <row r="80">
          <cell r="C80" t="str">
            <v>148-16</v>
          </cell>
          <cell r="D80">
            <v>1260000</v>
          </cell>
          <cell r="E80" t="str">
            <v>ACKERMAN</v>
          </cell>
        </row>
        <row r="81">
          <cell r="C81" t="str">
            <v>155-16</v>
          </cell>
          <cell r="D81">
            <v>1100000</v>
          </cell>
          <cell r="E81" t="str">
            <v>GEBRETEKLE</v>
          </cell>
        </row>
        <row r="82">
          <cell r="C82" t="str">
            <v>155-16</v>
          </cell>
          <cell r="D82">
            <v>1110000</v>
          </cell>
          <cell r="E82" t="str">
            <v>STARKS</v>
          </cell>
        </row>
        <row r="83">
          <cell r="C83" t="str">
            <v>146-16</v>
          </cell>
          <cell r="D83">
            <v>900000</v>
          </cell>
          <cell r="E83" t="str">
            <v>ROCHA</v>
          </cell>
        </row>
        <row r="84">
          <cell r="C84" t="str">
            <v>155-16</v>
          </cell>
          <cell r="D84">
            <v>1110000</v>
          </cell>
          <cell r="E84" t="str">
            <v>STARKS</v>
          </cell>
        </row>
        <row r="85">
          <cell r="C85" t="str">
            <v>150-16</v>
          </cell>
          <cell r="D85">
            <v>930000</v>
          </cell>
          <cell r="E85" t="str">
            <v>CLARK</v>
          </cell>
        </row>
        <row r="86">
          <cell r="C86" t="str">
            <v>816-16</v>
          </cell>
          <cell r="D86">
            <v>1300000</v>
          </cell>
          <cell r="E86" t="str">
            <v>LEVIN</v>
          </cell>
        </row>
        <row r="87">
          <cell r="C87" t="str">
            <v>157-16</v>
          </cell>
          <cell r="D87">
            <v>1240000</v>
          </cell>
          <cell r="E87" t="str">
            <v>GRASTON</v>
          </cell>
        </row>
        <row r="88">
          <cell r="C88" t="str">
            <v>152-16</v>
          </cell>
          <cell r="D88">
            <v>1090000</v>
          </cell>
          <cell r="E88" t="str">
            <v>SPECTOR</v>
          </cell>
        </row>
        <row r="89">
          <cell r="C89" t="str">
            <v>152-16</v>
          </cell>
          <cell r="D89">
            <v>1090000</v>
          </cell>
          <cell r="E89" t="str">
            <v>SPECTOR</v>
          </cell>
        </row>
        <row r="90">
          <cell r="C90" t="str">
            <v>159-16</v>
          </cell>
          <cell r="D90">
            <v>1280000</v>
          </cell>
          <cell r="E90" t="str">
            <v>BARTLETT</v>
          </cell>
        </row>
        <row r="91">
          <cell r="C91" t="str">
            <v>154-16</v>
          </cell>
          <cell r="D91">
            <v>1990000</v>
          </cell>
          <cell r="E91" t="str">
            <v>DAVIS</v>
          </cell>
        </row>
        <row r="92">
          <cell r="C92" t="str">
            <v>817-16</v>
          </cell>
          <cell r="D92">
            <v>1300000</v>
          </cell>
          <cell r="E92" t="str">
            <v>LEVIN</v>
          </cell>
        </row>
        <row r="93">
          <cell r="C93" t="str">
            <v>161-16</v>
          </cell>
          <cell r="D93">
            <v>880000</v>
          </cell>
          <cell r="E93" t="str">
            <v>STEWART</v>
          </cell>
        </row>
        <row r="94">
          <cell r="C94" t="str">
            <v>156-16</v>
          </cell>
          <cell r="D94">
            <v>1110000</v>
          </cell>
          <cell r="E94" t="str">
            <v>STARKS</v>
          </cell>
        </row>
        <row r="95">
          <cell r="C95" t="str">
            <v>158-16</v>
          </cell>
          <cell r="D95">
            <v>1240000</v>
          </cell>
          <cell r="E95" t="str">
            <v>GRASTON</v>
          </cell>
        </row>
        <row r="96">
          <cell r="C96" t="str">
            <v>163-16</v>
          </cell>
          <cell r="D96">
            <v>1540000</v>
          </cell>
          <cell r="E96" t="str">
            <v>HELVIE</v>
          </cell>
        </row>
        <row r="97">
          <cell r="C97" t="str">
            <v>818-16</v>
          </cell>
          <cell r="D97">
            <v>1300000</v>
          </cell>
          <cell r="E97" t="str">
            <v>LEVIN</v>
          </cell>
        </row>
        <row r="98">
          <cell r="C98" t="str">
            <v>160-16</v>
          </cell>
          <cell r="D98">
            <v>1280000</v>
          </cell>
          <cell r="E98" t="str">
            <v>BARTLETT</v>
          </cell>
        </row>
        <row r="99">
          <cell r="C99" t="str">
            <v>165-16</v>
          </cell>
          <cell r="D99">
            <v>2090000</v>
          </cell>
          <cell r="E99" t="str">
            <v>HAITHCOX</v>
          </cell>
        </row>
        <row r="100">
          <cell r="C100" t="str">
            <v>167-16</v>
          </cell>
          <cell r="D100">
            <v>1810000</v>
          </cell>
          <cell r="E100" t="str">
            <v>NEWELL</v>
          </cell>
        </row>
        <row r="101">
          <cell r="C101" t="str">
            <v>162-16</v>
          </cell>
          <cell r="D101">
            <v>880000</v>
          </cell>
          <cell r="E101" t="str">
            <v>STEWART</v>
          </cell>
        </row>
        <row r="102">
          <cell r="C102" t="str">
            <v>819-16</v>
          </cell>
          <cell r="D102">
            <v>1300000</v>
          </cell>
          <cell r="E102" t="str">
            <v>LEVIN</v>
          </cell>
        </row>
        <row r="103">
          <cell r="C103" t="str">
            <v>169-16</v>
          </cell>
          <cell r="D103">
            <v>1520000</v>
          </cell>
          <cell r="E103" t="str">
            <v>MAYBERRY</v>
          </cell>
        </row>
        <row r="104">
          <cell r="C104" t="str">
            <v>164-16</v>
          </cell>
          <cell r="D104">
            <v>1540000</v>
          </cell>
          <cell r="E104" t="str">
            <v>HELVIE</v>
          </cell>
        </row>
        <row r="105">
          <cell r="C105" t="str">
            <v>166-16</v>
          </cell>
          <cell r="D105">
            <v>2090000</v>
          </cell>
          <cell r="E105" t="str">
            <v>HAITHCOX</v>
          </cell>
        </row>
        <row r="106">
          <cell r="C106" t="str">
            <v>172-16</v>
          </cell>
          <cell r="D106">
            <v>1240000</v>
          </cell>
          <cell r="E106" t="str">
            <v>GRASTON</v>
          </cell>
        </row>
        <row r="107">
          <cell r="C107" t="str">
            <v>171-16</v>
          </cell>
          <cell r="D107">
            <v>1240000</v>
          </cell>
          <cell r="E107" t="str">
            <v>GRASTON</v>
          </cell>
        </row>
        <row r="108">
          <cell r="C108" t="str">
            <v>820-16</v>
          </cell>
          <cell r="D108">
            <v>1300000</v>
          </cell>
          <cell r="E108" t="str">
            <v>LEVIN</v>
          </cell>
        </row>
        <row r="109">
          <cell r="C109" t="str">
            <v>173-16</v>
          </cell>
          <cell r="D109">
            <v>1280000</v>
          </cell>
          <cell r="E109" t="str">
            <v>BARTLETT</v>
          </cell>
        </row>
        <row r="110">
          <cell r="C110" t="str">
            <v>168-16</v>
          </cell>
          <cell r="D110">
            <v>1810000</v>
          </cell>
          <cell r="E110" t="str">
            <v>NEWELL</v>
          </cell>
        </row>
        <row r="111">
          <cell r="C111" t="str">
            <v>175-16</v>
          </cell>
          <cell r="D111">
            <v>880000</v>
          </cell>
          <cell r="E111" t="str">
            <v>STEWART</v>
          </cell>
        </row>
        <row r="112">
          <cell r="C112" t="str">
            <v>170-16</v>
          </cell>
          <cell r="D112">
            <v>1520000</v>
          </cell>
          <cell r="E112" t="str">
            <v>MAYBERRY</v>
          </cell>
        </row>
        <row r="113">
          <cell r="C113" t="str">
            <v>821-16</v>
          </cell>
          <cell r="D113">
            <v>1770000</v>
          </cell>
          <cell r="E113" t="str">
            <v>BRUDER</v>
          </cell>
        </row>
        <row r="114">
          <cell r="C114" t="str">
            <v>177-16</v>
          </cell>
          <cell r="D114">
            <v>1540000</v>
          </cell>
          <cell r="E114" t="str">
            <v>HELVIE</v>
          </cell>
        </row>
        <row r="115">
          <cell r="C115" t="str">
            <v>168-16</v>
          </cell>
          <cell r="D115">
            <v>1810000</v>
          </cell>
          <cell r="E115" t="str">
            <v>NEWELL</v>
          </cell>
        </row>
        <row r="116">
          <cell r="C116" t="str">
            <v>172-16</v>
          </cell>
          <cell r="D116">
            <v>1240000</v>
          </cell>
          <cell r="E116" t="str">
            <v>GRASTON</v>
          </cell>
        </row>
        <row r="117">
          <cell r="C117" t="str">
            <v>179-16</v>
          </cell>
          <cell r="D117">
            <v>2090000</v>
          </cell>
          <cell r="E117" t="str">
            <v>HAITHCOX</v>
          </cell>
        </row>
        <row r="118">
          <cell r="C118" t="str">
            <v>822-16</v>
          </cell>
          <cell r="D118">
            <v>1770000</v>
          </cell>
          <cell r="E118" t="str">
            <v>BRUDER</v>
          </cell>
        </row>
        <row r="119">
          <cell r="C119" t="str">
            <v>174-16</v>
          </cell>
          <cell r="D119">
            <v>1280000</v>
          </cell>
          <cell r="E119" t="str">
            <v>BARTLETT</v>
          </cell>
        </row>
        <row r="120">
          <cell r="C120" t="str">
            <v>181-16</v>
          </cell>
          <cell r="D120">
            <v>1810000</v>
          </cell>
          <cell r="E120" t="str">
            <v>NEWELL</v>
          </cell>
        </row>
        <row r="121">
          <cell r="C121" t="str">
            <v>176-16</v>
          </cell>
          <cell r="D121">
            <v>880000</v>
          </cell>
          <cell r="E121" t="str">
            <v>STEWART</v>
          </cell>
        </row>
        <row r="122">
          <cell r="C122" t="str">
            <v>178-16</v>
          </cell>
          <cell r="D122">
            <v>1540000</v>
          </cell>
          <cell r="E122" t="str">
            <v>HELVIE</v>
          </cell>
        </row>
        <row r="123">
          <cell r="C123" t="str">
            <v>183-16</v>
          </cell>
          <cell r="D123">
            <v>1520000</v>
          </cell>
          <cell r="E123" t="str">
            <v>MAYBERRY</v>
          </cell>
        </row>
        <row r="124">
          <cell r="C124" t="str">
            <v>185-16</v>
          </cell>
          <cell r="D124">
            <v>1240000</v>
          </cell>
          <cell r="E124" t="str">
            <v>GRASTON</v>
          </cell>
        </row>
        <row r="125">
          <cell r="C125" t="str">
            <v>823-16</v>
          </cell>
          <cell r="D125">
            <v>1770000</v>
          </cell>
          <cell r="E125" t="str">
            <v>BRUDER</v>
          </cell>
        </row>
        <row r="126">
          <cell r="C126" t="str">
            <v>180-16</v>
          </cell>
          <cell r="D126">
            <v>2090000</v>
          </cell>
          <cell r="E126" t="str">
            <v>HAITHCOX</v>
          </cell>
        </row>
        <row r="127">
          <cell r="C127" t="str">
            <v>182-16</v>
          </cell>
          <cell r="D127">
            <v>1810000</v>
          </cell>
          <cell r="E127" t="str">
            <v>NEWELL</v>
          </cell>
        </row>
        <row r="128">
          <cell r="C128" t="str">
            <v>187-16</v>
          </cell>
          <cell r="D128">
            <v>1280000</v>
          </cell>
          <cell r="E128" t="str">
            <v>BARTLETT</v>
          </cell>
        </row>
        <row r="129">
          <cell r="C129" t="str">
            <v>824-16</v>
          </cell>
          <cell r="D129">
            <v>1770000</v>
          </cell>
          <cell r="E129" t="str">
            <v>BRUDER</v>
          </cell>
        </row>
        <row r="130">
          <cell r="C130" t="str">
            <v>189-16</v>
          </cell>
          <cell r="D130">
            <v>880000</v>
          </cell>
          <cell r="E130" t="str">
            <v>STEWART</v>
          </cell>
        </row>
        <row r="131">
          <cell r="C131" t="str">
            <v>184-16</v>
          </cell>
          <cell r="D131">
            <v>1520000</v>
          </cell>
          <cell r="E131" t="str">
            <v>MAYBERRY</v>
          </cell>
        </row>
        <row r="132">
          <cell r="C132" t="str">
            <v>191-16</v>
          </cell>
          <cell r="D132">
            <v>1540000</v>
          </cell>
          <cell r="E132" t="str">
            <v>HELVIE</v>
          </cell>
        </row>
        <row r="133">
          <cell r="C133" t="str">
            <v>193-16</v>
          </cell>
          <cell r="D133">
            <v>2090000</v>
          </cell>
          <cell r="E133" t="str">
            <v>HAITHCOX</v>
          </cell>
        </row>
        <row r="134">
          <cell r="C134" t="str">
            <v>186-16</v>
          </cell>
          <cell r="D134">
            <v>1240000</v>
          </cell>
          <cell r="E134" t="str">
            <v>GRASTON</v>
          </cell>
        </row>
        <row r="135">
          <cell r="C135" t="str">
            <v>825-16</v>
          </cell>
          <cell r="D135">
            <v>1770000</v>
          </cell>
          <cell r="E135" t="str">
            <v>BRUDER</v>
          </cell>
        </row>
        <row r="136">
          <cell r="C136" t="str">
            <v>188-16</v>
          </cell>
          <cell r="D136">
            <v>1280000</v>
          </cell>
          <cell r="E136" t="str">
            <v>BARTLETT</v>
          </cell>
        </row>
        <row r="137">
          <cell r="C137" t="str">
            <v>195-16</v>
          </cell>
          <cell r="D137">
            <v>1810000</v>
          </cell>
          <cell r="E137" t="str">
            <v>NEWELL</v>
          </cell>
        </row>
        <row r="138">
          <cell r="C138" t="str">
            <v>904-16</v>
          </cell>
          <cell r="D138">
            <v>1480000</v>
          </cell>
          <cell r="E138" t="str">
            <v>STURGEON</v>
          </cell>
        </row>
        <row r="139">
          <cell r="C139" t="str">
            <v>190-16</v>
          </cell>
          <cell r="D139">
            <v>880000</v>
          </cell>
          <cell r="E139" t="str">
            <v>STEWART</v>
          </cell>
        </row>
        <row r="140">
          <cell r="C140" t="str">
            <v>826-16</v>
          </cell>
          <cell r="D140">
            <v>1770000</v>
          </cell>
          <cell r="E140" t="str">
            <v>BRUDER</v>
          </cell>
        </row>
        <row r="141">
          <cell r="C141" t="str">
            <v>192-16</v>
          </cell>
          <cell r="D141">
            <v>1540000</v>
          </cell>
          <cell r="E141" t="str">
            <v>HELVIE</v>
          </cell>
        </row>
        <row r="142">
          <cell r="C142" t="str">
            <v>198-16</v>
          </cell>
          <cell r="D142">
            <v>1520000</v>
          </cell>
          <cell r="E142" t="str">
            <v>MAYBERRY</v>
          </cell>
        </row>
        <row r="143">
          <cell r="C143" t="str">
            <v>197-16</v>
          </cell>
          <cell r="D143">
            <v>1520000</v>
          </cell>
          <cell r="E143" t="str">
            <v>MAYBERRY</v>
          </cell>
        </row>
        <row r="144">
          <cell r="C144" t="str">
            <v>827-16</v>
          </cell>
          <cell r="D144">
            <v>1480000</v>
          </cell>
          <cell r="E144" t="str">
            <v>STURGEON</v>
          </cell>
        </row>
        <row r="145">
          <cell r="C145" t="str">
            <v>186-16</v>
          </cell>
          <cell r="D145">
            <v>1240000</v>
          </cell>
          <cell r="E145" t="str">
            <v>GRASTON</v>
          </cell>
        </row>
        <row r="146">
          <cell r="C146" t="str">
            <v>199-16</v>
          </cell>
          <cell r="D146">
            <v>2140000</v>
          </cell>
          <cell r="E146" t="str">
            <v>ROBINSON</v>
          </cell>
        </row>
        <row r="147">
          <cell r="C147" t="str">
            <v>194-16</v>
          </cell>
          <cell r="D147">
            <v>2090000</v>
          </cell>
          <cell r="E147" t="str">
            <v>HAITHCOX</v>
          </cell>
        </row>
        <row r="148">
          <cell r="C148" t="str">
            <v>201-16</v>
          </cell>
          <cell r="D148">
            <v>1280000</v>
          </cell>
          <cell r="E148" t="str">
            <v>BARTLETT</v>
          </cell>
        </row>
        <row r="149">
          <cell r="C149" t="str">
            <v>196-16</v>
          </cell>
          <cell r="D149">
            <v>1810000</v>
          </cell>
          <cell r="E149" t="str">
            <v>NEWELL</v>
          </cell>
        </row>
        <row r="150">
          <cell r="C150" t="str">
            <v>192-16</v>
          </cell>
          <cell r="D150">
            <v>1540000</v>
          </cell>
          <cell r="E150" t="str">
            <v>HELVIE</v>
          </cell>
        </row>
        <row r="151">
          <cell r="C151" t="str">
            <v>829-16</v>
          </cell>
          <cell r="D151">
            <v>1770000</v>
          </cell>
          <cell r="E151" t="str">
            <v>BRUDER</v>
          </cell>
        </row>
        <row r="152">
          <cell r="C152" t="str">
            <v>828-16</v>
          </cell>
          <cell r="D152">
            <v>1480000</v>
          </cell>
          <cell r="E152" t="str">
            <v>STURGEON</v>
          </cell>
        </row>
        <row r="153">
          <cell r="C153" t="str">
            <v>203-16</v>
          </cell>
          <cell r="D153">
            <v>880000</v>
          </cell>
          <cell r="E153" t="str">
            <v>STEWART</v>
          </cell>
        </row>
        <row r="154">
          <cell r="C154" t="str">
            <v>198-16</v>
          </cell>
          <cell r="D154">
            <v>1520000</v>
          </cell>
          <cell r="E154" t="str">
            <v>MAYBERRY</v>
          </cell>
        </row>
        <row r="155">
          <cell r="C155" t="str">
            <v>830-16</v>
          </cell>
          <cell r="D155">
            <v>1770000</v>
          </cell>
          <cell r="E155" t="str">
            <v>BRUDER</v>
          </cell>
        </row>
        <row r="156">
          <cell r="C156" t="str">
            <v>831-16</v>
          </cell>
          <cell r="D156">
            <v>1480000</v>
          </cell>
          <cell r="E156" t="str">
            <v>STURGEON</v>
          </cell>
        </row>
        <row r="157">
          <cell r="C157" t="str">
            <v>205-16</v>
          </cell>
          <cell r="D157">
            <v>1540000</v>
          </cell>
          <cell r="E157" t="str">
            <v>HELVIE</v>
          </cell>
        </row>
        <row r="158">
          <cell r="C158" t="str">
            <v>52-16</v>
          </cell>
          <cell r="D158">
            <v>2110000</v>
          </cell>
          <cell r="E158" t="str">
            <v>OUN</v>
          </cell>
        </row>
        <row r="159">
          <cell r="C159" t="str">
            <v>207-16</v>
          </cell>
          <cell r="D159">
            <v>2090000</v>
          </cell>
          <cell r="E159" t="str">
            <v>HAITHCOX</v>
          </cell>
        </row>
        <row r="160">
          <cell r="C160" t="str">
            <v>200-16</v>
          </cell>
          <cell r="D160">
            <v>2140000</v>
          </cell>
          <cell r="E160" t="str">
            <v>ROBINSON</v>
          </cell>
        </row>
        <row r="161">
          <cell r="C161" t="str">
            <v>202-16</v>
          </cell>
          <cell r="D161">
            <v>1280000</v>
          </cell>
          <cell r="E161" t="str">
            <v>BARTLETT</v>
          </cell>
        </row>
        <row r="162">
          <cell r="C162" t="str">
            <v>832-16</v>
          </cell>
          <cell r="D162">
            <v>1480000</v>
          </cell>
          <cell r="E162" t="str">
            <v>STURGEON</v>
          </cell>
        </row>
        <row r="163">
          <cell r="C163" t="str">
            <v>833-16</v>
          </cell>
          <cell r="D163">
            <v>1770000</v>
          </cell>
          <cell r="E163" t="str">
            <v>BRUDER</v>
          </cell>
        </row>
        <row r="164">
          <cell r="C164" t="str">
            <v>209-16</v>
          </cell>
          <cell r="D164">
            <v>2110000</v>
          </cell>
          <cell r="E164" t="str">
            <v>OUN</v>
          </cell>
        </row>
        <row r="165">
          <cell r="C165" t="str">
            <v>204-16</v>
          </cell>
          <cell r="D165">
            <v>880000</v>
          </cell>
          <cell r="E165" t="str">
            <v>STEWART</v>
          </cell>
        </row>
        <row r="166">
          <cell r="C166" t="str">
            <v>211-16</v>
          </cell>
          <cell r="D166">
            <v>1810000</v>
          </cell>
          <cell r="E166" t="str">
            <v>NEWELL</v>
          </cell>
        </row>
        <row r="167">
          <cell r="C167" t="str">
            <v>206-16</v>
          </cell>
          <cell r="D167">
            <v>1540000</v>
          </cell>
          <cell r="E167" t="str">
            <v>HELVIE</v>
          </cell>
        </row>
        <row r="168">
          <cell r="C168" t="str">
            <v>834-16</v>
          </cell>
          <cell r="D168">
            <v>1770000</v>
          </cell>
          <cell r="E168" t="str">
            <v>BRUDER</v>
          </cell>
        </row>
        <row r="169">
          <cell r="C169" t="str">
            <v>213-16</v>
          </cell>
          <cell r="D169">
            <v>1740000</v>
          </cell>
          <cell r="E169" t="str">
            <v>STORY</v>
          </cell>
        </row>
        <row r="170">
          <cell r="C170" t="str">
            <v>832-16</v>
          </cell>
          <cell r="D170">
            <v>1480000</v>
          </cell>
          <cell r="E170" t="str">
            <v>STURGEON</v>
          </cell>
        </row>
        <row r="171">
          <cell r="C171" t="str">
            <v>835-16</v>
          </cell>
          <cell r="D171">
            <v>1480000</v>
          </cell>
          <cell r="E171" t="str">
            <v>STURGEON</v>
          </cell>
        </row>
        <row r="172">
          <cell r="C172" t="str">
            <v>204-16</v>
          </cell>
          <cell r="D172">
            <v>880000</v>
          </cell>
          <cell r="E172" t="str">
            <v>STEWART</v>
          </cell>
        </row>
        <row r="173">
          <cell r="C173" t="str">
            <v>208-16</v>
          </cell>
          <cell r="D173">
            <v>2090000</v>
          </cell>
          <cell r="E173" t="str">
            <v>HAITHCOX</v>
          </cell>
        </row>
        <row r="174">
          <cell r="C174" t="str">
            <v>219-16</v>
          </cell>
          <cell r="D174">
            <v>1800000</v>
          </cell>
          <cell r="E174" t="str">
            <v>CHANDLER</v>
          </cell>
        </row>
        <row r="175">
          <cell r="C175" t="str">
            <v>206-16</v>
          </cell>
          <cell r="D175">
            <v>1540000</v>
          </cell>
          <cell r="E175" t="str">
            <v>HELVIE</v>
          </cell>
        </row>
        <row r="176">
          <cell r="C176" t="str">
            <v>219-16</v>
          </cell>
          <cell r="D176">
            <v>1800000</v>
          </cell>
          <cell r="E176" t="str">
            <v>CHANDLER</v>
          </cell>
        </row>
        <row r="177">
          <cell r="C177" t="str">
            <v>215-16</v>
          </cell>
          <cell r="D177">
            <v>2140000</v>
          </cell>
          <cell r="E177" t="str">
            <v>ROBINSON</v>
          </cell>
        </row>
        <row r="178">
          <cell r="C178" t="str">
            <v>210-16</v>
          </cell>
          <cell r="D178">
            <v>2110000</v>
          </cell>
          <cell r="E178" t="str">
            <v>OUN</v>
          </cell>
        </row>
        <row r="179">
          <cell r="C179" t="str">
            <v>836-16</v>
          </cell>
          <cell r="D179">
            <v>1480000</v>
          </cell>
          <cell r="E179" t="str">
            <v>STURGEON</v>
          </cell>
        </row>
        <row r="180">
          <cell r="C180" t="str">
            <v>837-16</v>
          </cell>
          <cell r="D180">
            <v>1770000</v>
          </cell>
          <cell r="E180" t="str">
            <v>BRUDER</v>
          </cell>
        </row>
        <row r="181">
          <cell r="C181" t="str">
            <v>212-16</v>
          </cell>
          <cell r="D181">
            <v>1810000</v>
          </cell>
          <cell r="E181" t="str">
            <v>NEWELL</v>
          </cell>
        </row>
        <row r="182">
          <cell r="C182" t="str">
            <v>217-16</v>
          </cell>
          <cell r="D182">
            <v>2100000</v>
          </cell>
          <cell r="E182" t="str">
            <v>ISHMAEL</v>
          </cell>
        </row>
        <row r="183">
          <cell r="C183" t="str">
            <v>219-16</v>
          </cell>
          <cell r="D183">
            <v>1800000</v>
          </cell>
          <cell r="E183" t="str">
            <v>CHANDLER</v>
          </cell>
        </row>
        <row r="184">
          <cell r="C184" t="str">
            <v>839-16</v>
          </cell>
          <cell r="D184">
            <v>1480000</v>
          </cell>
          <cell r="E184" t="str">
            <v>STURGEON</v>
          </cell>
        </row>
        <row r="185">
          <cell r="C185" t="str">
            <v>214-16</v>
          </cell>
          <cell r="D185">
            <v>1740000</v>
          </cell>
          <cell r="E185" t="str">
            <v>STORY</v>
          </cell>
        </row>
        <row r="186">
          <cell r="C186" t="str">
            <v>838-16</v>
          </cell>
          <cell r="D186">
            <v>1770000</v>
          </cell>
          <cell r="E186" t="str">
            <v>BRUDER</v>
          </cell>
        </row>
        <row r="187">
          <cell r="C187" t="str">
            <v>303-16</v>
          </cell>
          <cell r="D187">
            <v>2090000</v>
          </cell>
          <cell r="E187" t="str">
            <v>HAITHCOX</v>
          </cell>
        </row>
        <row r="188">
          <cell r="C188" t="str">
            <v>215-16</v>
          </cell>
          <cell r="D188">
            <v>2140000</v>
          </cell>
          <cell r="E188" t="str">
            <v>ROBINSON</v>
          </cell>
        </row>
        <row r="189">
          <cell r="C189" t="str">
            <v>215-16</v>
          </cell>
          <cell r="D189">
            <v>2140000</v>
          </cell>
          <cell r="E189" t="str">
            <v>ROBINSON</v>
          </cell>
        </row>
        <row r="190">
          <cell r="C190" t="str">
            <v>216-16</v>
          </cell>
          <cell r="D190">
            <v>2140000</v>
          </cell>
          <cell r="E190" t="str">
            <v>ROBINSON</v>
          </cell>
        </row>
        <row r="191">
          <cell r="C191" t="str">
            <v>221-16</v>
          </cell>
          <cell r="D191">
            <v>2110000</v>
          </cell>
          <cell r="E191" t="str">
            <v>OUN</v>
          </cell>
        </row>
        <row r="192">
          <cell r="C192" t="str">
            <v>218-16</v>
          </cell>
          <cell r="D192">
            <v>2100000</v>
          </cell>
          <cell r="E192" t="str">
            <v>ISHMAEL</v>
          </cell>
        </row>
        <row r="193">
          <cell r="C193" t="str">
            <v>906-16</v>
          </cell>
          <cell r="D193">
            <v>1480000</v>
          </cell>
          <cell r="E193" t="str">
            <v>STURGEON</v>
          </cell>
        </row>
        <row r="194">
          <cell r="C194" t="str">
            <v>841-16</v>
          </cell>
          <cell r="D194">
            <v>1770000</v>
          </cell>
          <cell r="E194" t="str">
            <v>BRUDER</v>
          </cell>
        </row>
        <row r="195">
          <cell r="C195" t="str">
            <v>220-16</v>
          </cell>
          <cell r="D195">
            <v>1800000</v>
          </cell>
          <cell r="E195" t="str">
            <v>CHANDLER</v>
          </cell>
        </row>
        <row r="196">
          <cell r="C196" t="str">
            <v>223-16</v>
          </cell>
          <cell r="D196">
            <v>1740000</v>
          </cell>
          <cell r="E196" t="str">
            <v>STORY</v>
          </cell>
        </row>
        <row r="197">
          <cell r="C197" t="str">
            <v>840-16</v>
          </cell>
          <cell r="D197">
            <v>1770000</v>
          </cell>
          <cell r="E197" t="str">
            <v>BRUDER</v>
          </cell>
        </row>
        <row r="198">
          <cell r="C198" t="str">
            <v>307-16</v>
          </cell>
          <cell r="D198">
            <v>2140000</v>
          </cell>
          <cell r="E198" t="str">
            <v>ROBINSON</v>
          </cell>
        </row>
        <row r="199">
          <cell r="C199" t="str">
            <v>222-16</v>
          </cell>
          <cell r="D199">
            <v>2110000</v>
          </cell>
          <cell r="E199" t="str">
            <v>OUN</v>
          </cell>
        </row>
        <row r="200">
          <cell r="C200" t="str">
            <v>225-16</v>
          </cell>
          <cell r="D200">
            <v>2100000</v>
          </cell>
          <cell r="E200" t="str">
            <v>ISHMAEL</v>
          </cell>
        </row>
        <row r="201">
          <cell r="C201" t="str">
            <v>843-16</v>
          </cell>
          <cell r="D201">
            <v>1770000</v>
          </cell>
          <cell r="E201" t="str">
            <v>BRUDER</v>
          </cell>
        </row>
        <row r="202">
          <cell r="C202" t="str">
            <v>224-16</v>
          </cell>
          <cell r="D202">
            <v>1740000</v>
          </cell>
          <cell r="E202" t="str">
            <v>STORY</v>
          </cell>
        </row>
        <row r="203">
          <cell r="C203" t="str">
            <v>227-16</v>
          </cell>
          <cell r="D203">
            <v>1800000</v>
          </cell>
          <cell r="E203" t="str">
            <v>CHANDLER</v>
          </cell>
        </row>
        <row r="204">
          <cell r="C204" t="str">
            <v>842-16</v>
          </cell>
          <cell r="D204">
            <v>1770000</v>
          </cell>
          <cell r="E204" t="str">
            <v>BRUDER</v>
          </cell>
        </row>
        <row r="205">
          <cell r="C205" t="str">
            <v>226-16</v>
          </cell>
          <cell r="D205">
            <v>2100000</v>
          </cell>
          <cell r="E205" t="str">
            <v>ISHMAEL</v>
          </cell>
        </row>
        <row r="206">
          <cell r="C206" t="str">
            <v>229-16</v>
          </cell>
          <cell r="D206">
            <v>2110000</v>
          </cell>
          <cell r="E206" t="str">
            <v>OUN</v>
          </cell>
        </row>
        <row r="207">
          <cell r="C207" t="str">
            <v>845-16</v>
          </cell>
          <cell r="D207">
            <v>1480000</v>
          </cell>
          <cell r="E207" t="str">
            <v>STURGEON</v>
          </cell>
        </row>
        <row r="208">
          <cell r="C208" t="str">
            <v>231-16</v>
          </cell>
          <cell r="D208">
            <v>1740000</v>
          </cell>
          <cell r="E208" t="str">
            <v>STORY</v>
          </cell>
        </row>
        <row r="209">
          <cell r="C209" t="str">
            <v>228-16</v>
          </cell>
          <cell r="D209">
            <v>1800000</v>
          </cell>
          <cell r="E209" t="str">
            <v>CHANDLER</v>
          </cell>
        </row>
        <row r="210">
          <cell r="C210" t="str">
            <v>844-16</v>
          </cell>
          <cell r="D210">
            <v>1480000</v>
          </cell>
          <cell r="E210" t="str">
            <v>STURGEON</v>
          </cell>
        </row>
        <row r="211">
          <cell r="C211" t="str">
            <v>230-16</v>
          </cell>
          <cell r="D211">
            <v>2110000</v>
          </cell>
          <cell r="E211" t="str">
            <v>OUN</v>
          </cell>
        </row>
        <row r="212">
          <cell r="C212" t="str">
            <v>233-16</v>
          </cell>
          <cell r="D212">
            <v>2100000</v>
          </cell>
          <cell r="E212" t="str">
            <v>ISHMAEL</v>
          </cell>
        </row>
        <row r="213">
          <cell r="C213" t="str">
            <v>CUSH-16</v>
          </cell>
          <cell r="D213">
            <v>1200000</v>
          </cell>
          <cell r="E213" t="str">
            <v>CUSHING</v>
          </cell>
        </row>
        <row r="214">
          <cell r="C214" t="str">
            <v>847-16</v>
          </cell>
          <cell r="D214">
            <v>1480000</v>
          </cell>
          <cell r="E214" t="str">
            <v>STURGEON</v>
          </cell>
        </row>
        <row r="215">
          <cell r="C215" t="str">
            <v>232-16</v>
          </cell>
          <cell r="D215">
            <v>1740000</v>
          </cell>
          <cell r="E215" t="str">
            <v>STORY</v>
          </cell>
        </row>
        <row r="216">
          <cell r="C216" t="str">
            <v>236-16</v>
          </cell>
          <cell r="D216">
            <v>1800000</v>
          </cell>
          <cell r="E216" t="str">
            <v>CHANDLER</v>
          </cell>
        </row>
        <row r="217">
          <cell r="C217" t="str">
            <v>235-16</v>
          </cell>
          <cell r="D217">
            <v>1800000</v>
          </cell>
          <cell r="E217" t="str">
            <v>CHANDLER</v>
          </cell>
        </row>
        <row r="218">
          <cell r="C218" t="str">
            <v>908-16</v>
          </cell>
          <cell r="D218">
            <v>1480000</v>
          </cell>
          <cell r="E218" t="str">
            <v>STURGEON</v>
          </cell>
        </row>
        <row r="219">
          <cell r="C219" t="str">
            <v>234-16</v>
          </cell>
          <cell r="D219">
            <v>1200000</v>
          </cell>
          <cell r="E219" t="str">
            <v>CUSHING</v>
          </cell>
        </row>
        <row r="220">
          <cell r="C220" t="str">
            <v>237-16</v>
          </cell>
          <cell r="D220">
            <v>2110000</v>
          </cell>
          <cell r="E220" t="str">
            <v>OUN</v>
          </cell>
        </row>
        <row r="221">
          <cell r="C221" t="str">
            <v>236-16</v>
          </cell>
          <cell r="D221">
            <v>1800000</v>
          </cell>
          <cell r="E221" t="str">
            <v>CHANDLER</v>
          </cell>
        </row>
        <row r="222">
          <cell r="C222" t="str">
            <v>239-16</v>
          </cell>
          <cell r="D222">
            <v>1740000</v>
          </cell>
          <cell r="E222" t="str">
            <v>STORY</v>
          </cell>
        </row>
        <row r="223">
          <cell r="C223" t="str">
            <v>238-16</v>
          </cell>
          <cell r="D223">
            <v>2110000</v>
          </cell>
          <cell r="E223" t="str">
            <v>OUN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101-17</v>
          </cell>
          <cell r="B13">
            <v>4002</v>
          </cell>
          <cell r="C13" t="str">
            <v>DE.1.0.7.0</v>
          </cell>
          <cell r="D13" t="str">
            <v>204:737</v>
          </cell>
          <cell r="E13">
            <v>42599.130300925928</v>
          </cell>
          <cell r="F13">
            <v>42599.1325</v>
          </cell>
          <cell r="G13">
            <v>3</v>
          </cell>
          <cell r="H13" t="str">
            <v>204:233322</v>
          </cell>
          <cell r="I13">
            <v>42599.162256944444</v>
          </cell>
          <cell r="J13">
            <v>0</v>
          </cell>
          <cell r="K13" t="str">
            <v>4001/4002</v>
          </cell>
          <cell r="L13" t="str">
            <v>MAELZER</v>
          </cell>
          <cell r="M13">
            <v>2.9756944444670808E-2</v>
          </cell>
          <cell r="N13">
            <v>42.850000000325963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https://search-rtdc-monitor-bjffxe2xuh6vdkpspy63sjmuny.us-east-1.es.amazonaws.com/_plugin/kibana/#/discover/Steve-Slow-Train-Analysis-(2080s-and-2083s)?_g=(refreshInterval:(display:Off,section:0,value:0),time:(from:'2016-08-17 02:07:38-0600',mode:absolute,to:'2016-08-17 04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3" t="str">
            <v>N</v>
          </cell>
          <cell r="X13" t="e">
            <v>#VALUE!</v>
          </cell>
          <cell r="Y13">
            <v>7.3700000000000002E-2</v>
          </cell>
          <cell r="Z13">
            <v>23.3322</v>
          </cell>
          <cell r="AA13">
            <v>23.258500000000002</v>
          </cell>
          <cell r="AB13" t="e">
            <v>#N/A</v>
          </cell>
          <cell r="AC13" t="e">
            <v>#N/A</v>
          </cell>
          <cell r="AD13" t="str">
            <v>0101-17</v>
          </cell>
          <cell r="AE1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4">
          <cell r="A14" t="str">
            <v>102-17</v>
          </cell>
          <cell r="B14">
            <v>4028</v>
          </cell>
          <cell r="C14" t="str">
            <v>DE.1.0.7.0</v>
          </cell>
          <cell r="D14" t="str">
            <v>204:232689</v>
          </cell>
          <cell r="E14">
            <v>42599.167731481481</v>
          </cell>
          <cell r="F14">
            <v>42599.168692129628</v>
          </cell>
          <cell r="G14">
            <v>1</v>
          </cell>
          <cell r="H14" t="str">
            <v>204:125</v>
          </cell>
          <cell r="I14">
            <v>42599.214166666665</v>
          </cell>
          <cell r="J14">
            <v>0</v>
          </cell>
          <cell r="K14" t="str">
            <v>4027/4028</v>
          </cell>
          <cell r="L14" t="str">
            <v>MAELZER</v>
          </cell>
          <cell r="M14">
            <v>4.5474537037080154E-2</v>
          </cell>
          <cell r="N14">
            <v>65.483333333395422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https://search-rtdc-monitor-bjffxe2xuh6vdkpspy63sjmuny.us-east-1.es.amazonaws.com/_plugin/kibana/#/discover/Steve-Slow-Train-Analysis-(2080s-and-2083s)?_g=(refreshInterval:(display:Off,section:0,value:0),time:(from:'2016-08-17 03:01:32-0600',mode:absolute,to:'2016-08-17 06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" t="str">
            <v>N</v>
          </cell>
          <cell r="X14">
            <v>1</v>
          </cell>
          <cell r="Y14">
            <v>23.268899999999999</v>
          </cell>
          <cell r="Z14">
            <v>1.2500000000000001E-2</v>
          </cell>
          <cell r="AA14">
            <v>23.256399999999999</v>
          </cell>
          <cell r="AB14" t="e">
            <v>#N/A</v>
          </cell>
          <cell r="AC14" t="e">
            <v>#N/A</v>
          </cell>
          <cell r="AD14" t="str">
            <v>0102-17</v>
          </cell>
          <cell r="AE1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5">
          <cell r="A15" t="str">
            <v>103-17</v>
          </cell>
          <cell r="B15">
            <v>4018</v>
          </cell>
          <cell r="C15" t="str">
            <v>DE.1.0.7.0</v>
          </cell>
          <cell r="D15" t="str">
            <v>204:750</v>
          </cell>
          <cell r="E15">
            <v>42599.155381944445</v>
          </cell>
          <cell r="F15">
            <v>42599.156550925924</v>
          </cell>
          <cell r="G15">
            <v>1</v>
          </cell>
          <cell r="H15" t="str">
            <v>204:233291</v>
          </cell>
          <cell r="I15">
            <v>42599.18408564815</v>
          </cell>
          <cell r="J15">
            <v>0</v>
          </cell>
          <cell r="K15" t="str">
            <v>4017/4018</v>
          </cell>
          <cell r="L15" t="str">
            <v>ACKERMAN</v>
          </cell>
          <cell r="M15">
            <v>2.7534722226846498E-2</v>
          </cell>
          <cell r="N15">
            <v>39.650000006658956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5" t="str">
            <v>N</v>
          </cell>
          <cell r="X15">
            <v>1</v>
          </cell>
          <cell r="Y15">
            <v>7.4999999999999997E-2</v>
          </cell>
          <cell r="Z15">
            <v>23.3291</v>
          </cell>
          <cell r="AA15">
            <v>23.254100000000001</v>
          </cell>
          <cell r="AB15" t="e">
            <v>#N/A</v>
          </cell>
          <cell r="AC15" t="e">
            <v>#N/A</v>
          </cell>
          <cell r="AD15" t="str">
            <v>0103-17</v>
          </cell>
          <cell r="AE15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6">
          <cell r="A16" t="str">
            <v>104-17</v>
          </cell>
          <cell r="B16">
            <v>4026</v>
          </cell>
          <cell r="C16" t="str">
            <v>DE.1.0.7.0</v>
          </cell>
          <cell r="D16" t="str">
            <v>204:232652</v>
          </cell>
          <cell r="E16">
            <v>42599.189791666664</v>
          </cell>
          <cell r="F16">
            <v>42599.191087962965</v>
          </cell>
          <cell r="G16">
            <v>1</v>
          </cell>
          <cell r="H16" t="str">
            <v>204:136</v>
          </cell>
          <cell r="I16">
            <v>42599.236655092594</v>
          </cell>
          <cell r="J16">
            <v>0</v>
          </cell>
          <cell r="K16" t="str">
            <v>4025/4026</v>
          </cell>
          <cell r="L16" t="str">
            <v>ACKERMAN</v>
          </cell>
          <cell r="M16">
            <v>4.55671296294895E-2</v>
          </cell>
          <cell r="N16">
            <v>65.61666666646488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" t="str">
            <v>N</v>
          </cell>
          <cell r="X16">
            <v>1</v>
          </cell>
          <cell r="Y16">
            <v>23.2652</v>
          </cell>
          <cell r="Z16">
            <v>1.3599999999999999E-2</v>
          </cell>
          <cell r="AA16">
            <v>23.2516</v>
          </cell>
          <cell r="AB16">
            <v>103800</v>
          </cell>
          <cell r="AC16" t="str">
            <v>GRADE CROSSING</v>
          </cell>
          <cell r="AD16" t="str">
            <v>0104-17</v>
          </cell>
          <cell r="AE16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7">
          <cell r="A17" t="str">
            <v>105-17</v>
          </cell>
          <cell r="B17">
            <v>4009</v>
          </cell>
          <cell r="C17" t="str">
            <v>DE.1.0.7.0</v>
          </cell>
          <cell r="D17" t="str">
            <v>204:832</v>
          </cell>
          <cell r="E17">
            <v>42599.172361111108</v>
          </cell>
          <cell r="F17">
            <v>42599.173784722225</v>
          </cell>
          <cell r="G17">
            <v>2</v>
          </cell>
          <cell r="H17" t="str">
            <v>204:233288</v>
          </cell>
          <cell r="I17">
            <v>42599.204641203702</v>
          </cell>
          <cell r="J17">
            <v>0</v>
          </cell>
          <cell r="K17" t="str">
            <v>4009/4010</v>
          </cell>
          <cell r="L17" t="str">
            <v>STRICKLAND</v>
          </cell>
          <cell r="M17">
            <v>3.085648147680331E-2</v>
          </cell>
          <cell r="N17">
            <v>44.433333326596767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https://search-rtdc-monitor-bjffxe2xuh6vdkpspy63sjmuny.us-east-1.es.amazonaws.com/_plugin/kibana/#/discover/Steve-Slow-Train-Analysis-(2080s-and-2083s)?_g=(refreshInterval:(display:Off,section:0,value:0),time:(from:'2016-08-17 03:08:12-0600',mode:absolute,to:'2016-08-17 05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7" t="str">
            <v>N</v>
          </cell>
          <cell r="X17">
            <v>1</v>
          </cell>
          <cell r="Y17">
            <v>8.3199999999999996E-2</v>
          </cell>
          <cell r="Z17">
            <v>23.328800000000001</v>
          </cell>
          <cell r="AA17">
            <v>23.2456</v>
          </cell>
          <cell r="AB17" t="e">
            <v>#N/A</v>
          </cell>
          <cell r="AC17" t="e">
            <v>#N/A</v>
          </cell>
          <cell r="AD17" t="str">
            <v>0105-17</v>
          </cell>
          <cell r="AE17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8">
          <cell r="A18" t="str">
            <v>106-17</v>
          </cell>
          <cell r="B18">
            <v>4019</v>
          </cell>
          <cell r="C18" t="str">
            <v>DE.1.0.7.0</v>
          </cell>
          <cell r="D18" t="str">
            <v>204:232650</v>
          </cell>
          <cell r="E18">
            <v>42599.212673611109</v>
          </cell>
          <cell r="F18">
            <v>42599.213564814818</v>
          </cell>
          <cell r="G18">
            <v>1</v>
          </cell>
          <cell r="H18" t="str">
            <v>204:161</v>
          </cell>
          <cell r="I18">
            <v>42599.250532407408</v>
          </cell>
          <cell r="J18">
            <v>0</v>
          </cell>
          <cell r="K18" t="str">
            <v>4019/4020</v>
          </cell>
          <cell r="L18" t="str">
            <v>STRICKLAND</v>
          </cell>
          <cell r="M18">
            <v>3.6967592590372078E-2</v>
          </cell>
          <cell r="N18">
            <v>53.233333330135792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8" t="str">
            <v>N</v>
          </cell>
          <cell r="X18">
            <v>1</v>
          </cell>
          <cell r="Y18">
            <v>23.265000000000001</v>
          </cell>
          <cell r="Z18">
            <v>1.61E-2</v>
          </cell>
          <cell r="AA18">
            <v>23.248899999999999</v>
          </cell>
          <cell r="AB18">
            <v>33257</v>
          </cell>
          <cell r="AC18" t="str">
            <v>GRADE CROSSING</v>
          </cell>
          <cell r="AD18" t="str">
            <v>0106-17</v>
          </cell>
          <cell r="AE1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9">
          <cell r="A19" t="str">
            <v>107-17</v>
          </cell>
          <cell r="B19">
            <v>4003</v>
          </cell>
          <cell r="C19" t="str">
            <v>DE.1.0.7.0</v>
          </cell>
          <cell r="D19" t="str">
            <v>204:455</v>
          </cell>
          <cell r="E19">
            <v>42599.186018518521</v>
          </cell>
          <cell r="F19">
            <v>42599.187534722223</v>
          </cell>
          <cell r="G19">
            <v>2</v>
          </cell>
          <cell r="H19" t="str">
            <v>204:233319</v>
          </cell>
          <cell r="I19">
            <v>42599.216168981482</v>
          </cell>
          <cell r="J19">
            <v>0</v>
          </cell>
          <cell r="K19" t="str">
            <v>4003/4004</v>
          </cell>
          <cell r="L19" t="str">
            <v>SPECTOR</v>
          </cell>
          <cell r="M19">
            <v>2.8634259258979E-2</v>
          </cell>
          <cell r="N19">
            <v>41.23333333292976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https://search-rtdc-monitor-bjffxe2xuh6vdkpspy63sjmuny.us-east-1.es.amazonaws.com/_plugin/kibana/#/discover/Steve-Slow-Train-Analysis-(2080s-and-2083s)?_g=(refreshInterval:(display:Off,section:0,value:0),time:(from:'2016-08-17 03:27:52-0600',mode:absolute,to:'2016-08-17 06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19" t="str">
            <v>N</v>
          </cell>
          <cell r="X19">
            <v>1</v>
          </cell>
          <cell r="Y19">
            <v>4.5499999999999999E-2</v>
          </cell>
          <cell r="Z19">
            <v>23.331900000000001</v>
          </cell>
          <cell r="AA19">
            <v>23.2864</v>
          </cell>
          <cell r="AB19" t="e">
            <v>#N/A</v>
          </cell>
          <cell r="AC19" t="e">
            <v>#N/A</v>
          </cell>
          <cell r="AD19" t="str">
            <v>0107-17</v>
          </cell>
          <cell r="AE19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20">
          <cell r="A20" t="str">
            <v>108-17</v>
          </cell>
          <cell r="B20">
            <v>4004</v>
          </cell>
          <cell r="C20" t="str">
            <v>DE.1.0.7.0</v>
          </cell>
          <cell r="D20" t="str">
            <v>204:233006</v>
          </cell>
          <cell r="E20">
            <v>42599.222395833334</v>
          </cell>
          <cell r="F20">
            <v>42599.223182870373</v>
          </cell>
          <cell r="G20">
            <v>1</v>
          </cell>
          <cell r="H20" t="str">
            <v>204:156</v>
          </cell>
          <cell r="I20">
            <v>42599.258969907409</v>
          </cell>
          <cell r="J20">
            <v>0</v>
          </cell>
          <cell r="K20" t="str">
            <v>4003/4004</v>
          </cell>
          <cell r="L20" t="str">
            <v>SPECTOR</v>
          </cell>
          <cell r="M20">
            <v>3.5787037035333924E-2</v>
          </cell>
          <cell r="N20">
            <v>51.533333330880851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1.5599999999999999E-2</v>
          </cell>
          <cell r="AA20">
            <v>23.285</v>
          </cell>
          <cell r="AB20">
            <v>21848</v>
          </cell>
          <cell r="AC20" t="str">
            <v>PERMANENT SPEED RESTRICTION</v>
          </cell>
          <cell r="AD20" t="str">
            <v>0108-17</v>
          </cell>
          <cell r="AE2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21">
          <cell r="A21" t="str">
            <v>109-17</v>
          </cell>
          <cell r="B21">
            <v>4014</v>
          </cell>
          <cell r="C21" t="str">
            <v>DE.1.0.7.0</v>
          </cell>
          <cell r="D21" t="str">
            <v>204:444</v>
          </cell>
          <cell r="E21">
            <v>42599.194699074076</v>
          </cell>
          <cell r="F21">
            <v>42599.195648148147</v>
          </cell>
          <cell r="G21">
            <v>1</v>
          </cell>
          <cell r="H21" t="str">
            <v>204:233264</v>
          </cell>
          <cell r="I21">
            <v>42599.235266203701</v>
          </cell>
          <cell r="J21">
            <v>0</v>
          </cell>
          <cell r="K21" t="str">
            <v>4013/4014</v>
          </cell>
          <cell r="L21" t="str">
            <v>KILLION</v>
          </cell>
          <cell r="M21">
            <v>3.9618055554456078E-2</v>
          </cell>
          <cell r="N21">
            <v>57.049999998416752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https://search-rtdc-monitor-bjffxe2xuh6vdkpspy63sjmuny.us-east-1.es.amazonaws.com/_plugin/kibana/#/discover/Steve-Slow-Train-Analysis-(2080s-and-2083s)?_g=(refreshInterval:(display:Off,section:0,value:0),time:(from:'2016-08-17 03:40:22-0600',mode:absolute,to:'2016-08-17 06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" t="str">
            <v>N</v>
          </cell>
          <cell r="X21">
            <v>1</v>
          </cell>
          <cell r="Y21">
            <v>4.4400000000000002E-2</v>
          </cell>
          <cell r="Z21">
            <v>23.3264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0109-17</v>
          </cell>
          <cell r="AE2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22">
          <cell r="A22" t="str">
            <v>110-17</v>
          </cell>
          <cell r="B22">
            <v>4013</v>
          </cell>
          <cell r="C22" t="str">
            <v>DE.1.0.7.0</v>
          </cell>
          <cell r="D22" t="str">
            <v>204:232971</v>
          </cell>
          <cell r="E22">
            <v>42599.236631944441</v>
          </cell>
          <cell r="F22">
            <v>42599.237638888888</v>
          </cell>
          <cell r="G22">
            <v>1</v>
          </cell>
          <cell r="H22" t="str">
            <v>204:141</v>
          </cell>
          <cell r="I22">
            <v>42599.271689814814</v>
          </cell>
          <cell r="J22">
            <v>0</v>
          </cell>
          <cell r="K22" t="str">
            <v>4013/4014</v>
          </cell>
          <cell r="L22" t="str">
            <v>KILLION</v>
          </cell>
          <cell r="M22">
            <v>3.4050925925839692E-2</v>
          </cell>
          <cell r="N22">
            <v>49.033333333209157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1.41E-2</v>
          </cell>
          <cell r="AA22">
            <v>23.283000000000001</v>
          </cell>
          <cell r="AB22">
            <v>30970</v>
          </cell>
          <cell r="AC22" t="str">
            <v>GRADE CROSSING</v>
          </cell>
          <cell r="AD22" t="str">
            <v>0110-17</v>
          </cell>
          <cell r="AE2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23">
          <cell r="A23" t="str">
            <v>111-17</v>
          </cell>
          <cell r="B23">
            <v>4002</v>
          </cell>
          <cell r="C23" t="str">
            <v>DE.1.0.7.0</v>
          </cell>
          <cell r="D23" t="str">
            <v>204:754</v>
          </cell>
          <cell r="E23">
            <v>42599.220462962963</v>
          </cell>
          <cell r="F23">
            <v>42599.221168981479</v>
          </cell>
          <cell r="G23">
            <v>1</v>
          </cell>
          <cell r="H23" t="str">
            <v>204:233311</v>
          </cell>
          <cell r="I23">
            <v>42599.253252314818</v>
          </cell>
          <cell r="J23">
            <v>0</v>
          </cell>
          <cell r="K23" t="str">
            <v>4001/4002</v>
          </cell>
          <cell r="L23" t="str">
            <v>ROCHA</v>
          </cell>
          <cell r="M23">
            <v>3.2083333338960074E-2</v>
          </cell>
          <cell r="N23">
            <v>46.200000008102506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https://search-rtdc-monitor-bjffxe2xuh6vdkpspy63sjmuny.us-east-1.es.amazonaws.com/_plugin/kibana/#/discover/Steve-Slow-Train-Analysis-(2080s-and-2083s)?_g=(refreshInterval:(display:Off,section:0,value:0),time:(from:'2016-08-17 04:17:28-0600',mode:absolute,to:'2016-08-17 07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3" t="str">
            <v>N</v>
          </cell>
          <cell r="X23">
            <v>1</v>
          </cell>
          <cell r="Y23">
            <v>7.5399999999999995E-2</v>
          </cell>
          <cell r="Z23">
            <v>23.331099999999999</v>
          </cell>
          <cell r="AA23">
            <v>23.255700000000001</v>
          </cell>
          <cell r="AB23" t="e">
            <v>#N/A</v>
          </cell>
          <cell r="AC23" t="e">
            <v>#N/A</v>
          </cell>
          <cell r="AD23" t="str">
            <v>0111-17</v>
          </cell>
          <cell r="AE2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4">
          <cell r="A24" t="str">
            <v>112-17</v>
          </cell>
          <cell r="B24">
            <v>4001</v>
          </cell>
          <cell r="C24" t="str">
            <v>DE.1.0.7.0</v>
          </cell>
          <cell r="D24" t="str">
            <v>204:232977</v>
          </cell>
          <cell r="E24">
            <v>42599.258206018516</v>
          </cell>
          <cell r="F24">
            <v>42599.260115740741</v>
          </cell>
          <cell r="G24">
            <v>2</v>
          </cell>
          <cell r="H24" t="str">
            <v>204:149</v>
          </cell>
          <cell r="I24">
            <v>42599.291689814818</v>
          </cell>
          <cell r="J24">
            <v>0</v>
          </cell>
          <cell r="K24" t="str">
            <v>4001/4002</v>
          </cell>
          <cell r="L24" t="str">
            <v>ROCHA</v>
          </cell>
          <cell r="M24">
            <v>3.1574074077070691E-2</v>
          </cell>
          <cell r="N24">
            <v>45.466666670981795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1.49E-2</v>
          </cell>
          <cell r="AA24">
            <v>23.282799999999998</v>
          </cell>
          <cell r="AB24">
            <v>30970</v>
          </cell>
          <cell r="AC24" t="str">
            <v>GRADE CROSSING</v>
          </cell>
          <cell r="AD24" t="str">
            <v>0112-17</v>
          </cell>
          <cell r="AE24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25">
          <cell r="A25" t="str">
            <v>113-17</v>
          </cell>
          <cell r="B25">
            <v>4027</v>
          </cell>
          <cell r="C25" t="str">
            <v>DE.1.0.7.0</v>
          </cell>
          <cell r="D25" t="str">
            <v>204:437</v>
          </cell>
          <cell r="E25">
            <v>42599.218576388892</v>
          </cell>
          <cell r="F25">
            <v>42599.219502314816</v>
          </cell>
          <cell r="G25">
            <v>1</v>
          </cell>
          <cell r="H25" t="str">
            <v>204:233304</v>
          </cell>
          <cell r="I25">
            <v>42599.264537037037</v>
          </cell>
          <cell r="J25">
            <v>0</v>
          </cell>
          <cell r="K25" t="str">
            <v>4027/4028</v>
          </cell>
          <cell r="L25" t="str">
            <v>MAELZER</v>
          </cell>
          <cell r="M25">
            <v>4.503472222131677E-2</v>
          </cell>
          <cell r="N25">
            <v>64.849999998696148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https://search-rtdc-monitor-bjffxe2xuh6vdkpspy63sjmuny.us-east-1.es.amazonaws.com/_plugin/kibana/#/discover/Steve-Slow-Train-Analysis-(2080s-and-2083s)?_g=(refreshInterval:(display:Off,section:0,value:0),time:(from:'2016-08-17 04:14:45-0600',mode:absolute,to:'2016-08-17 07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5" t="str">
            <v>N</v>
          </cell>
          <cell r="X25">
            <v>1</v>
          </cell>
          <cell r="Y25">
            <v>4.3700000000000003E-2</v>
          </cell>
          <cell r="Z25">
            <v>23.330400000000001</v>
          </cell>
          <cell r="AA25">
            <v>23.2867</v>
          </cell>
          <cell r="AB25" t="e">
            <v>#N/A</v>
          </cell>
          <cell r="AC25" t="e">
            <v>#N/A</v>
          </cell>
          <cell r="AD25" t="str">
            <v>0113-17</v>
          </cell>
          <cell r="AE25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26">
          <cell r="A26" t="str">
            <v>114-17</v>
          </cell>
          <cell r="B26">
            <v>4028</v>
          </cell>
          <cell r="C26" t="str">
            <v>DE.1.0.7.0</v>
          </cell>
          <cell r="D26" t="str">
            <v>204:232989</v>
          </cell>
          <cell r="E26">
            <v>42599.268634259257</v>
          </cell>
          <cell r="F26">
            <v>42599.269513888888</v>
          </cell>
          <cell r="G26">
            <v>1</v>
          </cell>
          <cell r="H26" t="str">
            <v>204:167</v>
          </cell>
          <cell r="I26">
            <v>42599.303136574075</v>
          </cell>
          <cell r="J26">
            <v>0</v>
          </cell>
          <cell r="K26" t="str">
            <v>4027/4028</v>
          </cell>
          <cell r="L26" t="str">
            <v>MAELZER</v>
          </cell>
          <cell r="M26">
            <v>3.3622685186855961E-2</v>
          </cell>
          <cell r="N26">
            <v>48.416666669072583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6" t="str">
            <v>N</v>
          </cell>
          <cell r="X26">
            <v>1</v>
          </cell>
          <cell r="Y26">
            <v>23.2989</v>
          </cell>
          <cell r="Z26">
            <v>1.67E-2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0114-17</v>
          </cell>
          <cell r="AE26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27">
          <cell r="A27" t="str">
            <v>115-17</v>
          </cell>
          <cell r="B27">
            <v>4018</v>
          </cell>
          <cell r="C27" t="str">
            <v>DE.1.0.7.0</v>
          </cell>
          <cell r="D27" t="str">
            <v>204:741</v>
          </cell>
          <cell r="E27">
            <v>42599.243888888886</v>
          </cell>
          <cell r="F27">
            <v>42599.246701388889</v>
          </cell>
          <cell r="G27">
            <v>4</v>
          </cell>
          <cell r="H27" t="str">
            <v>204:233320</v>
          </cell>
          <cell r="I27">
            <v>42599.280034722222</v>
          </cell>
          <cell r="J27">
            <v>0</v>
          </cell>
          <cell r="K27" t="str">
            <v>4017/4018</v>
          </cell>
          <cell r="L27" t="str">
            <v>BRANNON</v>
          </cell>
          <cell r="M27">
            <v>3.3333333332848269E-2</v>
          </cell>
          <cell r="N27">
            <v>47.999999999301508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https://search-rtdc-monitor-bjffxe2xuh6vdkpspy63sjmuny.us-east-1.es.amazonaws.com/_plugin/kibana/#/discover/Steve-Slow-Train-Analysis-(2080s-and-2083s)?_g=(refreshInterval:(display:Off,section:0,value:0),time:(from:'2016-08-17 04:51:12-0600',mode:absolute,to:'2016-08-17 07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7" t="str">
            <v>N</v>
          </cell>
          <cell r="X27">
            <v>1</v>
          </cell>
          <cell r="Y27">
            <v>7.4099999999999999E-2</v>
          </cell>
          <cell r="Z27">
            <v>23.332000000000001</v>
          </cell>
          <cell r="AA27">
            <v>23.257899999999999</v>
          </cell>
          <cell r="AB27" t="e">
            <v>#N/A</v>
          </cell>
          <cell r="AC27" t="e">
            <v>#N/A</v>
          </cell>
          <cell r="AD27" t="str">
            <v>0115-17</v>
          </cell>
          <cell r="AE2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28">
          <cell r="A28" t="str">
            <v>116-17</v>
          </cell>
          <cell r="B28">
            <v>4017</v>
          </cell>
          <cell r="C28" t="str">
            <v>DE.1.0.7.0</v>
          </cell>
          <cell r="D28" t="str">
            <v>204:233009</v>
          </cell>
          <cell r="E28">
            <v>42599.281793981485</v>
          </cell>
          <cell r="F28">
            <v>42599.283067129632</v>
          </cell>
          <cell r="G28">
            <v>1</v>
          </cell>
          <cell r="H28" t="str">
            <v>204:147</v>
          </cell>
          <cell r="I28">
            <v>42599.320763888885</v>
          </cell>
          <cell r="J28">
            <v>0</v>
          </cell>
          <cell r="K28" t="str">
            <v>4017/4018</v>
          </cell>
          <cell r="L28" t="str">
            <v>BRANNON</v>
          </cell>
          <cell r="M28">
            <v>3.7696759252867196E-2</v>
          </cell>
          <cell r="N28">
            <v>54.283333324128762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https://search-rtdc-monitor-bjffxe2xuh6vdkpspy63sjmuny.us-east-1.es.amazonaws.com/_plugin/kibana/#/discover/Steve-Slow-Train-Analysis-(2080s-and-2083s)?_g=(refreshInterval:(display:Off,section:0,value:0),time:(from:'2016-08-17 05:45:47-0600',mode:absolute,to:'2016-08-17 08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28" t="str">
            <v>N</v>
          </cell>
          <cell r="X28">
            <v>1</v>
          </cell>
          <cell r="Y28">
            <v>23.300899999999999</v>
          </cell>
          <cell r="Z28">
            <v>1.47E-2</v>
          </cell>
          <cell r="AA28">
            <v>23.286199999999997</v>
          </cell>
          <cell r="AB28" t="e">
            <v>#N/A</v>
          </cell>
          <cell r="AC28" t="e">
            <v>#N/A</v>
          </cell>
          <cell r="AD28" t="str">
            <v>0116-17</v>
          </cell>
          <cell r="AE2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29">
          <cell r="A29" t="str">
            <v>117-17</v>
          </cell>
          <cell r="B29">
            <v>4025</v>
          </cell>
          <cell r="C29" t="str">
            <v>DE.1.0.7.0</v>
          </cell>
          <cell r="D29" t="str">
            <v>204:424</v>
          </cell>
          <cell r="E29">
            <v>42599.247627314813</v>
          </cell>
          <cell r="F29">
            <v>42599.248900462961</v>
          </cell>
          <cell r="G29">
            <v>1</v>
          </cell>
          <cell r="H29" t="str">
            <v>204:233321</v>
          </cell>
          <cell r="I29">
            <v>42599.286307870374</v>
          </cell>
          <cell r="J29">
            <v>0</v>
          </cell>
          <cell r="K29" t="str">
            <v>4025/4026</v>
          </cell>
          <cell r="L29" t="str">
            <v>ACKERMAN</v>
          </cell>
          <cell r="M29">
            <v>3.740740741341142E-2</v>
          </cell>
          <cell r="N29">
            <v>53.866666675312445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https://search-rtdc-monitor-bjffxe2xuh6vdkpspy63sjmuny.us-east-1.es.amazonaws.com/_plugin/kibana/#/discover/Steve-Slow-Train-Analysis-(2080s-and-2083s)?_g=(refreshInterval:(display:Off,section:0,value:0),time:(from:'2016-08-17 04:56:35-0600',mode:absolute,to:'2016-08-17 07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23.332100000000001</v>
          </cell>
          <cell r="AA29">
            <v>23.2897</v>
          </cell>
          <cell r="AB29" t="e">
            <v>#N/A</v>
          </cell>
          <cell r="AC29" t="e">
            <v>#N/A</v>
          </cell>
          <cell r="AD29" t="str">
            <v>0117-17</v>
          </cell>
          <cell r="AE29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30">
          <cell r="A30" t="str">
            <v>118-17</v>
          </cell>
          <cell r="B30">
            <v>4026</v>
          </cell>
          <cell r="C30" t="str">
            <v>DE.1.0.7.0</v>
          </cell>
          <cell r="D30" t="str">
            <v>204:233025</v>
          </cell>
          <cell r="E30">
            <v>42599.287731481483</v>
          </cell>
          <cell r="F30">
            <v>42599.289351851854</v>
          </cell>
          <cell r="G30">
            <v>2</v>
          </cell>
          <cell r="H30" t="str">
            <v>204:152</v>
          </cell>
          <cell r="I30">
            <v>42599.32545138889</v>
          </cell>
          <cell r="J30">
            <v>0</v>
          </cell>
          <cell r="K30" t="str">
            <v>4025/4026</v>
          </cell>
          <cell r="L30" t="str">
            <v>ACKERMAN</v>
          </cell>
          <cell r="M30">
            <v>3.6099537035624962E-2</v>
          </cell>
          <cell r="N30">
            <v>51.983333331299946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30" t="str">
            <v>N</v>
          </cell>
          <cell r="X30">
            <v>1</v>
          </cell>
          <cell r="Y30">
            <v>23.302499999999998</v>
          </cell>
          <cell r="Z30">
            <v>1.52E-2</v>
          </cell>
          <cell r="AA30">
            <v>23.287299999999998</v>
          </cell>
          <cell r="AB30" t="e">
            <v>#N/A</v>
          </cell>
          <cell r="AC30" t="e">
            <v>#N/A</v>
          </cell>
          <cell r="AD30" t="str">
            <v>0118-17</v>
          </cell>
          <cell r="AE30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31">
          <cell r="A31" t="str">
            <v>119-17</v>
          </cell>
          <cell r="B31">
            <v>4009</v>
          </cell>
          <cell r="C31" t="str">
            <v>DE.1.0.7.0</v>
          </cell>
          <cell r="D31" t="str">
            <v>204:779</v>
          </cell>
          <cell r="E31">
            <v>42599.253310185188</v>
          </cell>
          <cell r="F31">
            <v>42599.255497685182</v>
          </cell>
          <cell r="G31">
            <v>3</v>
          </cell>
          <cell r="H31" t="str">
            <v>204:233307</v>
          </cell>
          <cell r="I31">
            <v>42599.29246527778</v>
          </cell>
          <cell r="J31">
            <v>0</v>
          </cell>
          <cell r="K31" t="str">
            <v>4009/4010</v>
          </cell>
          <cell r="L31" t="str">
            <v>STRICKLAND</v>
          </cell>
          <cell r="M31">
            <v>3.6967592597648036E-2</v>
          </cell>
          <cell r="N31">
            <v>53.233333340613171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1" t="str">
            <v>N</v>
          </cell>
          <cell r="X31">
            <v>1</v>
          </cell>
          <cell r="Y31">
            <v>7.7899999999999997E-2</v>
          </cell>
          <cell r="Z31">
            <v>23.3307</v>
          </cell>
          <cell r="AA31">
            <v>23.252800000000001</v>
          </cell>
          <cell r="AB31" t="e">
            <v>#N/A</v>
          </cell>
          <cell r="AC31" t="e">
            <v>#N/A</v>
          </cell>
          <cell r="AD31" t="str">
            <v>0119-17</v>
          </cell>
          <cell r="AE3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32">
          <cell r="A32" t="str">
            <v>120-17</v>
          </cell>
          <cell r="B32">
            <v>4010</v>
          </cell>
          <cell r="C32" t="str">
            <v>DE.1.0.7.0</v>
          </cell>
          <cell r="D32" t="str">
            <v>204:232998</v>
          </cell>
          <cell r="E32">
            <v>42599.296180555553</v>
          </cell>
          <cell r="F32">
            <v>42599.297372685185</v>
          </cell>
          <cell r="G32">
            <v>1</v>
          </cell>
          <cell r="H32" t="str">
            <v>204:143</v>
          </cell>
          <cell r="I32">
            <v>42599.335115740738</v>
          </cell>
          <cell r="J32">
            <v>0</v>
          </cell>
          <cell r="K32" t="str">
            <v>4009/4010</v>
          </cell>
          <cell r="L32" t="str">
            <v>STRICKLAND</v>
          </cell>
          <cell r="M32">
            <v>3.7743055552709848E-2</v>
          </cell>
          <cell r="N32">
            <v>54.349999995902181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2" t="str">
            <v>N</v>
          </cell>
          <cell r="X32">
            <v>1</v>
          </cell>
          <cell r="Y32">
            <v>23.299800000000001</v>
          </cell>
          <cell r="Z32">
            <v>1.43E-2</v>
          </cell>
          <cell r="AA32">
            <v>23.285500000000003</v>
          </cell>
          <cell r="AB32">
            <v>30970</v>
          </cell>
          <cell r="AC32" t="str">
            <v>GRADE CROSSING</v>
          </cell>
          <cell r="AD32" t="str">
            <v>0120-17</v>
          </cell>
          <cell r="AE3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33">
          <cell r="A33" t="str">
            <v>121-17</v>
          </cell>
          <cell r="B33">
            <v>4003</v>
          </cell>
          <cell r="C33" t="str">
            <v>DE.1.0.7.0</v>
          </cell>
          <cell r="D33" t="str">
            <v>204:480</v>
          </cell>
          <cell r="E33">
            <v>42599.261111111111</v>
          </cell>
          <cell r="F33">
            <v>42599.26222222222</v>
          </cell>
          <cell r="G33">
            <v>1</v>
          </cell>
          <cell r="H33" t="str">
            <v>204:233212</v>
          </cell>
          <cell r="I33">
            <v>42599.299386574072</v>
          </cell>
          <cell r="J33">
            <v>0</v>
          </cell>
          <cell r="K33" t="str">
            <v>4003/4004</v>
          </cell>
          <cell r="L33" t="str">
            <v>SPECTOR</v>
          </cell>
          <cell r="M33">
            <v>3.7164351851970423E-2</v>
          </cell>
          <cell r="N33">
            <v>53.516666666837409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33" t="str">
            <v>N</v>
          </cell>
          <cell r="X33">
            <v>1</v>
          </cell>
          <cell r="Y33">
            <v>4.8000000000000001E-2</v>
          </cell>
          <cell r="Z33">
            <v>23.321200000000001</v>
          </cell>
          <cell r="AA33">
            <v>23.273200000000003</v>
          </cell>
          <cell r="AB33" t="e">
            <v>#N/A</v>
          </cell>
          <cell r="AC33" t="e">
            <v>#N/A</v>
          </cell>
          <cell r="AD33" t="str">
            <v>0121-17</v>
          </cell>
          <cell r="AE33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34">
          <cell r="A34" t="str">
            <v>122-17</v>
          </cell>
          <cell r="B34">
            <v>4004</v>
          </cell>
          <cell r="C34" t="str">
            <v>DE.1.0.7.0</v>
          </cell>
          <cell r="D34" t="str">
            <v>204:232889</v>
          </cell>
          <cell r="E34">
            <v>42599.301678240743</v>
          </cell>
          <cell r="F34">
            <v>42599.302627314813</v>
          </cell>
          <cell r="G34">
            <v>1</v>
          </cell>
          <cell r="H34" t="str">
            <v>204:147</v>
          </cell>
          <cell r="I34">
            <v>42599.340509259258</v>
          </cell>
          <cell r="J34">
            <v>0</v>
          </cell>
          <cell r="K34" t="str">
            <v>4003/4004</v>
          </cell>
          <cell r="L34" t="str">
            <v>SPECTOR</v>
          </cell>
          <cell r="M34">
            <v>3.7881944444961846E-2</v>
          </cell>
          <cell r="N34">
            <v>54.550000000745058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34" t="str">
            <v>N</v>
          </cell>
          <cell r="X34">
            <v>1</v>
          </cell>
          <cell r="Y34">
            <v>23.288900000000002</v>
          </cell>
          <cell r="Z34">
            <v>1.47E-2</v>
          </cell>
          <cell r="AA34">
            <v>23.2742</v>
          </cell>
          <cell r="AB34" t="e">
            <v>#N/A</v>
          </cell>
          <cell r="AC34" t="e">
            <v>#N/A</v>
          </cell>
          <cell r="AD34" t="str">
            <v>0122-17</v>
          </cell>
          <cell r="AE34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35">
          <cell r="A35" t="str">
            <v>123-17</v>
          </cell>
          <cell r="B35">
            <v>4014</v>
          </cell>
          <cell r="C35" t="str">
            <v>DE.1.0.7.0</v>
          </cell>
          <cell r="D35" t="str">
            <v>204:457</v>
          </cell>
          <cell r="E35">
            <v>42599.275671296295</v>
          </cell>
          <cell r="F35">
            <v>42599.276724537034</v>
          </cell>
          <cell r="G35">
            <v>1</v>
          </cell>
          <cell r="H35" t="str">
            <v>204:233190</v>
          </cell>
          <cell r="I35">
            <v>42599.308425925927</v>
          </cell>
          <cell r="J35">
            <v>0</v>
          </cell>
          <cell r="K35" t="str">
            <v>4013/4014</v>
          </cell>
          <cell r="L35" t="str">
            <v>KILLION</v>
          </cell>
          <cell r="M35">
            <v>3.1701388892543036E-2</v>
          </cell>
          <cell r="N35">
            <v>45.650000005261973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5" t="str">
            <v>N</v>
          </cell>
          <cell r="X35">
            <v>1</v>
          </cell>
          <cell r="Y35">
            <v>4.5699999999999998E-2</v>
          </cell>
          <cell r="Z35">
            <v>23.318999999999999</v>
          </cell>
          <cell r="AA35">
            <v>23.273299999999999</v>
          </cell>
          <cell r="AB35" t="e">
            <v>#N/A</v>
          </cell>
          <cell r="AC35" t="e">
            <v>#N/A</v>
          </cell>
          <cell r="AD35" t="str">
            <v>0123-17</v>
          </cell>
          <cell r="AE3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36">
          <cell r="A36" t="str">
            <v>124-17</v>
          </cell>
          <cell r="B36" t="str">
            <v>-</v>
          </cell>
          <cell r="C36" t="str">
            <v>DE.1.0.7.0</v>
          </cell>
          <cell r="D36" t="str">
            <v>204:457</v>
          </cell>
          <cell r="E36">
            <v>42599.275671296295</v>
          </cell>
          <cell r="F36">
            <v>42599.276724537034</v>
          </cell>
          <cell r="G36">
            <v>1</v>
          </cell>
          <cell r="H36" t="str">
            <v>204:233190</v>
          </cell>
          <cell r="I36">
            <v>42599.308425925927</v>
          </cell>
          <cell r="J36">
            <v>0</v>
          </cell>
          <cell r="K36" t="e">
            <v>#VALUE!</v>
          </cell>
          <cell r="L36" t="e">
            <v>#N/A</v>
          </cell>
          <cell r="M36">
            <v>3.1701388892543036E-2</v>
          </cell>
          <cell r="P36">
            <v>1</v>
          </cell>
          <cell r="R36" t="str">
            <v>Did not init</v>
          </cell>
          <cell r="T36" t="str">
            <v>Southbound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    </cell>
          <cell r="W36" t="str">
            <v>N</v>
          </cell>
          <cell r="X36">
            <v>1</v>
          </cell>
          <cell r="Y36">
            <v>4.5699999999999998E-2</v>
          </cell>
          <cell r="Z36">
            <v>23.318999999999999</v>
          </cell>
          <cell r="AA36">
            <v>23.273299999999999</v>
          </cell>
          <cell r="AB36" t="e">
            <v>#N/A</v>
          </cell>
          <cell r="AC36" t="e">
            <v>#N/A</v>
          </cell>
          <cell r="AD36" t="str">
            <v>0124-17</v>
          </cell>
          <cell r="AE36" t="str">
    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    </cell>
        </row>
        <row r="37">
          <cell r="A37" t="str">
            <v>125-17</v>
          </cell>
          <cell r="B37" t="str">
            <v>-</v>
          </cell>
          <cell r="C37" t="str">
            <v>DE.1.0.7.0</v>
          </cell>
          <cell r="D37" t="str">
            <v>204:457</v>
          </cell>
          <cell r="E37">
            <v>42599.275671296295</v>
          </cell>
          <cell r="F37">
            <v>42599.276724537034</v>
          </cell>
          <cell r="G37">
            <v>1</v>
          </cell>
          <cell r="H37" t="str">
            <v>204:233190</v>
          </cell>
          <cell r="I37">
            <v>42599.308425925927</v>
          </cell>
          <cell r="J37">
            <v>0</v>
          </cell>
          <cell r="K37" t="e">
            <v>#VALUE!</v>
          </cell>
          <cell r="L37" t="e">
            <v>#N/A</v>
          </cell>
          <cell r="M37">
            <v>3.1701388892543036E-2</v>
          </cell>
          <cell r="P37">
            <v>1</v>
          </cell>
          <cell r="R37" t="str">
            <v>Did not init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    </cell>
          <cell r="W37" t="str">
            <v>N</v>
          </cell>
          <cell r="X37">
            <v>1</v>
          </cell>
          <cell r="Y37">
            <v>4.5699999999999998E-2</v>
          </cell>
          <cell r="Z37">
            <v>23.318999999999999</v>
          </cell>
          <cell r="AA37">
            <v>23.273299999999999</v>
          </cell>
          <cell r="AB37" t="e">
            <v>#N/A</v>
          </cell>
          <cell r="AC37" t="e">
            <v>#N/A</v>
          </cell>
          <cell r="AD37" t="str">
            <v>0125-17</v>
          </cell>
          <cell r="AE37" t="str">
    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    </cell>
        </row>
        <row r="38">
          <cell r="A38" t="str">
            <v>126-17</v>
          </cell>
          <cell r="B38">
            <v>4013</v>
          </cell>
          <cell r="C38" t="str">
            <v>DE.1.0.7.0</v>
          </cell>
          <cell r="D38" t="str">
            <v>204:232873</v>
          </cell>
          <cell r="E38">
            <v>42599.314849537041</v>
          </cell>
          <cell r="F38">
            <v>42599.317361111112</v>
          </cell>
          <cell r="G38">
            <v>3</v>
          </cell>
          <cell r="H38" t="str">
            <v>204:156</v>
          </cell>
          <cell r="I38">
            <v>42599.355358796296</v>
          </cell>
          <cell r="J38">
            <v>0</v>
          </cell>
          <cell r="K38" t="str">
            <v>4013/4014</v>
          </cell>
          <cell r="L38" t="str">
            <v>KILLION</v>
          </cell>
          <cell r="M38">
            <v>3.7997685183654539E-2</v>
          </cell>
          <cell r="N38">
            <v>54.716666664462537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https://search-rtdc-monitor-bjffxe2xuh6vdkpspy63sjmuny.us-east-1.es.amazonaws.com/_plugin/kibana/#/discover/Steve-Slow-Train-Analysis-(2080s-and-2083s)?_g=(refreshInterval:(display:Off,section:0,value:0),time:(from:'2016-08-17 06:33:23-0600',mode:absolute,to:'2016-08-17 09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8" t="str">
            <v>N</v>
          </cell>
          <cell r="X38">
            <v>1</v>
          </cell>
          <cell r="Y38">
            <v>23.287299999999998</v>
          </cell>
          <cell r="Z38">
            <v>1.5599999999999999E-2</v>
          </cell>
          <cell r="AA38">
            <v>23.271699999999999</v>
          </cell>
          <cell r="AB38" t="e">
            <v>#N/A</v>
          </cell>
          <cell r="AC38" t="e">
            <v>#N/A</v>
          </cell>
          <cell r="AD38" t="str">
            <v>0126-17</v>
          </cell>
          <cell r="AE38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39">
          <cell r="A39" t="str">
            <v>127-17</v>
          </cell>
          <cell r="B39" t="str">
            <v>-</v>
          </cell>
          <cell r="C39" t="str">
            <v>DE.1.0.7.0</v>
          </cell>
          <cell r="D39" t="str">
            <v>204:457</v>
          </cell>
          <cell r="E39">
            <v>42599.275671296295</v>
          </cell>
          <cell r="F39">
            <v>42599.276724537034</v>
          </cell>
          <cell r="G39">
            <v>1</v>
          </cell>
          <cell r="H39" t="str">
            <v>204:233190</v>
          </cell>
          <cell r="I39">
            <v>42599.308425925927</v>
          </cell>
          <cell r="J39">
            <v>0</v>
          </cell>
          <cell r="K39" t="e">
            <v>#VALUE!</v>
          </cell>
          <cell r="L39" t="e">
            <v>#N/A</v>
          </cell>
          <cell r="M39">
            <v>3.1701388892543036E-2</v>
          </cell>
          <cell r="P39">
            <v>1</v>
          </cell>
          <cell r="R39" t="str">
            <v>Did not init</v>
          </cell>
          <cell r="T39" t="str">
            <v>NorthBound</v>
          </cell>
          <cell r="X39">
            <v>1</v>
          </cell>
          <cell r="AD39" t="str">
            <v>0127-17</v>
          </cell>
        </row>
        <row r="40">
          <cell r="A40" t="str">
            <v>128-17</v>
          </cell>
          <cell r="B40" t="str">
            <v>-</v>
          </cell>
          <cell r="C40" t="str">
            <v>DE.1.0.7.0</v>
          </cell>
          <cell r="D40" t="str">
            <v>204:457</v>
          </cell>
          <cell r="E40">
            <v>42599.275671296295</v>
          </cell>
          <cell r="F40">
            <v>42599.276724537034</v>
          </cell>
          <cell r="G40">
            <v>1</v>
          </cell>
          <cell r="H40" t="str">
            <v>204:233190</v>
          </cell>
          <cell r="I40">
            <v>42599.308425925927</v>
          </cell>
          <cell r="J40">
            <v>0</v>
          </cell>
          <cell r="K40" t="e">
            <v>#VALUE!</v>
          </cell>
          <cell r="L40" t="e">
            <v>#N/A</v>
          </cell>
          <cell r="M40">
            <v>3.1701388892543036E-2</v>
          </cell>
          <cell r="P40">
            <v>1</v>
          </cell>
          <cell r="R40" t="str">
            <v>Did not init</v>
          </cell>
          <cell r="T40" t="str">
            <v>Southbound</v>
          </cell>
          <cell r="X40">
            <v>1</v>
          </cell>
          <cell r="AD40" t="str">
            <v>0128-17</v>
          </cell>
        </row>
        <row r="41">
          <cell r="A41" t="str">
            <v>129-17</v>
          </cell>
          <cell r="B41">
            <v>4002</v>
          </cell>
          <cell r="C41" t="str">
            <v>DE.1.0.7.0</v>
          </cell>
          <cell r="D41" t="str">
            <v>204:478</v>
          </cell>
          <cell r="E41">
            <v>42599.294166666667</v>
          </cell>
          <cell r="F41">
            <v>42599.295844907407</v>
          </cell>
          <cell r="G41">
            <v>2</v>
          </cell>
          <cell r="H41" t="str">
            <v>204:233318</v>
          </cell>
          <cell r="I41">
            <v>42599.330370370371</v>
          </cell>
          <cell r="J41">
            <v>0</v>
          </cell>
          <cell r="K41" t="str">
            <v>4001/4002</v>
          </cell>
          <cell r="L41" t="str">
            <v>ROCHA</v>
          </cell>
          <cell r="M41">
            <v>3.4525462964666076E-2</v>
          </cell>
          <cell r="N41">
            <v>49.716666669119149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https://search-rtdc-monitor-bjffxe2xuh6vdkpspy63sjmuny.us-east-1.es.amazonaws.com/_plugin/kibana/#/discover/Steve-Slow-Train-Analysis-(2080s-and-2083s)?_g=(refreshInterval:(display:Off,section:0,value:0),time:(from:'2016-08-17 06:03:36-0600',mode:absolute,to:'2016-08-17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1" t="str">
            <v>N</v>
          </cell>
          <cell r="X41">
            <v>1</v>
          </cell>
          <cell r="Y41">
            <v>4.7800000000000002E-2</v>
          </cell>
          <cell r="Z41">
            <v>23.331800000000001</v>
          </cell>
          <cell r="AA41">
            <v>23.284000000000002</v>
          </cell>
          <cell r="AB41" t="e">
            <v>#N/A</v>
          </cell>
          <cell r="AC41" t="e">
            <v>#N/A</v>
          </cell>
          <cell r="AD41" t="str">
            <v>0129-17</v>
          </cell>
          <cell r="AE41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42">
          <cell r="A42" t="str">
            <v>130-17</v>
          </cell>
          <cell r="B42">
            <v>4001</v>
          </cell>
          <cell r="C42" t="str">
            <v>DE.1.0.7.0</v>
          </cell>
          <cell r="D42" t="str">
            <v>204:457</v>
          </cell>
          <cell r="E42">
            <v>42599.275671296295</v>
          </cell>
          <cell r="F42">
            <v>42599.337210648147</v>
          </cell>
          <cell r="G42">
            <v>2</v>
          </cell>
          <cell r="H42" t="str">
            <v>204:233318</v>
          </cell>
          <cell r="I42">
            <v>42599.338900462964</v>
          </cell>
          <cell r="J42">
            <v>0</v>
          </cell>
          <cell r="K42" t="str">
            <v>4001/4002</v>
          </cell>
          <cell r="L42" t="str">
            <v>ROCHA</v>
          </cell>
          <cell r="M42">
            <v>1.6898148169275373E-3</v>
          </cell>
          <cell r="P42">
            <v>2.4333333363756537</v>
          </cell>
          <cell r="R42" t="str">
            <v>Onboard in-route failure</v>
          </cell>
          <cell r="S42">
            <v>0</v>
          </cell>
          <cell r="T42" t="str">
            <v>Southbound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09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2" t="str">
            <v>N</v>
          </cell>
          <cell r="X42">
            <v>1</v>
          </cell>
          <cell r="Y42">
            <v>4.5699999999999998E-2</v>
          </cell>
          <cell r="Z42">
            <v>23.331800000000001</v>
          </cell>
          <cell r="AA42">
            <v>23.286100000000001</v>
          </cell>
          <cell r="AB42" t="e">
            <v>#N/A</v>
          </cell>
          <cell r="AC42" t="e">
            <v>#N/A</v>
          </cell>
          <cell r="AD42" t="str">
            <v>0130-17</v>
          </cell>
          <cell r="AE42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43">
          <cell r="A43" t="str">
            <v>131-17</v>
          </cell>
          <cell r="B43">
            <v>4027</v>
          </cell>
          <cell r="C43" t="str">
            <v>DE.1.0.7.0</v>
          </cell>
          <cell r="D43" t="str">
            <v>204:467</v>
          </cell>
          <cell r="E43">
            <v>42599.305775462963</v>
          </cell>
          <cell r="F43">
            <v>42599.306828703702</v>
          </cell>
          <cell r="G43">
            <v>1</v>
          </cell>
          <cell r="H43" t="str">
            <v>204:233281</v>
          </cell>
          <cell r="I43">
            <v>42599.340833333335</v>
          </cell>
          <cell r="J43">
            <v>0</v>
          </cell>
          <cell r="K43" t="str">
            <v>4027/4028</v>
          </cell>
          <cell r="L43" t="str">
            <v>MAELZER</v>
          </cell>
          <cell r="M43">
            <v>3.4004629633272998E-2</v>
          </cell>
          <cell r="N43">
            <v>48.966666671913117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https://search-rtdc-monitor-bjffxe2xuh6vdkpspy63sjmuny.us-east-1.es.amazonaws.com/_plugin/kibana/#/discover/Steve-Slow-Train-Analysis-(2080s-and-2083s)?_g=(refreshInterval:(display:Off,section:0,value:0),time:(from:'2016-08-17 06:20:19-0600',mode:absolute,to:'2016-08-17 09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3" t="str">
            <v>N</v>
          </cell>
          <cell r="X43">
            <v>1</v>
          </cell>
          <cell r="Y43">
            <v>4.6699999999999998E-2</v>
          </cell>
          <cell r="Z43">
            <v>23.328099999999999</v>
          </cell>
          <cell r="AA43">
            <v>23.281399999999998</v>
          </cell>
          <cell r="AB43" t="e">
            <v>#N/A</v>
          </cell>
          <cell r="AC43" t="e">
            <v>#N/A</v>
          </cell>
          <cell r="AD43" t="str">
            <v>0131-17</v>
          </cell>
          <cell r="AE43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44">
          <cell r="A44" t="str">
            <v>132-17</v>
          </cell>
          <cell r="B44">
            <v>4028</v>
          </cell>
          <cell r="C44" t="str">
            <v>DE.1.0.7.0</v>
          </cell>
          <cell r="D44" t="str">
            <v>204:233004</v>
          </cell>
          <cell r="E44">
            <v>42599.345254629632</v>
          </cell>
          <cell r="F44">
            <v>42599.346134259256</v>
          </cell>
          <cell r="G44">
            <v>1</v>
          </cell>
          <cell r="H44" t="str">
            <v>204:145</v>
          </cell>
          <cell r="I44">
            <v>42599.381354166668</v>
          </cell>
          <cell r="J44">
            <v>0</v>
          </cell>
          <cell r="K44" t="str">
            <v>4027/4028</v>
          </cell>
          <cell r="L44" t="str">
            <v>MAELZER</v>
          </cell>
          <cell r="M44">
            <v>3.5219907411374152E-2</v>
          </cell>
          <cell r="N44">
            <v>50.716666672378778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4" t="str">
            <v>N</v>
          </cell>
          <cell r="X44">
            <v>1</v>
          </cell>
          <cell r="Y44">
            <v>23.3004</v>
          </cell>
          <cell r="Z44">
            <v>1.4500000000000001E-2</v>
          </cell>
          <cell r="AA44">
            <v>23.285899999999998</v>
          </cell>
          <cell r="AB44">
            <v>30970</v>
          </cell>
          <cell r="AC44" t="str">
            <v>GRADE CROSSING</v>
          </cell>
          <cell r="AD44" t="str">
            <v>0132-17</v>
          </cell>
          <cell r="AE4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45">
          <cell r="A45" t="str">
            <v>133-17</v>
          </cell>
          <cell r="B45">
            <v>4018</v>
          </cell>
          <cell r="C45" t="str">
            <v>DE.1.0.7.0</v>
          </cell>
          <cell r="D45" t="str">
            <v>204:446</v>
          </cell>
          <cell r="E45">
            <v>42599.321851851855</v>
          </cell>
          <cell r="F45">
            <v>42599.323530092595</v>
          </cell>
          <cell r="G45">
            <v>2</v>
          </cell>
          <cell r="H45" t="str">
            <v>204:233334</v>
          </cell>
          <cell r="I45">
            <v>42599.358668981484</v>
          </cell>
          <cell r="J45">
            <v>0</v>
          </cell>
          <cell r="K45" t="str">
            <v>4017/4018</v>
          </cell>
          <cell r="L45" t="str">
            <v>BRANNON</v>
          </cell>
          <cell r="M45">
            <v>3.51388888884685E-2</v>
          </cell>
          <cell r="N45">
            <v>50.59999999939464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4.4600000000000001E-2</v>
          </cell>
          <cell r="Z45">
            <v>23.333400000000001</v>
          </cell>
          <cell r="AA45">
            <v>23.288800000000002</v>
          </cell>
          <cell r="AB45">
            <v>27052</v>
          </cell>
          <cell r="AC45" t="str">
            <v>GRADE CROSSING</v>
          </cell>
          <cell r="AD45" t="str">
            <v>0133-17</v>
          </cell>
          <cell r="AE45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46">
          <cell r="A46" t="str">
            <v>134-17</v>
          </cell>
          <cell r="B46">
            <v>4017</v>
          </cell>
          <cell r="C46" t="str">
            <v>DE.1.0.7.0</v>
          </cell>
          <cell r="D46" t="str">
            <v>204:232990</v>
          </cell>
          <cell r="E46">
            <v>42599.36215277778</v>
          </cell>
          <cell r="F46">
            <v>42599.363136574073</v>
          </cell>
          <cell r="G46">
            <v>1</v>
          </cell>
          <cell r="H46" t="str">
            <v>204:138</v>
          </cell>
          <cell r="I46">
            <v>42599.4</v>
          </cell>
          <cell r="J46">
            <v>0</v>
          </cell>
          <cell r="K46" t="str">
            <v>4017/4018</v>
          </cell>
          <cell r="L46" t="str">
            <v>BRANNON</v>
          </cell>
          <cell r="M46">
            <v>3.6863425928459037E-2</v>
          </cell>
          <cell r="N46">
            <v>53.083333336981013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23.298999999999999</v>
          </cell>
          <cell r="Z46">
            <v>1.38E-2</v>
          </cell>
          <cell r="AA46">
            <v>23.2852</v>
          </cell>
          <cell r="AB46">
            <v>42961</v>
          </cell>
          <cell r="AC46" t="str">
            <v>GRADE CROSSING</v>
          </cell>
          <cell r="AD46" t="str">
            <v>0134-17</v>
          </cell>
          <cell r="AE46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47">
          <cell r="A47" t="str">
            <v>135-17</v>
          </cell>
          <cell r="B47">
            <v>4025</v>
          </cell>
          <cell r="C47" t="str">
            <v>DE.1.0.7.0</v>
          </cell>
          <cell r="D47" t="str">
            <v>204:449</v>
          </cell>
          <cell r="E47">
            <v>42599.329814814817</v>
          </cell>
          <cell r="F47">
            <v>42599.331030092595</v>
          </cell>
          <cell r="G47">
            <v>1</v>
          </cell>
          <cell r="H47" t="str">
            <v>204:233300</v>
          </cell>
          <cell r="I47">
            <v>42599.366423611114</v>
          </cell>
          <cell r="J47">
            <v>0</v>
          </cell>
          <cell r="K47" t="str">
            <v>4025/4026</v>
          </cell>
          <cell r="L47" t="str">
            <v>ACKERMAN</v>
          </cell>
          <cell r="M47">
            <v>3.5393518519413192E-2</v>
          </cell>
          <cell r="N47">
            <v>50.966666667954996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47" t="str">
            <v>N</v>
          </cell>
          <cell r="X47">
            <v>1</v>
          </cell>
          <cell r="Y47">
            <v>4.4900000000000002E-2</v>
          </cell>
          <cell r="Z47">
            <v>23.33</v>
          </cell>
          <cell r="AA47">
            <v>23.2851</v>
          </cell>
          <cell r="AB47" t="e">
            <v>#N/A</v>
          </cell>
          <cell r="AC47" t="e">
            <v>#N/A</v>
          </cell>
          <cell r="AD47" t="str">
            <v>0135-17</v>
          </cell>
          <cell r="AE47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48">
          <cell r="A48" t="str">
            <v>136-17</v>
          </cell>
          <cell r="B48">
            <v>4026</v>
          </cell>
          <cell r="C48" t="str">
            <v>DE.1.0.7.0</v>
          </cell>
          <cell r="D48" t="str">
            <v>204:232974</v>
          </cell>
          <cell r="E48">
            <v>42599.367824074077</v>
          </cell>
          <cell r="F48">
            <v>42599.36886574074</v>
          </cell>
          <cell r="G48">
            <v>1</v>
          </cell>
          <cell r="H48" t="str">
            <v>204:145</v>
          </cell>
          <cell r="I48">
            <v>42599.405729166669</v>
          </cell>
          <cell r="J48">
            <v>0</v>
          </cell>
          <cell r="K48" t="str">
            <v>4025/4026</v>
          </cell>
          <cell r="L48" t="str">
            <v>ACKERMAN</v>
          </cell>
          <cell r="M48">
            <v>3.6863425928459037E-2</v>
          </cell>
          <cell r="N48">
            <v>53.083333336981013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https://search-rtdc-monitor-bjffxe2xuh6vdkpspy63sjmuny.us-east-1.es.amazonaws.com/_plugin/kibana/#/discover/Steve-Slow-Train-Analysis-(2080s-and-2083s)?_g=(refreshInterval:(display:Off,section:0,value:0),time:(from:'2016-08-17 07:49:40-0600',mode:absolute,to:'2016-08-17 10:44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48" t="str">
            <v>N</v>
          </cell>
          <cell r="X48">
            <v>1</v>
          </cell>
          <cell r="Y48">
            <v>23.2974</v>
          </cell>
          <cell r="Z48">
            <v>1.4500000000000001E-2</v>
          </cell>
          <cell r="AA48">
            <v>23.282899999999998</v>
          </cell>
          <cell r="AB48" t="e">
            <v>#N/A</v>
          </cell>
          <cell r="AC48" t="e">
            <v>#N/A</v>
          </cell>
          <cell r="AD48" t="str">
            <v>0136-17</v>
          </cell>
          <cell r="AE48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49">
          <cell r="A49" t="str">
            <v>137-17</v>
          </cell>
          <cell r="B49">
            <v>4009</v>
          </cell>
          <cell r="C49" t="str">
            <v>DE.1.0.7.0</v>
          </cell>
          <cell r="D49" t="str">
            <v>204:462</v>
          </cell>
          <cell r="E49">
            <v>42599.336539351854</v>
          </cell>
          <cell r="F49">
            <v>42599.337442129632</v>
          </cell>
          <cell r="G49">
            <v>1</v>
          </cell>
          <cell r="H49" t="str">
            <v>204:233309</v>
          </cell>
          <cell r="I49">
            <v>42599.379374999997</v>
          </cell>
          <cell r="J49">
            <v>0</v>
          </cell>
          <cell r="K49" t="str">
            <v>4009/4010</v>
          </cell>
          <cell r="L49" t="str">
            <v>STRICKLAND</v>
          </cell>
          <cell r="M49">
            <v>4.1932870364689734E-2</v>
          </cell>
          <cell r="N49">
            <v>60.383333325153217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https://search-rtdc-monitor-bjffxe2xuh6vdkpspy63sjmuny.us-east-1.es.amazonaws.com/_plugin/kibana/#/discover/Steve-Slow-Train-Analysis-(2080s-and-2083s)?_g=(refreshInterval:(display:Off,section:0,value:0),time:(from:'2016-08-17 07:04:37-0600',mode:absolute,to:'2016-08-17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9" t="str">
            <v>N</v>
          </cell>
          <cell r="X49">
            <v>1</v>
          </cell>
          <cell r="Y49">
            <v>4.6199999999999998E-2</v>
          </cell>
          <cell r="Z49">
            <v>23.3309</v>
          </cell>
          <cell r="AA49">
            <v>23.284700000000001</v>
          </cell>
          <cell r="AB49" t="e">
            <v>#N/A</v>
          </cell>
          <cell r="AC49" t="e">
            <v>#N/A</v>
          </cell>
          <cell r="AD49" t="str">
            <v>0137-17</v>
          </cell>
          <cell r="AE4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50">
          <cell r="A50" t="str">
            <v>138-17</v>
          </cell>
          <cell r="B50">
            <v>4010</v>
          </cell>
          <cell r="C50" t="str">
            <v>DE.1.0.7.0</v>
          </cell>
          <cell r="D50" t="str">
            <v>204:232971</v>
          </cell>
          <cell r="E50">
            <v>42599.381111111114</v>
          </cell>
          <cell r="F50">
            <v>42599.381886574076</v>
          </cell>
          <cell r="G50">
            <v>1</v>
          </cell>
          <cell r="H50" t="str">
            <v>204:145</v>
          </cell>
          <cell r="I50">
            <v>42599.417013888888</v>
          </cell>
          <cell r="J50">
            <v>0</v>
          </cell>
          <cell r="K50" t="str">
            <v>4009/4010</v>
          </cell>
          <cell r="L50" t="str">
            <v>STRICKLAND</v>
          </cell>
          <cell r="M50">
            <v>3.5127314811688848E-2</v>
          </cell>
          <cell r="N50">
            <v>50.583333328831941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N</v>
          </cell>
          <cell r="X50">
            <v>1</v>
          </cell>
          <cell r="Y50">
            <v>23.2971</v>
          </cell>
          <cell r="Z50">
            <v>1.4500000000000001E-2</v>
          </cell>
          <cell r="AA50">
            <v>23.282599999999999</v>
          </cell>
          <cell r="AB50">
            <v>4677</v>
          </cell>
          <cell r="AC50" t="str">
            <v>PERMANENT SPEED RESTRICTION</v>
          </cell>
          <cell r="AD50" t="str">
            <v>0138-17</v>
          </cell>
          <cell r="AE5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51">
          <cell r="A51" t="str">
            <v>139-17</v>
          </cell>
          <cell r="B51">
            <v>4003</v>
          </cell>
          <cell r="C51" t="str">
            <v>DE.1.0.7.0</v>
          </cell>
          <cell r="D51" t="str">
            <v>204:447</v>
          </cell>
          <cell r="E51">
            <v>42599.349687499998</v>
          </cell>
          <cell r="F51">
            <v>42599.350960648146</v>
          </cell>
          <cell r="G51">
            <v>1</v>
          </cell>
          <cell r="H51" t="str">
            <v>204:233288</v>
          </cell>
          <cell r="I51">
            <v>42599.509652777779</v>
          </cell>
          <cell r="J51">
            <v>0</v>
          </cell>
          <cell r="K51" t="str">
            <v>4003/4004</v>
          </cell>
          <cell r="L51" t="str">
            <v>SPECTOR</v>
          </cell>
          <cell r="M51">
            <v>0.15869212963298196</v>
          </cell>
          <cell r="N51">
            <v>228.51666667149402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https://search-rtdc-monitor-bjffxe2xuh6vdkpspy63sjmuny.us-east-1.es.amazonaws.com/_plugin/kibana/#/discover/Steve-Slow-Train-Analysis-(2080s-and-2083s)?_g=(refreshInterval:(display:Off,section:0,value:0),time:(from:'2016-08-17 07:23:33-0600',mode:absolute,to:'2016-08-17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51" t="str">
            <v>N</v>
          </cell>
          <cell r="X51">
            <v>1</v>
          </cell>
          <cell r="Y51">
            <v>4.4699999999999997E-2</v>
          </cell>
          <cell r="Z51">
            <v>23.328800000000001</v>
          </cell>
          <cell r="AA51">
            <v>23.284100000000002</v>
          </cell>
          <cell r="AB51" t="e">
            <v>#N/A</v>
          </cell>
          <cell r="AC51" t="e">
            <v>#N/A</v>
          </cell>
          <cell r="AD51" t="str">
            <v>0139-17</v>
          </cell>
          <cell r="AE51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52">
          <cell r="A52" t="str">
            <v>140-17</v>
          </cell>
          <cell r="B52">
            <v>4004</v>
          </cell>
          <cell r="C52" t="str">
            <v>DE.1.0.7.0</v>
          </cell>
          <cell r="D52" t="str">
            <v>204:232998</v>
          </cell>
          <cell r="E52">
            <v>42599.396145833336</v>
          </cell>
          <cell r="F52">
            <v>42599.397974537038</v>
          </cell>
          <cell r="G52">
            <v>2</v>
          </cell>
          <cell r="H52" t="str">
            <v>204:1182</v>
          </cell>
          <cell r="I52">
            <v>42599.432546296295</v>
          </cell>
          <cell r="J52">
            <v>0</v>
          </cell>
          <cell r="K52" t="str">
            <v>4003/4004</v>
          </cell>
          <cell r="L52" t="str">
            <v>SPECTOR</v>
          </cell>
          <cell r="M52">
            <v>3.457175925723277E-2</v>
          </cell>
          <cell r="N52">
            <v>49.783333330415189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https://search-rtdc-monitor-bjffxe2xuh6vdkpspy63sjmuny.us-east-1.es.amazonaws.com/_plugin/kibana/#/discover/Steve-Slow-Train-Analysis-(2080s-and-2083s)?_g=(refreshInterval:(display:Off,section:0,value:0),time:(from:'2016-08-17 08:30:27-0600',mode:absolute,to:'2016-08-17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52" t="str">
            <v>N</v>
          </cell>
          <cell r="X52">
            <v>1</v>
          </cell>
          <cell r="Y52">
            <v>23.299800000000001</v>
          </cell>
          <cell r="Z52">
            <v>0.1182</v>
          </cell>
          <cell r="AA52">
            <v>23.1816</v>
          </cell>
          <cell r="AB52" t="e">
            <v>#N/A</v>
          </cell>
          <cell r="AC52" t="e">
            <v>#N/A</v>
          </cell>
          <cell r="AD52" t="str">
            <v>0140-17</v>
          </cell>
          <cell r="AE52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53">
          <cell r="A53" t="str">
            <v>141-17</v>
          </cell>
          <cell r="B53">
            <v>4014</v>
          </cell>
          <cell r="C53" t="str">
            <v>DE.1.0.7.0</v>
          </cell>
          <cell r="D53" t="str">
            <v>204:455</v>
          </cell>
          <cell r="E53">
            <v>42599.362037037034</v>
          </cell>
          <cell r="F53">
            <v>42599.362997685188</v>
          </cell>
          <cell r="G53">
            <v>1</v>
          </cell>
          <cell r="H53" t="str">
            <v>204:233288</v>
          </cell>
          <cell r="I53">
            <v>42599.398414351854</v>
          </cell>
          <cell r="J53">
            <v>0</v>
          </cell>
          <cell r="K53" t="str">
            <v>4013/4014</v>
          </cell>
          <cell r="L53" t="str">
            <v>KILLION</v>
          </cell>
          <cell r="M53">
            <v>3.5416666665696539E-2</v>
          </cell>
          <cell r="N53">
            <v>50.999999998603016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https://search-rtdc-monitor-bjffxe2xuh6vdkpspy63sjmuny.us-east-1.es.amazonaws.com/_plugin/kibana/#/discover/Steve-Slow-Train-Analysis-(2080s-and-2083s)?_g=(refreshInterval:(display:Off,section:0,value:0),time:(from:'2016-08-17 07:41:20-0600',mode:absolute,to:'2016-08-17 10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23.328800000000001</v>
          </cell>
          <cell r="AA53">
            <v>23.283300000000001</v>
          </cell>
          <cell r="AB53" t="e">
            <v>#N/A</v>
          </cell>
          <cell r="AC53" t="e">
            <v>#N/A</v>
          </cell>
          <cell r="AD53" t="str">
            <v>0141-17</v>
          </cell>
          <cell r="AE5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54">
          <cell r="A54" t="str">
            <v>142-17</v>
          </cell>
          <cell r="B54">
            <v>4013</v>
          </cell>
          <cell r="C54" t="str">
            <v>DE.1.0.7.0</v>
          </cell>
          <cell r="D54" t="str">
            <v>204:232980</v>
          </cell>
          <cell r="E54">
            <v>42599.40353009259</v>
          </cell>
          <cell r="F54">
            <v>42599.404363425929</v>
          </cell>
          <cell r="G54">
            <v>1</v>
          </cell>
          <cell r="H54" t="str">
            <v>204:149</v>
          </cell>
          <cell r="I54">
            <v>42599.437164351853</v>
          </cell>
          <cell r="J54">
            <v>0</v>
          </cell>
          <cell r="K54" t="str">
            <v>4013/4014</v>
          </cell>
          <cell r="L54" t="str">
            <v>KILLION</v>
          </cell>
          <cell r="M54">
            <v>3.2800925924675539E-2</v>
          </cell>
          <cell r="N54">
            <v>47.233333331532776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4" t="str">
            <v>N</v>
          </cell>
          <cell r="X54">
            <v>1</v>
          </cell>
          <cell r="Y54">
            <v>23.297999999999998</v>
          </cell>
          <cell r="Z54">
            <v>1.49E-2</v>
          </cell>
          <cell r="AA54">
            <v>23.283099999999997</v>
          </cell>
          <cell r="AB54" t="e">
            <v>#N/A</v>
          </cell>
          <cell r="AC54" t="e">
            <v>#N/A</v>
          </cell>
          <cell r="AD54" t="str">
            <v>0142-17</v>
          </cell>
          <cell r="AE5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55">
          <cell r="A55" t="str">
            <v>143-17</v>
          </cell>
          <cell r="B55">
            <v>4020</v>
          </cell>
          <cell r="C55" t="str">
            <v>DE.1.0.7.0</v>
          </cell>
          <cell r="D55" t="str">
            <v>204:442</v>
          </cell>
          <cell r="E55">
            <v>42599.368321759262</v>
          </cell>
          <cell r="F55">
            <v>42599.369560185187</v>
          </cell>
          <cell r="G55">
            <v>1</v>
          </cell>
          <cell r="H55" t="str">
            <v>204:233282</v>
          </cell>
          <cell r="I55">
            <v>42599.411562499998</v>
          </cell>
          <cell r="J55">
            <v>0</v>
          </cell>
          <cell r="K55" t="str">
            <v>4019/4020</v>
          </cell>
          <cell r="L55" t="str">
            <v>ROCHA</v>
          </cell>
          <cell r="M55">
            <v>4.2002314810815733E-2</v>
          </cell>
          <cell r="N55">
            <v>60.483333327574655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https://search-rtdc-monitor-bjffxe2xuh6vdkpspy63sjmuny.us-east-1.es.amazonaws.com/_plugin/kibana/#/discover/Steve-Slow-Train-Analysis-(2080s-and-2083s)?_g=(refreshInterval:(display:Off,section:0,value:0),time:(from:'2016-08-17 07:50:23-0600',mode:absolute,to:'2016-08-17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5" t="str">
            <v>N</v>
          </cell>
          <cell r="X55">
            <v>1</v>
          </cell>
          <cell r="Y55">
            <v>4.4200000000000003E-2</v>
          </cell>
          <cell r="Z55">
            <v>23.328199999999999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0143-17</v>
          </cell>
          <cell r="AE55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56">
          <cell r="A56" t="str">
            <v>144-17</v>
          </cell>
          <cell r="B56">
            <v>4019</v>
          </cell>
          <cell r="C56" t="str">
            <v>DE.1.0.7.0</v>
          </cell>
          <cell r="D56" t="str">
            <v>204:232975</v>
          </cell>
          <cell r="E56">
            <v>42599.414074074077</v>
          </cell>
          <cell r="F56">
            <v>42599.415312500001</v>
          </cell>
          <cell r="G56">
            <v>1</v>
          </cell>
          <cell r="H56" t="str">
            <v>204:154</v>
          </cell>
          <cell r="I56">
            <v>42599.449259259258</v>
          </cell>
          <cell r="J56">
            <v>0</v>
          </cell>
          <cell r="K56" t="str">
            <v>4019/4020</v>
          </cell>
          <cell r="L56" t="str">
            <v>ROCHA</v>
          </cell>
          <cell r="M56">
            <v>3.3946759256650694E-2</v>
          </cell>
          <cell r="N56">
            <v>48.883333329576999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https://search-rtdc-monitor-bjffxe2xuh6vdkpspy63sjmuny.us-east-1.es.amazonaws.com/_plugin/kibana/#/discover/Steve-Slow-Train-Analysis-(2080s-and-2083s)?_g=(refreshInterval:(display:Off,section:0,value:0),time:(from:'2016-08-17 08:56:16-0600',mode:absolute,to:'2016-08-17 11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6" t="str">
            <v>N</v>
          </cell>
          <cell r="X56">
            <v>1</v>
          </cell>
          <cell r="Y56">
            <v>23.297499999999999</v>
          </cell>
          <cell r="Z56">
            <v>1.54E-2</v>
          </cell>
          <cell r="AA56">
            <v>23.2821</v>
          </cell>
          <cell r="AB56" t="e">
            <v>#N/A</v>
          </cell>
          <cell r="AC56" t="e">
            <v>#N/A</v>
          </cell>
          <cell r="AD56" t="str">
            <v>0144-17</v>
          </cell>
          <cell r="AE56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57">
          <cell r="A57" t="str">
            <v>145-17</v>
          </cell>
          <cell r="B57">
            <v>4027</v>
          </cell>
          <cell r="C57" t="str">
            <v>DE.1.0.7.0</v>
          </cell>
          <cell r="D57" t="str">
            <v>204:449</v>
          </cell>
          <cell r="E57">
            <v>42599.383032407408</v>
          </cell>
          <cell r="F57">
            <v>42599.384606481479</v>
          </cell>
          <cell r="G57">
            <v>2</v>
          </cell>
          <cell r="H57" t="str">
            <v>204:233325</v>
          </cell>
          <cell r="I57">
            <v>42599.414224537039</v>
          </cell>
          <cell r="J57">
            <v>0</v>
          </cell>
          <cell r="K57" t="str">
            <v>4027/4028</v>
          </cell>
          <cell r="L57" t="str">
            <v>MAELZER</v>
          </cell>
          <cell r="M57">
            <v>2.9618055559694767E-2</v>
          </cell>
          <cell r="N57">
            <v>42.650000005960464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https://search-rtdc-monitor-bjffxe2xuh6vdkpspy63sjmuny.us-east-1.es.amazonaws.com/_plugin/kibana/#/discover/Steve-Slow-Train-Analysis-(2080s-and-2083s)?_g=(refreshInterval:(display:Off,section:0,value:0),time:(from:'2016-08-17 08:11:34-0600',mode:absolute,to:'2016-08-17 10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7" t="str">
            <v>N</v>
          </cell>
          <cell r="X57">
            <v>1</v>
          </cell>
          <cell r="Y57">
            <v>4.4900000000000002E-2</v>
          </cell>
          <cell r="Z57">
            <v>23.3325</v>
          </cell>
          <cell r="AA57">
            <v>23.287600000000001</v>
          </cell>
          <cell r="AB57" t="e">
            <v>#N/A</v>
          </cell>
          <cell r="AC57" t="e">
            <v>#N/A</v>
          </cell>
          <cell r="AD57" t="str">
            <v>0145-17</v>
          </cell>
          <cell r="AE57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58">
          <cell r="A58" t="str">
            <v>146-17</v>
          </cell>
          <cell r="B58">
            <v>4028</v>
          </cell>
          <cell r="C58" t="str">
            <v>DE.1.0.7.0</v>
          </cell>
          <cell r="D58" t="str">
            <v>204:232998</v>
          </cell>
          <cell r="E58">
            <v>42599.419189814813</v>
          </cell>
          <cell r="F58">
            <v>42599.420243055552</v>
          </cell>
          <cell r="G58">
            <v>1</v>
          </cell>
          <cell r="H58" t="str">
            <v>204:172</v>
          </cell>
          <cell r="I58">
            <v>42599.456597222219</v>
          </cell>
          <cell r="J58">
            <v>0</v>
          </cell>
          <cell r="K58" t="str">
            <v>4027/4028</v>
          </cell>
          <cell r="L58" t="str">
            <v>MAELZER</v>
          </cell>
          <cell r="M58">
            <v>3.6354166666569654E-2</v>
          </cell>
          <cell r="N58">
            <v>52.349999999860302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58" t="str">
            <v>N</v>
          </cell>
          <cell r="X58">
            <v>1</v>
          </cell>
          <cell r="Y58">
            <v>23.299800000000001</v>
          </cell>
          <cell r="Z58">
            <v>1.72E-2</v>
          </cell>
          <cell r="AA58">
            <v>23.282600000000002</v>
          </cell>
          <cell r="AB58">
            <v>42961</v>
          </cell>
          <cell r="AC58" t="str">
            <v>GRADE CROSSING</v>
          </cell>
          <cell r="AD58" t="str">
            <v>0146-17</v>
          </cell>
          <cell r="AE58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59">
          <cell r="A59" t="str">
            <v>147-17</v>
          </cell>
          <cell r="B59">
            <v>4018</v>
          </cell>
          <cell r="C59" t="str">
            <v>DE.1.0.7.0</v>
          </cell>
          <cell r="D59" t="str">
            <v>204:478</v>
          </cell>
          <cell r="E59">
            <v>42599.400682870371</v>
          </cell>
          <cell r="F59">
            <v>42599.401944444442</v>
          </cell>
          <cell r="G59">
            <v>1</v>
          </cell>
          <cell r="H59" t="str">
            <v>204:33194</v>
          </cell>
          <cell r="I59">
            <v>42599.413124999999</v>
          </cell>
          <cell r="J59">
            <v>0</v>
          </cell>
          <cell r="K59" t="str">
            <v>4017/4018</v>
          </cell>
          <cell r="L59" t="str">
            <v>BRANNON</v>
          </cell>
          <cell r="M59">
            <v>1.1180555557075422E-2</v>
          </cell>
          <cell r="P59">
            <v>16.100000002188608</v>
          </cell>
          <cell r="R59" t="str">
            <v>Onboard in-route failure</v>
          </cell>
          <cell r="S59">
            <v>0.16666666666666666</v>
          </cell>
          <cell r="T59" t="str">
            <v>NorthBound</v>
          </cell>
          <cell r="U59">
            <v>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https://search-rtdc-monitor-bjffxe2xuh6vdkpspy63sjmuny.us-east-1.es.amazonaws.com/_plugin/kibana/#/discover/Steve-Slow-Train-Analysis-(2080s-and-2083s)?_g=(refreshInterval:(display:Off,section:0,value:0),time:(from:'2016-08-17 08:36:59-0600',mode:absolute,to:'2016-08-17 10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9" t="str">
            <v>Y</v>
          </cell>
          <cell r="X59">
            <v>1</v>
          </cell>
          <cell r="Y59">
            <v>4.7800000000000002E-2</v>
          </cell>
          <cell r="Z59">
            <v>3.3193999999999999</v>
          </cell>
          <cell r="AA59">
            <v>3.2715999999999998</v>
          </cell>
          <cell r="AB59" t="e">
            <v>#N/A</v>
          </cell>
          <cell r="AC59" t="e">
            <v>#N/A</v>
          </cell>
          <cell r="AD59" t="str">
            <v>0147-17</v>
          </cell>
          <cell r="AE59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60">
          <cell r="A60" t="str">
            <v>148-17</v>
          </cell>
          <cell r="B60">
            <v>4017</v>
          </cell>
          <cell r="C60" t="str">
            <v>DE.1.0.7.0</v>
          </cell>
          <cell r="D60" t="str">
            <v>204:232973</v>
          </cell>
          <cell r="E60">
            <v>42599.442662037036</v>
          </cell>
          <cell r="F60">
            <v>42599.443749999999</v>
          </cell>
          <cell r="G60">
            <v>1</v>
          </cell>
          <cell r="H60" t="str">
            <v>204:154</v>
          </cell>
          <cell r="I60">
            <v>42599.691631944443</v>
          </cell>
          <cell r="J60">
            <v>0</v>
          </cell>
          <cell r="K60" t="str">
            <v>4017/4018</v>
          </cell>
          <cell r="L60" t="str">
            <v>BRANNON</v>
          </cell>
          <cell r="M60">
            <v>0.24788194444408873</v>
          </cell>
          <cell r="N60">
            <v>356.94999999948777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https://search-rtdc-monitor-bjffxe2xuh6vdkpspy63sjmuny.us-east-1.es.amazonaws.com/_plugin/kibana/#/discover/Steve-Slow-Train-Analysis-(2080s-and-2083s)?_g=(refreshInterval:(display:Off,section:0,value:0),time:(from:'2016-08-17 09:37:26-0600',mode:absolute,to:'2016-08-17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0" t="str">
            <v>N</v>
          </cell>
          <cell r="X60">
            <v>1</v>
          </cell>
          <cell r="Y60">
            <v>23.2973</v>
          </cell>
          <cell r="Z60">
            <v>1.54E-2</v>
          </cell>
          <cell r="AA60">
            <v>23.2819</v>
          </cell>
          <cell r="AB60" t="e">
            <v>#N/A</v>
          </cell>
          <cell r="AC60" t="e">
            <v>#N/A</v>
          </cell>
          <cell r="AD60" t="str">
            <v>0148-17</v>
          </cell>
          <cell r="AE60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61">
          <cell r="A61" t="str">
            <v>149-17</v>
          </cell>
          <cell r="B61">
            <v>4025</v>
          </cell>
          <cell r="C61" t="str">
            <v>DE.1.0.7.0</v>
          </cell>
          <cell r="D61" t="str">
            <v>204:444</v>
          </cell>
          <cell r="E61">
            <v>42599.409050925926</v>
          </cell>
          <cell r="F61">
            <v>42599.410162037035</v>
          </cell>
          <cell r="G61">
            <v>1</v>
          </cell>
          <cell r="H61" t="str">
            <v>204:233314</v>
          </cell>
          <cell r="I61">
            <v>42599.448738425926</v>
          </cell>
          <cell r="J61">
            <v>0</v>
          </cell>
          <cell r="K61" t="str">
            <v>4025/4026</v>
          </cell>
          <cell r="L61" t="str">
            <v>ACKERMAN</v>
          </cell>
          <cell r="M61">
            <v>3.8576388891669922E-2</v>
          </cell>
          <cell r="N61">
            <v>55.550000004004687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https://search-rtdc-monitor-bjffxe2xuh6vdkpspy63sjmuny.us-east-1.es.amazonaws.com/_plugin/kibana/#/discover/Steve-Slow-Train-Analysis-(2080s-and-2083s)?_g=(refreshInterval:(display:Off,section:0,value:0),time:(from:'2016-08-17 08:49:02-0600',mode:absolute,to:'2016-08-17 11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61" t="str">
            <v>N</v>
          </cell>
          <cell r="X61">
            <v>1</v>
          </cell>
          <cell r="Y61">
            <v>4.4400000000000002E-2</v>
          </cell>
          <cell r="Z61">
            <v>23.331399999999999</v>
          </cell>
          <cell r="AA61">
            <v>23.286999999999999</v>
          </cell>
          <cell r="AB61" t="e">
            <v>#N/A</v>
          </cell>
          <cell r="AC61" t="e">
            <v>#N/A</v>
          </cell>
          <cell r="AD61" t="str">
            <v>0149-17</v>
          </cell>
          <cell r="AE61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62">
          <cell r="A62" t="str">
            <v>150-17</v>
          </cell>
          <cell r="B62">
            <v>4026</v>
          </cell>
          <cell r="C62" t="str">
            <v>DE.1.0.7.0</v>
          </cell>
          <cell r="D62" t="str">
            <v>204:232985</v>
          </cell>
          <cell r="E62">
            <v>42599.45</v>
          </cell>
          <cell r="F62">
            <v>42599.450787037036</v>
          </cell>
          <cell r="G62">
            <v>1</v>
          </cell>
          <cell r="H62" t="str">
            <v>204:134</v>
          </cell>
          <cell r="I62">
            <v>42599.487951388888</v>
          </cell>
          <cell r="J62">
            <v>0</v>
          </cell>
          <cell r="K62" t="str">
            <v>4025/4026</v>
          </cell>
          <cell r="L62" t="str">
            <v>ACKERMAN</v>
          </cell>
          <cell r="M62">
            <v>3.7164351851970423E-2</v>
          </cell>
          <cell r="N62">
            <v>53.516666666837409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https://search-rtdc-monitor-bjffxe2xuh6vdkpspy63sjmuny.us-east-1.es.amazonaws.com/_plugin/kibana/#/discover/Steve-Slow-Train-Analysis-(2080s-and-2083s)?_g=(refreshInterval:(display:Off,section:0,value:0),time:(from:'2016-08-17 09:48:00-0600',mode:absolute,to:'2016-08-17 12:42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62" t="str">
            <v>N</v>
          </cell>
          <cell r="X62">
            <v>1</v>
          </cell>
          <cell r="Y62">
            <v>23.298500000000001</v>
          </cell>
          <cell r="Z62">
            <v>1.34E-2</v>
          </cell>
          <cell r="AA62">
            <v>23.2851</v>
          </cell>
          <cell r="AB62" t="e">
            <v>#N/A</v>
          </cell>
          <cell r="AC62" t="e">
            <v>#N/A</v>
          </cell>
          <cell r="AD62" t="str">
            <v>0150-17</v>
          </cell>
          <cell r="AE62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63">
          <cell r="A63" t="str">
            <v>151-17</v>
          </cell>
          <cell r="B63" t="str">
            <v>-</v>
          </cell>
          <cell r="C63" t="str">
            <v>DE.1.0.7.0</v>
          </cell>
          <cell r="D63" t="str">
            <v>204:457</v>
          </cell>
          <cell r="E63">
            <v>42599.275671296295</v>
          </cell>
          <cell r="F63">
            <v>42599.276724537034</v>
          </cell>
          <cell r="G63">
            <v>1</v>
          </cell>
          <cell r="H63" t="str">
            <v>204:233190</v>
          </cell>
          <cell r="I63">
            <v>42599.308425925927</v>
          </cell>
          <cell r="J63">
            <v>0</v>
          </cell>
          <cell r="K63" t="e">
            <v>#VALUE!</v>
          </cell>
          <cell r="L63" t="e">
            <v>#N/A</v>
          </cell>
          <cell r="M63">
            <v>3.1701388892543036E-2</v>
          </cell>
          <cell r="P63">
            <v>1</v>
          </cell>
          <cell r="R63" t="str">
            <v>Did not init</v>
          </cell>
          <cell r="T63" t="str">
            <v>NorthBound</v>
          </cell>
          <cell r="X63">
            <v>1</v>
          </cell>
          <cell r="AD63" t="str">
            <v>0151-17</v>
          </cell>
        </row>
        <row r="64">
          <cell r="A64" t="str">
            <v>152-17</v>
          </cell>
          <cell r="B64" t="str">
            <v>-</v>
          </cell>
          <cell r="C64" t="str">
            <v>DE.1.0.7.0</v>
          </cell>
          <cell r="D64" t="str">
            <v>204:457</v>
          </cell>
          <cell r="E64">
            <v>42599.275671296295</v>
          </cell>
          <cell r="F64">
            <v>42599.276724537034</v>
          </cell>
          <cell r="G64">
            <v>1</v>
          </cell>
          <cell r="H64" t="str">
            <v>204:233190</v>
          </cell>
          <cell r="I64">
            <v>42599.308425925927</v>
          </cell>
          <cell r="J64">
            <v>0</v>
          </cell>
          <cell r="K64" t="e">
            <v>#VALUE!</v>
          </cell>
          <cell r="L64" t="e">
            <v>#N/A</v>
          </cell>
          <cell r="M64">
            <v>3.1701388892543036E-2</v>
          </cell>
          <cell r="P64">
            <v>1</v>
          </cell>
          <cell r="R64" t="str">
            <v>Did not init</v>
          </cell>
          <cell r="T64" t="str">
            <v>Southbound</v>
          </cell>
          <cell r="X64">
            <v>1</v>
          </cell>
          <cell r="AD64" t="str">
            <v>0152-17</v>
          </cell>
        </row>
        <row r="65">
          <cell r="A65" t="str">
            <v>153-17</v>
          </cell>
          <cell r="B65">
            <v>4009</v>
          </cell>
          <cell r="C65" t="str">
            <v>DE.1.0.7.0</v>
          </cell>
          <cell r="D65" t="str">
            <v>204:449</v>
          </cell>
          <cell r="E65">
            <v>42599.41982638889</v>
          </cell>
          <cell r="F65">
            <v>42599.421851851854</v>
          </cell>
          <cell r="G65">
            <v>2</v>
          </cell>
          <cell r="H65" t="str">
            <v>204:232786</v>
          </cell>
          <cell r="I65">
            <v>42599.458854166667</v>
          </cell>
          <cell r="J65">
            <v>0</v>
          </cell>
          <cell r="K65" t="str">
            <v>4009/4010</v>
          </cell>
          <cell r="L65" t="str">
            <v>STRICKLAND</v>
          </cell>
          <cell r="M65">
            <v>3.7002314813435078E-2</v>
          </cell>
          <cell r="N65">
            <v>53.283333331346512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5" t="str">
            <v>N</v>
          </cell>
          <cell r="X65">
            <v>1</v>
          </cell>
          <cell r="Y65">
            <v>4.4900000000000002E-2</v>
          </cell>
          <cell r="Z65">
            <v>23.278600000000001</v>
          </cell>
          <cell r="AA65">
            <v>23.233700000000002</v>
          </cell>
          <cell r="AB65" t="e">
            <v>#N/A</v>
          </cell>
          <cell r="AC65" t="e">
            <v>#N/A</v>
          </cell>
          <cell r="AD65" t="str">
            <v>0153-17</v>
          </cell>
          <cell r="AE65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66">
          <cell r="A66" t="str">
            <v>154-17</v>
          </cell>
          <cell r="B66">
            <v>4010</v>
          </cell>
          <cell r="C66" t="str">
            <v>DE.1.0.7.0</v>
          </cell>
          <cell r="D66" t="str">
            <v>204:232961</v>
          </cell>
          <cell r="E66">
            <v>42599.461724537039</v>
          </cell>
          <cell r="F66">
            <v>42599.462604166663</v>
          </cell>
          <cell r="G66">
            <v>1</v>
          </cell>
          <cell r="H66" t="str">
            <v>204:147</v>
          </cell>
          <cell r="I66">
            <v>42599.499050925922</v>
          </cell>
          <cell r="J66">
            <v>0</v>
          </cell>
          <cell r="K66" t="str">
            <v>4009/4010</v>
          </cell>
          <cell r="L66" t="str">
            <v>STRICKLAND</v>
          </cell>
          <cell r="M66">
            <v>3.6446759258979E-2</v>
          </cell>
          <cell r="N66">
            <v>52.48333333292976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6" t="str">
            <v>N</v>
          </cell>
          <cell r="X66">
            <v>1</v>
          </cell>
          <cell r="Y66">
            <v>23.296099999999999</v>
          </cell>
          <cell r="Z66">
            <v>1.47E-2</v>
          </cell>
          <cell r="AA66">
            <v>23.281399999999998</v>
          </cell>
          <cell r="AB66">
            <v>30970</v>
          </cell>
          <cell r="AC66" t="str">
            <v>GRADE CROSSING</v>
          </cell>
          <cell r="AD66" t="str">
            <v>0154-17</v>
          </cell>
          <cell r="AE66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67">
          <cell r="A67" t="str">
            <v>155-17</v>
          </cell>
          <cell r="B67">
            <v>4002</v>
          </cell>
          <cell r="C67" t="str">
            <v>DE.1.0.7.0</v>
          </cell>
          <cell r="D67" t="str">
            <v>204:458</v>
          </cell>
          <cell r="E67">
            <v>42599.432569444441</v>
          </cell>
          <cell r="F67">
            <v>42599.433738425927</v>
          </cell>
          <cell r="G67">
            <v>1</v>
          </cell>
          <cell r="H67" t="str">
            <v>204:233289</v>
          </cell>
          <cell r="I67">
            <v>42599.470358796294</v>
          </cell>
          <cell r="J67">
            <v>0</v>
          </cell>
          <cell r="K67" t="str">
            <v>4001/4002</v>
          </cell>
          <cell r="L67" t="str">
            <v>STARKS</v>
          </cell>
          <cell r="M67">
            <v>3.662037036701804E-2</v>
          </cell>
          <cell r="N67">
            <v>52.733333328505978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67" t="str">
            <v>N</v>
          </cell>
          <cell r="X67">
            <v>1</v>
          </cell>
          <cell r="Y67">
            <v>4.58E-2</v>
          </cell>
          <cell r="Z67">
            <v>23.328900000000001</v>
          </cell>
          <cell r="AA67">
            <v>23.283100000000001</v>
          </cell>
          <cell r="AB67">
            <v>42779</v>
          </cell>
          <cell r="AC67" t="str">
            <v>GRADE CROSSING</v>
          </cell>
          <cell r="AD67" t="str">
            <v>0155-17</v>
          </cell>
          <cell r="AE67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68">
          <cell r="A68" t="str">
            <v>156-17</v>
          </cell>
          <cell r="B68">
            <v>4001</v>
          </cell>
          <cell r="C68" t="str">
            <v>DE.1.0.7.0</v>
          </cell>
          <cell r="D68" t="str">
            <v>204:232987</v>
          </cell>
          <cell r="E68">
            <v>42599.475729166668</v>
          </cell>
          <cell r="F68">
            <v>42599.476574074077</v>
          </cell>
          <cell r="G68">
            <v>1</v>
          </cell>
          <cell r="H68" t="str">
            <v>204:260</v>
          </cell>
          <cell r="I68">
            <v>42599.508402777778</v>
          </cell>
          <cell r="J68">
            <v>0</v>
          </cell>
          <cell r="K68" t="str">
            <v>4001/4002</v>
          </cell>
          <cell r="L68" t="str">
            <v>STARKS</v>
          </cell>
          <cell r="M68">
            <v>3.1828703700739425E-2</v>
          </cell>
          <cell r="N68">
            <v>45.833333329064772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68" t="str">
            <v>N</v>
          </cell>
          <cell r="X68">
            <v>1</v>
          </cell>
          <cell r="Y68">
            <v>23.2987</v>
          </cell>
          <cell r="Z68">
            <v>2.5999999999999999E-2</v>
          </cell>
          <cell r="AA68">
            <v>23.2727</v>
          </cell>
          <cell r="AB68" t="e">
            <v>#N/A</v>
          </cell>
          <cell r="AC68" t="e">
            <v>#N/A</v>
          </cell>
          <cell r="AD68" t="str">
            <v>0156-17</v>
          </cell>
          <cell r="AE68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69">
          <cell r="A69" t="str">
            <v>157-17</v>
          </cell>
          <cell r="B69">
            <v>4014</v>
          </cell>
          <cell r="C69" t="str">
            <v>DE.1.0.7.0</v>
          </cell>
          <cell r="D69" t="str">
            <v>204:473</v>
          </cell>
          <cell r="E69">
            <v>42599.438437500001</v>
          </cell>
          <cell r="F69">
            <v>42599.439432870371</v>
          </cell>
          <cell r="G69">
            <v>1</v>
          </cell>
          <cell r="H69" t="str">
            <v>204:233295</v>
          </cell>
          <cell r="I69">
            <v>42599.480787037035</v>
          </cell>
          <cell r="J69">
            <v>0</v>
          </cell>
          <cell r="K69" t="str">
            <v>4013/4014</v>
          </cell>
          <cell r="L69" t="str">
            <v>KILLION</v>
          </cell>
          <cell r="M69">
            <v>4.1354166663950309E-2</v>
          </cell>
          <cell r="N69">
            <v>59.549999996088445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https://search-rtdc-monitor-bjffxe2xuh6vdkpspy63sjmuny.us-east-1.es.amazonaws.com/_plugin/kibana/#/discover/Steve-Slow-Train-Analysis-(2080s-and-2083s)?_g=(refreshInterval:(display:Off,section:0,value:0),time:(from:'2016-08-17 09:31:21-0600',mode:absolute,to:'2016-08-17 12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9" t="str">
            <v>N</v>
          </cell>
          <cell r="X69">
            <v>1</v>
          </cell>
          <cell r="Y69">
            <v>4.7300000000000002E-2</v>
          </cell>
          <cell r="Z69">
            <v>23.329499999999999</v>
          </cell>
          <cell r="AA69">
            <v>23.2822</v>
          </cell>
          <cell r="AB69" t="e">
            <v>#N/A</v>
          </cell>
          <cell r="AC69" t="e">
            <v>#N/A</v>
          </cell>
          <cell r="AD69" t="str">
            <v>0157-17</v>
          </cell>
          <cell r="AE69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70">
          <cell r="A70" t="str">
            <v>158-17</v>
          </cell>
          <cell r="B70">
            <v>4013</v>
          </cell>
          <cell r="C70" t="str">
            <v>DE.1.0.7.0</v>
          </cell>
          <cell r="D70" t="str">
            <v>204:232963</v>
          </cell>
          <cell r="E70">
            <v>42599.486203703702</v>
          </cell>
          <cell r="F70">
            <v>42599.487256944441</v>
          </cell>
          <cell r="G70">
            <v>1</v>
          </cell>
          <cell r="H70" t="str">
            <v>204:134</v>
          </cell>
          <cell r="I70">
            <v>42599.518287037034</v>
          </cell>
          <cell r="J70">
            <v>0</v>
          </cell>
          <cell r="K70" t="str">
            <v>4013/4014</v>
          </cell>
          <cell r="L70" t="str">
            <v>KILLION</v>
          </cell>
          <cell r="M70">
            <v>3.1030092592118308E-2</v>
          </cell>
          <cell r="N70">
            <v>44.683333332650363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0" t="str">
            <v>N</v>
          </cell>
          <cell r="X70">
            <v>1</v>
          </cell>
          <cell r="Y70">
            <v>23.296299999999999</v>
          </cell>
          <cell r="Z70">
            <v>1.34E-2</v>
          </cell>
          <cell r="AA70">
            <v>23.282899999999998</v>
          </cell>
          <cell r="AB70" t="e">
            <v>#N/A</v>
          </cell>
          <cell r="AC70" t="e">
            <v>#N/A</v>
          </cell>
          <cell r="AD70" t="str">
            <v>0158-17</v>
          </cell>
          <cell r="AE70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71">
          <cell r="A71" t="str">
            <v>159-17</v>
          </cell>
          <cell r="B71">
            <v>4020</v>
          </cell>
          <cell r="C71" t="str">
            <v>DE.1.0.7.0</v>
          </cell>
          <cell r="D71" t="str">
            <v>204:422</v>
          </cell>
          <cell r="E71">
            <v>42599.453344907408</v>
          </cell>
          <cell r="F71">
            <v>42599.454675925925</v>
          </cell>
          <cell r="G71">
            <v>1</v>
          </cell>
          <cell r="H71" t="str">
            <v>204:233291</v>
          </cell>
          <cell r="I71">
            <v>42599.491736111115</v>
          </cell>
          <cell r="J71">
            <v>0</v>
          </cell>
          <cell r="K71" t="str">
            <v>4019/4020</v>
          </cell>
          <cell r="L71" t="str">
            <v>BONDS</v>
          </cell>
          <cell r="M71">
            <v>3.7060185190057382E-2</v>
          </cell>
          <cell r="N71">
            <v>53.36666667368263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https://search-rtdc-monitor-bjffxe2xuh6vdkpspy63sjmuny.us-east-1.es.amazonaws.com/_plugin/kibana/#/discover/Steve-Slow-Train-Analysis-(2080s-and-2083s)?_g=(refreshInterval:(display:Off,section:0,value:0),time:(from:'2016-08-17 09:52:49-0600',mode:absolute,to:'2016-08-17 12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71" t="str">
            <v>N</v>
          </cell>
          <cell r="X71">
            <v>1</v>
          </cell>
          <cell r="Y71">
            <v>4.2200000000000001E-2</v>
          </cell>
          <cell r="Z71">
            <v>23.3291</v>
          </cell>
          <cell r="AA71">
            <v>23.286899999999999</v>
          </cell>
          <cell r="AB71" t="e">
            <v>#N/A</v>
          </cell>
          <cell r="AC71" t="e">
            <v>#N/A</v>
          </cell>
          <cell r="AD71" t="str">
            <v>0159-17</v>
          </cell>
          <cell r="AE71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72">
          <cell r="A72" t="str">
            <v>160-17</v>
          </cell>
          <cell r="B72">
            <v>4019</v>
          </cell>
          <cell r="C72" t="str">
            <v>DE.1.0.7.0</v>
          </cell>
          <cell r="D72" t="str">
            <v>204:232973</v>
          </cell>
          <cell r="E72">
            <v>42599.496724537035</v>
          </cell>
          <cell r="F72">
            <v>42599.497488425928</v>
          </cell>
          <cell r="G72">
            <v>1</v>
          </cell>
          <cell r="H72" t="str">
            <v>204:147</v>
          </cell>
          <cell r="I72">
            <v>42599.528344907405</v>
          </cell>
          <cell r="J72">
            <v>0</v>
          </cell>
          <cell r="K72" t="str">
            <v>4019/4020</v>
          </cell>
          <cell r="L72" t="str">
            <v>BONDS</v>
          </cell>
          <cell r="M72">
            <v>3.085648147680331E-2</v>
          </cell>
          <cell r="N72">
            <v>44.433333326596767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https://search-rtdc-monitor-bjffxe2xuh6vdkpspy63sjmuny.us-east-1.es.amazonaws.com/_plugin/kibana/#/discover/Steve-Slow-Train-Analysis-(2080s-and-2083s)?_g=(refreshInterval:(display:Off,section:0,value:0),time:(from:'2016-08-17 10:55:17-0600',mode:absolute,to:'2016-08-17 13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2" t="str">
            <v>N</v>
          </cell>
          <cell r="X72">
            <v>1</v>
          </cell>
          <cell r="Y72">
            <v>23.2973</v>
          </cell>
          <cell r="Z72">
            <v>1.47E-2</v>
          </cell>
          <cell r="AA72">
            <v>23.282599999999999</v>
          </cell>
          <cell r="AB72" t="e">
            <v>#N/A</v>
          </cell>
          <cell r="AC72" t="e">
            <v>#N/A</v>
          </cell>
          <cell r="AD72" t="str">
            <v>0160-17</v>
          </cell>
          <cell r="AE72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73">
          <cell r="A73" t="str">
            <v>161-17</v>
          </cell>
          <cell r="B73">
            <v>4027</v>
          </cell>
          <cell r="C73" t="str">
            <v>DE.1.0.7.0</v>
          </cell>
          <cell r="D73" t="str">
            <v>204:447</v>
          </cell>
          <cell r="E73">
            <v>42599.459837962961</v>
          </cell>
          <cell r="F73">
            <v>42599.461238425924</v>
          </cell>
          <cell r="G73">
            <v>2</v>
          </cell>
          <cell r="H73" t="str">
            <v>204:233295</v>
          </cell>
          <cell r="I73">
            <v>42599.495497685188</v>
          </cell>
          <cell r="J73">
            <v>0</v>
          </cell>
          <cell r="K73" t="str">
            <v>4027/4028</v>
          </cell>
          <cell r="L73" t="str">
            <v>YORK</v>
          </cell>
          <cell r="M73">
            <v>3.425925926421769E-2</v>
          </cell>
          <cell r="N73">
            <v>49.333333340473473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https://search-rtdc-monitor-bjffxe2xuh6vdkpspy63sjmuny.us-east-1.es.amazonaws.com/_plugin/kibana/#/discover/Steve-Slow-Train-Analysis-(2080s-and-2083s)?_g=(refreshInterval:(display:Off,section:0,value:0),time:(from:'2016-08-17 10:02:10-0600',mode:absolute,to:'2016-08-17 12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3" t="str">
            <v>N</v>
          </cell>
          <cell r="X73">
            <v>1</v>
          </cell>
          <cell r="Y73">
            <v>4.4699999999999997E-2</v>
          </cell>
          <cell r="Z73">
            <v>23.329499999999999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0161-17</v>
          </cell>
          <cell r="AE73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74">
          <cell r="A74" t="str">
            <v>162-17</v>
          </cell>
          <cell r="B74">
            <v>4028</v>
          </cell>
          <cell r="C74" t="str">
            <v>DE.1.0.7.0</v>
          </cell>
          <cell r="D74" t="str">
            <v>204:232977</v>
          </cell>
          <cell r="E74">
            <v>42599.496805555558</v>
          </cell>
          <cell r="F74">
            <v>42599.497731481482</v>
          </cell>
          <cell r="G74">
            <v>1</v>
          </cell>
          <cell r="H74" t="str">
            <v>204:152</v>
          </cell>
          <cell r="I74">
            <v>42599.534768518519</v>
          </cell>
          <cell r="J74">
            <v>0</v>
          </cell>
          <cell r="K74" t="str">
            <v>4027/4028</v>
          </cell>
          <cell r="L74" t="str">
            <v>YORK</v>
          </cell>
          <cell r="M74">
            <v>3.7037037036498077E-2</v>
          </cell>
          <cell r="N74">
            <v>53.333333332557231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1.52E-2</v>
          </cell>
          <cell r="AA74">
            <v>23.282499999999999</v>
          </cell>
          <cell r="AB74" t="e">
            <v>#N/A</v>
          </cell>
          <cell r="AC74" t="e">
            <v>#N/A</v>
          </cell>
          <cell r="AD74" t="str">
            <v>0162-17</v>
          </cell>
          <cell r="AE7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75">
          <cell r="A75" t="str">
            <v>163-17</v>
          </cell>
          <cell r="B75">
            <v>4003</v>
          </cell>
          <cell r="C75" t="str">
            <v>DE.1.0.7.0</v>
          </cell>
          <cell r="D75" t="str">
            <v>204:451</v>
          </cell>
          <cell r="E75">
            <v>42599.475312499999</v>
          </cell>
          <cell r="F75">
            <v>42599.476898148147</v>
          </cell>
          <cell r="G75">
            <v>2</v>
          </cell>
          <cell r="H75" t="str">
            <v>204:233288</v>
          </cell>
          <cell r="I75">
            <v>42599.509652777779</v>
          </cell>
          <cell r="J75">
            <v>0</v>
          </cell>
          <cell r="K75" t="str">
            <v>4003/4004</v>
          </cell>
          <cell r="L75" t="str">
            <v>HELVIE</v>
          </cell>
          <cell r="M75">
            <v>3.2754629632108845E-2</v>
          </cell>
          <cell r="N75">
            <v>47.166666670236737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75" t="str">
            <v>N</v>
          </cell>
          <cell r="X75">
            <v>1</v>
          </cell>
          <cell r="Y75">
            <v>4.5100000000000001E-2</v>
          </cell>
          <cell r="Z75">
            <v>23.328800000000001</v>
          </cell>
          <cell r="AA75">
            <v>23.2837</v>
          </cell>
          <cell r="AB75" t="e">
            <v>#N/A</v>
          </cell>
          <cell r="AC75" t="e">
            <v>#N/A</v>
          </cell>
          <cell r="AD75" t="str">
            <v>0163-17</v>
          </cell>
          <cell r="AE75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76">
          <cell r="A76" t="str">
            <v>164-17</v>
          </cell>
          <cell r="B76">
            <v>4004</v>
          </cell>
          <cell r="C76" t="str">
            <v>DE.1.0.7.0</v>
          </cell>
          <cell r="D76" t="str">
            <v>204:232965</v>
          </cell>
          <cell r="E76">
            <v>42599.511979166666</v>
          </cell>
          <cell r="F76">
            <v>42599.513495370367</v>
          </cell>
          <cell r="G76">
            <v>2</v>
          </cell>
          <cell r="H76" t="str">
            <v>204:163</v>
          </cell>
          <cell r="I76">
            <v>42599.545763888891</v>
          </cell>
          <cell r="J76">
            <v>0</v>
          </cell>
          <cell r="K76" t="str">
            <v>4003/4004</v>
          </cell>
          <cell r="L76" t="str">
            <v>HELVIE</v>
          </cell>
          <cell r="M76">
            <v>3.2268518523778766E-2</v>
          </cell>
          <cell r="N76">
            <v>46.466666674241424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76" t="str">
            <v>N</v>
          </cell>
          <cell r="X76">
            <v>1</v>
          </cell>
          <cell r="Y76">
            <v>23.296500000000002</v>
          </cell>
          <cell r="Z76">
            <v>1.6299999999999999E-2</v>
          </cell>
          <cell r="AA76">
            <v>23.280200000000001</v>
          </cell>
          <cell r="AB76" t="e">
            <v>#N/A</v>
          </cell>
          <cell r="AC76" t="e">
            <v>#N/A</v>
          </cell>
          <cell r="AD76" t="str">
            <v>0164-17</v>
          </cell>
          <cell r="AE76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77">
          <cell r="A77" t="str">
            <v>165-17</v>
          </cell>
          <cell r="B77">
            <v>4025</v>
          </cell>
          <cell r="C77" t="str">
            <v>DE.1.0.7.0</v>
          </cell>
          <cell r="D77" t="str">
            <v>204:453</v>
          </cell>
          <cell r="E77">
            <v>42599.490729166668</v>
          </cell>
          <cell r="F77">
            <v>42599.494837962964</v>
          </cell>
          <cell r="G77">
            <v>5</v>
          </cell>
          <cell r="H77" t="str">
            <v>204:233351</v>
          </cell>
          <cell r="I77">
            <v>42599.522638888891</v>
          </cell>
          <cell r="J77">
            <v>0</v>
          </cell>
          <cell r="K77" t="str">
            <v>4025/4026</v>
          </cell>
          <cell r="L77" t="str">
            <v>STORY</v>
          </cell>
          <cell r="M77">
            <v>2.7800925927294884E-2</v>
          </cell>
          <cell r="N77">
            <v>40.033333335304633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https://search-rtdc-monitor-bjffxe2xuh6vdkpspy63sjmuny.us-east-1.es.amazonaws.com/_plugin/kibana/#/discover/Steve-Slow-Train-Analysis-(2080s-and-2083s)?_g=(refreshInterval:(display:Off,section:0,value:0),time:(from:'2016-08-17 10:46:39-0600',mode:absolute,to:'2016-08-17 13:32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77" t="str">
            <v>N</v>
          </cell>
          <cell r="X77">
            <v>1</v>
          </cell>
          <cell r="Y77">
            <v>4.53E-2</v>
          </cell>
          <cell r="Z77">
            <v>23.335100000000001</v>
          </cell>
          <cell r="AA77">
            <v>23.2898</v>
          </cell>
          <cell r="AB77" t="e">
            <v>#N/A</v>
          </cell>
          <cell r="AC77" t="e">
            <v>#N/A</v>
          </cell>
          <cell r="AD77" t="str">
            <v>0165-17</v>
          </cell>
          <cell r="AE77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78">
          <cell r="A78" t="str">
            <v>166-17</v>
          </cell>
          <cell r="B78">
            <v>4026</v>
          </cell>
          <cell r="C78" t="str">
            <v>DE.1.0.7.0</v>
          </cell>
          <cell r="D78" t="str">
            <v>204:233036</v>
          </cell>
          <cell r="E78">
            <v>42599.524270833332</v>
          </cell>
          <cell r="F78">
            <v>42599.52652777778</v>
          </cell>
          <cell r="G78">
            <v>3</v>
          </cell>
          <cell r="H78" t="str">
            <v>204:149</v>
          </cell>
          <cell r="I78">
            <v>42599.555520833332</v>
          </cell>
          <cell r="J78">
            <v>0</v>
          </cell>
          <cell r="K78" t="str">
            <v>4025/4026</v>
          </cell>
          <cell r="L78" t="str">
            <v>STORY</v>
          </cell>
          <cell r="M78">
            <v>2.8993055551836733E-2</v>
          </cell>
          <cell r="N78">
            <v>41.749999994644895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78" t="str">
            <v>N</v>
          </cell>
          <cell r="X78">
            <v>1</v>
          </cell>
          <cell r="Y78">
            <v>23.303599999999999</v>
          </cell>
          <cell r="Z78">
            <v>1.49E-2</v>
          </cell>
          <cell r="AA78">
            <v>23.288699999999999</v>
          </cell>
          <cell r="AB78" t="e">
            <v>#N/A</v>
          </cell>
          <cell r="AC78" t="e">
            <v>#N/A</v>
          </cell>
          <cell r="AD78" t="str">
            <v>0166-17</v>
          </cell>
          <cell r="AE78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79">
          <cell r="A79" t="str">
            <v>167-17</v>
          </cell>
          <cell r="B79">
            <v>4009</v>
          </cell>
          <cell r="C79" t="str">
            <v>DE.1.0.7.0</v>
          </cell>
          <cell r="D79" t="str">
            <v>204:462</v>
          </cell>
          <cell r="E79">
            <v>42599.500925925924</v>
          </cell>
          <cell r="F79">
            <v>42599.502951388888</v>
          </cell>
          <cell r="G79">
            <v>2</v>
          </cell>
          <cell r="H79" t="str">
            <v>204:233311</v>
          </cell>
          <cell r="I79">
            <v>42599.531736111108</v>
          </cell>
          <cell r="J79">
            <v>0</v>
          </cell>
          <cell r="K79" t="str">
            <v>4009/4010</v>
          </cell>
          <cell r="L79" t="str">
            <v>STAMBAUGH</v>
          </cell>
          <cell r="M79">
            <v>2.8784722220734693E-2</v>
          </cell>
          <cell r="N79">
            <v>41.449999997857958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https://search-rtdc-monitor-bjffxe2xuh6vdkpspy63sjmuny.us-east-1.es.amazonaws.com/_plugin/kibana/#/discover/Steve-Slow-Train-Analysis-(2080s-and-2083s)?_g=(refreshInterval:(display:Off,section:0,value:0),time:(from:'2016-08-17 11:01:20-0600',mode:absolute,to:'2016-08-17 13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9" t="str">
            <v>N</v>
          </cell>
          <cell r="X79">
            <v>1</v>
          </cell>
          <cell r="Y79">
            <v>4.6199999999999998E-2</v>
          </cell>
          <cell r="Z79">
            <v>23.331099999999999</v>
          </cell>
          <cell r="AA79">
            <v>23.2849</v>
          </cell>
          <cell r="AB79" t="e">
            <v>#N/A</v>
          </cell>
          <cell r="AC79" t="e">
            <v>#N/A</v>
          </cell>
          <cell r="AD79" t="str">
            <v>0167-17</v>
          </cell>
          <cell r="AE7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80">
          <cell r="A80" t="str">
            <v>168-17</v>
          </cell>
          <cell r="B80">
            <v>4010</v>
          </cell>
          <cell r="C80" t="str">
            <v>DE.1.0.7.0</v>
          </cell>
          <cell r="D80" t="str">
            <v>204:232984</v>
          </cell>
          <cell r="E80">
            <v>42599.53806712963</v>
          </cell>
          <cell r="F80">
            <v>42599.539189814815</v>
          </cell>
          <cell r="G80">
            <v>1</v>
          </cell>
          <cell r="H80" t="str">
            <v>204:138</v>
          </cell>
          <cell r="I80">
            <v>42599.565798611111</v>
          </cell>
          <cell r="J80">
            <v>0</v>
          </cell>
          <cell r="K80" t="str">
            <v>4009/4010</v>
          </cell>
          <cell r="L80" t="str">
            <v>STAMBAUGH</v>
          </cell>
          <cell r="M80">
            <v>2.6608796295477077E-2</v>
          </cell>
          <cell r="N80">
            <v>38.316666665486991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https://search-rtdc-monitor-bjffxe2xuh6vdkpspy63sjmuny.us-east-1.es.amazonaws.com/_plugin/kibana/#/discover/Steve-Slow-Train-Analysis-(2080s-and-2083s)?_g=(refreshInterval:(display:Off,section:0,value:0),time:(from:'2016-08-17 11:54:49-0600',mode:absolute,to:'2016-08-17 14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0" t="str">
            <v>N</v>
          </cell>
          <cell r="X80">
            <v>1</v>
          </cell>
          <cell r="Y80">
            <v>23.298400000000001</v>
          </cell>
          <cell r="Z80">
            <v>1.38E-2</v>
          </cell>
          <cell r="AA80">
            <v>23.284600000000001</v>
          </cell>
          <cell r="AB80" t="e">
            <v>#N/A</v>
          </cell>
          <cell r="AC80" t="e">
            <v>#N/A</v>
          </cell>
          <cell r="AD80" t="str">
            <v>0168-17</v>
          </cell>
          <cell r="AE8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81">
          <cell r="A81" t="str">
            <v>169-17</v>
          </cell>
          <cell r="B81">
            <v>4002</v>
          </cell>
          <cell r="C81" t="str">
            <v>DE.1.0.7.0</v>
          </cell>
          <cell r="D81" t="str">
            <v>204:570</v>
          </cell>
          <cell r="E81">
            <v>42599.512731481482</v>
          </cell>
          <cell r="F81">
            <v>42599.514143518521</v>
          </cell>
          <cell r="G81">
            <v>2</v>
          </cell>
          <cell r="H81" t="str">
            <v>204:233310</v>
          </cell>
          <cell r="I81">
            <v>42599.544074074074</v>
          </cell>
          <cell r="J81">
            <v>0</v>
          </cell>
          <cell r="K81" t="str">
            <v>4001/4002</v>
          </cell>
          <cell r="L81" t="str">
            <v>BRUDER</v>
          </cell>
          <cell r="M81">
            <v>2.9930555552709848E-2</v>
          </cell>
          <cell r="N81">
            <v>43.099999995902181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https://search-rtdc-monitor-bjffxe2xuh6vdkpspy63sjmuny.us-east-1.es.amazonaws.com/_plugin/kibana/#/discover/Steve-Slow-Train-Analysis-(2080s-and-2083s)?_g=(refreshInterval:(display:Off,section:0,value:0),time:(from:'2016-08-17 11:18:20-0600',mode:absolute,to:'2016-08-17 14:03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1" t="str">
            <v>N</v>
          </cell>
          <cell r="X81">
            <v>1</v>
          </cell>
          <cell r="Y81">
            <v>5.7000000000000002E-2</v>
          </cell>
          <cell r="Z81">
            <v>23.331</v>
          </cell>
          <cell r="AA81">
            <v>23.274000000000001</v>
          </cell>
          <cell r="AB81" t="e">
            <v>#N/A</v>
          </cell>
          <cell r="AC81" t="e">
            <v>#N/A</v>
          </cell>
          <cell r="AD81" t="str">
            <v>0169-17</v>
          </cell>
          <cell r="AE81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82">
          <cell r="A82" t="str">
            <v>170-17</v>
          </cell>
          <cell r="B82">
            <v>4001</v>
          </cell>
          <cell r="C82" t="str">
            <v>DE.1.0.7.0</v>
          </cell>
          <cell r="D82" t="str">
            <v>204:232993</v>
          </cell>
          <cell r="E82">
            <v>42599.54582175926</v>
          </cell>
          <cell r="F82">
            <v>42599.547164351854</v>
          </cell>
          <cell r="G82">
            <v>1</v>
          </cell>
          <cell r="H82" t="str">
            <v>204:141</v>
          </cell>
          <cell r="I82">
            <v>42599.577916666669</v>
          </cell>
          <cell r="J82">
            <v>0</v>
          </cell>
          <cell r="K82" t="str">
            <v>4001/4002</v>
          </cell>
          <cell r="L82" t="str">
            <v>BRUDER</v>
          </cell>
          <cell r="M82">
            <v>3.0752314814890269E-2</v>
          </cell>
          <cell r="N82">
            <v>44.283333333441988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https://search-rtdc-monitor-bjffxe2xuh6vdkpspy63sjmuny.us-east-1.es.amazonaws.com/_plugin/kibana/#/discover/Steve-Slow-Train-Analysis-(2080s-and-2083s)?_g=(refreshInterval:(display:Off,section:0,value:0),time:(from:'2016-08-17 12:05:59-0600',mode:absolute,to:'2016-08-17 14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2" t="str">
            <v>N</v>
          </cell>
          <cell r="X82">
            <v>1</v>
          </cell>
          <cell r="Y82">
            <v>23.299299999999999</v>
          </cell>
          <cell r="Z82">
            <v>1.41E-2</v>
          </cell>
          <cell r="AA82">
            <v>23.2852</v>
          </cell>
          <cell r="AB82" t="e">
            <v>#N/A</v>
          </cell>
          <cell r="AC82" t="e">
            <v>#N/A</v>
          </cell>
          <cell r="AD82" t="str">
            <v>0170-17</v>
          </cell>
          <cell r="AE82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83">
          <cell r="A83" t="str">
            <v>171-17</v>
          </cell>
          <cell r="B83">
            <v>4014</v>
          </cell>
          <cell r="C83" t="str">
            <v>DE.1.0.7.0</v>
          </cell>
          <cell r="D83" t="str">
            <v>204:464</v>
          </cell>
          <cell r="E83">
            <v>42599.52003472222</v>
          </cell>
          <cell r="F83">
            <v>42599.521145833336</v>
          </cell>
          <cell r="G83">
            <v>1</v>
          </cell>
          <cell r="H83" t="str">
            <v>204:161831</v>
          </cell>
          <cell r="I83">
            <v>42599.549444444441</v>
          </cell>
          <cell r="J83">
            <v>0</v>
          </cell>
          <cell r="K83" t="str">
            <v>4013/4014</v>
          </cell>
          <cell r="L83" t="str">
            <v>KILLION</v>
          </cell>
          <cell r="M83">
            <v>2.8298611105128657E-2</v>
          </cell>
          <cell r="P83">
            <v>40.749999991385266</v>
          </cell>
          <cell r="R83" t="str">
            <v>Wi-MAX outage at ML1678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83" t="str">
            <v>Y</v>
          </cell>
          <cell r="X83">
            <v>1</v>
          </cell>
          <cell r="Y83">
            <v>4.6399999999999997E-2</v>
          </cell>
          <cell r="Z83">
            <v>16.1831</v>
          </cell>
          <cell r="AA83">
            <v>16.136700000000001</v>
          </cell>
          <cell r="AB83" t="e">
            <v>#N/A</v>
          </cell>
          <cell r="AC83" t="e">
            <v>#N/A</v>
          </cell>
          <cell r="AD83" t="str">
            <v>0171-17</v>
          </cell>
          <cell r="AE8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84">
          <cell r="A84" t="str">
            <v>172-17</v>
          </cell>
          <cell r="B84">
            <v>4013</v>
          </cell>
          <cell r="C84" t="str">
            <v>DE.1.0.7.0</v>
          </cell>
          <cell r="D84" t="str">
            <v>204:232940</v>
          </cell>
          <cell r="E84">
            <v>42599.557754629626</v>
          </cell>
          <cell r="F84">
            <v>42599.559004629627</v>
          </cell>
          <cell r="G84">
            <v>1</v>
          </cell>
          <cell r="H84" t="str">
            <v>204:150</v>
          </cell>
          <cell r="I84">
            <v>42599.590509259258</v>
          </cell>
          <cell r="J84">
            <v>0</v>
          </cell>
          <cell r="K84" t="str">
            <v>4013/4014</v>
          </cell>
          <cell r="L84" t="str">
            <v>KILLION</v>
          </cell>
          <cell r="M84">
            <v>3.1504629630944692E-2</v>
          </cell>
          <cell r="N84">
            <v>45.366666668560356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https://search-rtdc-monitor-bjffxe2xuh6vdkpspy63sjmuny.us-east-1.es.amazonaws.com/_plugin/kibana/#/discover/Steve-Slow-Train-Analysis-(2080s-and-2083s)?_g=(refreshInterval:(display:Off,section:0,value:0),time:(from:'2016-08-17 12:23:10-0600',mode:absolute,to:'2016-08-17 15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84" t="str">
            <v>N</v>
          </cell>
          <cell r="X84">
            <v>1</v>
          </cell>
          <cell r="Y84">
            <v>23.294</v>
          </cell>
          <cell r="Z84">
            <v>1.4999999999999999E-2</v>
          </cell>
          <cell r="AA84">
            <v>23.279</v>
          </cell>
          <cell r="AB84" t="e">
            <v>#N/A</v>
          </cell>
          <cell r="AC84" t="e">
            <v>#N/A</v>
          </cell>
          <cell r="AD84" t="str">
            <v>0172-17</v>
          </cell>
          <cell r="AE8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85">
          <cell r="A85" t="str">
            <v>173-17</v>
          </cell>
          <cell r="B85">
            <v>4020</v>
          </cell>
          <cell r="C85" t="str">
            <v>DE.1.0.7.0</v>
          </cell>
          <cell r="D85" t="str">
            <v>204:478</v>
          </cell>
          <cell r="E85">
            <v>42599.529386574075</v>
          </cell>
          <cell r="F85">
            <v>42599.530393518522</v>
          </cell>
          <cell r="G85">
            <v>1</v>
          </cell>
          <cell r="H85" t="str">
            <v>204:165357</v>
          </cell>
          <cell r="I85">
            <v>42599.552106481482</v>
          </cell>
          <cell r="J85">
            <v>0</v>
          </cell>
          <cell r="K85" t="str">
            <v>4019/4020</v>
          </cell>
          <cell r="L85" t="str">
            <v>BONDS</v>
          </cell>
          <cell r="M85">
            <v>2.1712962960009463E-2</v>
          </cell>
          <cell r="P85">
            <v>31.266666662413627</v>
          </cell>
          <cell r="R85" t="str">
            <v>Wi-MAX outage at ML1678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5" t="str">
            <v>Y</v>
          </cell>
          <cell r="X85">
            <v>1</v>
          </cell>
          <cell r="Y85">
            <v>4.7800000000000002E-2</v>
          </cell>
          <cell r="Z85">
            <v>16.535699999999999</v>
          </cell>
          <cell r="AA85">
            <v>16.4879</v>
          </cell>
          <cell r="AB85" t="e">
            <v>#N/A</v>
          </cell>
          <cell r="AC85" t="e">
            <v>#N/A</v>
          </cell>
          <cell r="AD85" t="str">
            <v>0173-17</v>
          </cell>
          <cell r="AE85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86">
          <cell r="A86" t="str">
            <v>174-17</v>
          </cell>
          <cell r="B86">
            <v>4019</v>
          </cell>
          <cell r="C86" t="str">
            <v>DE.1.0.7.0</v>
          </cell>
          <cell r="D86" t="str">
            <v>204:233010</v>
          </cell>
          <cell r="E86">
            <v>42599.56354166667</v>
          </cell>
          <cell r="F86">
            <v>42599.564328703702</v>
          </cell>
          <cell r="G86">
            <v>1</v>
          </cell>
          <cell r="H86" t="str">
            <v>204:136</v>
          </cell>
          <cell r="I86">
            <v>42599.597650462965</v>
          </cell>
          <cell r="J86">
            <v>0</v>
          </cell>
          <cell r="K86" t="str">
            <v>4019/4020</v>
          </cell>
          <cell r="L86" t="str">
            <v>BONDS</v>
          </cell>
          <cell r="M86">
            <v>3.3321759263344575E-2</v>
          </cell>
          <cell r="N86">
            <v>47.983333339216188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https://search-rtdc-monitor-bjffxe2xuh6vdkpspy63sjmuny.us-east-1.es.amazonaws.com/_plugin/kibana/#/discover/Steve-Slow-Train-Analysis-(2080s-and-2083s)?_g=(refreshInterval:(display:Off,section:0,value:0),time:(from:'2016-08-17 12:31:30-0600',mode:absolute,to:'2016-08-17 15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6" t="str">
            <v>N</v>
          </cell>
          <cell r="X86">
            <v>1</v>
          </cell>
          <cell r="Y86">
            <v>23.300999999999998</v>
          </cell>
          <cell r="Z86">
            <v>1.3599999999999999E-2</v>
          </cell>
          <cell r="AA86">
            <v>23.287399999999998</v>
          </cell>
          <cell r="AB86" t="e">
            <v>#N/A</v>
          </cell>
          <cell r="AC86" t="e">
            <v>#N/A</v>
          </cell>
          <cell r="AD86" t="str">
            <v>0174-17</v>
          </cell>
          <cell r="AE86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87">
          <cell r="A87" t="str">
            <v>175-17</v>
          </cell>
          <cell r="B87">
            <v>4027</v>
          </cell>
          <cell r="C87" t="str">
            <v>DE.1.0.7.0</v>
          </cell>
          <cell r="D87" t="str">
            <v>204:449</v>
          </cell>
          <cell r="E87">
            <v>42599.535810185182</v>
          </cell>
          <cell r="F87">
            <v>42599.537557870368</v>
          </cell>
          <cell r="G87">
            <v>2</v>
          </cell>
          <cell r="H87" t="str">
            <v>204:167649</v>
          </cell>
          <cell r="I87">
            <v>42599.562303240738</v>
          </cell>
          <cell r="J87">
            <v>0</v>
          </cell>
          <cell r="K87" t="str">
            <v>4027/4028</v>
          </cell>
          <cell r="L87" t="str">
            <v>YORK</v>
          </cell>
          <cell r="M87">
            <v>2.47453703705105E-2</v>
          </cell>
          <cell r="P87">
            <v>35.63333333353512</v>
          </cell>
          <cell r="R87" t="str">
            <v>Wi-MAX outage at ML1678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7" t="str">
            <v>Y</v>
          </cell>
          <cell r="X87">
            <v>1</v>
          </cell>
          <cell r="Y87">
            <v>4.4900000000000002E-2</v>
          </cell>
          <cell r="Z87">
            <v>16.764900000000001</v>
          </cell>
          <cell r="AA87">
            <v>16.720000000000002</v>
          </cell>
          <cell r="AB87" t="e">
            <v>#N/A</v>
          </cell>
          <cell r="AC87" t="e">
            <v>#N/A</v>
          </cell>
          <cell r="AD87" t="str">
            <v>0175-17</v>
          </cell>
          <cell r="AE87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88">
          <cell r="A88" t="str">
            <v>176-17</v>
          </cell>
          <cell r="B88">
            <v>4028</v>
          </cell>
          <cell r="C88" t="str">
            <v>DE.1.0.7.0</v>
          </cell>
          <cell r="D88" t="str">
            <v>204:232990</v>
          </cell>
          <cell r="E88">
            <v>42599.568692129629</v>
          </cell>
          <cell r="F88">
            <v>42599.569340277776</v>
          </cell>
          <cell r="G88">
            <v>0</v>
          </cell>
          <cell r="H88" t="str">
            <v>204:145</v>
          </cell>
          <cell r="I88">
            <v>42599.606516203705</v>
          </cell>
          <cell r="J88">
            <v>0</v>
          </cell>
          <cell r="K88" t="str">
            <v>4027/4028</v>
          </cell>
          <cell r="L88" t="str">
            <v>YORK</v>
          </cell>
          <cell r="M88">
            <v>3.7175925928750075E-2</v>
          </cell>
          <cell r="N88">
            <v>53.533333337400109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https://search-rtdc-monitor-bjffxe2xuh6vdkpspy63sjmuny.us-east-1.es.amazonaws.com/_plugin/kibana/#/discover/Steve-Slow-Train-Analysis-(2080s-and-2083s)?_g=(refreshInterval:(display:Off,section:0,value:0),time:(from:'2016-08-17 12:38:55-0600',mode:absolute,to:'2016-08-17 15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8" t="str">
            <v>N</v>
          </cell>
          <cell r="X88">
            <v>1</v>
          </cell>
          <cell r="Y88">
            <v>23.298999999999999</v>
          </cell>
          <cell r="Z88">
            <v>1.4500000000000001E-2</v>
          </cell>
          <cell r="AA88">
            <v>23.284499999999998</v>
          </cell>
          <cell r="AB88" t="e">
            <v>#N/A</v>
          </cell>
          <cell r="AC88" t="e">
            <v>#N/A</v>
          </cell>
          <cell r="AD88" t="str">
            <v>0176-17</v>
          </cell>
          <cell r="AE88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89">
          <cell r="A89" t="str">
            <v>177-17</v>
          </cell>
          <cell r="B89">
            <v>4003</v>
          </cell>
          <cell r="C89" t="str">
            <v>DE.1.0.7.0</v>
          </cell>
          <cell r="D89" t="str">
            <v>204:467</v>
          </cell>
          <cell r="E89">
            <v>42599.547881944447</v>
          </cell>
          <cell r="F89">
            <v>42599.549120370371</v>
          </cell>
          <cell r="G89">
            <v>1</v>
          </cell>
          <cell r="H89" t="str">
            <v>204:154421</v>
          </cell>
          <cell r="I89">
            <v>42599.571331018517</v>
          </cell>
          <cell r="J89">
            <v>0</v>
          </cell>
          <cell r="K89" t="str">
            <v>4003/4004</v>
          </cell>
          <cell r="L89" t="str">
            <v>HELVIE</v>
          </cell>
          <cell r="M89">
            <v>2.2210648145119194E-2</v>
          </cell>
          <cell r="P89">
            <v>31.983333328971639</v>
          </cell>
          <cell r="R89" t="str">
            <v>Wi-MAX outage at ML1678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https://search-rtdc-monitor-bjffxe2xuh6vdkpspy63sjmuny.us-east-1.es.amazonaws.com/_plugin/kibana/#/discover/Steve-Slow-Train-Analysis-(2080s-and-2083s)?_g=(refreshInterval:(display:Off,section:0,value:0),time:(from:'2016-08-17 12:08:57-0600',mode:absolute,to:'2016-08-17 14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    </cell>
          <cell r="W89" t="str">
            <v>Y</v>
          </cell>
          <cell r="X89">
            <v>1</v>
          </cell>
          <cell r="Y89">
            <v>4.6699999999999998E-2</v>
          </cell>
          <cell r="Z89">
            <v>15.4421</v>
          </cell>
          <cell r="AA89">
            <v>15.3954</v>
          </cell>
          <cell r="AB89" t="e">
            <v>#N/A</v>
          </cell>
          <cell r="AC89" t="e">
            <v>#N/A</v>
          </cell>
          <cell r="AD89" t="str">
            <v>0177-17</v>
          </cell>
          <cell r="AE89" t="str">
    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    </cell>
        </row>
        <row r="90">
          <cell r="A90" t="str">
            <v>178-17</v>
          </cell>
          <cell r="B90">
            <v>4004</v>
          </cell>
          <cell r="C90" t="str">
            <v>DE.1.0.7.0</v>
          </cell>
          <cell r="D90" t="str">
            <v>204:232979</v>
          </cell>
          <cell r="E90">
            <v>42599.584560185183</v>
          </cell>
          <cell r="F90">
            <v>42599.585925925923</v>
          </cell>
          <cell r="G90">
            <v>1</v>
          </cell>
          <cell r="H90" t="str">
            <v>204:1169</v>
          </cell>
          <cell r="I90">
            <v>42599.618715277778</v>
          </cell>
          <cell r="J90">
            <v>0</v>
          </cell>
          <cell r="K90" t="str">
            <v>4003/4004</v>
          </cell>
          <cell r="L90" t="str">
            <v>HELVIE</v>
          </cell>
          <cell r="M90">
            <v>3.2789351855171844E-2</v>
          </cell>
          <cell r="N90">
            <v>47.216666671447456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https://search-rtdc-monitor-bjffxe2xuh6vdkpspy63sjmuny.us-east-1.es.amazonaws.com/_plugin/kibana/#/discover/Steve-Slow-Train-Analysis-(2080s-and-2083s)?_g=(refreshInterval:(display:Off,section:0,value:0),time:(from:'2016-08-17 13:01:46-0600',mode:absolute,to:'2016-08-17 15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90" t="str">
            <v>N</v>
          </cell>
          <cell r="X90">
            <v>1</v>
          </cell>
          <cell r="Y90">
            <v>23.297899999999998</v>
          </cell>
          <cell r="Z90">
            <v>0.1169</v>
          </cell>
          <cell r="AA90">
            <v>23.180999999999997</v>
          </cell>
          <cell r="AB90" t="e">
            <v>#N/A</v>
          </cell>
          <cell r="AC90" t="e">
            <v>#N/A</v>
          </cell>
          <cell r="AD90" t="str">
            <v>0178-17</v>
          </cell>
          <cell r="AE9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91">
          <cell r="A91" t="str">
            <v>179-17</v>
          </cell>
          <cell r="B91">
            <v>4025</v>
          </cell>
          <cell r="C91" t="str">
            <v>DE.1.0.7.0</v>
          </cell>
          <cell r="D91" t="str">
            <v>204:482</v>
          </cell>
          <cell r="E91">
            <v>42599.556990740741</v>
          </cell>
          <cell r="F91">
            <v>42599.56144675926</v>
          </cell>
          <cell r="G91">
            <v>6</v>
          </cell>
          <cell r="H91" t="str">
            <v>204:233236</v>
          </cell>
          <cell r="I91">
            <v>42599.589421296296</v>
          </cell>
          <cell r="J91">
            <v>0</v>
          </cell>
          <cell r="K91" t="str">
            <v>4025/4026</v>
          </cell>
          <cell r="L91" t="str">
            <v>STORY</v>
          </cell>
          <cell r="M91">
            <v>2.7974537035333924E-2</v>
          </cell>
          <cell r="N91">
            <v>40.283333330880851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https://search-rtdc-monitor-bjffxe2xuh6vdkpspy63sjmuny.us-east-1.es.amazonaws.com/_plugin/kibana/#/discover/Steve-Slow-Train-Analysis-(2080s-and-2083s)?_g=(refreshInterval:(display:Off,section:0,value:0),time:(from:'2016-08-17 12:22:04-0600',mode:absolute,to:'2016-08-17 15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91" t="str">
            <v>N</v>
          </cell>
          <cell r="X91">
            <v>1</v>
          </cell>
          <cell r="Y91">
            <v>4.82E-2</v>
          </cell>
          <cell r="Z91">
            <v>23.323599999999999</v>
          </cell>
          <cell r="AA91">
            <v>23.275399999999998</v>
          </cell>
          <cell r="AB91" t="e">
            <v>#N/A</v>
          </cell>
          <cell r="AC91" t="e">
            <v>#N/A</v>
          </cell>
          <cell r="AD91" t="str">
            <v>0179-17</v>
          </cell>
          <cell r="AE91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92">
          <cell r="A92" t="str">
            <v>180-17</v>
          </cell>
          <cell r="B92">
            <v>4026</v>
          </cell>
          <cell r="C92" t="str">
            <v>DE.1.0.7.0</v>
          </cell>
          <cell r="D92" t="str">
            <v>204:232927</v>
          </cell>
          <cell r="E92">
            <v>42599.595775462964</v>
          </cell>
          <cell r="F92">
            <v>42599.600300925929</v>
          </cell>
          <cell r="G92">
            <v>6</v>
          </cell>
          <cell r="H92" t="str">
            <v>204:189</v>
          </cell>
          <cell r="I92">
            <v>42599.631932870368</v>
          </cell>
          <cell r="J92">
            <v>0</v>
          </cell>
          <cell r="K92" t="str">
            <v>4025/4026</v>
          </cell>
          <cell r="L92" t="str">
            <v>STORY</v>
          </cell>
          <cell r="M92">
            <v>3.163194443914108E-2</v>
          </cell>
          <cell r="N92">
            <v>45.549999992363155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92" t="str">
            <v>N</v>
          </cell>
          <cell r="X92">
            <v>1</v>
          </cell>
          <cell r="Y92">
            <v>23.2927</v>
          </cell>
          <cell r="Z92">
            <v>1.89E-2</v>
          </cell>
          <cell r="AA92">
            <v>23.273800000000001</v>
          </cell>
          <cell r="AB92" t="e">
            <v>#N/A</v>
          </cell>
          <cell r="AC92" t="e">
            <v>#N/A</v>
          </cell>
          <cell r="AD92" t="str">
            <v>0180-17</v>
          </cell>
          <cell r="AE92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93">
          <cell r="A93" t="str">
            <v>181-17</v>
          </cell>
          <cell r="B93">
            <v>4009</v>
          </cell>
          <cell r="C93" t="str">
            <v>DE.1.0.7.0</v>
          </cell>
          <cell r="D93" t="str">
            <v>204:442</v>
          </cell>
          <cell r="E93">
            <v>42599.567094907405</v>
          </cell>
          <cell r="F93">
            <v>42599.571180555555</v>
          </cell>
          <cell r="G93">
            <v>5</v>
          </cell>
          <cell r="H93" t="str">
            <v>204:233306</v>
          </cell>
          <cell r="I93">
            <v>42599.597581018519</v>
          </cell>
          <cell r="J93">
            <v>0</v>
          </cell>
          <cell r="K93" t="str">
            <v>4009/4010</v>
          </cell>
          <cell r="L93" t="str">
            <v>STAMBAUGH</v>
          </cell>
          <cell r="M93">
            <v>2.6400462964375038E-2</v>
          </cell>
          <cell r="N93">
            <v>38.016666668700054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https://search-rtdc-monitor-bjffxe2xuh6vdkpspy63sjmuny.us-east-1.es.amazonaws.com/_plugin/kibana/#/discover/Steve-Slow-Train-Analysis-(2080s-and-2083s)?_g=(refreshInterval:(display:Off,section:0,value:0),time:(from:'2016-08-17 12:36:37-0600',mode:absolute,to:'2016-08-17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3" t="str">
            <v>N</v>
          </cell>
          <cell r="X93">
            <v>1</v>
          </cell>
          <cell r="Y93">
            <v>4.4200000000000003E-2</v>
          </cell>
          <cell r="Z93">
            <v>23.3306</v>
          </cell>
          <cell r="AA93">
            <v>23.2864</v>
          </cell>
          <cell r="AB93" t="e">
            <v>#N/A</v>
          </cell>
          <cell r="AC93" t="e">
            <v>#N/A</v>
          </cell>
          <cell r="AD93" t="str">
            <v>0181-17</v>
          </cell>
          <cell r="AE93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94">
          <cell r="A94" t="str">
            <v>182-17</v>
          </cell>
          <cell r="B94">
            <v>4010</v>
          </cell>
          <cell r="C94" t="str">
            <v>DE.1.0.7.0</v>
          </cell>
          <cell r="D94" t="str">
            <v>204:232994</v>
          </cell>
          <cell r="E94">
            <v>42599.610092592593</v>
          </cell>
          <cell r="F94">
            <v>42599.61109953704</v>
          </cell>
          <cell r="G94">
            <v>1</v>
          </cell>
          <cell r="H94" t="str">
            <v>204:129</v>
          </cell>
          <cell r="I94">
            <v>42599.638854166667</v>
          </cell>
          <cell r="J94">
            <v>0</v>
          </cell>
          <cell r="K94" t="str">
            <v>4009/4010</v>
          </cell>
          <cell r="L94" t="str">
            <v>STAMBAUGH</v>
          </cell>
          <cell r="M94">
            <v>2.7754629627452232E-2</v>
          </cell>
          <cell r="N94">
            <v>39.966666663531214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4" t="str">
            <v>N</v>
          </cell>
          <cell r="X94">
            <v>1</v>
          </cell>
          <cell r="Y94">
            <v>23.299399999999999</v>
          </cell>
          <cell r="Z94">
            <v>1.29E-2</v>
          </cell>
          <cell r="AA94">
            <v>23.2865</v>
          </cell>
          <cell r="AB94" t="e">
            <v>#N/A</v>
          </cell>
          <cell r="AC94" t="e">
            <v>#N/A</v>
          </cell>
          <cell r="AD94" t="str">
            <v>0182-17</v>
          </cell>
          <cell r="AE94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95">
          <cell r="A95" t="str">
            <v>183-17</v>
          </cell>
          <cell r="B95">
            <v>4002</v>
          </cell>
          <cell r="C95" t="str">
            <v>DE.1.0.7.0</v>
          </cell>
          <cell r="D95" t="str">
            <v>204:467</v>
          </cell>
          <cell r="E95">
            <v>42599.579432870371</v>
          </cell>
          <cell r="F95">
            <v>42599.580520833333</v>
          </cell>
          <cell r="G95">
            <v>1</v>
          </cell>
          <cell r="H95" t="str">
            <v>204:233289</v>
          </cell>
          <cell r="I95">
            <v>42599.609548611108</v>
          </cell>
          <cell r="J95">
            <v>0</v>
          </cell>
          <cell r="K95" t="str">
            <v>4001/4002</v>
          </cell>
          <cell r="L95" t="str">
            <v>BRUDER</v>
          </cell>
          <cell r="M95">
            <v>2.9027777774899732E-2</v>
          </cell>
          <cell r="N95">
            <v>41.799999995855615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https://search-rtdc-monitor-bjffxe2xuh6vdkpspy63sjmuny.us-east-1.es.amazonaws.com/_plugin/kibana/#/discover/Steve-Slow-Train-Analysis-(2080s-and-2083s)?_g=(refreshInterval:(display:Off,section:0,value:0),time:(from:'2016-08-17 12:54:23-0600',mode:absolute,to:'2016-08-17 15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5" t="str">
            <v>N</v>
          </cell>
          <cell r="X95">
            <v>1</v>
          </cell>
          <cell r="Y95">
            <v>4.6699999999999998E-2</v>
          </cell>
          <cell r="Z95">
            <v>23.328900000000001</v>
          </cell>
          <cell r="AA95">
            <v>23.2822</v>
          </cell>
          <cell r="AB95" t="e">
            <v>#N/A</v>
          </cell>
          <cell r="AC95" t="e">
            <v>#N/A</v>
          </cell>
          <cell r="AD95" t="str">
            <v>0183-17</v>
          </cell>
          <cell r="AE95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96">
          <cell r="A96" t="str">
            <v>184-17</v>
          </cell>
          <cell r="B96">
            <v>4001</v>
          </cell>
          <cell r="C96" t="str">
            <v>DE.1.0.7.0</v>
          </cell>
          <cell r="D96" t="str">
            <v>204:232959</v>
          </cell>
          <cell r="E96">
            <v>42599.615787037037</v>
          </cell>
          <cell r="F96">
            <v>42599.617268518516</v>
          </cell>
          <cell r="G96">
            <v>2</v>
          </cell>
          <cell r="H96" t="str">
            <v>204:158</v>
          </cell>
          <cell r="I96">
            <v>42599.649791666663</v>
          </cell>
          <cell r="J96">
            <v>0</v>
          </cell>
          <cell r="K96" t="str">
            <v>4001/4002</v>
          </cell>
          <cell r="L96" t="str">
            <v>BRUDER</v>
          </cell>
          <cell r="M96">
            <v>3.25231481474475E-2</v>
          </cell>
          <cell r="N96">
            <v>46.833333332324401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https://search-rtdc-monitor-bjffxe2xuh6vdkpspy63sjmuny.us-east-1.es.amazonaws.com/_plugin/kibana/#/discover/Steve-Slow-Train-Analysis-(2080s-and-2083s)?_g=(refreshInterval:(display:Off,section:0,value:0),time:(from:'2016-08-17 13:46:44-0600',mode:absolute,to:'2016-08-17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96" t="str">
            <v>N</v>
          </cell>
          <cell r="X96">
            <v>1</v>
          </cell>
          <cell r="Y96">
            <v>23.2959</v>
          </cell>
          <cell r="Z96">
            <v>1.5800000000000002E-2</v>
          </cell>
          <cell r="AA96">
            <v>23.280100000000001</v>
          </cell>
          <cell r="AB96" t="e">
            <v>#N/A</v>
          </cell>
          <cell r="AC96" t="e">
            <v>#N/A</v>
          </cell>
          <cell r="AD96" t="str">
            <v>0184-17</v>
          </cell>
          <cell r="AE96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97">
          <cell r="A97" t="str">
            <v>185-17</v>
          </cell>
          <cell r="B97">
            <v>4014</v>
          </cell>
          <cell r="C97" t="str">
            <v>DE.1.0.7.0</v>
          </cell>
          <cell r="D97" t="str">
            <v>204:458</v>
          </cell>
          <cell r="E97">
            <v>42599.591840277775</v>
          </cell>
          <cell r="F97">
            <v>42599.592870370368</v>
          </cell>
          <cell r="G97">
            <v>1</v>
          </cell>
          <cell r="H97" t="str">
            <v>204:233285</v>
          </cell>
          <cell r="I97">
            <v>42599.62091435185</v>
          </cell>
          <cell r="J97">
            <v>0</v>
          </cell>
          <cell r="K97" t="str">
            <v>4013/4014</v>
          </cell>
          <cell r="L97" t="str">
            <v>KILLION</v>
          </cell>
          <cell r="M97">
            <v>2.8043981481459923E-2</v>
          </cell>
          <cell r="N97">
            <v>40.383333333302289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https://search-rtdc-monitor-bjffxe2xuh6vdkpspy63sjmuny.us-east-1.es.amazonaws.com/_plugin/kibana/#/discover/Steve-Slow-Train-Analysis-(2080s-and-2083s)?_g=(refreshInterval:(display:Off,section:0,value:0),time:(from:'2016-08-17 13:12:15-0600',mode:absolute,to:'2016-08-17 15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7" t="str">
            <v>N</v>
          </cell>
          <cell r="X97">
            <v>1</v>
          </cell>
          <cell r="Y97">
            <v>4.58E-2</v>
          </cell>
          <cell r="Z97">
            <v>23.328499999999998</v>
          </cell>
          <cell r="AA97">
            <v>23.282699999999998</v>
          </cell>
          <cell r="AB97" t="e">
            <v>#N/A</v>
          </cell>
          <cell r="AC97" t="e">
            <v>#N/A</v>
          </cell>
          <cell r="AD97" t="str">
            <v>0185-17</v>
          </cell>
          <cell r="AE97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98">
          <cell r="A98" t="str">
            <v>186-17</v>
          </cell>
          <cell r="B98">
            <v>4013</v>
          </cell>
          <cell r="C98" t="str">
            <v>DE.1.0.7.0</v>
          </cell>
          <cell r="D98" t="str">
            <v>204:232972</v>
          </cell>
          <cell r="E98">
            <v>42599.627268518518</v>
          </cell>
          <cell r="F98">
            <v>42599.628275462965</v>
          </cell>
          <cell r="G98">
            <v>1</v>
          </cell>
          <cell r="H98" t="str">
            <v>204:143</v>
          </cell>
          <cell r="I98">
            <v>42599.660833333335</v>
          </cell>
          <cell r="J98">
            <v>0</v>
          </cell>
          <cell r="K98" t="str">
            <v>4013/4014</v>
          </cell>
          <cell r="L98" t="str">
            <v>KILLION</v>
          </cell>
          <cell r="M98">
            <v>3.25578703705105E-2</v>
          </cell>
          <cell r="N98">
            <v>46.88333333353512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https://search-rtdc-monitor-bjffxe2xuh6vdkpspy63sjmuny.us-east-1.es.amazonaws.com/_plugin/kibana/#/discover/Steve-Slow-Train-Analysis-(2080s-and-2083s)?_g=(refreshInterval:(display:Off,section:0,value:0),time:(from:'2016-08-17 14:03:16-0600',mode:absolute,to:'2016-08-17 16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8" t="str">
            <v>N</v>
          </cell>
          <cell r="X98">
            <v>1</v>
          </cell>
          <cell r="Y98">
            <v>23.2972</v>
          </cell>
          <cell r="Z98">
            <v>1.43E-2</v>
          </cell>
          <cell r="AA98">
            <v>23.282900000000001</v>
          </cell>
          <cell r="AB98" t="e">
            <v>#N/A</v>
          </cell>
          <cell r="AC98" t="e">
            <v>#N/A</v>
          </cell>
          <cell r="AD98" t="str">
            <v>0186-17</v>
          </cell>
          <cell r="AE98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99">
          <cell r="A99" t="str">
            <v>187-17</v>
          </cell>
          <cell r="B99">
            <v>4020</v>
          </cell>
          <cell r="C99" t="str">
            <v>DE.1.0.7.0</v>
          </cell>
          <cell r="D99" t="str">
            <v>204:460</v>
          </cell>
          <cell r="E99">
            <v>42599.598761574074</v>
          </cell>
          <cell r="F99">
            <v>42599.599722222221</v>
          </cell>
          <cell r="G99">
            <v>1</v>
          </cell>
          <cell r="H99" t="str">
            <v>204:233339</v>
          </cell>
          <cell r="I99">
            <v>42599.630659722221</v>
          </cell>
          <cell r="J99">
            <v>0</v>
          </cell>
          <cell r="K99" t="str">
            <v>4019/4020</v>
          </cell>
          <cell r="L99" t="str">
            <v>BONDS</v>
          </cell>
          <cell r="M99">
            <v>3.0937499999708962E-2</v>
          </cell>
          <cell r="N99">
            <v>44.549999999580905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https://search-rtdc-monitor-bjffxe2xuh6vdkpspy63sjmuny.us-east-1.es.amazonaws.com/_plugin/kibana/#/discover/Steve-Slow-Train-Analysis-(2080s-and-2083s)?_g=(refreshInterval:(display:Off,section:0,value:0),time:(from:'2016-08-17 13:22:13-0600',mode:absolute,to:'2016-08-17 16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9" t="str">
            <v>N</v>
          </cell>
          <cell r="X99">
            <v>1</v>
          </cell>
          <cell r="Y99">
            <v>4.5999999999999999E-2</v>
          </cell>
          <cell r="Z99">
            <v>23.3339</v>
          </cell>
          <cell r="AA99">
            <v>23.2879</v>
          </cell>
          <cell r="AB99" t="e">
            <v>#N/A</v>
          </cell>
          <cell r="AC99" t="e">
            <v>#N/A</v>
          </cell>
          <cell r="AD99" t="str">
            <v>0187-17</v>
          </cell>
          <cell r="AE99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00">
          <cell r="A100" t="str">
            <v>188-17</v>
          </cell>
          <cell r="B100">
            <v>4019</v>
          </cell>
          <cell r="C100" t="str">
            <v>DE.1.0.7.0</v>
          </cell>
          <cell r="D100" t="str">
            <v>204:232977</v>
          </cell>
          <cell r="E100">
            <v>42599.636377314811</v>
          </cell>
          <cell r="F100">
            <v>42599.637418981481</v>
          </cell>
          <cell r="G100">
            <v>1</v>
          </cell>
          <cell r="H100" t="str">
            <v>204:147</v>
          </cell>
          <cell r="I100">
            <v>42599.669930555552</v>
          </cell>
          <cell r="J100">
            <v>0</v>
          </cell>
          <cell r="K100" t="str">
            <v>4019/4020</v>
          </cell>
          <cell r="L100" t="str">
            <v>BONDS</v>
          </cell>
          <cell r="M100">
            <v>3.2511574070667848E-2</v>
          </cell>
          <cell r="N100">
            <v>46.816666661761701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https://search-rtdc-monitor-bjffxe2xuh6vdkpspy63sjmuny.us-east-1.es.amazonaws.com/_plugin/kibana/#/discover/Steve-Slow-Train-Analysis-(2080s-and-2083s)?_g=(refreshInterval:(display:Off,section:0,value:0),time:(from:'2016-08-17 14:16:23-0600',mode:absolute,to:'2016-08-17 17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1.47E-2</v>
          </cell>
          <cell r="AA100">
            <v>23.282999999999998</v>
          </cell>
          <cell r="AB100" t="e">
            <v>#N/A</v>
          </cell>
          <cell r="AC100" t="e">
            <v>#N/A</v>
          </cell>
          <cell r="AD100" t="str">
            <v>0188-17</v>
          </cell>
          <cell r="AE100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01">
          <cell r="A101" t="str">
            <v>189-17</v>
          </cell>
          <cell r="B101">
            <v>4027</v>
          </cell>
          <cell r="C101" t="str">
            <v>DE.1.0.7.0</v>
          </cell>
          <cell r="D101" t="str">
            <v>204:449</v>
          </cell>
          <cell r="E101">
            <v>42599.607719907406</v>
          </cell>
          <cell r="F101">
            <v>42599.608587962961</v>
          </cell>
          <cell r="G101">
            <v>1</v>
          </cell>
          <cell r="H101" t="str">
            <v>204:233304</v>
          </cell>
          <cell r="I101">
            <v>42599.63894675926</v>
          </cell>
          <cell r="J101">
            <v>0</v>
          </cell>
          <cell r="K101" t="str">
            <v>4027/4028</v>
          </cell>
          <cell r="L101" t="str">
            <v>YORK</v>
          </cell>
          <cell r="M101">
            <v>3.0358796298969537E-2</v>
          </cell>
          <cell r="N101">
            <v>43.716666670516133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https://search-rtdc-monitor-bjffxe2xuh6vdkpspy63sjmuny.us-east-1.es.amazonaws.com/_plugin/kibana/#/discover/Steve-Slow-Train-Analysis-(2080s-and-2083s)?_g=(refreshInterval:(display:Off,section:0,value:0),time:(from:'2016-08-17 13:35:07-0600',mode:absolute,to:'2016-08-17 16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23.330400000000001</v>
          </cell>
          <cell r="AA101">
            <v>23.285500000000003</v>
          </cell>
          <cell r="AB101" t="e">
            <v>#N/A</v>
          </cell>
          <cell r="AC101" t="e">
            <v>#N/A</v>
          </cell>
          <cell r="AD101" t="str">
            <v>0189-17</v>
          </cell>
          <cell r="AE101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102">
          <cell r="A102" t="str">
            <v>190-17</v>
          </cell>
          <cell r="B102">
            <v>4028</v>
          </cell>
          <cell r="C102" t="str">
            <v>DE.1.0.7.0</v>
          </cell>
          <cell r="D102" t="str">
            <v>204:232991</v>
          </cell>
          <cell r="E102">
            <v>42599.639803240738</v>
          </cell>
          <cell r="F102">
            <v>42599.640532407408</v>
          </cell>
          <cell r="G102">
            <v>1</v>
          </cell>
          <cell r="H102" t="str">
            <v>204:167</v>
          </cell>
          <cell r="I102">
            <v>42599.679282407407</v>
          </cell>
          <cell r="J102">
            <v>0</v>
          </cell>
          <cell r="K102" t="str">
            <v>4027/4028</v>
          </cell>
          <cell r="L102" t="str">
            <v>YORK</v>
          </cell>
          <cell r="M102">
            <v>3.8749999999708962E-2</v>
          </cell>
          <cell r="N102">
            <v>55.799999999580905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https://search-rtdc-monitor-bjffxe2xuh6vdkpspy63sjmuny.us-east-1.es.amazonaws.com/_plugin/kibana/#/discover/Steve-Slow-Train-Analysis-(2080s-and-2083s)?_g=(refreshInterval:(display:Off,section:0,value:0),time:(from:'2016-08-17 14:21:19-0600',mode:absolute,to:'2016-08-17 17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2" t="str">
            <v>N</v>
          </cell>
          <cell r="X102">
            <v>1</v>
          </cell>
          <cell r="Y102">
            <v>23.299099999999999</v>
          </cell>
          <cell r="Z102">
            <v>1.67E-2</v>
          </cell>
          <cell r="AA102">
            <v>23.282399999999999</v>
          </cell>
          <cell r="AB102" t="e">
            <v>#N/A</v>
          </cell>
          <cell r="AC102" t="e">
            <v>#N/A</v>
          </cell>
          <cell r="AD102" t="str">
            <v>0190-17</v>
          </cell>
          <cell r="AE102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03">
          <cell r="A103" t="str">
            <v>191-17</v>
          </cell>
          <cell r="B103">
            <v>4018</v>
          </cell>
          <cell r="C103" t="str">
            <v>DE.1.0.7.0</v>
          </cell>
          <cell r="D103" t="str">
            <v>204:478</v>
          </cell>
          <cell r="E103">
            <v>42599.621574074074</v>
          </cell>
          <cell r="F103">
            <v>42599.622743055559</v>
          </cell>
          <cell r="G103">
            <v>1</v>
          </cell>
          <cell r="H103" t="str">
            <v>204:233305</v>
          </cell>
          <cell r="I103">
            <v>42599.650219907409</v>
          </cell>
          <cell r="J103">
            <v>0</v>
          </cell>
          <cell r="K103" t="str">
            <v>4017/4018</v>
          </cell>
          <cell r="L103" t="str">
            <v>HELVIE</v>
          </cell>
          <cell r="M103">
            <v>2.7476851850224193E-2</v>
          </cell>
          <cell r="N103">
            <v>39.566666664322838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https://search-rtdc-monitor-bjffxe2xuh6vdkpspy63sjmuny.us-east-1.es.amazonaws.com/_plugin/kibana/#/discover/Steve-Slow-Train-Analysis-(2080s-and-2083s)?_g=(refreshInterval:(display:Off,section:0,value:0),time:(from:'2016-08-17 13:55:04-0600',mode:absolute,to:'2016-08-17 16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3" t="str">
            <v>N</v>
          </cell>
          <cell r="X103">
            <v>1</v>
          </cell>
          <cell r="Y103">
            <v>4.7800000000000002E-2</v>
          </cell>
          <cell r="Z103">
            <v>23.330500000000001</v>
          </cell>
          <cell r="AA103">
            <v>23.282700000000002</v>
          </cell>
          <cell r="AB103" t="e">
            <v>#N/A</v>
          </cell>
          <cell r="AC103" t="e">
            <v>#N/A</v>
          </cell>
          <cell r="AD103" t="str">
            <v>0191-17</v>
          </cell>
          <cell r="AE103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04">
          <cell r="A104" t="str">
            <v>192-17</v>
          </cell>
          <cell r="B104">
            <v>4017</v>
          </cell>
          <cell r="C104" t="str">
            <v>DE.1.0.7.0</v>
          </cell>
          <cell r="D104" t="str">
            <v>204:232982</v>
          </cell>
          <cell r="E104">
            <v>42599.65965277778</v>
          </cell>
          <cell r="F104">
            <v>42599.66064814815</v>
          </cell>
          <cell r="G104">
            <v>1</v>
          </cell>
          <cell r="H104" t="str">
            <v>204:154</v>
          </cell>
          <cell r="I104">
            <v>42599.691631944443</v>
          </cell>
          <cell r="J104">
            <v>0</v>
          </cell>
          <cell r="K104" t="str">
            <v>4017/4018</v>
          </cell>
          <cell r="L104" t="str">
            <v>HELVIE</v>
          </cell>
          <cell r="M104">
            <v>3.0983796292275656E-2</v>
          </cell>
          <cell r="N104">
            <v>44.616666660876945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https://search-rtdc-monitor-bjffxe2xuh6vdkpspy63sjmuny.us-east-1.es.amazonaws.com/_plugin/kibana/#/discover/Steve-Slow-Train-Analysis-(2080s-and-2083s)?_g=(refreshInterval:(display:Off,section:0,value:0),time:(from:'2016-08-17 14:49:54-0600',mode:absolute,to:'2016-08-17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4" t="str">
            <v>N</v>
          </cell>
          <cell r="X104">
            <v>1</v>
          </cell>
          <cell r="Y104">
            <v>23.298200000000001</v>
          </cell>
          <cell r="Z104">
            <v>1.54E-2</v>
          </cell>
          <cell r="AA104">
            <v>23.282800000000002</v>
          </cell>
          <cell r="AB104" t="e">
            <v>#N/A</v>
          </cell>
          <cell r="AC104" t="e">
            <v>#N/A</v>
          </cell>
          <cell r="AD104" t="str">
            <v>0192-17</v>
          </cell>
          <cell r="AE104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05">
          <cell r="A105" t="str">
            <v>193-17</v>
          </cell>
          <cell r="B105">
            <v>4025</v>
          </cell>
          <cell r="C105" t="str">
            <v>DE.1.0.7.0</v>
          </cell>
          <cell r="D105" t="str">
            <v>204:488</v>
          </cell>
          <cell r="E105">
            <v>42599.633657407408</v>
          </cell>
          <cell r="F105">
            <v>42599.634618055556</v>
          </cell>
          <cell r="G105">
            <v>1</v>
          </cell>
          <cell r="H105" t="str">
            <v>204:233310</v>
          </cell>
          <cell r="I105">
            <v>42599.660486111112</v>
          </cell>
          <cell r="J105">
            <v>0</v>
          </cell>
          <cell r="K105" t="str">
            <v>4025/4026</v>
          </cell>
          <cell r="L105" t="str">
            <v>STORY</v>
          </cell>
          <cell r="M105">
            <v>2.5868055556202307E-2</v>
          </cell>
          <cell r="N105">
            <v>37.250000000931323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05" t="str">
            <v>N</v>
          </cell>
          <cell r="X105">
            <v>1</v>
          </cell>
          <cell r="Y105">
            <v>4.8800000000000003E-2</v>
          </cell>
          <cell r="Z105">
            <v>23.331</v>
          </cell>
          <cell r="AA105">
            <v>23.2822</v>
          </cell>
          <cell r="AB105" t="e">
            <v>#N/A</v>
          </cell>
          <cell r="AC105" t="e">
            <v>#N/A</v>
          </cell>
          <cell r="AD105" t="str">
            <v>0193-17</v>
          </cell>
          <cell r="AE105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106">
          <cell r="A106" t="str">
            <v>194-17</v>
          </cell>
          <cell r="B106">
            <v>4026</v>
          </cell>
          <cell r="C106" t="str">
            <v>DE.1.0.7.0</v>
          </cell>
          <cell r="D106" t="str">
            <v>204:232996</v>
          </cell>
          <cell r="E106">
            <v>42599.669548611113</v>
          </cell>
          <cell r="F106">
            <v>42599.670636574076</v>
          </cell>
          <cell r="G106">
            <v>1</v>
          </cell>
          <cell r="H106" t="str">
            <v>204:314</v>
          </cell>
          <cell r="I106">
            <v>42599.701493055552</v>
          </cell>
          <cell r="J106">
            <v>0</v>
          </cell>
          <cell r="K106" t="str">
            <v>4025/4026</v>
          </cell>
          <cell r="L106" t="str">
            <v>STORY</v>
          </cell>
          <cell r="M106">
            <v>3.085648147680331E-2</v>
          </cell>
          <cell r="N106">
            <v>44.433333326596767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06" t="str">
            <v>N</v>
          </cell>
          <cell r="X106">
            <v>1</v>
          </cell>
          <cell r="Y106">
            <v>23.299600000000002</v>
          </cell>
          <cell r="Z106">
            <v>3.1399999999999997E-2</v>
          </cell>
          <cell r="AA106">
            <v>23.2682</v>
          </cell>
          <cell r="AB106" t="e">
            <v>#N/A</v>
          </cell>
          <cell r="AC106" t="e">
            <v>#N/A</v>
          </cell>
          <cell r="AD106" t="str">
            <v>0194-17</v>
          </cell>
          <cell r="AE106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07">
          <cell r="A107" t="str">
            <v>195-17</v>
          </cell>
          <cell r="B107">
            <v>4009</v>
          </cell>
          <cell r="C107" t="str">
            <v>DE.1.0.7.0</v>
          </cell>
          <cell r="D107" t="str">
            <v>204:444</v>
          </cell>
          <cell r="E107">
            <v>42599.643101851849</v>
          </cell>
          <cell r="F107">
            <v>42599.643958333334</v>
          </cell>
          <cell r="G107">
            <v>1</v>
          </cell>
          <cell r="H107" t="str">
            <v>204:233326</v>
          </cell>
          <cell r="I107">
            <v>42599.671319444446</v>
          </cell>
          <cell r="J107">
            <v>0</v>
          </cell>
          <cell r="K107" t="str">
            <v>4009/4010</v>
          </cell>
          <cell r="L107" t="str">
            <v>STAMBAUGH</v>
          </cell>
          <cell r="M107">
            <v>2.73611111115315E-2</v>
          </cell>
          <cell r="N107">
            <v>39.40000000060536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https://search-rtdc-monitor-bjffxe2xuh6vdkpspy63sjmuny.us-east-1.es.amazonaws.com/_plugin/kibana/#/discover/Steve-Slow-Train-Analysis-(2080s-and-2083s)?_g=(refreshInterval:(display:Off,section:0,value:0),time:(from:'2016-08-17 14:26:04-0600',mode:absolute,to:'2016-08-17 17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7" t="str">
            <v>N</v>
          </cell>
          <cell r="X107">
            <v>1</v>
          </cell>
          <cell r="Y107">
            <v>4.4400000000000002E-2</v>
          </cell>
          <cell r="Z107">
            <v>23.332599999999999</v>
          </cell>
          <cell r="AA107">
            <v>23.2882</v>
          </cell>
          <cell r="AB107" t="e">
            <v>#N/A</v>
          </cell>
          <cell r="AC107" t="e">
            <v>#N/A</v>
          </cell>
          <cell r="AD107" t="str">
            <v>0195-17</v>
          </cell>
          <cell r="AE107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08">
          <cell r="A108" t="str">
            <v>196-17</v>
          </cell>
          <cell r="B108">
            <v>4010</v>
          </cell>
          <cell r="C108" t="str">
            <v>DE.1.0.7.0</v>
          </cell>
          <cell r="D108" t="str">
            <v>204:233007</v>
          </cell>
          <cell r="E108">
            <v>42599.682037037041</v>
          </cell>
          <cell r="F108">
            <v>42599.682847222219</v>
          </cell>
          <cell r="G108">
            <v>1</v>
          </cell>
          <cell r="H108" t="str">
            <v>204:156</v>
          </cell>
          <cell r="I108">
            <v>42599.71125</v>
          </cell>
          <cell r="J108">
            <v>0</v>
          </cell>
          <cell r="K108" t="str">
            <v>4009/4010</v>
          </cell>
          <cell r="L108" t="str">
            <v>STAMBAUGH</v>
          </cell>
          <cell r="M108">
            <v>2.8402777781593613E-2</v>
          </cell>
          <cell r="N108">
            <v>40.900000005494803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https://search-rtdc-monitor-bjffxe2xuh6vdkpspy63sjmuny.us-east-1.es.amazonaws.com/_plugin/kibana/#/discover/Steve-Slow-Train-Analysis-(2080s-and-2083s)?_g=(refreshInterval:(display:Off,section:0,value:0),time:(from:'2016-08-17 15:22:08-0600',mode:absolute,to:'2016-08-17 18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8" t="str">
            <v>N</v>
          </cell>
          <cell r="X108">
            <v>1</v>
          </cell>
          <cell r="Y108">
            <v>23.300699999999999</v>
          </cell>
          <cell r="Z108">
            <v>1.5599999999999999E-2</v>
          </cell>
          <cell r="AA108">
            <v>23.2851</v>
          </cell>
          <cell r="AB108" t="e">
            <v>#N/A</v>
          </cell>
          <cell r="AC108" t="e">
            <v>#N/A</v>
          </cell>
          <cell r="AD108" t="str">
            <v>0196-17</v>
          </cell>
          <cell r="AE108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09">
          <cell r="A109" t="str">
            <v>197-17</v>
          </cell>
          <cell r="B109">
            <v>4002</v>
          </cell>
          <cell r="C109" t="str">
            <v>DE.1.0.7.0</v>
          </cell>
          <cell r="D109" t="str">
            <v>204:469</v>
          </cell>
          <cell r="E109">
            <v>42599.651863425926</v>
          </cell>
          <cell r="F109">
            <v>42599.65315972222</v>
          </cell>
          <cell r="G109">
            <v>1</v>
          </cell>
          <cell r="H109" t="str">
            <v>204:233315</v>
          </cell>
          <cell r="I109">
            <v>42599.682835648149</v>
          </cell>
          <cell r="J109">
            <v>0</v>
          </cell>
          <cell r="K109" t="str">
            <v>4001/4002</v>
          </cell>
          <cell r="L109" t="str">
            <v>BRUDER</v>
          </cell>
          <cell r="M109">
            <v>2.9675925929041114E-2</v>
          </cell>
          <cell r="N109">
            <v>42.733333337819204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https://search-rtdc-monitor-bjffxe2xuh6vdkpspy63sjmuny.us-east-1.es.amazonaws.com/_plugin/kibana/#/discover/Steve-Slow-Train-Analysis-(2080s-and-2083s)?_g=(refreshInterval:(display:Off,section:0,value:0),time:(from:'2016-08-17 14:38:41-0600',mode:absolute,to:'2016-08-17 17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9" t="str">
            <v>N</v>
          </cell>
          <cell r="X109">
            <v>1</v>
          </cell>
          <cell r="Y109">
            <v>4.6899999999999997E-2</v>
          </cell>
          <cell r="Z109">
            <v>23.331499999999998</v>
          </cell>
          <cell r="AA109">
            <v>23.284599999999998</v>
          </cell>
          <cell r="AB109" t="e">
            <v>#N/A</v>
          </cell>
          <cell r="AC109" t="e">
            <v>#N/A</v>
          </cell>
          <cell r="AD109" t="str">
            <v>0197-17</v>
          </cell>
          <cell r="AE109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10">
          <cell r="A110" t="str">
            <v>198-17</v>
          </cell>
          <cell r="B110">
            <v>4001</v>
          </cell>
          <cell r="C110" t="str">
            <v>DE.1.0.7.0</v>
          </cell>
          <cell r="D110" t="str">
            <v>204:232977</v>
          </cell>
          <cell r="E110">
            <v>42599.6878125</v>
          </cell>
          <cell r="F110">
            <v>42599.689131944448</v>
          </cell>
          <cell r="G110">
            <v>1</v>
          </cell>
          <cell r="H110" t="str">
            <v>204:152</v>
          </cell>
          <cell r="I110">
            <v>42599.723078703704</v>
          </cell>
          <cell r="J110">
            <v>0</v>
          </cell>
          <cell r="K110" t="str">
            <v>4001/4002</v>
          </cell>
          <cell r="L110" t="str">
            <v>BRUDER</v>
          </cell>
          <cell r="M110">
            <v>3.3946759256650694E-2</v>
          </cell>
          <cell r="N110">
            <v>48.883333329576999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https://search-rtdc-monitor-bjffxe2xuh6vdkpspy63sjmuny.us-east-1.es.amazonaws.com/_plugin/kibana/#/discover/Steve-Slow-Train-Analysis-(2080s-and-2083s)?_g=(refreshInterval:(display:Off,section:0,value:0),time:(from:'2016-08-17 15:30:27-0600',mode:absolute,to:'2016-08-17 18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0" t="str">
            <v>N</v>
          </cell>
          <cell r="X110">
            <v>1</v>
          </cell>
          <cell r="Y110">
            <v>23.297699999999999</v>
          </cell>
          <cell r="Z110">
            <v>1.52E-2</v>
          </cell>
          <cell r="AA110">
            <v>23.282499999999999</v>
          </cell>
          <cell r="AB110" t="e">
            <v>#N/A</v>
          </cell>
          <cell r="AC110" t="e">
            <v>#N/A</v>
          </cell>
          <cell r="AD110" t="str">
            <v>0198-17</v>
          </cell>
          <cell r="AE110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111">
          <cell r="A111" t="str">
            <v>199-17</v>
          </cell>
          <cell r="B111">
            <v>4014</v>
          </cell>
          <cell r="C111" t="str">
            <v>DE.1.0.7.0</v>
          </cell>
          <cell r="D111" t="str">
            <v>204:440</v>
          </cell>
          <cell r="E111">
            <v>42599.663530092592</v>
          </cell>
          <cell r="F111">
            <v>42599.664537037039</v>
          </cell>
          <cell r="G111">
            <v>1</v>
          </cell>
          <cell r="H111" t="str">
            <v>204:233291</v>
          </cell>
          <cell r="I111">
            <v>42599.692986111113</v>
          </cell>
          <cell r="J111">
            <v>0</v>
          </cell>
          <cell r="K111" t="str">
            <v>4013/4014</v>
          </cell>
          <cell r="L111" t="str">
            <v>KILLION</v>
          </cell>
          <cell r="M111">
            <v>2.8449074074160308E-2</v>
          </cell>
          <cell r="N111">
            <v>40.966666666790843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https://search-rtdc-monitor-bjffxe2xuh6vdkpspy63sjmuny.us-east-1.es.amazonaws.com/_plugin/kibana/#/discover/Steve-Slow-Train-Analysis-(2080s-and-2083s)?_g=(refreshInterval:(display:Off,section:0,value:0),time:(from:'2016-08-17 14:55:29-0600',mode:absolute,to:'2016-08-17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1" t="str">
            <v>N</v>
          </cell>
          <cell r="X111">
            <v>1</v>
          </cell>
          <cell r="Y111">
            <v>4.3999999999999997E-2</v>
          </cell>
          <cell r="Z111">
            <v>23.3291</v>
          </cell>
          <cell r="AA111">
            <v>23.2851</v>
          </cell>
          <cell r="AB111" t="e">
            <v>#N/A</v>
          </cell>
          <cell r="AC111" t="e">
            <v>#N/A</v>
          </cell>
          <cell r="AD111" t="str">
            <v>0199-17</v>
          </cell>
          <cell r="AE11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12">
          <cell r="A112" t="str">
            <v>200-17</v>
          </cell>
          <cell r="B112">
            <v>4013</v>
          </cell>
          <cell r="C112" t="str">
            <v>DE.1.0.7.0</v>
          </cell>
          <cell r="D112" t="str">
            <v>204:232952</v>
          </cell>
          <cell r="E112">
            <v>42599.700416666667</v>
          </cell>
          <cell r="F112">
            <v>42599.701388888891</v>
          </cell>
          <cell r="G112">
            <v>1</v>
          </cell>
          <cell r="H112" t="str">
            <v>204:161</v>
          </cell>
          <cell r="I112">
            <v>42599.733749999999</v>
          </cell>
          <cell r="J112">
            <v>0</v>
          </cell>
          <cell r="K112" t="str">
            <v>4013/4014</v>
          </cell>
          <cell r="L112" t="str">
            <v>KILLION</v>
          </cell>
          <cell r="M112">
            <v>3.2361111108912155E-2</v>
          </cell>
          <cell r="N112">
            <v>46.599999996833503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https://search-rtdc-monitor-bjffxe2xuh6vdkpspy63sjmuny.us-east-1.es.amazonaws.com/_plugin/kibana/#/discover/Steve-Slow-Train-Analysis-(2080s-and-2083s)?_g=(refreshInterval:(display:Off,section:0,value:0),time:(from:'2016-08-17 15:48:36-0600',mode:absolute,to:'2016-08-17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2" t="str">
            <v>N</v>
          </cell>
          <cell r="X112">
            <v>1</v>
          </cell>
          <cell r="Y112">
            <v>23.295200000000001</v>
          </cell>
          <cell r="Z112">
            <v>1.61E-2</v>
          </cell>
          <cell r="AA112">
            <v>23.2791</v>
          </cell>
          <cell r="AB112" t="e">
            <v>#N/A</v>
          </cell>
          <cell r="AC112" t="e">
            <v>#N/A</v>
          </cell>
          <cell r="AD112" t="str">
            <v>0200-17</v>
          </cell>
          <cell r="AE11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13">
          <cell r="A113" t="str">
            <v>201-17</v>
          </cell>
          <cell r="B113">
            <v>4020</v>
          </cell>
          <cell r="C113" t="str">
            <v>DE.1.0.7.0</v>
          </cell>
          <cell r="D113" t="str">
            <v>204:478</v>
          </cell>
          <cell r="E113">
            <v>42599.671736111108</v>
          </cell>
          <cell r="F113">
            <v>42599.672708333332</v>
          </cell>
          <cell r="G113">
            <v>1</v>
          </cell>
          <cell r="H113" t="str">
            <v>204:233325</v>
          </cell>
          <cell r="I113">
            <v>42599.70380787037</v>
          </cell>
          <cell r="J113">
            <v>0</v>
          </cell>
          <cell r="K113" t="str">
            <v>4019/4020</v>
          </cell>
          <cell r="L113" t="str">
            <v>BONDS</v>
          </cell>
          <cell r="M113">
            <v>3.1099537038244307E-2</v>
          </cell>
          <cell r="N113">
            <v>44.783333335071802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https://search-rtdc-monitor-bjffxe2xuh6vdkpspy63sjmuny.us-east-1.es.amazonaws.com/_plugin/kibana/#/discover/Steve-Slow-Train-Analysis-(2080s-and-2083s)?_g=(refreshInterval:(display:Off,section:0,value:0),time:(from:'2016-08-17 15:07:18-0600',mode:absolute,to:'2016-08-17 17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3" t="str">
            <v>N</v>
          </cell>
          <cell r="X113">
            <v>1</v>
          </cell>
          <cell r="Y113">
            <v>4.7800000000000002E-2</v>
          </cell>
          <cell r="Z113">
            <v>23.3325</v>
          </cell>
          <cell r="AA113">
            <v>23.284700000000001</v>
          </cell>
          <cell r="AB113" t="e">
            <v>#N/A</v>
          </cell>
          <cell r="AC113" t="e">
            <v>#N/A</v>
          </cell>
          <cell r="AD113" t="str">
            <v>0201-17</v>
          </cell>
          <cell r="AE113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14">
          <cell r="A114" t="str">
            <v>202-17</v>
          </cell>
          <cell r="B114">
            <v>4019</v>
          </cell>
          <cell r="C114" t="str">
            <v>DE.1.0.7.0</v>
          </cell>
          <cell r="D114" t="str">
            <v>204:233011</v>
          </cell>
          <cell r="E114">
            <v>42599.712708333333</v>
          </cell>
          <cell r="F114">
            <v>42599.713576388887</v>
          </cell>
          <cell r="G114">
            <v>1</v>
          </cell>
          <cell r="H114" t="str">
            <v>204:141</v>
          </cell>
          <cell r="I114">
            <v>42599.743564814817</v>
          </cell>
          <cell r="J114">
            <v>0</v>
          </cell>
          <cell r="K114" t="str">
            <v>4019/4020</v>
          </cell>
          <cell r="L114" t="str">
            <v>BONDS</v>
          </cell>
          <cell r="M114">
            <v>2.9988425929332152E-2</v>
          </cell>
          <cell r="N114">
            <v>43.183333338238299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https://search-rtdc-monitor-bjffxe2xuh6vdkpspy63sjmuny.us-east-1.es.amazonaws.com/_plugin/kibana/#/discover/Steve-Slow-Train-Analysis-(2080s-and-2083s)?_g=(refreshInterval:(display:Off,section:0,value:0),time:(from:'2016-08-17 16:06:18-0600',mode:absolute,to:'2016-08-17 18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4" t="str">
            <v>N</v>
          </cell>
          <cell r="X114">
            <v>1</v>
          </cell>
          <cell r="Y114">
            <v>23.301100000000002</v>
          </cell>
          <cell r="Z114">
            <v>1.41E-2</v>
          </cell>
          <cell r="AA114">
            <v>23.287000000000003</v>
          </cell>
          <cell r="AB114" t="e">
            <v>#N/A</v>
          </cell>
          <cell r="AC114" t="e">
            <v>#N/A</v>
          </cell>
          <cell r="AD114" t="str">
            <v>0202-17</v>
          </cell>
          <cell r="AE114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15">
          <cell r="A115" t="str">
            <v>203-17</v>
          </cell>
          <cell r="B115">
            <v>4027</v>
          </cell>
          <cell r="C115" t="str">
            <v>DE.1.0.7.0</v>
          </cell>
          <cell r="D115" t="str">
            <v>204:482</v>
          </cell>
          <cell r="E115">
            <v>42599.681284722225</v>
          </cell>
          <cell r="F115">
            <v>42599.682870370372</v>
          </cell>
          <cell r="G115">
            <v>2</v>
          </cell>
          <cell r="H115" t="str">
            <v>204:233305</v>
          </cell>
          <cell r="I115">
            <v>42599.712094907409</v>
          </cell>
          <cell r="J115">
            <v>0</v>
          </cell>
          <cell r="K115" t="str">
            <v>4027/4028</v>
          </cell>
          <cell r="L115" t="str">
            <v>YORK</v>
          </cell>
          <cell r="M115">
            <v>2.9224537036498077E-2</v>
          </cell>
          <cell r="N115">
            <v>42.083333332557231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https://search-rtdc-monitor-bjffxe2xuh6vdkpspy63sjmuny.us-east-1.es.amazonaws.com/_plugin/kibana/#/discover/Steve-Slow-Train-Analysis-(2080s-and-2083s)?_g=(refreshInterval:(display:Off,section:0,value:0),time:(from:'2016-08-17 15:21:03-0600',mode:absolute,to:'2016-08-17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15" t="str">
            <v>N</v>
          </cell>
          <cell r="X115">
            <v>1</v>
          </cell>
          <cell r="Y115">
            <v>4.82E-2</v>
          </cell>
          <cell r="Z115">
            <v>23.330500000000001</v>
          </cell>
          <cell r="AA115">
            <v>23.282299999999999</v>
          </cell>
          <cell r="AB115" t="e">
            <v>#N/A</v>
          </cell>
          <cell r="AC115" t="e">
            <v>#N/A</v>
          </cell>
          <cell r="AD115" t="str">
            <v>0203-17</v>
          </cell>
          <cell r="AE115" t="str">
    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    </cell>
        </row>
        <row r="116">
          <cell r="A116" t="str">
            <v>204-17</v>
          </cell>
          <cell r="B116">
            <v>4028</v>
          </cell>
          <cell r="C116" t="str">
            <v>DE.1.0.7.0</v>
          </cell>
          <cell r="D116" t="str">
            <v>204:232986</v>
          </cell>
          <cell r="E116">
            <v>42599.71292824074</v>
          </cell>
          <cell r="F116">
            <v>42599.713541666664</v>
          </cell>
          <cell r="G116">
            <v>0</v>
          </cell>
          <cell r="H116" t="str">
            <v>204:4167</v>
          </cell>
          <cell r="I116">
            <v>42599.751354166663</v>
          </cell>
          <cell r="J116">
            <v>0</v>
          </cell>
          <cell r="K116" t="str">
            <v>4027/4028</v>
          </cell>
          <cell r="L116" t="str">
            <v>YORK</v>
          </cell>
          <cell r="M116">
            <v>3.7812499998835847E-2</v>
          </cell>
          <cell r="N116">
            <v>54.449999998323619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https://search-rtdc-monitor-bjffxe2xuh6vdkpspy63sjmuny.us-east-1.es.amazonaws.com/_plugin/kibana/#/discover/Steve-Slow-Train-Analysis-(2080s-and-2083s)?_g=(refreshInterval:(display:Off,section:0,value:0),time:(from:'2016-08-17 16:06:37-0600',mode:absolute,to:'2016-08-17 19:01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6" t="str">
            <v>Y</v>
          </cell>
          <cell r="X116">
            <v>1</v>
          </cell>
          <cell r="Y116">
            <v>23.2986</v>
          </cell>
          <cell r="Z116">
            <v>0.41670000000000001</v>
          </cell>
          <cell r="AA116">
            <v>22.881900000000002</v>
          </cell>
          <cell r="AB116" t="e">
            <v>#N/A</v>
          </cell>
          <cell r="AC116" t="e">
            <v>#N/A</v>
          </cell>
          <cell r="AD116" t="str">
            <v>0204-17</v>
          </cell>
          <cell r="AE116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117">
          <cell r="A117" t="str">
            <v>205-17</v>
          </cell>
          <cell r="B117">
            <v>4018</v>
          </cell>
          <cell r="C117" t="str">
            <v>DE.1.0.7.0</v>
          </cell>
          <cell r="D117" t="str">
            <v>204:471</v>
          </cell>
          <cell r="E117">
            <v>42599.693344907406</v>
          </cell>
          <cell r="F117">
            <v>42599.69458333333</v>
          </cell>
          <cell r="G117">
            <v>1</v>
          </cell>
          <cell r="H117" t="str">
            <v>204:233302</v>
          </cell>
          <cell r="I117">
            <v>42599.725590277776</v>
          </cell>
          <cell r="J117">
            <v>0</v>
          </cell>
          <cell r="K117" t="str">
            <v>4017/4018</v>
          </cell>
          <cell r="L117" t="str">
            <v>HELVIE</v>
          </cell>
          <cell r="M117">
            <v>3.1006944445834961E-2</v>
          </cell>
          <cell r="N117">
            <v>44.650000002002344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https://search-rtdc-monitor-bjffxe2xuh6vdkpspy63sjmuny.us-east-1.es.amazonaws.com/_plugin/kibana/#/discover/Steve-Slow-Train-Analysis-(2080s-and-2083s)?_g=(refreshInterval:(display:Off,section:0,value:0),time:(from:'2016-08-17 15:38:25-0600',mode:absolute,to:'2016-08-17 18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7" t="str">
            <v>N</v>
          </cell>
          <cell r="X117">
            <v>1</v>
          </cell>
          <cell r="Y117">
            <v>4.7100000000000003E-2</v>
          </cell>
          <cell r="Z117">
            <v>23.330200000000001</v>
          </cell>
          <cell r="AA117">
            <v>23.283100000000001</v>
          </cell>
          <cell r="AB117" t="e">
            <v>#N/A</v>
          </cell>
          <cell r="AC117" t="e">
            <v>#N/A</v>
          </cell>
          <cell r="AD117" t="str">
            <v>0205-17</v>
          </cell>
          <cell r="AE11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18">
          <cell r="A118" t="str">
            <v>206-17</v>
          </cell>
          <cell r="B118">
            <v>4017</v>
          </cell>
          <cell r="C118" t="str">
            <v>DE.1.0.7.0</v>
          </cell>
          <cell r="D118" t="str">
            <v>204:232974</v>
          </cell>
          <cell r="E118">
            <v>42599.727523148147</v>
          </cell>
          <cell r="F118">
            <v>42599.728391203702</v>
          </cell>
          <cell r="G118">
            <v>1</v>
          </cell>
          <cell r="H118" t="str">
            <v>204:149</v>
          </cell>
          <cell r="I118">
            <v>42599.765115740738</v>
          </cell>
          <cell r="J118">
            <v>0</v>
          </cell>
          <cell r="K118" t="str">
            <v>4017/4018</v>
          </cell>
          <cell r="L118" t="str">
            <v>HELVIE</v>
          </cell>
          <cell r="M118">
            <v>3.6724537036207039E-2</v>
          </cell>
          <cell r="N118">
            <v>52.883333332138136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https://search-rtdc-monitor-bjffxe2xuh6vdkpspy63sjmuny.us-east-1.es.amazonaws.com/_plugin/kibana/#/discover/Steve-Slow-Train-Analysis-(2080s-and-2083s)?_g=(refreshInterval:(display:Off,section:0,value:0),time:(from:'2016-08-17 16:27:38-0600',mode:absolute,to:'2016-08-17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8" t="str">
            <v>N</v>
          </cell>
          <cell r="X118">
            <v>1</v>
          </cell>
          <cell r="Y118">
            <v>23.2974</v>
          </cell>
          <cell r="Z118">
            <v>1.49E-2</v>
          </cell>
          <cell r="AA118">
            <v>23.282499999999999</v>
          </cell>
          <cell r="AB118" t="e">
            <v>#N/A</v>
          </cell>
          <cell r="AC118" t="e">
            <v>#N/A</v>
          </cell>
          <cell r="AD118" t="str">
            <v>0206-17</v>
          </cell>
          <cell r="AE11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19">
          <cell r="A119" t="str">
            <v>207-17</v>
          </cell>
          <cell r="B119">
            <v>4025</v>
          </cell>
          <cell r="C119" t="str">
            <v>DE.1.0.7.0</v>
          </cell>
          <cell r="D119" t="str">
            <v>204:626</v>
          </cell>
          <cell r="E119">
            <v>42599.7033912037</v>
          </cell>
          <cell r="F119">
            <v>42599.704652777778</v>
          </cell>
          <cell r="G119">
            <v>1</v>
          </cell>
          <cell r="H119" t="str">
            <v>204:233309</v>
          </cell>
          <cell r="I119">
            <v>42599.735879629632</v>
          </cell>
          <cell r="J119">
            <v>0</v>
          </cell>
          <cell r="K119" t="str">
            <v>4025/4026</v>
          </cell>
          <cell r="L119" t="str">
            <v>STORY</v>
          </cell>
          <cell r="M119">
            <v>3.1226851853716653E-2</v>
          </cell>
          <cell r="N119">
            <v>44.96666666935198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19" t="str">
            <v>N</v>
          </cell>
          <cell r="X119">
            <v>1</v>
          </cell>
          <cell r="Y119">
            <v>6.2600000000000003E-2</v>
          </cell>
          <cell r="Z119">
            <v>23.3309</v>
          </cell>
          <cell r="AA119">
            <v>23.2683</v>
          </cell>
          <cell r="AB119">
            <v>33137</v>
          </cell>
          <cell r="AC119" t="str">
            <v>GRADE CROSSING</v>
          </cell>
          <cell r="AD119" t="str">
            <v>0207-17</v>
          </cell>
          <cell r="AE119" t="str">
    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    </cell>
        </row>
        <row r="120">
          <cell r="A120" t="str">
            <v>208-17</v>
          </cell>
          <cell r="B120">
            <v>4026</v>
          </cell>
          <cell r="C120" t="str">
            <v>DE.1.0.7.0</v>
          </cell>
          <cell r="D120" t="str">
            <v>204:232973</v>
          </cell>
          <cell r="E120">
            <v>42599.741863425923</v>
          </cell>
          <cell r="F120">
            <v>42599.744131944448</v>
          </cell>
          <cell r="G120">
            <v>3</v>
          </cell>
          <cell r="H120" t="str">
            <v>204:154</v>
          </cell>
          <cell r="I120">
            <v>42599.774976851855</v>
          </cell>
          <cell r="J120">
            <v>0</v>
          </cell>
          <cell r="K120" t="str">
            <v>4025/4026</v>
          </cell>
          <cell r="L120" t="str">
            <v>STORY</v>
          </cell>
          <cell r="M120">
            <v>3.0844907407299615E-2</v>
          </cell>
          <cell r="N120">
            <v>44.416666666511446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https://search-rtdc-monitor-bjffxe2xuh6vdkpspy63sjmuny.us-east-1.es.amazonaws.com/_plugin/kibana/#/discover/Steve-Slow-Train-Analysis-(2080s-and-2083s)?_g=(refreshInterval:(display:Off,section:0,value:0),time:(from:'2016-08-17 16:48:17-0600',mode:absolute,to:'2016-08-17 19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20" t="str">
            <v>N</v>
          </cell>
          <cell r="X120">
            <v>1</v>
          </cell>
          <cell r="Y120">
            <v>23.2973</v>
          </cell>
          <cell r="Z120">
            <v>1.54E-2</v>
          </cell>
          <cell r="AA120">
            <v>23.2819</v>
          </cell>
          <cell r="AB120" t="e">
            <v>#N/A</v>
          </cell>
          <cell r="AC120" t="e">
            <v>#N/A</v>
          </cell>
          <cell r="AD120" t="str">
            <v>0208-17</v>
          </cell>
          <cell r="AE120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121">
          <cell r="A121" t="str">
            <v>209-17</v>
          </cell>
          <cell r="B121">
            <v>4009</v>
          </cell>
          <cell r="C121" t="str">
            <v>DE.1.0.7.0</v>
          </cell>
          <cell r="D121" t="str">
            <v>204:455</v>
          </cell>
          <cell r="E121">
            <v>42599.713993055557</v>
          </cell>
          <cell r="F121">
            <v>42599.715601851851</v>
          </cell>
          <cell r="G121">
            <v>2</v>
          </cell>
          <cell r="H121" t="str">
            <v>204:233308</v>
          </cell>
          <cell r="I121">
            <v>42599.744884259257</v>
          </cell>
          <cell r="J121">
            <v>0</v>
          </cell>
          <cell r="K121" t="str">
            <v>4009/4010</v>
          </cell>
          <cell r="L121" t="str">
            <v>STURGEON</v>
          </cell>
          <cell r="M121">
            <v>2.9282407405844424E-2</v>
          </cell>
          <cell r="N121">
            <v>42.16666666441597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https://search-rtdc-monitor-bjffxe2xuh6vdkpspy63sjmuny.us-east-1.es.amazonaws.com/_plugin/kibana/#/discover/Steve-Slow-Train-Analysis-(2080s-and-2083s)?_g=(refreshInterval:(display:Off,section:0,value:0),time:(from:'2016-08-17 16:08:09-0600',mode:absolute,to:'2016-08-17 18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1" t="str">
            <v>N</v>
          </cell>
          <cell r="X121">
            <v>1</v>
          </cell>
          <cell r="Y121">
            <v>4.5499999999999999E-2</v>
          </cell>
          <cell r="Z121">
            <v>23.3308</v>
          </cell>
          <cell r="AA121">
            <v>23.285299999999999</v>
          </cell>
          <cell r="AB121" t="e">
            <v>#N/A</v>
          </cell>
          <cell r="AC121" t="e">
            <v>#N/A</v>
          </cell>
          <cell r="AD121" t="str">
            <v>0209-17</v>
          </cell>
          <cell r="AE12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22">
          <cell r="A122" t="str">
            <v>210-17</v>
          </cell>
          <cell r="B122">
            <v>4010</v>
          </cell>
          <cell r="C122" t="str">
            <v>DE.1.0.7.0</v>
          </cell>
          <cell r="D122" t="str">
            <v>204:232983</v>
          </cell>
          <cell r="E122">
            <v>42599.752118055556</v>
          </cell>
          <cell r="F122">
            <v>42599.753067129626</v>
          </cell>
          <cell r="G122">
            <v>1</v>
          </cell>
          <cell r="H122" t="str">
            <v>204:161</v>
          </cell>
          <cell r="I122">
            <v>42599.786574074074</v>
          </cell>
          <cell r="J122">
            <v>0</v>
          </cell>
          <cell r="K122" t="str">
            <v>4009/4010</v>
          </cell>
          <cell r="L122" t="str">
            <v>STURGEON</v>
          </cell>
          <cell r="M122">
            <v>3.3506944448163267E-2</v>
          </cell>
          <cell r="N122">
            <v>48.250000005355105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https://search-rtdc-monitor-bjffxe2xuh6vdkpspy63sjmuny.us-east-1.es.amazonaws.com/_plugin/kibana/#/discover/Steve-Slow-Train-Analysis-(2080s-and-2083s)?_g=(refreshInterval:(display:Off,section:0,value:0),time:(from:'2016-08-17 17:03:03-0600',mode:absolute,to:'2016-08-17 19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2" t="str">
            <v>N</v>
          </cell>
          <cell r="X122">
            <v>1</v>
          </cell>
          <cell r="Y122">
            <v>23.298300000000001</v>
          </cell>
          <cell r="Z122">
            <v>1.61E-2</v>
          </cell>
          <cell r="AA122">
            <v>23.2822</v>
          </cell>
          <cell r="AB122" t="e">
            <v>#N/A</v>
          </cell>
          <cell r="AC122" t="e">
            <v>#N/A</v>
          </cell>
          <cell r="AD122" t="str">
            <v>0210-17</v>
          </cell>
          <cell r="AE12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23">
          <cell r="A123" t="str">
            <v>211-17</v>
          </cell>
          <cell r="B123">
            <v>4002</v>
          </cell>
          <cell r="C123" t="str">
            <v>DE.1.0.7.0</v>
          </cell>
          <cell r="D123" t="str">
            <v>204:475</v>
          </cell>
          <cell r="E123">
            <v>42599.725671296299</v>
          </cell>
          <cell r="F123">
            <v>42599.730115740742</v>
          </cell>
          <cell r="G123">
            <v>6</v>
          </cell>
          <cell r="H123" t="str">
            <v>204:233312</v>
          </cell>
          <cell r="I123">
            <v>42599.754664351851</v>
          </cell>
          <cell r="J123">
            <v>0</v>
          </cell>
          <cell r="K123" t="str">
            <v>4001/4002</v>
          </cell>
          <cell r="L123" t="str">
            <v>STAMBAUGH</v>
          </cell>
          <cell r="M123">
            <v>2.4548611108912155E-2</v>
          </cell>
          <cell r="N123">
            <v>35.349999996833503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https://search-rtdc-monitor-bjffxe2xuh6vdkpspy63sjmuny.us-east-1.es.amazonaws.com/_plugin/kibana/#/discover/Steve-Slow-Train-Analysis-(2080s-and-2083s)?_g=(refreshInterval:(display:Off,section:0,value:0),time:(from:'2016-08-17 16:24:58-0600',mode:absolute,to:'2016-08-17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3" t="str">
            <v>N</v>
          </cell>
          <cell r="X123">
            <v>1</v>
          </cell>
          <cell r="Y123">
            <v>4.7500000000000001E-2</v>
          </cell>
          <cell r="Z123">
            <v>23.331199999999999</v>
          </cell>
          <cell r="AA123">
            <v>23.2837</v>
          </cell>
          <cell r="AB123" t="e">
            <v>#N/A</v>
          </cell>
          <cell r="AC123" t="e">
            <v>#N/A</v>
          </cell>
          <cell r="AD123" t="str">
            <v>0211-17</v>
          </cell>
          <cell r="AE123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124">
          <cell r="A124" t="str">
            <v>212-17</v>
          </cell>
          <cell r="B124">
            <v>4001</v>
          </cell>
          <cell r="C124" t="str">
            <v>DE.1.0.7.0</v>
          </cell>
          <cell r="D124" t="str">
            <v>204:232982</v>
          </cell>
          <cell r="E124">
            <v>42599.766493055555</v>
          </cell>
          <cell r="F124">
            <v>42599.767581018517</v>
          </cell>
          <cell r="G124">
            <v>1</v>
          </cell>
          <cell r="H124" t="str">
            <v>204:136</v>
          </cell>
          <cell r="I124">
            <v>42599.798541666663</v>
          </cell>
          <cell r="J124">
            <v>0</v>
          </cell>
          <cell r="K124" t="str">
            <v>4001/4002</v>
          </cell>
          <cell r="L124" t="str">
            <v>STAMBAUGH</v>
          </cell>
          <cell r="M124">
            <v>3.0960648145992309E-2</v>
          </cell>
          <cell r="N124">
            <v>44.583333330228925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https://search-rtdc-monitor-bjffxe2xuh6vdkpspy63sjmuny.us-east-1.es.amazonaws.com/_plugin/kibana/#/discover/Steve-Slow-Train-Analysis-(2080s-and-2083s)?_g=(refreshInterval:(display:Off,section:0,value:0),time:(from:'2016-08-17 17:23:45-0600',mode:absolute,to:'2016-08-17 20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4" t="str">
            <v>N</v>
          </cell>
          <cell r="X124">
            <v>1</v>
          </cell>
          <cell r="Y124">
            <v>23.298200000000001</v>
          </cell>
          <cell r="Z124">
            <v>1.3599999999999999E-2</v>
          </cell>
          <cell r="AA124">
            <v>23.284600000000001</v>
          </cell>
          <cell r="AB124" t="e">
            <v>#N/A</v>
          </cell>
          <cell r="AC124" t="e">
            <v>#N/A</v>
          </cell>
          <cell r="AD124" t="str">
            <v>0212-17</v>
          </cell>
          <cell r="AE124" t="str">
    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    </cell>
        </row>
        <row r="125">
          <cell r="A125" t="str">
            <v>213-17</v>
          </cell>
          <cell r="B125">
            <v>4014</v>
          </cell>
          <cell r="C125" t="str">
            <v>DE.1.0.7.0</v>
          </cell>
          <cell r="D125" t="str">
            <v>204:449</v>
          </cell>
          <cell r="E125">
            <v>42599.735891203702</v>
          </cell>
          <cell r="F125">
            <v>42599.736863425926</v>
          </cell>
          <cell r="G125">
            <v>1</v>
          </cell>
          <cell r="H125" t="str">
            <v>204:233304</v>
          </cell>
          <cell r="I125">
            <v>42599.765104166669</v>
          </cell>
          <cell r="J125">
            <v>0</v>
          </cell>
          <cell r="K125" t="str">
            <v>4013/4014</v>
          </cell>
          <cell r="L125" t="str">
            <v>ISHMAEL</v>
          </cell>
          <cell r="M125">
            <v>2.8240740743058268E-2</v>
          </cell>
          <cell r="N125">
            <v>40.666666670003906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https://search-rtdc-monitor-bjffxe2xuh6vdkpspy63sjmuny.us-east-1.es.amazonaws.com/_plugin/kibana/#/discover/Steve-Slow-Train-Analysis-(2080s-and-2083s)?_g=(refreshInterval:(display:Off,section:0,value:0),time:(from:'2016-08-17 16:39:41-0600',mode:absolute,to:'2016-08-17 19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25" t="str">
            <v>N</v>
          </cell>
          <cell r="X125">
            <v>1</v>
          </cell>
          <cell r="Y125">
            <v>4.4900000000000002E-2</v>
          </cell>
          <cell r="Z125">
            <v>23.330400000000001</v>
          </cell>
          <cell r="AA125">
            <v>23.285500000000003</v>
          </cell>
          <cell r="AB125" t="e">
            <v>#N/A</v>
          </cell>
          <cell r="AC125" t="e">
            <v>#N/A</v>
          </cell>
          <cell r="AD125" t="str">
            <v>0213-17</v>
          </cell>
          <cell r="AE12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26">
          <cell r="A126" t="str">
            <v>214-17</v>
          </cell>
          <cell r="B126">
            <v>4013</v>
          </cell>
          <cell r="C126" t="str">
            <v>DE.1.0.7.0</v>
          </cell>
          <cell r="D126" t="str">
            <v>204:232991</v>
          </cell>
          <cell r="E126">
            <v>42599.773356481484</v>
          </cell>
          <cell r="F126">
            <v>42599.774513888886</v>
          </cell>
          <cell r="G126">
            <v>1</v>
          </cell>
          <cell r="H126" t="str">
            <v>204:158</v>
          </cell>
          <cell r="I126">
            <v>42599.806331018517</v>
          </cell>
          <cell r="J126">
            <v>0</v>
          </cell>
          <cell r="K126" t="str">
            <v>4013/4014</v>
          </cell>
          <cell r="L126" t="str">
            <v>ISHMAEL</v>
          </cell>
          <cell r="M126">
            <v>3.181712963123573E-2</v>
          </cell>
          <cell r="N126">
            <v>45.816666668979451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https://search-rtdc-monitor-bjffxe2xuh6vdkpspy63sjmuny.us-east-1.es.amazonaws.com/_plugin/kibana/#/discover/Steve-Slow-Train-Analysis-(2080s-and-2083s)?_g=(refreshInterval:(display:Off,section:0,value:0),time:(from:'2016-08-17 17:33:38-0600',mode:absolute,to:'2016-08-17 20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26" t="str">
            <v>N</v>
          </cell>
          <cell r="X126">
            <v>1</v>
          </cell>
          <cell r="Y126">
            <v>23.299099999999999</v>
          </cell>
          <cell r="Z126">
            <v>1.5800000000000002E-2</v>
          </cell>
          <cell r="AA126">
            <v>23.283300000000001</v>
          </cell>
          <cell r="AB126" t="e">
            <v>#N/A</v>
          </cell>
          <cell r="AC126" t="e">
            <v>#N/A</v>
          </cell>
          <cell r="AD126" t="str">
            <v>0214-17</v>
          </cell>
          <cell r="AE126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27">
          <cell r="A127" t="str">
            <v>215-17</v>
          </cell>
          <cell r="B127">
            <v>4020</v>
          </cell>
          <cell r="C127" t="str">
            <v>DE.1.0.7.0</v>
          </cell>
          <cell r="D127" t="str">
            <v>204:453</v>
          </cell>
          <cell r="E127">
            <v>42599.746041666665</v>
          </cell>
          <cell r="F127">
            <v>42599.747569444444</v>
          </cell>
          <cell r="G127">
            <v>2</v>
          </cell>
          <cell r="H127" t="str">
            <v>204:233307</v>
          </cell>
          <cell r="I127">
            <v>42599.778912037036</v>
          </cell>
          <cell r="J127">
            <v>0</v>
          </cell>
          <cell r="K127" t="str">
            <v>4019/4020</v>
          </cell>
          <cell r="L127" t="str">
            <v>ROBINSON</v>
          </cell>
          <cell r="M127">
            <v>3.1342592592409346E-2</v>
          </cell>
          <cell r="N127">
            <v>45.133333333069459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https://search-rtdc-monitor-bjffxe2xuh6vdkpspy63sjmuny.us-east-1.es.amazonaws.com/_plugin/kibana/#/discover/Steve-Slow-Train-Analysis-(2080s-and-2083s)?_g=(refreshInterval:(display:Off,section:0,value:0),time:(from:'2016-08-17 16:54:18-0600',mode:absolute,to:'2016-08-17 19:41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7" t="str">
            <v>N</v>
          </cell>
          <cell r="X127">
            <v>1</v>
          </cell>
          <cell r="Y127">
            <v>4.53E-2</v>
          </cell>
          <cell r="Z127">
            <v>23.3307</v>
          </cell>
          <cell r="AA127">
            <v>23.285399999999999</v>
          </cell>
          <cell r="AB127" t="e">
            <v>#N/A</v>
          </cell>
          <cell r="AC127" t="e">
            <v>#N/A</v>
          </cell>
          <cell r="AD127" t="str">
            <v>0215-17</v>
          </cell>
          <cell r="AE127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128">
          <cell r="A128" t="str">
            <v>216-17</v>
          </cell>
          <cell r="B128">
            <v>4019</v>
          </cell>
          <cell r="C128" t="str">
            <v>DE.1.0.7.0</v>
          </cell>
          <cell r="D128" t="str">
            <v>204:232992</v>
          </cell>
          <cell r="E128">
            <v>42599.785266203704</v>
          </cell>
          <cell r="F128">
            <v>42599.786435185182</v>
          </cell>
          <cell r="G128">
            <v>1</v>
          </cell>
          <cell r="H128" t="str">
            <v>204:149</v>
          </cell>
          <cell r="I128">
            <v>42599.816250000003</v>
          </cell>
          <cell r="J128">
            <v>0</v>
          </cell>
          <cell r="K128" t="str">
            <v>4019/4020</v>
          </cell>
          <cell r="L128" t="str">
            <v>ROBINSON</v>
          </cell>
          <cell r="M128">
            <v>2.9814814821293112E-2</v>
          </cell>
          <cell r="N128">
            <v>42.933333342662081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https://search-rtdc-monitor-bjffxe2xuh6vdkpspy63sjmuny.us-east-1.es.amazonaws.com/_plugin/kibana/#/discover/Steve-Slow-Train-Analysis-(2080s-and-2083s)?_g=(refreshInterval:(display:Off,section:0,value:0),time:(from:'2016-08-17 17:50:47-0600',mode:absolute,to:'2016-08-17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8" t="str">
            <v>N</v>
          </cell>
          <cell r="X128">
            <v>1</v>
          </cell>
          <cell r="Y128">
            <v>23.299199999999999</v>
          </cell>
          <cell r="Z128">
            <v>1.49E-2</v>
          </cell>
          <cell r="AA128">
            <v>23.284299999999998</v>
          </cell>
          <cell r="AB128" t="e">
            <v>#N/A</v>
          </cell>
          <cell r="AC128" t="e">
            <v>#N/A</v>
          </cell>
          <cell r="AD128" t="str">
            <v>0216-17</v>
          </cell>
          <cell r="AE12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129">
          <cell r="A129" t="str">
            <v>217-17</v>
          </cell>
          <cell r="B129">
            <v>4016</v>
          </cell>
          <cell r="C129" t="str">
            <v>DE.1.0.7.0</v>
          </cell>
          <cell r="D129" t="str">
            <v>204:444</v>
          </cell>
          <cell r="E129">
            <v>42599.75476851852</v>
          </cell>
          <cell r="F129">
            <v>42599.755960648145</v>
          </cell>
          <cell r="G129">
            <v>1</v>
          </cell>
          <cell r="H129" t="str">
            <v>204:233291</v>
          </cell>
          <cell r="I129">
            <v>42599.786319444444</v>
          </cell>
          <cell r="J129">
            <v>0</v>
          </cell>
          <cell r="K129" t="str">
            <v>4015/4016</v>
          </cell>
          <cell r="L129" t="str">
            <v>LEVIN</v>
          </cell>
          <cell r="M129">
            <v>3.0358796298969537E-2</v>
          </cell>
          <cell r="N129">
            <v>43.716666670516133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https://search-rtdc-monitor-bjffxe2xuh6vdkpspy63sjmuny.us-east-1.es.amazonaws.com/_plugin/kibana/#/discover/Steve-Slow-Train-Analysis-(2080s-and-2083s)?_g=(refreshInterval:(display:Off,section:0,value:0),time:(from:'2016-08-17 17:06:52-0600',mode:absolute,to:'2016-08-17 19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9" t="str">
            <v>N</v>
          </cell>
          <cell r="X129">
            <v>1</v>
          </cell>
          <cell r="Y129">
            <v>4.4400000000000002E-2</v>
          </cell>
          <cell r="Z129">
            <v>23.3291</v>
          </cell>
          <cell r="AA129">
            <v>23.284700000000001</v>
          </cell>
          <cell r="AB129" t="e">
            <v>#N/A</v>
          </cell>
          <cell r="AC129" t="e">
            <v>#N/A</v>
          </cell>
          <cell r="AD129" t="str">
            <v>0217-17</v>
          </cell>
          <cell r="AE129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30">
          <cell r="A130" t="str">
            <v>218-17</v>
          </cell>
          <cell r="B130">
            <v>4015</v>
          </cell>
          <cell r="C130" t="str">
            <v>DE.1.0.7.0</v>
          </cell>
          <cell r="D130" t="str">
            <v>204:233008</v>
          </cell>
          <cell r="E130">
            <v>42599.79346064815</v>
          </cell>
          <cell r="F130">
            <v>42599.794398148151</v>
          </cell>
          <cell r="G130">
            <v>1</v>
          </cell>
          <cell r="H130" t="str">
            <v>204:129</v>
          </cell>
          <cell r="I130">
            <v>42599.825648148151</v>
          </cell>
          <cell r="J130">
            <v>0</v>
          </cell>
          <cell r="K130" t="str">
            <v>4015/4016</v>
          </cell>
          <cell r="L130" t="str">
            <v>LEVIN</v>
          </cell>
          <cell r="M130">
            <v>3.125E-2</v>
          </cell>
          <cell r="N130">
            <v>45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https://search-rtdc-monitor-bjffxe2xuh6vdkpspy63sjmuny.us-east-1.es.amazonaws.com/_plugin/kibana/#/discover/Steve-Slow-Train-Analysis-(2080s-and-2083s)?_g=(refreshInterval:(display:Off,section:0,value:0),time:(from:'2016-08-17 18:02:35-0600',mode:absolute,to:'2016-08-17 20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0" t="str">
            <v>N</v>
          </cell>
          <cell r="X130">
            <v>1</v>
          </cell>
          <cell r="Y130">
            <v>23.300799999999999</v>
          </cell>
          <cell r="Z130">
            <v>1.29E-2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0218-17</v>
          </cell>
          <cell r="AE130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31">
          <cell r="A131" t="str">
            <v>219-17</v>
          </cell>
          <cell r="B131">
            <v>4018</v>
          </cell>
          <cell r="C131" t="str">
            <v>DE.1.0.7.0</v>
          </cell>
          <cell r="D131" t="str">
            <v>204:464</v>
          </cell>
          <cell r="E131">
            <v>42599.767500000002</v>
          </cell>
          <cell r="F131">
            <v>42599.76866898148</v>
          </cell>
          <cell r="G131">
            <v>1</v>
          </cell>
          <cell r="H131" t="str">
            <v>204:233299</v>
          </cell>
          <cell r="I131">
            <v>42599.796412037038</v>
          </cell>
          <cell r="J131">
            <v>0</v>
          </cell>
          <cell r="K131" t="str">
            <v>4017/4018</v>
          </cell>
          <cell r="L131" t="str">
            <v>DE LA ROSA</v>
          </cell>
          <cell r="M131">
            <v>2.7743055557948537E-2</v>
          </cell>
          <cell r="N131">
            <v>39.950000003445894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https://search-rtdc-monitor-bjffxe2xuh6vdkpspy63sjmuny.us-east-1.es.amazonaws.com/_plugin/kibana/#/discover/Steve-Slow-Train-Analysis-(2080s-and-2083s)?_g=(refreshInterval:(display:Off,section:0,value:0),time:(from:'2016-08-17 17:25:12-0600',mode:absolute,to:'2016-08-17 20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1" t="str">
            <v>N</v>
          </cell>
          <cell r="X131">
            <v>1</v>
          </cell>
          <cell r="Y131">
            <v>4.6399999999999997E-2</v>
          </cell>
          <cell r="Z131">
            <v>23.329899999999999</v>
          </cell>
          <cell r="AA131">
            <v>23.2835</v>
          </cell>
          <cell r="AB131" t="e">
            <v>#N/A</v>
          </cell>
          <cell r="AC131" t="e">
            <v>#N/A</v>
          </cell>
          <cell r="AD131" t="str">
            <v>0219-17</v>
          </cell>
          <cell r="AE131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32">
          <cell r="A132" t="str">
            <v>220-17</v>
          </cell>
          <cell r="B132">
            <v>4017</v>
          </cell>
          <cell r="C132" t="str">
            <v>DE.1.0.7.0</v>
          </cell>
          <cell r="D132" t="str">
            <v>204:232969</v>
          </cell>
          <cell r="E132">
            <v>42599.801435185182</v>
          </cell>
          <cell r="F132">
            <v>42599.802766203706</v>
          </cell>
          <cell r="G132">
            <v>1</v>
          </cell>
          <cell r="H132" t="str">
            <v>204:149</v>
          </cell>
          <cell r="I132">
            <v>42599.836805555555</v>
          </cell>
          <cell r="J132">
            <v>0</v>
          </cell>
          <cell r="K132" t="str">
            <v>4017/4018</v>
          </cell>
          <cell r="L132" t="str">
            <v>DE LA ROSA</v>
          </cell>
          <cell r="M132">
            <v>3.403935184906004E-2</v>
          </cell>
          <cell r="N132">
            <v>49.016666662646458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https://search-rtdc-monitor-bjffxe2xuh6vdkpspy63sjmuny.us-east-1.es.amazonaws.com/_plugin/kibana/#/discover/Steve-Slow-Train-Analysis-(2080s-and-2083s)?_g=(refreshInterval:(display:Off,section:0,value:0),time:(from:'2016-08-17 18:14:04-0600',mode:absolute,to:'2016-08-17 21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2" t="str">
            <v>N</v>
          </cell>
          <cell r="X132">
            <v>1</v>
          </cell>
          <cell r="Y132">
            <v>23.296900000000001</v>
          </cell>
          <cell r="Z132">
            <v>1.49E-2</v>
          </cell>
          <cell r="AA132">
            <v>23.282</v>
          </cell>
          <cell r="AB132" t="e">
            <v>#N/A</v>
          </cell>
          <cell r="AC132" t="e">
            <v>#N/A</v>
          </cell>
          <cell r="AD132" t="str">
            <v>0220-17</v>
          </cell>
          <cell r="AE132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33">
          <cell r="A133" t="str">
            <v>221-17</v>
          </cell>
          <cell r="B133">
            <v>4009</v>
          </cell>
          <cell r="C133" t="str">
            <v>DE.1.0.7.0</v>
          </cell>
          <cell r="D133" t="str">
            <v>204:508</v>
          </cell>
          <cell r="E133">
            <v>42599.789050925923</v>
          </cell>
          <cell r="F133">
            <v>42599.791875000003</v>
          </cell>
          <cell r="G133">
            <v>4</v>
          </cell>
          <cell r="H133" t="str">
            <v>204:233280</v>
          </cell>
          <cell r="I133">
            <v>42599.817071759258</v>
          </cell>
          <cell r="J133">
            <v>0</v>
          </cell>
          <cell r="K133" t="str">
            <v>4009/4010</v>
          </cell>
          <cell r="L133" t="str">
            <v>STURGEON</v>
          </cell>
          <cell r="M133">
            <v>2.5196759255777579E-2</v>
          </cell>
          <cell r="N133">
            <v>36.283333328319713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https://search-rtdc-monitor-bjffxe2xuh6vdkpspy63sjmuny.us-east-1.es.amazonaws.com/_plugin/kibana/#/discover/Steve-Slow-Train-Analysis-(2080s-and-2083s)?_g=(refreshInterval:(display:Off,section:0,value:0),time:(from:'2016-08-17 17:56:14-0600',mode:absolute,to:'2016-08-17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3" t="str">
            <v>N</v>
          </cell>
          <cell r="X133">
            <v>1</v>
          </cell>
          <cell r="Y133">
            <v>5.0799999999999998E-2</v>
          </cell>
          <cell r="Z133">
            <v>23.327999999999999</v>
          </cell>
          <cell r="AA133">
            <v>23.277200000000001</v>
          </cell>
          <cell r="AB133" t="e">
            <v>#N/A</v>
          </cell>
          <cell r="AC133" t="e">
            <v>#N/A</v>
          </cell>
          <cell r="AD133" t="str">
            <v>0221-17</v>
          </cell>
          <cell r="AE133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34">
          <cell r="A134" t="str">
            <v>222-17</v>
          </cell>
          <cell r="B134">
            <v>4010</v>
          </cell>
          <cell r="C134" t="str">
            <v>DE.1.0.7.0</v>
          </cell>
          <cell r="D134" t="str">
            <v>204:232980</v>
          </cell>
          <cell r="E134">
            <v>42599.822002314817</v>
          </cell>
          <cell r="F134">
            <v>42599.822939814818</v>
          </cell>
          <cell r="G134">
            <v>1</v>
          </cell>
          <cell r="H134" t="str">
            <v>204:176</v>
          </cell>
          <cell r="I134">
            <v>42599.860891203702</v>
          </cell>
          <cell r="J134">
            <v>0</v>
          </cell>
          <cell r="K134" t="str">
            <v>4009/4010</v>
          </cell>
          <cell r="L134" t="str">
            <v>STURGEON</v>
          </cell>
          <cell r="M134">
            <v>3.7951388883811887E-2</v>
          </cell>
          <cell r="N134">
            <v>54.649999992689118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4" t="str">
            <v>N</v>
          </cell>
          <cell r="X134">
            <v>1</v>
          </cell>
          <cell r="Y134">
            <v>23.297999999999998</v>
          </cell>
          <cell r="Z134">
            <v>1.7600000000000001E-2</v>
          </cell>
          <cell r="AA134">
            <v>23.280399999999997</v>
          </cell>
          <cell r="AB134" t="e">
            <v>#N/A</v>
          </cell>
          <cell r="AC134" t="e">
            <v>#N/A</v>
          </cell>
          <cell r="AD134" t="str">
            <v>0222-17</v>
          </cell>
          <cell r="AE134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35">
          <cell r="A135" t="str">
            <v>223-17</v>
          </cell>
          <cell r="B135">
            <v>4014</v>
          </cell>
          <cell r="C135" t="str">
            <v>DE.1.0.7.0</v>
          </cell>
          <cell r="D135" t="str">
            <v>204:453</v>
          </cell>
          <cell r="E135">
            <v>42599.808229166665</v>
          </cell>
          <cell r="F135">
            <v>42599.808946759258</v>
          </cell>
          <cell r="G135">
            <v>1</v>
          </cell>
          <cell r="H135" t="str">
            <v>204:233288</v>
          </cell>
          <cell r="I135">
            <v>42599.838680555556</v>
          </cell>
          <cell r="J135">
            <v>0</v>
          </cell>
          <cell r="K135" t="str">
            <v>4013/4014</v>
          </cell>
          <cell r="L135" t="str">
            <v>ISHMAEL</v>
          </cell>
          <cell r="M135">
            <v>2.973379629838746E-2</v>
          </cell>
          <cell r="N135">
            <v>42.816666669677943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https://search-rtdc-monitor-bjffxe2xuh6vdkpspy63sjmuny.us-east-1.es.amazonaws.com/_plugin/kibana/#/discover/Steve-Slow-Train-Analysis-(2080s-and-2083s)?_g=(refreshInterval:(display:Off,section:0,value:0),time:(from:'2016-08-17 18:23:51-0600',mode:absolute,to:'2016-08-17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5" t="str">
            <v>N</v>
          </cell>
          <cell r="X135">
            <v>1</v>
          </cell>
          <cell r="Y135">
            <v>4.53E-2</v>
          </cell>
          <cell r="Z135">
            <v>23.328800000000001</v>
          </cell>
          <cell r="AA135">
            <v>23.2835</v>
          </cell>
          <cell r="AB135" t="e">
            <v>#N/A</v>
          </cell>
          <cell r="AC135" t="e">
            <v>#N/A</v>
          </cell>
          <cell r="AD135" t="str">
            <v>0223-17</v>
          </cell>
          <cell r="AE135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36">
          <cell r="A136" t="str">
            <v>224-17</v>
          </cell>
          <cell r="B136">
            <v>4013</v>
          </cell>
          <cell r="C136" t="str">
            <v>DE.1.0.7.0</v>
          </cell>
          <cell r="D136" t="str">
            <v>204:232971</v>
          </cell>
          <cell r="E136">
            <v>42599.846238425926</v>
          </cell>
          <cell r="F136">
            <v>42599.847175925926</v>
          </cell>
          <cell r="G136">
            <v>1</v>
          </cell>
          <cell r="H136" t="str">
            <v>204:154</v>
          </cell>
          <cell r="I136">
            <v>42599.878472222219</v>
          </cell>
          <cell r="J136">
            <v>0</v>
          </cell>
          <cell r="K136" t="str">
            <v>4013/4014</v>
          </cell>
          <cell r="L136" t="str">
            <v>ISHMAEL</v>
          </cell>
          <cell r="M136">
            <v>3.1296296292566694E-2</v>
          </cell>
          <cell r="N136">
            <v>45.06666666129604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https://search-rtdc-monitor-bjffxe2xuh6vdkpspy63sjmuny.us-east-1.es.amazonaws.com/_plugin/kibana/#/discover/Steve-Slow-Train-Analysis-(2080s-and-2083s)?_g=(refreshInterval:(display:Off,section:0,value:0),time:(from:'2016-08-17 19:18:35-0600',mode:absolute,to:'2016-08-17 22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6" t="str">
            <v>N</v>
          </cell>
          <cell r="X136">
            <v>1</v>
          </cell>
          <cell r="Y136">
            <v>23.2971</v>
          </cell>
          <cell r="Z136">
            <v>1.54E-2</v>
          </cell>
          <cell r="AA136">
            <v>23.281700000000001</v>
          </cell>
          <cell r="AB136" t="e">
            <v>#N/A</v>
          </cell>
          <cell r="AC136" t="e">
            <v>#N/A</v>
          </cell>
          <cell r="AD136" t="str">
            <v>0224-17</v>
          </cell>
          <cell r="AE136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37">
          <cell r="A137" t="str">
            <v>225-17</v>
          </cell>
          <cell r="B137">
            <v>4016</v>
          </cell>
          <cell r="C137" t="str">
            <v>DE.1.0.7.0</v>
          </cell>
          <cell r="D137" t="str">
            <v>204:418</v>
          </cell>
          <cell r="E137">
            <v>42599.828819444447</v>
          </cell>
          <cell r="F137">
            <v>42599.829988425925</v>
          </cell>
          <cell r="G137">
            <v>1</v>
          </cell>
          <cell r="H137" t="str">
            <v>204:233334</v>
          </cell>
          <cell r="I137">
            <v>42599.858055555553</v>
          </cell>
          <cell r="J137">
            <v>0</v>
          </cell>
          <cell r="K137" t="str">
            <v>4015/4016</v>
          </cell>
          <cell r="L137" t="str">
            <v>LEVIN</v>
          </cell>
          <cell r="M137">
            <v>2.806712962774327E-2</v>
          </cell>
          <cell r="N137">
            <v>40.416666663950309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https://search-rtdc-monitor-bjffxe2xuh6vdkpspy63sjmuny.us-east-1.es.amazonaws.com/_plugin/kibana/#/discover/Steve-Slow-Train-Analysis-(2080s-and-2083s)?_g=(refreshInterval:(display:Off,section:0,value:0),time:(from:'2016-08-17 18:53:30-0600',mode:absolute,to:'2016-08-17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7" t="str">
            <v>N</v>
          </cell>
          <cell r="X137">
            <v>1</v>
          </cell>
          <cell r="Y137">
            <v>4.1799999999999997E-2</v>
          </cell>
          <cell r="Z137">
            <v>23.333400000000001</v>
          </cell>
          <cell r="AA137">
            <v>23.291600000000003</v>
          </cell>
          <cell r="AB137" t="e">
            <v>#N/A</v>
          </cell>
          <cell r="AC137" t="e">
            <v>#N/A</v>
          </cell>
          <cell r="AD137" t="str">
            <v>0225-17</v>
          </cell>
          <cell r="AE137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38">
          <cell r="A138" t="str">
            <v>226-17</v>
          </cell>
          <cell r="B138">
            <v>4015</v>
          </cell>
          <cell r="C138" t="str">
            <v>DE.1.0.7.0</v>
          </cell>
          <cell r="D138" t="str">
            <v>204:233013</v>
          </cell>
          <cell r="E138">
            <v>42599.86755787037</v>
          </cell>
          <cell r="F138">
            <v>42599.868356481478</v>
          </cell>
          <cell r="G138">
            <v>1</v>
          </cell>
          <cell r="H138" t="str">
            <v>204:136</v>
          </cell>
          <cell r="I138">
            <v>42599.89943287037</v>
          </cell>
          <cell r="J138">
            <v>0</v>
          </cell>
          <cell r="K138" t="str">
            <v>4015/4016</v>
          </cell>
          <cell r="L138" t="str">
            <v>LEVIN</v>
          </cell>
          <cell r="M138">
            <v>3.107638889196096E-2</v>
          </cell>
          <cell r="N138">
            <v>44.750000004423782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https://search-rtdc-monitor-bjffxe2xuh6vdkpspy63sjmuny.us-east-1.es.amazonaws.com/_plugin/kibana/#/discover/Steve-Slow-Train-Analysis-(2080s-and-2083s)?_g=(refreshInterval:(display:Off,section:0,value:0),time:(from:'2016-08-17 19:49:17-0600',mode:absolute,to:'2016-08-17 22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8" t="str">
            <v>N</v>
          </cell>
          <cell r="X138">
            <v>1</v>
          </cell>
          <cell r="Y138">
            <v>23.301300000000001</v>
          </cell>
          <cell r="Z138">
            <v>1.3599999999999999E-2</v>
          </cell>
          <cell r="AA138">
            <v>23.287700000000001</v>
          </cell>
          <cell r="AB138" t="e">
            <v>#N/A</v>
          </cell>
          <cell r="AC138" t="e">
            <v>#N/A</v>
          </cell>
          <cell r="AD138" t="str">
            <v>0226-17</v>
          </cell>
          <cell r="AE138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39">
          <cell r="A139" t="str">
            <v>227-17</v>
          </cell>
          <cell r="B139">
            <v>4018</v>
          </cell>
          <cell r="C139" t="str">
            <v>DE.1.0.7.0</v>
          </cell>
          <cell r="D139" t="str">
            <v>204:442</v>
          </cell>
          <cell r="E139">
            <v>42599.851585648146</v>
          </cell>
          <cell r="F139">
            <v>42599.852743055555</v>
          </cell>
          <cell r="G139">
            <v>1</v>
          </cell>
          <cell r="H139" t="str">
            <v>204:233301</v>
          </cell>
          <cell r="I139">
            <v>42599.880347222221</v>
          </cell>
          <cell r="J139">
            <v>0</v>
          </cell>
          <cell r="K139" t="str">
            <v>4017/4018</v>
          </cell>
          <cell r="L139" t="str">
            <v>DE LA ROSA</v>
          </cell>
          <cell r="M139">
            <v>2.7604166665696539E-2</v>
          </cell>
          <cell r="N139">
            <v>39.749999998603016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https://search-rtdc-monitor-bjffxe2xuh6vdkpspy63sjmuny.us-east-1.es.amazonaws.com/_plugin/kibana/#/discover/Steve-Slow-Train-Analysis-(2080s-and-2083s)?_g=(refreshInterval:(display:Off,section:0,value:0),time:(from:'2016-08-17 19:26:17-0600',mode:absolute,to:'2016-08-17 22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9" t="str">
            <v>N</v>
          </cell>
          <cell r="X139">
            <v>1</v>
          </cell>
          <cell r="Y139">
            <v>4.4200000000000003E-2</v>
          </cell>
          <cell r="Z139">
            <v>23.330100000000002</v>
          </cell>
          <cell r="AA139">
            <v>23.285900000000002</v>
          </cell>
          <cell r="AB139" t="e">
            <v>#N/A</v>
          </cell>
          <cell r="AC139" t="e">
            <v>#N/A</v>
          </cell>
          <cell r="AD139" t="str">
            <v>0227-17</v>
          </cell>
          <cell r="AE139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40">
          <cell r="A140" t="str">
            <v>228-17</v>
          </cell>
          <cell r="B140">
            <v>4017</v>
          </cell>
          <cell r="C140" t="str">
            <v>DE.1.0.7.0</v>
          </cell>
          <cell r="D140" t="str">
            <v>204:232963</v>
          </cell>
          <cell r="E140">
            <v>42599.890752314815</v>
          </cell>
          <cell r="F140">
            <v>42599.891863425924</v>
          </cell>
          <cell r="G140">
            <v>1</v>
          </cell>
          <cell r="H140" t="str">
            <v>204:150</v>
          </cell>
          <cell r="I140">
            <v>42599.92046296296</v>
          </cell>
          <cell r="J140">
            <v>0</v>
          </cell>
          <cell r="K140" t="str">
            <v>4017/4018</v>
          </cell>
          <cell r="L140" t="str">
            <v>DE LA ROSA</v>
          </cell>
          <cell r="M140">
            <v>2.8599537035916001E-2</v>
          </cell>
          <cell r="N140">
            <v>41.183333331719041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https://search-rtdc-monitor-bjffxe2xuh6vdkpspy63sjmuny.us-east-1.es.amazonaws.com/_plugin/kibana/#/discover/Steve-Slow-Train-Analysis-(2080s-and-2083s)?_g=(refreshInterval:(display:Off,section:0,value:0),time:(from:'2016-08-17 20:22:41-0600',mode:absolute,to:'2016-08-17 23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0" t="str">
            <v>N</v>
          </cell>
          <cell r="X140">
            <v>1</v>
          </cell>
          <cell r="Y140">
            <v>23.296299999999999</v>
          </cell>
          <cell r="Z140">
            <v>1.4999999999999999E-2</v>
          </cell>
          <cell r="AA140">
            <v>23.281299999999998</v>
          </cell>
          <cell r="AB140" t="e">
            <v>#N/A</v>
          </cell>
          <cell r="AC140" t="e">
            <v>#N/A</v>
          </cell>
          <cell r="AD140" t="str">
            <v>0228-17</v>
          </cell>
          <cell r="AE140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41">
          <cell r="A141" t="str">
            <v>229-17</v>
          </cell>
          <cell r="B141">
            <v>4009</v>
          </cell>
          <cell r="C141" t="str">
            <v>DE.1.0.7.0</v>
          </cell>
          <cell r="D141" t="str">
            <v>204:480</v>
          </cell>
          <cell r="E141">
            <v>42599.868703703702</v>
          </cell>
          <cell r="F141">
            <v>42599.869756944441</v>
          </cell>
          <cell r="G141">
            <v>1</v>
          </cell>
          <cell r="H141" t="str">
            <v>204:233272</v>
          </cell>
          <cell r="I141">
            <v>42599.900416666664</v>
          </cell>
          <cell r="J141">
            <v>0</v>
          </cell>
          <cell r="K141" t="str">
            <v>4009/4010</v>
          </cell>
          <cell r="L141" t="str">
            <v>STURGEON</v>
          </cell>
          <cell r="M141">
            <v>3.0659722222480923E-2</v>
          </cell>
          <cell r="N141">
            <v>44.150000000372529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https://search-rtdc-monitor-bjffxe2xuh6vdkpspy63sjmuny.us-east-1.es.amazonaws.com/_plugin/kibana/#/discover/Steve-Slow-Train-Analysis-(2080s-and-2083s)?_g=(refreshInterval:(display:Off,section:0,value:0),time:(from:'2016-08-17 19:50:56-0600',mode:absolute,to:'2016-08-17 22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1" t="str">
            <v>N</v>
          </cell>
          <cell r="X141">
            <v>1</v>
          </cell>
          <cell r="Y141">
            <v>4.8000000000000001E-2</v>
          </cell>
          <cell r="Z141">
            <v>23.327200000000001</v>
          </cell>
          <cell r="AA141">
            <v>23.279200000000003</v>
          </cell>
          <cell r="AB141" t="e">
            <v>#N/A</v>
          </cell>
          <cell r="AC141" t="e">
            <v>#N/A</v>
          </cell>
          <cell r="AD141" t="str">
            <v>0229-17</v>
          </cell>
          <cell r="AE141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42">
          <cell r="A142" t="str">
            <v>230-17</v>
          </cell>
          <cell r="B142">
            <v>4010</v>
          </cell>
          <cell r="C142" t="str">
            <v>DE.1.0.7.0</v>
          </cell>
          <cell r="D142" t="str">
            <v>204:232967</v>
          </cell>
          <cell r="E142">
            <v>42599.906782407408</v>
          </cell>
          <cell r="F142">
            <v>42599.908888888887</v>
          </cell>
          <cell r="G142">
            <v>3</v>
          </cell>
          <cell r="H142" t="str">
            <v>204:154</v>
          </cell>
          <cell r="I142">
            <v>42599.941921296297</v>
          </cell>
          <cell r="J142">
            <v>0</v>
          </cell>
          <cell r="K142" t="str">
            <v>4009/4010</v>
          </cell>
          <cell r="L142" t="str">
            <v>STURGEON</v>
          </cell>
          <cell r="M142">
            <v>3.3032407409336884E-2</v>
          </cell>
          <cell r="N142">
            <v>47.566666669445112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https://search-rtdc-monitor-bjffxe2xuh6vdkpspy63sjmuny.us-east-1.es.amazonaws.com/_plugin/kibana/#/discover/Steve-Slow-Train-Analysis-(2080s-and-2083s)?_g=(refreshInterval:(display:Off,section:0,value:0),time:(from:'2016-08-17 20:45:46-0600',mode:absolute,to:'2016-08-17 23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2" t="str">
            <v>N</v>
          </cell>
          <cell r="X142">
            <v>1</v>
          </cell>
          <cell r="Y142">
            <v>23.296700000000001</v>
          </cell>
          <cell r="Z142">
            <v>1.54E-2</v>
          </cell>
          <cell r="AA142">
            <v>23.281300000000002</v>
          </cell>
          <cell r="AB142" t="e">
            <v>#N/A</v>
          </cell>
          <cell r="AC142" t="e">
            <v>#N/A</v>
          </cell>
          <cell r="AD142" t="str">
            <v>0230-17</v>
          </cell>
          <cell r="AE142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43">
          <cell r="A143" t="str">
            <v>231-17</v>
          </cell>
          <cell r="B143">
            <v>4014</v>
          </cell>
          <cell r="C143" t="str">
            <v>DE.1.0.7.0</v>
          </cell>
          <cell r="D143" t="str">
            <v>204:467</v>
          </cell>
          <cell r="E143">
            <v>42599.890740740739</v>
          </cell>
          <cell r="F143">
            <v>42599.891562500001</v>
          </cell>
          <cell r="G143">
            <v>1</v>
          </cell>
          <cell r="H143" t="str">
            <v>204:233291</v>
          </cell>
          <cell r="I143">
            <v>42599.921527777777</v>
          </cell>
          <cell r="J143">
            <v>0</v>
          </cell>
          <cell r="K143" t="str">
            <v>4013/4014</v>
          </cell>
          <cell r="L143" t="str">
            <v>ISHMAEL</v>
          </cell>
          <cell r="M143">
            <v>2.9965277775772847E-2</v>
          </cell>
          <cell r="N143">
            <v>43.1499999971129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https://search-rtdc-monitor-bjffxe2xuh6vdkpspy63sjmuny.us-east-1.es.amazonaws.com/_plugin/kibana/#/discover/Steve-Slow-Train-Analysis-(2080s-and-2083s)?_g=(refreshInterval:(display:Off,section:0,value:0),time:(from:'2016-08-17 20:22:40-0600',mode:absolute,to:'2016-08-17 23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3" t="str">
            <v>N</v>
          </cell>
          <cell r="X143">
            <v>1</v>
          </cell>
          <cell r="Y143">
            <v>4.6699999999999998E-2</v>
          </cell>
          <cell r="Z143">
            <v>23.3291</v>
          </cell>
          <cell r="AA143">
            <v>23.282399999999999</v>
          </cell>
          <cell r="AB143" t="e">
            <v>#N/A</v>
          </cell>
          <cell r="AC143" t="e">
            <v>#N/A</v>
          </cell>
          <cell r="AD143" t="str">
            <v>0231-17</v>
          </cell>
          <cell r="AE143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44">
          <cell r="A144" t="str">
            <v>232-17</v>
          </cell>
          <cell r="B144">
            <v>4013</v>
          </cell>
          <cell r="C144" t="str">
            <v>DE.1.0.7.0</v>
          </cell>
          <cell r="D144" t="str">
            <v>204:232973</v>
          </cell>
          <cell r="E144">
            <v>42599.92869212963</v>
          </cell>
          <cell r="F144">
            <v>42599.929699074077</v>
          </cell>
          <cell r="G144">
            <v>1</v>
          </cell>
          <cell r="H144" t="str">
            <v>204:165</v>
          </cell>
          <cell r="I144">
            <v>42599.961493055554</v>
          </cell>
          <cell r="J144">
            <v>0</v>
          </cell>
          <cell r="K144" t="str">
            <v>4013/4014</v>
          </cell>
          <cell r="L144" t="str">
            <v>ISHMAEL</v>
          </cell>
          <cell r="M144">
            <v>3.1793981477676425E-2</v>
          </cell>
          <cell r="N144">
            <v>45.783333327854052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https://search-rtdc-monitor-bjffxe2xuh6vdkpspy63sjmuny.us-east-1.es.amazonaws.com/_plugin/kibana/#/discover/Steve-Slow-Train-Analysis-(2080s-and-2083s)?_g=(refreshInterval:(display:Off,section:0,value:0),time:(from:'2016-08-17 21:17:19-0600',mode:absolute,to:'2016-08-18 00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4" t="str">
            <v>N</v>
          </cell>
          <cell r="X144">
            <v>1</v>
          </cell>
          <cell r="Y144">
            <v>23.2973</v>
          </cell>
          <cell r="Z144">
            <v>1.6500000000000001E-2</v>
          </cell>
          <cell r="AA144">
            <v>23.280799999999999</v>
          </cell>
          <cell r="AB144" t="e">
            <v>#N/A</v>
          </cell>
          <cell r="AC144" t="e">
            <v>#N/A</v>
          </cell>
          <cell r="AD144" t="str">
            <v>0232-17</v>
          </cell>
          <cell r="AE144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145">
          <cell r="A145" t="str">
            <v>233-17</v>
          </cell>
          <cell r="B145">
            <v>4016</v>
          </cell>
          <cell r="C145" t="str">
            <v>DE.1.0.7.0</v>
          </cell>
          <cell r="D145" t="str">
            <v>204:453</v>
          </cell>
          <cell r="E145">
            <v>42599.91333333333</v>
          </cell>
          <cell r="F145">
            <v>42599.914120370369</v>
          </cell>
          <cell r="G145">
            <v>1</v>
          </cell>
          <cell r="H145" t="str">
            <v>204:233291</v>
          </cell>
          <cell r="I145">
            <v>42599.941192129627</v>
          </cell>
          <cell r="J145">
            <v>0</v>
          </cell>
          <cell r="K145" t="str">
            <v>4015/4016</v>
          </cell>
          <cell r="L145" t="str">
            <v>LEVIN</v>
          </cell>
          <cell r="M145">
            <v>2.7071759257523809E-2</v>
          </cell>
          <cell r="N145">
            <v>38.983333330834284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https://search-rtdc-monitor-bjffxe2xuh6vdkpspy63sjmuny.us-east-1.es.amazonaws.com/_plugin/kibana/#/discover/Steve-Slow-Train-Analysis-(2080s-and-2083s)?_g=(refreshInterval:(display:Off,section:0,value:0),time:(from:'2016-08-17 20:55:12-0600',mode:absolute,to:'2016-08-17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5" t="str">
            <v>N</v>
          </cell>
          <cell r="X145">
            <v>1</v>
          </cell>
          <cell r="Y145">
            <v>4.53E-2</v>
          </cell>
          <cell r="Z145">
            <v>23.3291</v>
          </cell>
          <cell r="AA145">
            <v>23.283799999999999</v>
          </cell>
          <cell r="AB145" t="e">
            <v>#N/A</v>
          </cell>
          <cell r="AC145" t="e">
            <v>#N/A</v>
          </cell>
          <cell r="AD145" t="str">
            <v>0233-17</v>
          </cell>
          <cell r="AE145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46">
          <cell r="A146" t="str">
            <v>234-17</v>
          </cell>
          <cell r="B146">
            <v>4015</v>
          </cell>
          <cell r="C146" t="str">
            <v>DE.1.0.7.0</v>
          </cell>
          <cell r="D146" t="str">
            <v>204:233007</v>
          </cell>
          <cell r="E146">
            <v>42599.947268518517</v>
          </cell>
          <cell r="F146">
            <v>42599.948078703703</v>
          </cell>
          <cell r="G146">
            <v>1</v>
          </cell>
          <cell r="H146" t="str">
            <v>204:147</v>
          </cell>
          <cell r="I146">
            <v>42599.98269675926</v>
          </cell>
          <cell r="J146">
            <v>0</v>
          </cell>
          <cell r="K146" t="str">
            <v>4015/4016</v>
          </cell>
          <cell r="L146" t="str">
            <v>LEVIN</v>
          </cell>
          <cell r="M146">
            <v>3.4618055557075422E-2</v>
          </cell>
          <cell r="N146">
            <v>49.850000002188608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https://search-rtdc-monitor-bjffxe2xuh6vdkpspy63sjmuny.us-east-1.es.amazonaws.com/_plugin/kibana/#/discover/Steve-Slow-Train-Analysis-(2080s-and-2083s)?_g=(refreshInterval:(display:Off,section:0,value:0),time:(from:'2016-08-17 21:44:04-0600',mode:absolute,to:'2016-08-18 00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6" t="str">
            <v>N</v>
          </cell>
          <cell r="X146">
            <v>1</v>
          </cell>
          <cell r="Y146">
            <v>23.300699999999999</v>
          </cell>
          <cell r="Z146">
            <v>1.47E-2</v>
          </cell>
          <cell r="AA146">
            <v>23.285999999999998</v>
          </cell>
          <cell r="AB146" t="e">
            <v>#N/A</v>
          </cell>
          <cell r="AC146" t="e">
            <v>#N/A</v>
          </cell>
          <cell r="AD146" t="str">
            <v>0234-17</v>
          </cell>
          <cell r="AE146" t="str">
    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    </cell>
        </row>
        <row r="147">
          <cell r="A147" t="str">
            <v>235-17</v>
          </cell>
          <cell r="B147">
            <v>4018</v>
          </cell>
          <cell r="C147" t="str">
            <v>DE.1.0.7.0</v>
          </cell>
          <cell r="D147" t="str">
            <v>204:491</v>
          </cell>
          <cell r="E147">
            <v>42599.933055555557</v>
          </cell>
          <cell r="F147">
            <v>42599.934490740743</v>
          </cell>
          <cell r="G147">
            <v>2</v>
          </cell>
          <cell r="H147" t="str">
            <v>204:233288</v>
          </cell>
          <cell r="I147">
            <v>42599.963483796295</v>
          </cell>
          <cell r="J147">
            <v>0</v>
          </cell>
          <cell r="K147" t="str">
            <v>4017/4018</v>
          </cell>
          <cell r="L147" t="str">
            <v>DE LA ROSA</v>
          </cell>
          <cell r="M147">
            <v>2.8993055551836733E-2</v>
          </cell>
          <cell r="N147">
            <v>41.749999994644895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https://search-rtdc-monitor-bjffxe2xuh6vdkpspy63sjmuny.us-east-1.es.amazonaws.com/_plugin/kibana/#/discover/Steve-Slow-Train-Analysis-(2080s-and-2083s)?_g=(refreshInterval:(display:Off,section:0,value:0),time:(from:'2016-08-17 21:23:36-0600',mode:absolute,to:'2016-08-18 00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7" t="str">
            <v>N</v>
          </cell>
          <cell r="X147">
            <v>1</v>
          </cell>
          <cell r="Y147">
            <v>4.9099999999999998E-2</v>
          </cell>
          <cell r="Z147">
            <v>23.328800000000001</v>
          </cell>
          <cell r="AA147">
            <v>23.279700000000002</v>
          </cell>
          <cell r="AB147" t="e">
            <v>#N/A</v>
          </cell>
          <cell r="AC147" t="e">
            <v>#N/A</v>
          </cell>
          <cell r="AD147" t="str">
            <v>0235-17</v>
          </cell>
          <cell r="AE147" t="str">
    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    </cell>
        </row>
        <row r="148">
          <cell r="A148" t="str">
            <v>236-17</v>
          </cell>
          <cell r="B148">
            <v>4017</v>
          </cell>
          <cell r="C148" t="str">
            <v>DE.1.0.7.0</v>
          </cell>
          <cell r="D148" t="str">
            <v>204:232973</v>
          </cell>
          <cell r="E148">
            <v>42599.969131944446</v>
          </cell>
          <cell r="F148">
            <v>42599.971296296295</v>
          </cell>
          <cell r="G148">
            <v>3</v>
          </cell>
          <cell r="H148" t="str">
            <v>204:137</v>
          </cell>
          <cell r="I148">
            <v>42600.007939814815</v>
          </cell>
          <cell r="J148">
            <v>0</v>
          </cell>
          <cell r="K148" t="str">
            <v>4017/4018</v>
          </cell>
          <cell r="L148" t="str">
            <v>DE LA ROSA</v>
          </cell>
          <cell r="M148">
            <v>3.6643518520577345E-2</v>
          </cell>
          <cell r="N148">
            <v>52.766666669631377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https://search-rtdc-monitor-bjffxe2xuh6vdkpspy63sjmuny.us-east-1.es.amazonaws.com/_plugin/kibana/#/discover/Steve-Slow-Train-Analysis-(2080s-and-2083s)?_g=(refreshInterval:(display:Off,section:0,value:0),time:(from:'2016-08-17 22:15:33-0600',mode:absolute,to:'2016-08-18 01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8" t="str">
            <v>N</v>
          </cell>
          <cell r="X148">
            <v>1</v>
          </cell>
          <cell r="Y148">
            <v>23.2973</v>
          </cell>
          <cell r="Z148">
            <v>1.37E-2</v>
          </cell>
          <cell r="AA148">
            <v>23.2836</v>
          </cell>
          <cell r="AB148" t="e">
            <v>#N/A</v>
          </cell>
          <cell r="AC148" t="e">
            <v>#N/A</v>
          </cell>
          <cell r="AD148" t="str">
            <v>0236-17</v>
          </cell>
          <cell r="AE148" t="str">
    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    </cell>
        </row>
        <row r="149">
          <cell r="A149" t="str">
            <v>237-17</v>
          </cell>
          <cell r="B149">
            <v>4009</v>
          </cell>
          <cell r="C149" t="str">
            <v>DE.1.0.7.0</v>
          </cell>
          <cell r="D149" t="str">
            <v>204:477</v>
          </cell>
          <cell r="E149">
            <v>42599.95108796296</v>
          </cell>
          <cell r="F149">
            <v>42599.952060185184</v>
          </cell>
          <cell r="G149">
            <v>1</v>
          </cell>
          <cell r="H149" t="str">
            <v>204:233263</v>
          </cell>
          <cell r="I149">
            <v>42599.995740740742</v>
          </cell>
          <cell r="J149">
            <v>0</v>
          </cell>
          <cell r="K149" t="str">
            <v>4009/4010</v>
          </cell>
          <cell r="L149" t="str">
            <v>STURGEON</v>
          </cell>
          <cell r="M149">
            <v>4.3680555558239575E-2</v>
          </cell>
          <cell r="N149">
            <v>62.900000003864989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https://search-rtdc-monitor-bjffxe2xuh6vdkpspy63sjmuny.us-east-1.es.amazonaws.com/_plugin/kibana/#/discover/Steve-Slow-Train-Analysis-(2080s-and-2083s)?_g=(refreshInterval:(display:Off,section:0,value:0),time:(from:'2016-08-17 21:49:34-0600',mode:absolute,to:'2016-08-18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9" t="str">
            <v>N</v>
          </cell>
          <cell r="X149">
            <v>1</v>
          </cell>
          <cell r="Y149">
            <v>4.7699999999999999E-2</v>
          </cell>
          <cell r="Z149">
            <v>23.3263</v>
          </cell>
          <cell r="AA149">
            <v>23.278600000000001</v>
          </cell>
          <cell r="AB149" t="e">
            <v>#N/A</v>
          </cell>
          <cell r="AC149" t="e">
            <v>#N/A</v>
          </cell>
          <cell r="AD149" t="str">
            <v>0237-17</v>
          </cell>
          <cell r="AE149" t="str">
    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    </cell>
        </row>
        <row r="150">
          <cell r="A150" t="str">
            <v>238-17</v>
          </cell>
          <cell r="B150">
            <v>4010</v>
          </cell>
          <cell r="C150" t="str">
            <v>DE.1.0.7.0</v>
          </cell>
          <cell r="D150" t="str">
            <v>204:232957</v>
          </cell>
          <cell r="E150">
            <v>42599.997453703705</v>
          </cell>
          <cell r="F150">
            <v>42599.99894675926</v>
          </cell>
          <cell r="G150">
            <v>2</v>
          </cell>
          <cell r="H150" t="str">
            <v>204:180</v>
          </cell>
          <cell r="I150">
            <v>42600.037106481483</v>
          </cell>
          <cell r="J150">
            <v>0</v>
          </cell>
          <cell r="K150" t="str">
            <v>4009/4010</v>
          </cell>
          <cell r="L150" t="str">
            <v>STURGEON</v>
          </cell>
          <cell r="M150">
            <v>3.8159722222189885E-2</v>
          </cell>
          <cell r="N150">
            <v>54.949999999953434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https://search-rtdc-monitor-bjffxe2xuh6vdkpspy63sjmuny.us-east-1.es.amazonaws.com/_plugin/kibana/#/discover/Steve-Slow-Train-Analysis-(2080s-and-2083s)?_g=(refreshInterval:(display:Off,section:0,value:0),time:(from:'2016-08-17 22:56:20-0600',mode:absolute,to:'2016-08-18 01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0" t="str">
            <v>N</v>
          </cell>
          <cell r="X150">
            <v>1</v>
          </cell>
          <cell r="Y150">
            <v>23.2957</v>
          </cell>
          <cell r="Z150">
            <v>1.7999999999999999E-2</v>
          </cell>
          <cell r="AA150">
            <v>23.277699999999999</v>
          </cell>
          <cell r="AB150" t="e">
            <v>#N/A</v>
          </cell>
          <cell r="AC150" t="e">
            <v>#N/A</v>
          </cell>
          <cell r="AD150" t="str">
            <v>0238-17</v>
          </cell>
          <cell r="AE150" t="str">
    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    </cell>
        </row>
        <row r="151">
          <cell r="A151" t="str">
            <v>239-17</v>
          </cell>
          <cell r="B151">
            <v>4014</v>
          </cell>
          <cell r="C151" t="str">
            <v>DE.1.0.7.0</v>
          </cell>
          <cell r="D151" t="str">
            <v>204:455</v>
          </cell>
          <cell r="E151">
            <v>42599.97011574074</v>
          </cell>
          <cell r="F151">
            <v>42599.970925925925</v>
          </cell>
          <cell r="G151">
            <v>1</v>
          </cell>
          <cell r="H151" t="str">
            <v>204:233298</v>
          </cell>
          <cell r="I151">
            <v>42600.006435185183</v>
          </cell>
          <cell r="J151">
            <v>0</v>
          </cell>
          <cell r="K151" t="str">
            <v>4013/4014</v>
          </cell>
          <cell r="L151" t="str">
            <v>ISHMAEL</v>
          </cell>
          <cell r="M151">
            <v>3.5509259258105885E-2</v>
          </cell>
          <cell r="N151">
            <v>51.133333331672475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https://search-rtdc-monitor-bjffxe2xuh6vdkpspy63sjmuny.us-east-1.es.amazonaws.com/_plugin/kibana/#/discover/Steve-Slow-Train-Analysis-(2080s-and-2083s)?_g=(refreshInterval:(display:Off,section:0,value:0),time:(from:'2016-08-17 22:16:58-0600',mode:absolute,to:'2016-08-18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1" t="str">
            <v>N</v>
          </cell>
          <cell r="X151">
            <v>1</v>
          </cell>
          <cell r="Y151">
            <v>4.5499999999999999E-2</v>
          </cell>
          <cell r="Z151">
            <v>23.329799999999999</v>
          </cell>
          <cell r="AA151">
            <v>23.284299999999998</v>
          </cell>
          <cell r="AB151" t="e">
            <v>#N/A</v>
          </cell>
          <cell r="AC151" t="e">
            <v>#N/A</v>
          </cell>
          <cell r="AD151" t="str">
            <v>0239-17</v>
          </cell>
          <cell r="AE151" t="str">
    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    </cell>
        </row>
        <row r="152">
          <cell r="A152" t="str">
            <v>240-17</v>
          </cell>
          <cell r="B152">
            <v>4013</v>
          </cell>
          <cell r="C152" t="str">
            <v>DE.1.0.7.0</v>
          </cell>
          <cell r="D152" t="str">
            <v>204:232981</v>
          </cell>
          <cell r="E152">
            <v>42600.007569444446</v>
          </cell>
          <cell r="F152">
            <v>42600.008391203701</v>
          </cell>
          <cell r="G152">
            <v>1</v>
          </cell>
          <cell r="H152" t="str">
            <v>204:158</v>
          </cell>
          <cell r="I152">
            <v>42600.055486111109</v>
          </cell>
          <cell r="J152">
            <v>0</v>
          </cell>
          <cell r="K152" t="str">
            <v>4013/4014</v>
          </cell>
          <cell r="L152" t="str">
            <v>ISHMAEL</v>
          </cell>
          <cell r="M152">
            <v>4.7094907407881692E-2</v>
          </cell>
          <cell r="N152">
            <v>67.816666667349637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https://search-rtdc-monitor-bjffxe2xuh6vdkpspy63sjmuny.us-east-1.es.amazonaws.com/_plugin/kibana/#/discover/Steve-Slow-Train-Analysis-(2080s-and-2083s)?_g=(refreshInterval:(display:Off,section:0,value:0),time:(from:'2016-08-17 23:10:54-0600',mode:absolute,to:'2016-08-18 02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2" t="str">
            <v>N</v>
          </cell>
          <cell r="X152">
            <v>1</v>
          </cell>
          <cell r="Y152">
            <v>23.298100000000002</v>
          </cell>
          <cell r="Z152">
            <v>1.5800000000000002E-2</v>
          </cell>
          <cell r="AA152">
            <v>23.282300000000003</v>
          </cell>
          <cell r="AB152" t="e">
            <v>#N/A</v>
          </cell>
          <cell r="AC152" t="e">
            <v>#N/A</v>
          </cell>
          <cell r="AD152" t="str">
            <v>0240-17</v>
          </cell>
          <cell r="AE152" t="str">
    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    </cell>
        </row>
        <row r="153">
          <cell r="A153" t="str">
            <v>241-17</v>
          </cell>
          <cell r="B153">
            <v>4016</v>
          </cell>
          <cell r="C153" t="str">
            <v>DE.1.0.7.0</v>
          </cell>
          <cell r="D153" t="str">
            <v>204:471</v>
          </cell>
          <cell r="E153">
            <v>42599.992847222224</v>
          </cell>
          <cell r="F153">
            <v>42599.993900462963</v>
          </cell>
          <cell r="G153">
            <v>1</v>
          </cell>
          <cell r="H153" t="str">
            <v>204:233299</v>
          </cell>
          <cell r="I153">
            <v>42600.027499999997</v>
          </cell>
          <cell r="J153">
            <v>0</v>
          </cell>
          <cell r="K153" t="str">
            <v>4015/4016</v>
          </cell>
          <cell r="L153" t="str">
            <v>LEVIN</v>
          </cell>
          <cell r="M153">
            <v>3.3599537033296656E-2</v>
          </cell>
          <cell r="N153">
            <v>48.383333327947184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https://search-rtdc-monitor-bjffxe2xuh6vdkpspy63sjmuny.us-east-1.es.amazonaws.com/_plugin/kibana/#/discover/Steve-Slow-Train-Analysis-(2080s-and-2083s)?_g=(refreshInterval:(display:Off,section:0,value:0),time:(from:'2016-08-17 22:49:42-0600',mode:absolute,to:'2016-08-18 01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3" t="str">
            <v>N</v>
          </cell>
          <cell r="X153">
            <v>1</v>
          </cell>
          <cell r="Y153">
            <v>4.7100000000000003E-2</v>
          </cell>
          <cell r="Z153">
            <v>23.329899999999999</v>
          </cell>
          <cell r="AA153">
            <v>23.282799999999998</v>
          </cell>
          <cell r="AB153" t="e">
            <v>#N/A</v>
          </cell>
          <cell r="AC153" t="e">
            <v>#N/A</v>
          </cell>
          <cell r="AD153" t="str">
            <v>0241-17</v>
          </cell>
          <cell r="AE153" t="str">
    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    </cell>
        </row>
        <row r="154">
          <cell r="A154" t="str">
            <v>242-17</v>
          </cell>
          <cell r="B154">
            <v>4015</v>
          </cell>
          <cell r="C154" t="str">
            <v>DE.1.0.7.0</v>
          </cell>
          <cell r="D154" t="str">
            <v>204:232986</v>
          </cell>
          <cell r="E154">
            <v>42600.031377314815</v>
          </cell>
          <cell r="F154">
            <v>42600.032395833332</v>
          </cell>
          <cell r="G154">
            <v>1</v>
          </cell>
          <cell r="H154" t="str">
            <v>204:157</v>
          </cell>
          <cell r="I154">
            <v>42600.07613425926</v>
          </cell>
          <cell r="J154">
            <v>0</v>
          </cell>
          <cell r="K154" t="str">
            <v>4015/4016</v>
          </cell>
          <cell r="L154" t="str">
            <v>LEVIN</v>
          </cell>
          <cell r="M154">
            <v>4.3738425927585922E-2</v>
          </cell>
          <cell r="N154">
            <v>62.983333335723728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https://search-rtdc-monitor-bjffxe2xuh6vdkpspy63sjmuny.us-east-1.es.amazonaws.com/_plugin/kibana/#/discover/Steve-Slow-Train-Analysis-(2080s-and-2083s)?_g=(refreshInterval:(display:Off,section:0,value:0),time:(from:'2016-08-17 23:45:11-0600',mode:absolute,to:'2016-08-18 02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4" t="str">
            <v>N</v>
          </cell>
          <cell r="X154">
            <v>1</v>
          </cell>
          <cell r="Y154">
            <v>23.2986</v>
          </cell>
          <cell r="Z154">
            <v>1.5699999999999999E-2</v>
          </cell>
          <cell r="AA154">
            <v>23.282900000000001</v>
          </cell>
          <cell r="AB154" t="e">
            <v>#N/A</v>
          </cell>
          <cell r="AC154" t="e">
            <v>#N/A</v>
          </cell>
          <cell r="AD154" t="str">
            <v>0242-17</v>
          </cell>
          <cell r="AE154" t="str">
            <v>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 &amp; aws s3 cp s3://rtdc.mdm.uploadarchive/RTDC4015/2016-08-19/ "%USERPROFILE%\AppData\Local\Temp\OnboardLogs"\RTDC4015\2016-08-19 --recursive &amp; "%USERPROFILE%\Documents\GitHub\mrs-test-scripts\Headless Mode &amp; Sideloading\WalkAndUnGZ.bat" "%USERPROFILE%\AppData\Local\Temp\OnboardLogs"\RTDC4015\2016-08-19</v>
          </cell>
        </row>
        <row r="155">
          <cell r="A155" t="str">
            <v>243-17</v>
          </cell>
          <cell r="B155">
            <v>4031</v>
          </cell>
          <cell r="C155" t="str">
            <v>DE.1.0.7.0</v>
          </cell>
          <cell r="D155" t="str">
            <v>204:449</v>
          </cell>
          <cell r="E155">
            <v>42600.013726851852</v>
          </cell>
          <cell r="F155">
            <v>42600.015069444446</v>
          </cell>
          <cell r="G155">
            <v>1</v>
          </cell>
          <cell r="H155" t="str">
            <v>204:233300</v>
          </cell>
          <cell r="I155">
            <v>42600.048125000001</v>
          </cell>
          <cell r="J155">
            <v>0</v>
          </cell>
          <cell r="K155" t="str">
            <v>4031/4032</v>
          </cell>
          <cell r="L155" t="str">
            <v>DE LA ROSA</v>
          </cell>
          <cell r="M155">
            <v>3.3055555555620231E-2</v>
          </cell>
          <cell r="N155">
            <v>47.600000000093132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https://search-rtdc-monitor-bjffxe2xuh6vdkpspy63sjmuny.us-east-1.es.amazonaws.com/_plugin/kibana/#/discover/Steve-Slow-Train-Analysis-(2080s-and-2083s)?_g=(refreshInterval:(display:Off,section:0,value:0),time:(from:'2016-08-17 23:19:46-0600',mode:absolute,to:'2016-08-18 02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5" t="str">
            <v>N</v>
          </cell>
          <cell r="X155">
            <v>1</v>
          </cell>
          <cell r="Y155">
            <v>4.4900000000000002E-2</v>
          </cell>
          <cell r="Z155">
            <v>23.33</v>
          </cell>
          <cell r="AA155">
            <v>23.2851</v>
          </cell>
          <cell r="AB155" t="e">
            <v>#N/A</v>
          </cell>
          <cell r="AC155" t="e">
            <v>#N/A</v>
          </cell>
          <cell r="AD155" t="str">
            <v>0243-17</v>
          </cell>
          <cell r="AE155" t="str">
            <v>aws s3 cp s3://rtdc.mdm.uploadarchive/RTDC4031/2016-08-18/ "%USERPROFILE%\AppData\Local\Temp\OnboardLogs"\RTDC4031\2016-08-18 --recursive &amp; "%USERPROFILE%\Documents\GitHub\mrs-test-scripts\Headless Mode &amp; Sideloading\WalkAndUnGZ.bat" "%USERPROFILE%\AppData\Local\Temp\OnboardLogs"\RTDC4031\2016-08-18 &amp; 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</v>
          </cell>
        </row>
        <row r="156">
          <cell r="A156" t="str">
            <v>244-17</v>
          </cell>
          <cell r="B156">
            <v>4032</v>
          </cell>
          <cell r="C156" t="str">
            <v>DE.1.0.7.0</v>
          </cell>
          <cell r="D156" t="str">
            <v>204:232981</v>
          </cell>
          <cell r="E156">
            <v>42600.056840277779</v>
          </cell>
          <cell r="F156">
            <v>42600.057800925926</v>
          </cell>
          <cell r="G156">
            <v>1</v>
          </cell>
          <cell r="H156" t="str">
            <v>204:117</v>
          </cell>
          <cell r="I156">
            <v>42600.090312499997</v>
          </cell>
          <cell r="J156">
            <v>0</v>
          </cell>
          <cell r="K156" t="str">
            <v>4031/4032</v>
          </cell>
          <cell r="L156" t="str">
            <v>DE LA ROSA</v>
          </cell>
          <cell r="M156">
            <v>3.2511574070667848E-2</v>
          </cell>
          <cell r="N156">
            <v>46.816666661761701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https://search-rtdc-monitor-bjffxe2xuh6vdkpspy63sjmuny.us-east-1.es.amazonaws.com/_plugin/kibana/#/discover/Steve-Slow-Train-Analysis-(2080s-and-2083s)?_g=(refreshInterval:(display:Off,section:0,value:0),time:(from:'2016-08-18 00:21:51-0600',mode:absolute,to:'2016-08-18 03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6" t="str">
            <v>N</v>
          </cell>
          <cell r="X156">
            <v>1</v>
          </cell>
          <cell r="Y156">
            <v>23.298100000000002</v>
          </cell>
          <cell r="Z156">
            <v>1.17E-2</v>
          </cell>
          <cell r="AA156">
            <v>23.2864</v>
          </cell>
          <cell r="AB156" t="e">
            <v>#N/A</v>
          </cell>
          <cell r="AC156" t="e">
            <v>#N/A</v>
          </cell>
          <cell r="AD156" t="str">
            <v>0244-17</v>
          </cell>
          <cell r="AE156" t="str">
            <v>aws s3 cp s3://rtdc.mdm.uploadarchive/RTDC4032/2016-08-18/ "%USERPROFILE%\AppData\Local\Temp\OnboardLogs"\RTDC4032\2016-08-18 --recursive &amp; "%USERPROFILE%\Documents\GitHub\mrs-test-scripts\Headless Mode &amp; Sideloading\WalkAndUnGZ.bat" "%USERPROFILE%\AppData\Local\Temp\OnboardLogs"\RTDC4032\2016-08-18 &amp; 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</v>
          </cell>
        </row>
        <row r="157">
          <cell r="A157" t="str">
            <v>800-17</v>
          </cell>
          <cell r="B157">
            <v>4041</v>
          </cell>
          <cell r="C157" t="str">
            <v>DE.1.0.7.0</v>
          </cell>
          <cell r="D157" t="str">
            <v>300:58630</v>
          </cell>
          <cell r="E157">
            <v>42599.214259259257</v>
          </cell>
          <cell r="F157">
            <v>42599.215266203704</v>
          </cell>
          <cell r="G157">
            <v>1</v>
          </cell>
          <cell r="H157" t="str">
            <v>204:696</v>
          </cell>
          <cell r="I157">
            <v>42599.226006944446</v>
          </cell>
          <cell r="J157">
            <v>0</v>
          </cell>
          <cell r="K157" t="str">
            <v>4041/4042</v>
          </cell>
          <cell r="L157" t="str">
            <v>STARKS</v>
          </cell>
          <cell r="M157">
            <v>1.0740740741312038E-2</v>
          </cell>
          <cell r="N157">
            <v>15.466666667489335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57" t="str">
            <v>N</v>
          </cell>
          <cell r="X157">
            <v>556</v>
          </cell>
          <cell r="Y157">
            <v>5.8630000000000004</v>
          </cell>
          <cell r="Z157">
            <v>6.9599999999999995E-2</v>
          </cell>
          <cell r="AA157">
            <v>5.7934000000000001</v>
          </cell>
          <cell r="AB157" t="e">
            <v>#N/A</v>
          </cell>
          <cell r="AC157" t="e">
            <v>#N/A</v>
          </cell>
          <cell r="AD157" t="str">
            <v>0800-17</v>
          </cell>
          <cell r="AE157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58">
          <cell r="A158" t="str">
            <v>801-17</v>
          </cell>
          <cell r="B158">
            <v>4042</v>
          </cell>
          <cell r="C158" t="str">
            <v>DE.1.0.7.0</v>
          </cell>
          <cell r="D158" t="str">
            <v>204:981</v>
          </cell>
          <cell r="E158">
            <v>42599.240682870368</v>
          </cell>
          <cell r="F158">
            <v>42599.241828703707</v>
          </cell>
          <cell r="G158">
            <v>1</v>
          </cell>
          <cell r="H158" t="str">
            <v>300:58920</v>
          </cell>
          <cell r="I158">
            <v>42599.253888888888</v>
          </cell>
          <cell r="J158">
            <v>0</v>
          </cell>
          <cell r="K158" t="str">
            <v>4041/4042</v>
          </cell>
          <cell r="L158" t="str">
            <v>STARKS</v>
          </cell>
          <cell r="M158">
            <v>1.2060185181326233E-2</v>
          </cell>
          <cell r="N158">
            <v>17.366666661109775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https://search-rtdc-monitor-bjffxe2xuh6vdkpspy63sjmuny.us-east-1.es.amazonaws.com/_plugin/kibana/#/discover/Steve-Slow-Train-Analysis-(2080s-and-2083s)?_g=(refreshInterval:(display:Off,section:0,value:0),time:(from:'2016-08-17 04:46:35-0600',mode:absolute,to:'2016-08-17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58" t="str">
            <v>N</v>
          </cell>
          <cell r="X158">
            <v>1</v>
          </cell>
          <cell r="Y158">
            <v>9.8100000000000007E-2</v>
          </cell>
          <cell r="Z158">
            <v>5.8920000000000003</v>
          </cell>
          <cell r="AA158">
            <v>5.7939000000000007</v>
          </cell>
          <cell r="AB158" t="e">
            <v>#N/A</v>
          </cell>
          <cell r="AC158" t="e">
            <v>#N/A</v>
          </cell>
          <cell r="AD158" t="str">
            <v>0801-17</v>
          </cell>
          <cell r="AE15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59">
          <cell r="A159" t="str">
            <v>802-17</v>
          </cell>
          <cell r="B159">
            <v>4041</v>
          </cell>
          <cell r="C159" t="str">
            <v>DE.1.0.7.0</v>
          </cell>
          <cell r="D159" t="str">
            <v>300:58619</v>
          </cell>
          <cell r="E159">
            <v>42599.254999999997</v>
          </cell>
          <cell r="F159">
            <v>42599.25571759259</v>
          </cell>
          <cell r="G159">
            <v>1</v>
          </cell>
          <cell r="H159" t="str">
            <v>204:726</v>
          </cell>
          <cell r="I159">
            <v>42599.268171296295</v>
          </cell>
          <cell r="J159">
            <v>0</v>
          </cell>
          <cell r="K159" t="str">
            <v>4041/4042</v>
          </cell>
          <cell r="L159" t="str">
            <v>STARKS</v>
          </cell>
          <cell r="M159">
            <v>1.2453703704522923E-2</v>
          </cell>
          <cell r="N159">
            <v>17.933333334513009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59" t="str">
            <v>N</v>
          </cell>
          <cell r="X159">
            <v>1</v>
          </cell>
          <cell r="Y159">
            <v>5.8619000000000003</v>
          </cell>
          <cell r="Z159">
            <v>7.2599999999999998E-2</v>
          </cell>
          <cell r="AA159">
            <v>5.7893000000000008</v>
          </cell>
          <cell r="AB159" t="e">
            <v>#N/A</v>
          </cell>
          <cell r="AC159" t="e">
            <v>#N/A</v>
          </cell>
          <cell r="AD159" t="str">
            <v>0802-17</v>
          </cell>
          <cell r="AE15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0">
          <cell r="A160" t="str">
            <v>803-17</v>
          </cell>
          <cell r="B160">
            <v>4007</v>
          </cell>
          <cell r="C160" t="str">
            <v>DE.1.0.7.0</v>
          </cell>
          <cell r="D160" t="str">
            <v>204:971</v>
          </cell>
          <cell r="E160">
            <v>42599.25267361111</v>
          </cell>
          <cell r="F160">
            <v>42599.254328703704</v>
          </cell>
          <cell r="G160">
            <v>2</v>
          </cell>
          <cell r="H160" t="str">
            <v>300:58954</v>
          </cell>
          <cell r="I160">
            <v>42599.274236111109</v>
          </cell>
          <cell r="J160">
            <v>0</v>
          </cell>
          <cell r="K160" t="str">
            <v>4007/4008</v>
          </cell>
          <cell r="L160" t="str">
            <v>SWANSON</v>
          </cell>
          <cell r="M160">
            <v>1.9907407404389232E-2</v>
          </cell>
          <cell r="N160">
            <v>28.666666662320495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https://search-rtdc-monitor-bjffxe2xuh6vdkpspy63sjmuny.us-east-1.es.amazonaws.com/_plugin/kibana/#/discover/Steve-Slow-Train-Analysis-(2080s-and-2083s)?_g=(refreshInterval:(display:Off,section:0,value:0),time:(from:'2016-08-17 05:03:51-0600',mode:absolute,to:'2016-08-17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9.7100000000000006E-2</v>
          </cell>
          <cell r="Z160">
            <v>5.8954000000000004</v>
          </cell>
          <cell r="AA160">
            <v>5.7983000000000002</v>
          </cell>
          <cell r="AB160" t="e">
            <v>#N/A</v>
          </cell>
          <cell r="AC160" t="e">
            <v>#N/A</v>
          </cell>
          <cell r="AD160" t="str">
            <v>0803-17</v>
          </cell>
          <cell r="AE16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1">
          <cell r="A161" t="str">
            <v>804-17</v>
          </cell>
          <cell r="B161">
            <v>4008</v>
          </cell>
          <cell r="C161" t="str">
            <v>DE.1.0.7.0</v>
          </cell>
          <cell r="D161" t="str">
            <v>300:58636</v>
          </cell>
          <cell r="E161">
            <v>42599.275590277779</v>
          </cell>
          <cell r="F161">
            <v>42599.27684027778</v>
          </cell>
          <cell r="G161">
            <v>1</v>
          </cell>
          <cell r="H161" t="str">
            <v>204:720</v>
          </cell>
          <cell r="I161">
            <v>42599.288703703707</v>
          </cell>
          <cell r="J161">
            <v>0</v>
          </cell>
          <cell r="K161" t="str">
            <v>4007/4008</v>
          </cell>
          <cell r="L161" t="str">
            <v>SWANSON</v>
          </cell>
          <cell r="M161">
            <v>1.1863425927003846E-2</v>
          </cell>
          <cell r="N161">
            <v>17.083333334885538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https://search-rtdc-monitor-bjffxe2xuh6vdkpspy63sjmuny.us-east-1.es.amazonaws.com/_plugin/kibana/#/discover/Steve-Slow-Train-Analysis-(2080s-and-2083s)?_g=(refreshInterval:(display:Off,section:0,value:0),time:(from:'2016-08-17 05:36:51-0600',mode:absolute,to:'2016-08-17 07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5.8635999999999999</v>
          </cell>
          <cell r="Z161">
            <v>7.1999999999999995E-2</v>
          </cell>
          <cell r="AA161">
            <v>5.7915999999999999</v>
          </cell>
          <cell r="AB161" t="e">
            <v>#N/A</v>
          </cell>
          <cell r="AC161" t="e">
            <v>#N/A</v>
          </cell>
          <cell r="AD161" t="str">
            <v>0804-17</v>
          </cell>
          <cell r="AE16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62">
          <cell r="A162" t="str">
            <v>805-17</v>
          </cell>
          <cell r="B162">
            <v>4042</v>
          </cell>
          <cell r="C162" t="str">
            <v>DE.1.0.7.0</v>
          </cell>
          <cell r="D162" t="str">
            <v>204:1018</v>
          </cell>
          <cell r="E162">
            <v>42599.282152777778</v>
          </cell>
          <cell r="F162">
            <v>42599.282986111109</v>
          </cell>
          <cell r="G162">
            <v>1</v>
          </cell>
          <cell r="H162" t="str">
            <v>300:58941</v>
          </cell>
          <cell r="I162">
            <v>42599.294942129629</v>
          </cell>
          <cell r="J162">
            <v>0</v>
          </cell>
          <cell r="K162" t="str">
            <v>4041/4042</v>
          </cell>
          <cell r="L162" t="str">
            <v>STARKS</v>
          </cell>
          <cell r="M162">
            <v>1.1956018519413192E-2</v>
          </cell>
          <cell r="N162">
            <v>17.216666667954996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https://search-rtdc-monitor-bjffxe2xuh6vdkpspy63sjmuny.us-east-1.es.amazonaws.com/_plugin/kibana/#/discover/Steve-Slow-Train-Analysis-(2080s-and-2083s)?_g=(refreshInterval:(display:Off,section:0,value:0),time:(from:'2016-08-17 05:46:18-0600',mode:absolute,to:'2016-08-17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2" t="str">
            <v>N</v>
          </cell>
          <cell r="X162">
            <v>1</v>
          </cell>
          <cell r="Y162">
            <v>0.1018</v>
          </cell>
          <cell r="Z162">
            <v>5.8940999999999999</v>
          </cell>
          <cell r="AA162">
            <v>5.7923</v>
          </cell>
          <cell r="AB162" t="e">
            <v>#N/A</v>
          </cell>
          <cell r="AC162" t="e">
            <v>#N/A</v>
          </cell>
          <cell r="AD162" t="str">
            <v>0805-17</v>
          </cell>
          <cell r="AE162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63">
          <cell r="A163" t="str">
            <v>806-17</v>
          </cell>
          <cell r="B163">
            <v>4041</v>
          </cell>
          <cell r="C163" t="str">
            <v>DE.1.0.7.0</v>
          </cell>
          <cell r="D163" t="str">
            <v>300:58632</v>
          </cell>
          <cell r="E163">
            <v>42599.295914351853</v>
          </cell>
          <cell r="F163">
            <v>42599.296712962961</v>
          </cell>
          <cell r="G163">
            <v>1</v>
          </cell>
          <cell r="H163" t="str">
            <v>204:768</v>
          </cell>
          <cell r="I163">
            <v>42599.309004629627</v>
          </cell>
          <cell r="J163">
            <v>0</v>
          </cell>
          <cell r="K163" t="str">
            <v>4041/4042</v>
          </cell>
          <cell r="L163" t="str">
            <v>STARKS</v>
          </cell>
          <cell r="M163">
            <v>1.2291666665987577E-2</v>
          </cell>
          <cell r="N163">
            <v>17.699999999022111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https://search-rtdc-monitor-bjffxe2xuh6vdkpspy63sjmuny.us-east-1.es.amazonaws.com/_plugin/kibana/#/discover/Steve-Slow-Train-Analysis-(2080s-and-2083s)?_g=(refreshInterval:(display:Off,section:0,value:0),time:(from:'2016-08-17 06:06:07-0600',mode:absolute,to:'2016-08-17 08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3" t="str">
            <v>N</v>
          </cell>
          <cell r="X163">
            <v>1</v>
          </cell>
          <cell r="Y163">
            <v>5.8632</v>
          </cell>
          <cell r="Z163">
            <v>7.6799999999999993E-2</v>
          </cell>
          <cell r="AA163">
            <v>5.7863999999999995</v>
          </cell>
          <cell r="AB163" t="e">
            <v>#N/A</v>
          </cell>
          <cell r="AC163" t="e">
            <v>#N/A</v>
          </cell>
          <cell r="AD163" t="str">
            <v>0806-17</v>
          </cell>
          <cell r="AE163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4">
          <cell r="A164" t="str">
            <v>807-17</v>
          </cell>
          <cell r="B164">
            <v>4007</v>
          </cell>
          <cell r="C164" t="str">
            <v>DE.1.0.7.0</v>
          </cell>
          <cell r="D164" t="str">
            <v>204:985</v>
          </cell>
          <cell r="E164">
            <v>42599.304537037038</v>
          </cell>
          <cell r="F164">
            <v>42599.305451388886</v>
          </cell>
          <cell r="G164">
            <v>1</v>
          </cell>
          <cell r="H164" t="str">
            <v>300:58941</v>
          </cell>
          <cell r="I164">
            <v>42599.316250000003</v>
          </cell>
          <cell r="J164">
            <v>0</v>
          </cell>
          <cell r="K164" t="str">
            <v>4007/4008</v>
          </cell>
          <cell r="L164" t="str">
            <v>SWANSON</v>
          </cell>
          <cell r="M164">
            <v>1.0798611117934342E-2</v>
          </cell>
          <cell r="N164">
            <v>15.550000009825453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https://search-rtdc-monitor-bjffxe2xuh6vdkpspy63sjmuny.us-east-1.es.amazonaws.com/_plugin/kibana/#/discover/Steve-Slow-Train-Analysis-(2080s-and-2083s)?_g=(refreshInterval:(display:Off,section:0,value:0),time:(from:'2016-08-17 06:18:32-0600',mode:absolute,to:'2016-08-17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9.8500000000000004E-2</v>
          </cell>
          <cell r="Z164">
            <v>5.8940999999999999</v>
          </cell>
          <cell r="AA164">
            <v>5.7956000000000003</v>
          </cell>
          <cell r="AB164" t="e">
            <v>#N/A</v>
          </cell>
          <cell r="AC164" t="e">
            <v>#N/A</v>
          </cell>
          <cell r="AD164" t="str">
            <v>0807-17</v>
          </cell>
          <cell r="AE16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5">
          <cell r="A165" t="str">
            <v>808-17</v>
          </cell>
          <cell r="B165">
            <v>4008</v>
          </cell>
          <cell r="C165" t="str">
            <v>DE.1.0.7.0</v>
          </cell>
          <cell r="D165" t="str">
            <v>300:58617</v>
          </cell>
          <cell r="E165">
            <v>42599.31726851852</v>
          </cell>
          <cell r="F165">
            <v>42599.318020833336</v>
          </cell>
          <cell r="G165">
            <v>1</v>
          </cell>
          <cell r="H165" t="str">
            <v>204:678</v>
          </cell>
          <cell r="I165">
            <v>42599.33053240741</v>
          </cell>
          <cell r="J165">
            <v>0</v>
          </cell>
          <cell r="K165" t="str">
            <v>4007/4008</v>
          </cell>
          <cell r="L165" t="str">
            <v>SWANSON</v>
          </cell>
          <cell r="M165">
            <v>1.2511574073869269E-2</v>
          </cell>
          <cell r="N165">
            <v>18.016666666371748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https://search-rtdc-monitor-bjffxe2xuh6vdkpspy63sjmuny.us-east-1.es.amazonaws.com/_plugin/kibana/#/discover/Steve-Slow-Train-Analysis-(2080s-and-2083s)?_g=(refreshInterval:(display:Off,section:0,value:0),time:(from:'2016-08-17 06:36:52-0600',mode:absolute,to:'2016-08-17 08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N</v>
          </cell>
          <cell r="X165">
            <v>1</v>
          </cell>
          <cell r="Y165">
            <v>5.8616999999999999</v>
          </cell>
          <cell r="Z165">
            <v>6.7799999999999999E-2</v>
          </cell>
          <cell r="AA165">
            <v>5.7938999999999998</v>
          </cell>
          <cell r="AB165" t="e">
            <v>#N/A</v>
          </cell>
          <cell r="AC165" t="e">
            <v>#N/A</v>
          </cell>
          <cell r="AD165" t="str">
            <v>0808-17</v>
          </cell>
          <cell r="AE16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66">
          <cell r="A166" t="str">
            <v>809-17</v>
          </cell>
          <cell r="B166">
            <v>4042</v>
          </cell>
          <cell r="C166" t="str">
            <v>DE.1.0.7.0</v>
          </cell>
          <cell r="D166" t="str">
            <v>204:1055</v>
          </cell>
          <cell r="E166">
            <v>42599.324305555558</v>
          </cell>
          <cell r="F166">
            <v>42599.325416666667</v>
          </cell>
          <cell r="G166">
            <v>1</v>
          </cell>
          <cell r="H166" t="str">
            <v>300:21816</v>
          </cell>
          <cell r="I166">
            <v>42599.33388888889</v>
          </cell>
          <cell r="J166">
            <v>0</v>
          </cell>
          <cell r="K166" t="str">
            <v>4041/4042</v>
          </cell>
          <cell r="L166" t="str">
            <v>STARKS</v>
          </cell>
          <cell r="M166">
            <v>8.4722222236450762E-3</v>
          </cell>
          <cell r="N166">
            <v>12.20000000204891</v>
          </cell>
          <cell r="R166" t="str">
            <v>Drove to CRMF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https://search-rtdc-monitor-bjffxe2xuh6vdkpspy63sjmuny.us-east-1.es.amazonaws.com/_plugin/kibana/#/discover/Steve-Slow-Train-Analysis-(2080s-and-2083s)?_g=(refreshInterval:(display:Off,section:0,value:0),time:(from:'2016-08-17 06:47:00-0600',mode:absolute,to:'2016-08-17 09:00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6" t="str">
            <v>Y</v>
          </cell>
          <cell r="X166">
            <v>1</v>
          </cell>
          <cell r="Y166">
            <v>0.1055</v>
          </cell>
          <cell r="Z166">
            <v>2.1816</v>
          </cell>
          <cell r="AA166">
            <v>2.0760999999999998</v>
          </cell>
          <cell r="AB166" t="e">
            <v>#N/A</v>
          </cell>
          <cell r="AC166" t="e">
            <v>#N/A</v>
          </cell>
          <cell r="AD166" t="str">
            <v>0809-17</v>
          </cell>
          <cell r="AE166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67">
          <cell r="A167" t="str">
            <v>810-17</v>
          </cell>
          <cell r="B167">
            <v>4041</v>
          </cell>
          <cell r="C167" t="str">
            <v>DE.1.0.7.0</v>
          </cell>
          <cell r="D167" t="str">
            <v>300:58619</v>
          </cell>
          <cell r="E167">
            <v>42599.343078703707</v>
          </cell>
          <cell r="F167">
            <v>42599.343900462962</v>
          </cell>
          <cell r="G167">
            <v>1</v>
          </cell>
          <cell r="H167" t="str">
            <v>204:771</v>
          </cell>
          <cell r="I167">
            <v>42599.354108796295</v>
          </cell>
          <cell r="J167">
            <v>0</v>
          </cell>
          <cell r="K167" t="str">
            <v>4041/4042</v>
          </cell>
          <cell r="L167" t="str">
            <v>STARKS</v>
          </cell>
          <cell r="M167">
            <v>1.0208333333139308E-2</v>
          </cell>
          <cell r="N167">
            <v>14.699999999720603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7" t="str">
            <v>N</v>
          </cell>
          <cell r="X167">
            <v>1</v>
          </cell>
          <cell r="Y167">
            <v>5.8619000000000003</v>
          </cell>
          <cell r="Z167">
            <v>7.7100000000000002E-2</v>
          </cell>
          <cell r="AA167">
            <v>5.7848000000000006</v>
          </cell>
          <cell r="AB167" t="e">
            <v>#N/A</v>
          </cell>
          <cell r="AC167" t="e">
            <v>#N/A</v>
          </cell>
          <cell r="AD167" t="str">
            <v>0810-17</v>
          </cell>
          <cell r="AE167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68">
          <cell r="A168" t="str">
            <v>811-17</v>
          </cell>
          <cell r="B168">
            <v>4007</v>
          </cell>
          <cell r="C168" t="str">
            <v>DE.1.0.7.0</v>
          </cell>
          <cell r="D168" t="str">
            <v>204:960</v>
          </cell>
          <cell r="E168">
            <v>42599.345451388886</v>
          </cell>
          <cell r="F168">
            <v>42599.346504629626</v>
          </cell>
          <cell r="G168">
            <v>1</v>
          </cell>
          <cell r="H168" t="str">
            <v>300:58926</v>
          </cell>
          <cell r="I168">
            <v>42599.359710648147</v>
          </cell>
          <cell r="J168">
            <v>0</v>
          </cell>
          <cell r="K168" t="str">
            <v>4007/4008</v>
          </cell>
          <cell r="L168" t="str">
            <v>SWANSON</v>
          </cell>
          <cell r="M168">
            <v>1.3206018520577345E-2</v>
          </cell>
          <cell r="N168">
            <v>19.016666669631377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https://search-rtdc-monitor-bjffxe2xuh6vdkpspy63sjmuny.us-east-1.es.amazonaws.com/_plugin/kibana/#/discover/Steve-Slow-Train-Analysis-(2080s-and-2083s)?_g=(refreshInterval:(display:Off,section:0,value:0),time:(from:'2016-08-17 07:17:27-0600',mode:absolute,to:'2016-08-17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9.6000000000000002E-2</v>
          </cell>
          <cell r="Z168">
            <v>5.8925999999999998</v>
          </cell>
          <cell r="AA168">
            <v>5.7965999999999998</v>
          </cell>
          <cell r="AB168" t="e">
            <v>#N/A</v>
          </cell>
          <cell r="AC168" t="e">
            <v>#N/A</v>
          </cell>
          <cell r="AD168" t="str">
            <v>0811-17</v>
          </cell>
          <cell r="AE16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69">
          <cell r="A169" t="str">
            <v>812-17</v>
          </cell>
          <cell r="B169">
            <v>4008</v>
          </cell>
          <cell r="C169" t="str">
            <v>DE.1.0.7.0</v>
          </cell>
          <cell r="D169" t="str">
            <v>300:58611</v>
          </cell>
          <cell r="E169">
            <v>42599.360879629632</v>
          </cell>
          <cell r="F169">
            <v>42599.361747685187</v>
          </cell>
          <cell r="G169">
            <v>1</v>
          </cell>
          <cell r="H169" t="str">
            <v>204:657</v>
          </cell>
          <cell r="I169">
            <v>42599.372256944444</v>
          </cell>
          <cell r="J169">
            <v>0</v>
          </cell>
          <cell r="K169" t="str">
            <v>4007/4008</v>
          </cell>
          <cell r="L169" t="str">
            <v>SWANSON</v>
          </cell>
          <cell r="M169">
            <v>1.0509259256650694E-2</v>
          </cell>
          <cell r="N169">
            <v>15.133333329576999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5.8611000000000004</v>
          </cell>
          <cell r="Z169">
            <v>6.5699999999999995E-2</v>
          </cell>
          <cell r="AA169">
            <v>5.7954000000000008</v>
          </cell>
          <cell r="AB169" t="e">
            <v>#N/A</v>
          </cell>
          <cell r="AC169" t="e">
            <v>#N/A</v>
          </cell>
          <cell r="AD169" t="str">
            <v>0812-17</v>
          </cell>
          <cell r="AE16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0">
          <cell r="A170" t="str">
            <v>813-17</v>
          </cell>
          <cell r="B170">
            <v>4007</v>
          </cell>
          <cell r="C170" t="str">
            <v>DE.1.0.7.0</v>
          </cell>
          <cell r="D170" t="str">
            <v>204:950</v>
          </cell>
          <cell r="E170">
            <v>42599.387974537036</v>
          </cell>
          <cell r="F170">
            <v>42599.388761574075</v>
          </cell>
          <cell r="G170">
            <v>1</v>
          </cell>
          <cell r="H170" t="str">
            <v>300:58931</v>
          </cell>
          <cell r="I170">
            <v>42599.399976851855</v>
          </cell>
          <cell r="J170">
            <v>0</v>
          </cell>
          <cell r="K170" t="str">
            <v>4007/4008</v>
          </cell>
          <cell r="L170" t="str">
            <v>SWANSON</v>
          </cell>
          <cell r="M170">
            <v>1.1215277780138422E-2</v>
          </cell>
          <cell r="N170">
            <v>16.150000003399327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https://search-rtdc-monitor-bjffxe2xuh6vdkpspy63sjmuny.us-east-1.es.amazonaws.com/_plugin/kibana/#/discover/Steve-Slow-Train-Analysis-(2080s-and-2083s)?_g=(refreshInterval:(display:Off,section:0,value:0),time:(from:'2016-08-17 08:18:41-0600',mode:absolute,to:'2016-08-17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0" t="str">
            <v>N</v>
          </cell>
          <cell r="X170">
            <v>1</v>
          </cell>
          <cell r="Y170">
            <v>9.5000000000000001E-2</v>
          </cell>
          <cell r="Z170">
            <v>5.8930999999999996</v>
          </cell>
          <cell r="AA170">
            <v>5.7980999999999998</v>
          </cell>
          <cell r="AB170" t="e">
            <v>#N/A</v>
          </cell>
          <cell r="AC170" t="e">
            <v>#N/A</v>
          </cell>
          <cell r="AD170" t="str">
            <v>0813-17</v>
          </cell>
          <cell r="AE17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1">
          <cell r="A171" t="str">
            <v>814-17</v>
          </cell>
          <cell r="B171">
            <v>4008</v>
          </cell>
          <cell r="C171" t="str">
            <v>DE.1.0.7.0</v>
          </cell>
          <cell r="D171" t="str">
            <v>300:58617</v>
          </cell>
          <cell r="E171">
            <v>42599.40111111111</v>
          </cell>
          <cell r="F171">
            <v>42599.401898148149</v>
          </cell>
          <cell r="G171">
            <v>1</v>
          </cell>
          <cell r="H171" t="str">
            <v>204:661</v>
          </cell>
          <cell r="I171">
            <v>42599.413599537038</v>
          </cell>
          <cell r="J171">
            <v>0</v>
          </cell>
          <cell r="K171" t="str">
            <v>4007/4008</v>
          </cell>
          <cell r="L171" t="str">
            <v>SWANSON</v>
          </cell>
          <cell r="M171">
            <v>1.17013888884685E-2</v>
          </cell>
          <cell r="N171">
            <v>16.84999999939464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https://search-rtdc-monitor-bjffxe2xuh6vdkpspy63sjmuny.us-east-1.es.amazonaws.com/_plugin/kibana/#/discover/Steve-Slow-Train-Analysis-(2080s-and-2083s)?_g=(refreshInterval:(display:Off,section:0,value:0),time:(from:'2016-08-17 08:37:36-0600',mode:absolute,to:'2016-08-17 10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6.6100000000000006E-2</v>
          </cell>
          <cell r="AA171">
            <v>5.7956000000000003</v>
          </cell>
          <cell r="AB171" t="e">
            <v>#N/A</v>
          </cell>
          <cell r="AC171" t="e">
            <v>#N/A</v>
          </cell>
          <cell r="AD171" t="str">
            <v>0814-17</v>
          </cell>
          <cell r="AE17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2">
          <cell r="A172" t="str">
            <v>815-17</v>
          </cell>
          <cell r="B172">
            <v>4007</v>
          </cell>
          <cell r="C172" t="str">
            <v>DE.1.0.7.0</v>
          </cell>
          <cell r="D172" t="str">
            <v>204:930</v>
          </cell>
          <cell r="E172">
            <v>42599.429108796299</v>
          </cell>
          <cell r="F172">
            <v>42599.4299537037</v>
          </cell>
          <cell r="G172">
            <v>1</v>
          </cell>
          <cell r="H172" t="str">
            <v>300:58920</v>
          </cell>
          <cell r="I172">
            <v>42599.441053240742</v>
          </cell>
          <cell r="J172">
            <v>0</v>
          </cell>
          <cell r="K172" t="str">
            <v>4007/4008</v>
          </cell>
          <cell r="L172" t="str">
            <v>SWANSON</v>
          </cell>
          <cell r="M172">
            <v>1.1099537041445728E-2</v>
          </cell>
          <cell r="N172">
            <v>15.983333339681849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https://search-rtdc-monitor-bjffxe2xuh6vdkpspy63sjmuny.us-east-1.es.amazonaws.com/_plugin/kibana/#/discover/Steve-Slow-Train-Analysis-(2080s-and-2083s)?_g=(refreshInterval:(display:Off,section:0,value:0),time:(from:'2016-08-17 09:17:55-0600',mode:absolute,to:'2016-08-17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2" t="str">
            <v>N</v>
          </cell>
          <cell r="X172">
            <v>1</v>
          </cell>
          <cell r="Y172">
            <v>9.2999999999999999E-2</v>
          </cell>
          <cell r="Z172">
            <v>5.8920000000000003</v>
          </cell>
          <cell r="AA172">
            <v>5.7990000000000004</v>
          </cell>
          <cell r="AB172" t="e">
            <v>#N/A</v>
          </cell>
          <cell r="AC172" t="e">
            <v>#N/A</v>
          </cell>
          <cell r="AD172" t="str">
            <v>0815-17</v>
          </cell>
          <cell r="AE17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3">
          <cell r="A173" t="str">
            <v>816-17</v>
          </cell>
          <cell r="B173">
            <v>4008</v>
          </cell>
          <cell r="C173" t="str">
            <v>DE.1.0.7.0</v>
          </cell>
          <cell r="D173" t="str">
            <v>300:58602</v>
          </cell>
          <cell r="E173">
            <v>42599.442002314812</v>
          </cell>
          <cell r="F173">
            <v>42599.442847222221</v>
          </cell>
          <cell r="G173">
            <v>1</v>
          </cell>
          <cell r="H173" t="str">
            <v>204:663</v>
          </cell>
          <cell r="I173">
            <v>42599.454884259256</v>
          </cell>
          <cell r="J173">
            <v>0</v>
          </cell>
          <cell r="K173" t="str">
            <v>4007/4008</v>
          </cell>
          <cell r="L173" t="str">
            <v>SWANSON</v>
          </cell>
          <cell r="M173">
            <v>1.2037037035042886E-2</v>
          </cell>
          <cell r="N173">
            <v>17.333333330461755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https://search-rtdc-monitor-bjffxe2xuh6vdkpspy63sjmuny.us-east-1.es.amazonaws.com/_plugin/kibana/#/discover/Steve-Slow-Train-Analysis-(2080s-and-2083s)?_g=(refreshInterval:(display:Off,section:0,value:0),time:(from:'2016-08-17 09:36:29-0600',mode:absolute,to:'2016-08-17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3" t="str">
            <v>N</v>
          </cell>
          <cell r="X173">
            <v>1</v>
          </cell>
          <cell r="Y173">
            <v>5.8601999999999999</v>
          </cell>
          <cell r="Z173">
            <v>6.6299999999999998E-2</v>
          </cell>
          <cell r="AA173">
            <v>5.7938999999999998</v>
          </cell>
          <cell r="AB173" t="e">
            <v>#N/A</v>
          </cell>
          <cell r="AC173" t="e">
            <v>#N/A</v>
          </cell>
          <cell r="AD173" t="str">
            <v>0816-17</v>
          </cell>
          <cell r="AE173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4">
          <cell r="A174" t="str">
            <v>817-17</v>
          </cell>
          <cell r="B174">
            <v>4007</v>
          </cell>
          <cell r="C174" t="str">
            <v>DE.1.0.7.0</v>
          </cell>
          <cell r="D174" t="str">
            <v>204:941</v>
          </cell>
          <cell r="E174">
            <v>42599.47078703704</v>
          </cell>
          <cell r="F174">
            <v>42599.471620370372</v>
          </cell>
          <cell r="G174">
            <v>1</v>
          </cell>
          <cell r="H174" t="str">
            <v>300:58920</v>
          </cell>
          <cell r="I174">
            <v>42599.48296296296</v>
          </cell>
          <cell r="J174">
            <v>0</v>
          </cell>
          <cell r="K174" t="str">
            <v>4007/4008</v>
          </cell>
          <cell r="L174" t="str">
            <v>SWANSON</v>
          </cell>
          <cell r="M174">
            <v>1.134259258833481E-2</v>
          </cell>
          <cell r="N174">
            <v>16.333333327202126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https://search-rtdc-monitor-bjffxe2xuh6vdkpspy63sjmuny.us-east-1.es.amazonaws.com/_plugin/kibana/#/discover/Steve-Slow-Train-Analysis-(2080s-and-2083s)?_g=(refreshInterval:(display:Off,section:0,value:0),time:(from:'2016-08-17 10:17:56-0600',mode:absolute,to:'2016-08-17 12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4" t="str">
            <v>N</v>
          </cell>
          <cell r="X174">
            <v>1</v>
          </cell>
          <cell r="Y174">
            <v>9.4100000000000003E-2</v>
          </cell>
          <cell r="Z174">
            <v>5.8920000000000003</v>
          </cell>
          <cell r="AA174">
            <v>5.7979000000000003</v>
          </cell>
          <cell r="AB174" t="e">
            <v>#N/A</v>
          </cell>
          <cell r="AC174" t="e">
            <v>#N/A</v>
          </cell>
          <cell r="AD174" t="str">
            <v>0817-17</v>
          </cell>
          <cell r="AE17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5">
          <cell r="A175" t="str">
            <v>818-17</v>
          </cell>
          <cell r="B175">
            <v>4008</v>
          </cell>
          <cell r="C175" t="str">
            <v>DE.1.0.7.0</v>
          </cell>
          <cell r="D175" t="str">
            <v>300:58608</v>
          </cell>
          <cell r="E175">
            <v>42599.484189814815</v>
          </cell>
          <cell r="F175">
            <v>42599.485092592593</v>
          </cell>
          <cell r="G175">
            <v>1</v>
          </cell>
          <cell r="H175" t="str">
            <v>204:635</v>
          </cell>
          <cell r="I175">
            <v>42599.497002314813</v>
          </cell>
          <cell r="J175">
            <v>0</v>
          </cell>
          <cell r="K175" t="str">
            <v>4007/4008</v>
          </cell>
          <cell r="L175" t="str">
            <v>SWANSON</v>
          </cell>
          <cell r="M175">
            <v>1.190972221957054E-2</v>
          </cell>
          <cell r="N175">
            <v>17.149999996181577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https://search-rtdc-monitor-bjffxe2xuh6vdkpspy63sjmuny.us-east-1.es.amazonaws.com/_plugin/kibana/#/discover/Steve-Slow-Train-Analysis-(2080s-and-2083s)?_g=(refreshInterval:(display:Off,section:0,value:0),time:(from:'2016-08-17 10:37:14-0600',mode:absolute,to:'2016-08-17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5" t="str">
            <v>N</v>
          </cell>
          <cell r="X175">
            <v>1</v>
          </cell>
          <cell r="Y175">
            <v>5.8608000000000002</v>
          </cell>
          <cell r="Z175">
            <v>6.3500000000000001E-2</v>
          </cell>
          <cell r="AA175">
            <v>5.7972999999999999</v>
          </cell>
          <cell r="AB175" t="e">
            <v>#N/A</v>
          </cell>
          <cell r="AC175" t="e">
            <v>#N/A</v>
          </cell>
          <cell r="AD175" t="str">
            <v>0818-17</v>
          </cell>
          <cell r="AE17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6">
          <cell r="A176" t="str">
            <v>819-17</v>
          </cell>
          <cell r="B176">
            <v>4007</v>
          </cell>
          <cell r="C176" t="str">
            <v>DE.1.0.7.0</v>
          </cell>
          <cell r="D176" t="str">
            <v>204:958</v>
          </cell>
          <cell r="E176">
            <v>42599.503194444442</v>
          </cell>
          <cell r="F176">
            <v>42599.505520833336</v>
          </cell>
          <cell r="G176">
            <v>3</v>
          </cell>
          <cell r="H176" t="str">
            <v>300:58909</v>
          </cell>
          <cell r="I176">
            <v>42599.524930555555</v>
          </cell>
          <cell r="J176">
            <v>0</v>
          </cell>
          <cell r="K176" t="str">
            <v>4007/4008</v>
          </cell>
          <cell r="L176" t="str">
            <v>SWANSON</v>
          </cell>
          <cell r="M176">
            <v>1.9409722219279502E-2</v>
          </cell>
          <cell r="N176">
            <v>27.949999995762482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https://search-rtdc-monitor-bjffxe2xuh6vdkpspy63sjmuny.us-east-1.es.amazonaws.com/_plugin/kibana/#/discover/Steve-Slow-Train-Analysis-(2080s-and-2083s)?_g=(refreshInterval:(display:Off,section:0,value:0),time:(from:'2016-08-17 11:04:36-0600',mode:absolute,to:'2016-08-17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6" t="str">
            <v>N</v>
          </cell>
          <cell r="X176">
            <v>1</v>
          </cell>
          <cell r="Y176">
            <v>9.5799999999999996E-2</v>
          </cell>
          <cell r="Z176">
            <v>5.8909000000000002</v>
          </cell>
          <cell r="AA176">
            <v>5.7951000000000006</v>
          </cell>
          <cell r="AB176" t="e">
            <v>#N/A</v>
          </cell>
          <cell r="AC176" t="e">
            <v>#N/A</v>
          </cell>
          <cell r="AD176" t="str">
            <v>0819-17</v>
          </cell>
          <cell r="AE176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7">
          <cell r="A177" t="str">
            <v>820-17</v>
          </cell>
          <cell r="B177">
            <v>4008</v>
          </cell>
          <cell r="C177" t="str">
            <v>DE.1.0.7.0</v>
          </cell>
          <cell r="D177" t="str">
            <v>300:58600</v>
          </cell>
          <cell r="E177">
            <v>42599.526030092595</v>
          </cell>
          <cell r="F177">
            <v>42599.526990740742</v>
          </cell>
          <cell r="G177">
            <v>1</v>
          </cell>
          <cell r="H177" t="str">
            <v>204:671</v>
          </cell>
          <cell r="I177">
            <v>42599.538854166669</v>
          </cell>
          <cell r="J177">
            <v>0</v>
          </cell>
          <cell r="K177" t="str">
            <v>4007/4008</v>
          </cell>
          <cell r="L177" t="str">
            <v>SWANSON</v>
          </cell>
          <cell r="M177">
            <v>1.1863425927003846E-2</v>
          </cell>
          <cell r="N177">
            <v>17.083333334885538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https://search-rtdc-monitor-bjffxe2xuh6vdkpspy63sjmuny.us-east-1.es.amazonaws.com/_plugin/kibana/#/discover/Steve-Slow-Train-Analysis-(2080s-and-2083s)?_g=(refreshInterval:(display:Off,section:0,value:0),time:(from:'2016-08-17 11:37:29-0600',mode:absolute,to:'2016-08-17 13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6.7100000000000007E-2</v>
          </cell>
          <cell r="AA177">
            <v>5.7929000000000004</v>
          </cell>
          <cell r="AB177" t="e">
            <v>#N/A</v>
          </cell>
          <cell r="AC177" t="e">
            <v>#N/A</v>
          </cell>
          <cell r="AD177" t="str">
            <v>0820-17</v>
          </cell>
          <cell r="AE17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78">
          <cell r="A178" t="str">
            <v>821-17</v>
          </cell>
          <cell r="B178">
            <v>4007</v>
          </cell>
          <cell r="C178" t="str">
            <v>DE.1.0.7.0</v>
          </cell>
          <cell r="D178" t="str">
            <v>204:946</v>
          </cell>
          <cell r="E178">
            <v>42599.551076388889</v>
          </cell>
          <cell r="F178">
            <v>42599.552372685182</v>
          </cell>
          <cell r="G178">
            <v>1</v>
          </cell>
          <cell r="H178" t="str">
            <v>300:21295</v>
          </cell>
          <cell r="I178">
            <v>42599.562928240739</v>
          </cell>
          <cell r="J178">
            <v>0</v>
          </cell>
          <cell r="K178" t="str">
            <v>4007/4008</v>
          </cell>
          <cell r="L178" t="str">
            <v>MOSES</v>
          </cell>
          <cell r="M178">
            <v>1.0555555556493346E-2</v>
          </cell>
          <cell r="P178">
            <v>15.200000001350418</v>
          </cell>
          <cell r="R178" t="str">
            <v>CRMF South 2N was STOP, no controls sent from TMDS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https://search-rtdc-monitor-bjffxe2xuh6vdkpspy63sjmuny.us-east-1.es.amazonaws.com/_plugin/kibana/#/discover/Steve-Slow-Train-Analysis-(2080s-and-2083s)?_g=(refreshInterval:(display:Off,section:0,value:0),time:(from:'2016-08-17 12:13:33-0600',mode:absolute,to:'2016-08-17 14:30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8" t="str">
            <v>Y</v>
          </cell>
          <cell r="X178">
            <v>1</v>
          </cell>
          <cell r="Y178">
            <v>9.4600000000000004E-2</v>
          </cell>
          <cell r="Z178">
            <v>2.1295000000000002</v>
          </cell>
          <cell r="AA178">
            <v>2.0349000000000004</v>
          </cell>
          <cell r="AB178" t="e">
            <v>#N/A</v>
          </cell>
          <cell r="AC178" t="e">
            <v>#N/A</v>
          </cell>
          <cell r="AD178" t="str">
            <v>0821-17</v>
          </cell>
          <cell r="AE17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79">
          <cell r="A179" t="str">
            <v>822-17</v>
          </cell>
          <cell r="B179">
            <v>4008</v>
          </cell>
          <cell r="C179" t="str">
            <v>DE.1.0.7.0</v>
          </cell>
          <cell r="D179" t="str">
            <v>300:58647</v>
          </cell>
          <cell r="E179">
            <v>42599.571597222224</v>
          </cell>
          <cell r="F179">
            <v>42599.572534722225</v>
          </cell>
          <cell r="G179">
            <v>1</v>
          </cell>
          <cell r="H179" t="str">
            <v>204:649</v>
          </cell>
          <cell r="I179">
            <v>42599.583819444444</v>
          </cell>
          <cell r="J179">
            <v>0</v>
          </cell>
          <cell r="K179" t="str">
            <v>4007/4008</v>
          </cell>
          <cell r="L179" t="str">
            <v>MOSES</v>
          </cell>
          <cell r="M179">
            <v>1.1284722218988463E-2</v>
          </cell>
          <cell r="N179">
            <v>16.249999995343387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https://search-rtdc-monitor-bjffxe2xuh6vdkpspy63sjmuny.us-east-1.es.amazonaws.com/_plugin/kibana/#/discover/Steve-Slow-Train-Analysis-(2080s-and-2083s)?_g=(refreshInterval:(display:Off,section:0,value:0),time:(from:'2016-08-17 12:43:06-0600',mode:absolute,to:'2016-08-17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9" t="str">
            <v>N</v>
          </cell>
          <cell r="X179">
            <v>1</v>
          </cell>
          <cell r="Y179">
            <v>5.8647</v>
          </cell>
          <cell r="Z179">
            <v>6.4899999999999999E-2</v>
          </cell>
          <cell r="AA179">
            <v>5.7998000000000003</v>
          </cell>
          <cell r="AB179" t="e">
            <v>#N/A</v>
          </cell>
          <cell r="AC179" t="e">
            <v>#N/A</v>
          </cell>
          <cell r="AD179" t="str">
            <v>0822-17</v>
          </cell>
          <cell r="AE17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0">
          <cell r="A180" t="str">
            <v>823-17</v>
          </cell>
          <cell r="B180">
            <v>4007</v>
          </cell>
          <cell r="C180" t="str">
            <v>DE.1.0.7.0</v>
          </cell>
          <cell r="D180" t="str">
            <v>204:946</v>
          </cell>
          <cell r="E180">
            <v>42599.592662037037</v>
          </cell>
          <cell r="F180">
            <v>42599.593564814815</v>
          </cell>
          <cell r="G180">
            <v>1</v>
          </cell>
          <cell r="H180" t="str">
            <v>300:58980</v>
          </cell>
          <cell r="I180">
            <v>42599.609178240738</v>
          </cell>
          <cell r="J180">
            <v>0</v>
          </cell>
          <cell r="K180" t="str">
            <v>4007/4008</v>
          </cell>
          <cell r="L180" t="str">
            <v>MOSES</v>
          </cell>
          <cell r="M180">
            <v>1.5613425923220348E-2</v>
          </cell>
          <cell r="N180">
            <v>22.483333329437301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https://search-rtdc-monitor-bjffxe2xuh6vdkpspy63sjmuny.us-east-1.es.amazonaws.com/_plugin/kibana/#/discover/Steve-Slow-Train-Analysis-(2080s-and-2083s)?_g=(refreshInterval:(display:Off,section:0,value:0),time:(from:'2016-08-17 13:13:26-0600',mode:absolute,to:'2016-08-17 15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0" t="str">
            <v>N</v>
          </cell>
          <cell r="X180">
            <v>1</v>
          </cell>
          <cell r="Y180">
            <v>9.4600000000000004E-2</v>
          </cell>
          <cell r="Z180">
            <v>5.8979999999999997</v>
          </cell>
          <cell r="AA180">
            <v>5.8033999999999999</v>
          </cell>
          <cell r="AB180" t="e">
            <v>#N/A</v>
          </cell>
          <cell r="AC180" t="e">
            <v>#N/A</v>
          </cell>
          <cell r="AD180" t="str">
            <v>0823-17</v>
          </cell>
          <cell r="AE18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1">
          <cell r="A181" t="str">
            <v>824-17</v>
          </cell>
          <cell r="B181">
            <v>4008</v>
          </cell>
          <cell r="C181" t="str">
            <v>DE.1.0.7.0</v>
          </cell>
          <cell r="D181" t="str">
            <v>300:58662</v>
          </cell>
          <cell r="E181">
            <v>42599.610231481478</v>
          </cell>
          <cell r="F181">
            <v>42599.611064814817</v>
          </cell>
          <cell r="G181">
            <v>1</v>
          </cell>
          <cell r="H181" t="str">
            <v>204:640</v>
          </cell>
          <cell r="I181">
            <v>42599.622488425928</v>
          </cell>
          <cell r="J181">
            <v>0</v>
          </cell>
          <cell r="K181" t="str">
            <v>4007/4008</v>
          </cell>
          <cell r="L181" t="str">
            <v>MOSES</v>
          </cell>
          <cell r="M181">
            <v>1.1423611111240461E-2</v>
          </cell>
          <cell r="N181">
            <v>16.450000000186265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https://search-rtdc-monitor-bjffxe2xuh6vdkpspy63sjmuny.us-east-1.es.amazonaws.com/_plugin/kibana/#/discover/Steve-Slow-Train-Analysis-(2080s-and-2083s)?_g=(refreshInterval:(display:Off,section:0,value:0),time:(from:'2016-08-17 13:38:44-0600',mode:absolute,to:'2016-08-17 15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1" t="str">
            <v>N</v>
          </cell>
          <cell r="X181">
            <v>1</v>
          </cell>
          <cell r="Y181">
            <v>5.8662000000000001</v>
          </cell>
          <cell r="Z181">
            <v>6.4000000000000001E-2</v>
          </cell>
          <cell r="AA181">
            <v>5.8022</v>
          </cell>
          <cell r="AB181" t="e">
            <v>#N/A</v>
          </cell>
          <cell r="AC181" t="e">
            <v>#N/A</v>
          </cell>
          <cell r="AD181" t="str">
            <v>0824-17</v>
          </cell>
          <cell r="AE18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2">
          <cell r="A182" t="str">
            <v>825-17</v>
          </cell>
          <cell r="B182">
            <v>4007</v>
          </cell>
          <cell r="C182" t="str">
            <v>DE.1.0.7.0</v>
          </cell>
          <cell r="D182" t="str">
            <v>204:937</v>
          </cell>
          <cell r="E182">
            <v>42599.636608796296</v>
          </cell>
          <cell r="F182">
            <v>42599.637476851851</v>
          </cell>
          <cell r="G182">
            <v>1</v>
          </cell>
          <cell r="H182" t="str">
            <v>300:58986</v>
          </cell>
          <cell r="I182">
            <v>42599.650451388887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1.2974537035916001E-2</v>
          </cell>
          <cell r="N182">
            <v>18.683333331719041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5.8986000000000001</v>
          </cell>
          <cell r="AA182">
            <v>5.8048999999999999</v>
          </cell>
          <cell r="AB182" t="e">
            <v>#N/A</v>
          </cell>
          <cell r="AC182" t="e">
            <v>#N/A</v>
          </cell>
          <cell r="AD182" t="str">
            <v>0825-17</v>
          </cell>
          <cell r="AE18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3">
          <cell r="A183" t="str">
            <v>826-17</v>
          </cell>
          <cell r="B183">
            <v>4008</v>
          </cell>
          <cell r="C183" t="str">
            <v>DE.1.0.7.0</v>
          </cell>
          <cell r="D183" t="str">
            <v>300:58670</v>
          </cell>
          <cell r="E183">
            <v>42599.651979166665</v>
          </cell>
          <cell r="F183">
            <v>42599.652870370373</v>
          </cell>
          <cell r="G183">
            <v>1</v>
          </cell>
          <cell r="H183" t="str">
            <v>204:629</v>
          </cell>
          <cell r="I183">
            <v>42599.669722222221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1.6851851847604848E-2</v>
          </cell>
          <cell r="N183">
            <v>24.266666660550982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https://search-rtdc-monitor-bjffxe2xuh6vdkpspy63sjmuny.us-east-1.es.amazonaws.com/_plugin/kibana/#/discover/Steve-Slow-Train-Analysis-(2080s-and-2083s)?_g=(refreshInterval:(display:Off,section:0,value:0),time:(from:'2016-08-17 14:38:51-0600',mode:absolute,to:'2016-08-17 17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3" t="str">
            <v>N</v>
          </cell>
          <cell r="X183">
            <v>1</v>
          </cell>
          <cell r="Y183">
            <v>5.867</v>
          </cell>
          <cell r="Z183">
            <v>6.2899999999999998E-2</v>
          </cell>
          <cell r="AA183">
            <v>5.8041</v>
          </cell>
          <cell r="AB183" t="e">
            <v>#N/A</v>
          </cell>
          <cell r="AC183" t="e">
            <v>#N/A</v>
          </cell>
          <cell r="AD183" t="str">
            <v>0826-17</v>
          </cell>
          <cell r="AE183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4">
          <cell r="A184" t="str">
            <v>827-17</v>
          </cell>
          <cell r="B184">
            <v>4042</v>
          </cell>
          <cell r="C184" t="str">
            <v>DE.1.0.7.0</v>
          </cell>
          <cell r="D184" t="str">
            <v>204:972</v>
          </cell>
          <cell r="E184">
            <v>42599.654907407406</v>
          </cell>
          <cell r="F184">
            <v>42599.656122685185</v>
          </cell>
          <cell r="G184">
            <v>1</v>
          </cell>
          <cell r="H184" t="str">
            <v>300:58909</v>
          </cell>
          <cell r="I184">
            <v>42599.671400462961</v>
          </cell>
          <cell r="J184">
            <v>0</v>
          </cell>
          <cell r="K184" t="str">
            <v>4041/4042</v>
          </cell>
          <cell r="L184" t="str">
            <v>OUN</v>
          </cell>
          <cell r="M184">
            <v>1.5277777776645962E-2</v>
          </cell>
          <cell r="N184">
            <v>21.999999998370185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4" t="str">
            <v>N</v>
          </cell>
          <cell r="X184">
            <v>1</v>
          </cell>
          <cell r="Y184">
            <v>9.7199999999999995E-2</v>
          </cell>
          <cell r="Z184">
            <v>5.8909000000000002</v>
          </cell>
          <cell r="AA184">
            <v>5.7937000000000003</v>
          </cell>
          <cell r="AB184" t="e">
            <v>#N/A</v>
          </cell>
          <cell r="AC184" t="e">
            <v>#N/A</v>
          </cell>
          <cell r="AD184" t="str">
            <v>0827-17</v>
          </cell>
          <cell r="AE184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85">
          <cell r="A185" t="str">
            <v>828-17</v>
          </cell>
          <cell r="B185">
            <v>4041</v>
          </cell>
          <cell r="C185" t="str">
            <v>DE.1.0.7.0</v>
          </cell>
          <cell r="D185" t="str">
            <v>300:58587</v>
          </cell>
          <cell r="E185">
            <v>42599.67255787037</v>
          </cell>
          <cell r="F185">
            <v>42599.673506944448</v>
          </cell>
          <cell r="G185">
            <v>1</v>
          </cell>
          <cell r="H185" t="str">
            <v>204:692</v>
          </cell>
          <cell r="I185">
            <v>42599.686365740738</v>
          </cell>
          <cell r="J185">
            <v>0</v>
          </cell>
          <cell r="K185" t="str">
            <v>4041/4042</v>
          </cell>
          <cell r="L185" t="str">
            <v>OUN</v>
          </cell>
          <cell r="M185">
            <v>1.285879628994735E-2</v>
          </cell>
          <cell r="N185">
            <v>18.516666657524183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https://search-rtdc-monitor-bjffxe2xuh6vdkpspy63sjmuny.us-east-1.es.amazonaws.com/_plugin/kibana/#/discover/Steve-Slow-Train-Analysis-(2080s-and-2083s)?_g=(refreshInterval:(display:Off,section:0,value:0),time:(from:'2016-08-17 15:08:29-0600',mode:absolute,to:'2016-08-17 17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5" t="str">
            <v>N</v>
          </cell>
          <cell r="X185">
            <v>1</v>
          </cell>
          <cell r="Y185">
            <v>5.8586999999999998</v>
          </cell>
          <cell r="Z185">
            <v>6.9199999999999998E-2</v>
          </cell>
          <cell r="AA185">
            <v>5.7894999999999994</v>
          </cell>
          <cell r="AB185" t="e">
            <v>#N/A</v>
          </cell>
          <cell r="AC185" t="e">
            <v>#N/A</v>
          </cell>
          <cell r="AD185" t="str">
            <v>0828-17</v>
          </cell>
          <cell r="AE185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86">
          <cell r="A186" t="str">
            <v>829-17</v>
          </cell>
          <cell r="B186">
            <v>4007</v>
          </cell>
          <cell r="C186" t="str">
            <v>DE.1.0.7.0</v>
          </cell>
          <cell r="D186" t="str">
            <v>204:909</v>
          </cell>
          <cell r="E186">
            <v>42599.678159722222</v>
          </cell>
          <cell r="F186">
            <v>42599.679189814815</v>
          </cell>
          <cell r="G186">
            <v>1</v>
          </cell>
          <cell r="H186" t="str">
            <v>300:58986</v>
          </cell>
          <cell r="I186">
            <v>42599.691944444443</v>
          </cell>
          <cell r="J186">
            <v>0</v>
          </cell>
          <cell r="K186" t="str">
            <v>4007/4008</v>
          </cell>
          <cell r="L186" t="str">
            <v>MOSES</v>
          </cell>
          <cell r="M186">
            <v>1.2754629628034309E-2</v>
          </cell>
          <cell r="N186">
            <v>18.366666664369404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https://search-rtdc-monitor-bjffxe2xuh6vdkpspy63sjmuny.us-east-1.es.amazonaws.com/_plugin/kibana/#/discover/Steve-Slow-Train-Analysis-(2080s-and-2083s)?_g=(refreshInterval:(display:Off,section:0,value:0),time:(from:'2016-08-17 15:16:33-0600',mode:absolute,to:'2016-08-17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9.0899999999999995E-2</v>
          </cell>
          <cell r="Z186">
            <v>5.8986000000000001</v>
          </cell>
          <cell r="AA186">
            <v>5.8076999999999996</v>
          </cell>
          <cell r="AB186" t="e">
            <v>#N/A</v>
          </cell>
          <cell r="AC186" t="e">
            <v>#N/A</v>
          </cell>
          <cell r="AD186" t="str">
            <v>0829-17</v>
          </cell>
          <cell r="AE186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87">
          <cell r="A187" t="str">
            <v>830-17</v>
          </cell>
          <cell r="B187">
            <v>4008</v>
          </cell>
          <cell r="C187" t="str">
            <v>DE.1.0.7.0</v>
          </cell>
          <cell r="D187" t="str">
            <v>300:58672</v>
          </cell>
          <cell r="E187">
            <v>42599.693414351852</v>
          </cell>
          <cell r="F187">
            <v>42599.694340277776</v>
          </cell>
          <cell r="G187">
            <v>1</v>
          </cell>
          <cell r="H187" t="str">
            <v>204:631</v>
          </cell>
          <cell r="I187">
            <v>42599.707743055558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1.340277778217569E-2</v>
          </cell>
          <cell r="N187">
            <v>19.300000006332994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https://search-rtdc-monitor-bjffxe2xuh6vdkpspy63sjmuny.us-east-1.es.amazonaws.com/_plugin/kibana/#/discover/Steve-Slow-Train-Analysis-(2080s-and-2083s)?_g=(refreshInterval:(display:Off,section:0,value:0),time:(from:'2016-08-17 15:38:31-0600',mode:absolute,to:'2016-08-17 17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5.8672000000000004</v>
          </cell>
          <cell r="Z187">
            <v>6.3100000000000003E-2</v>
          </cell>
          <cell r="AA187">
            <v>5.8041</v>
          </cell>
          <cell r="AB187" t="e">
            <v>#N/A</v>
          </cell>
          <cell r="AC187" t="e">
            <v>#N/A</v>
          </cell>
          <cell r="AD187" t="str">
            <v>0830-17</v>
          </cell>
          <cell r="AE18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88">
          <cell r="A188" t="str">
            <v>831-17</v>
          </cell>
          <cell r="B188">
            <v>4042</v>
          </cell>
          <cell r="C188" t="str">
            <v>DE.1.0.7.0</v>
          </cell>
          <cell r="D188" t="str">
            <v>204:990</v>
          </cell>
          <cell r="E188">
            <v>42599.695902777778</v>
          </cell>
          <cell r="F188">
            <v>42599.696736111109</v>
          </cell>
          <cell r="G188">
            <v>1</v>
          </cell>
          <cell r="H188" t="str">
            <v>300:58914</v>
          </cell>
          <cell r="I188">
            <v>42599.714606481481</v>
          </cell>
          <cell r="J188">
            <v>0</v>
          </cell>
          <cell r="K188" t="str">
            <v>4041/4042</v>
          </cell>
          <cell r="L188" t="str">
            <v>OUN</v>
          </cell>
          <cell r="M188">
            <v>1.7870370371383615E-2</v>
          </cell>
          <cell r="N188">
            <v>25.733333334792405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https://search-rtdc-monitor-bjffxe2xuh6vdkpspy63sjmuny.us-east-1.es.amazonaws.com/_plugin/kibana/#/discover/Steve-Slow-Train-Analysis-(2080s-and-2083s)?_g=(refreshInterval:(display:Off,section:0,value:0),time:(from:'2016-08-17 15:42:06-0600',mode:absolute,to:'2016-08-17 18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8" t="str">
            <v>N</v>
          </cell>
          <cell r="X188">
            <v>1</v>
          </cell>
          <cell r="Y188">
            <v>9.9000000000000005E-2</v>
          </cell>
          <cell r="Z188">
            <v>5.8914</v>
          </cell>
          <cell r="AA188">
            <v>5.7923999999999998</v>
          </cell>
          <cell r="AB188" t="e">
            <v>#N/A</v>
          </cell>
          <cell r="AC188" t="e">
            <v>#N/A</v>
          </cell>
          <cell r="AD188" t="str">
            <v>0831-17</v>
          </cell>
          <cell r="AE18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89">
          <cell r="A189" t="str">
            <v>832-17</v>
          </cell>
          <cell r="B189">
            <v>4041</v>
          </cell>
          <cell r="C189" t="str">
            <v>DE.1.0.7.0</v>
          </cell>
          <cell r="D189" t="str">
            <v>300:58591</v>
          </cell>
          <cell r="E189">
            <v>42599.715590277781</v>
          </cell>
          <cell r="F189">
            <v>42599.716331018521</v>
          </cell>
          <cell r="G189">
            <v>1</v>
          </cell>
          <cell r="H189" t="str">
            <v>204:694</v>
          </cell>
          <cell r="I189">
            <v>42599.767685185187</v>
          </cell>
          <cell r="J189">
            <v>0</v>
          </cell>
          <cell r="K189" t="str">
            <v>4041/4042</v>
          </cell>
          <cell r="L189" t="str">
            <v>OUN</v>
          </cell>
          <cell r="M189">
            <v>5.1354166665987577E-2</v>
          </cell>
          <cell r="N189">
            <v>73.949999999022111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https://search-rtdc-monitor-bjffxe2xuh6vdkpspy63sjmuny.us-east-1.es.amazonaws.com/_plugin/kibana/#/discover/Steve-Slow-Train-Analysis-(2080s-and-2083s)?_g=(refreshInterval:(display:Off,section:0,value:0),time:(from:'2016-08-17 16:10:27-0600',mode:absolute,to:'2016-08-17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9" t="str">
            <v>N</v>
          </cell>
          <cell r="X189">
            <v>1</v>
          </cell>
          <cell r="Y189">
            <v>5.8590999999999998</v>
          </cell>
          <cell r="Z189">
            <v>6.9400000000000003E-2</v>
          </cell>
          <cell r="AA189">
            <v>5.7896999999999998</v>
          </cell>
          <cell r="AB189" t="e">
            <v>#N/A</v>
          </cell>
          <cell r="AC189" t="e">
            <v>#N/A</v>
          </cell>
          <cell r="AD189" t="str">
            <v>0832-17</v>
          </cell>
          <cell r="AE18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90">
          <cell r="A190" t="str">
            <v>833-17</v>
          </cell>
          <cell r="B190">
            <v>4007</v>
          </cell>
          <cell r="C190" t="str">
            <v>DE.1.0.7.0</v>
          </cell>
          <cell r="D190" t="str">
            <v>204:930</v>
          </cell>
          <cell r="E190">
            <v>42599.718495370369</v>
          </cell>
          <cell r="F190">
            <v>42599.71943287037</v>
          </cell>
          <cell r="G190">
            <v>1</v>
          </cell>
          <cell r="H190" t="str">
            <v>300:58961</v>
          </cell>
          <cell r="I190">
            <v>42599.734016203707</v>
          </cell>
          <cell r="J190">
            <v>0</v>
          </cell>
          <cell r="K190" t="str">
            <v>4007/4008</v>
          </cell>
          <cell r="L190" t="str">
            <v>MOSES</v>
          </cell>
          <cell r="M190">
            <v>1.4583333337213844E-2</v>
          </cell>
          <cell r="N190">
            <v>21.000000005587935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9.2999999999999999E-2</v>
          </cell>
          <cell r="Z190">
            <v>5.8960999999999997</v>
          </cell>
          <cell r="AA190">
            <v>5.8030999999999997</v>
          </cell>
          <cell r="AB190" t="e">
            <v>#N/A</v>
          </cell>
          <cell r="AC190" t="e">
            <v>#N/A</v>
          </cell>
          <cell r="AD190" t="str">
            <v>0833-17</v>
          </cell>
          <cell r="AE19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1">
          <cell r="A191" t="str">
            <v>834-17</v>
          </cell>
          <cell r="B191">
            <v>4008</v>
          </cell>
          <cell r="C191" t="str">
            <v>DE.1.0.7.0</v>
          </cell>
          <cell r="D191" t="str">
            <v>300:58638</v>
          </cell>
          <cell r="E191">
            <v>42599.73542824074</v>
          </cell>
          <cell r="F191">
            <v>42599.736516203702</v>
          </cell>
          <cell r="G191">
            <v>1</v>
          </cell>
          <cell r="H191" t="str">
            <v>204:622</v>
          </cell>
          <cell r="I191">
            <v>42599.74722222222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1.0706018518249039E-2</v>
          </cell>
          <cell r="N191">
            <v>15.416666666278616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5.8638000000000003</v>
          </cell>
          <cell r="Z191">
            <v>6.2199999999999998E-2</v>
          </cell>
          <cell r="AA191">
            <v>5.8016000000000005</v>
          </cell>
          <cell r="AB191" t="e">
            <v>#N/A</v>
          </cell>
          <cell r="AC191" t="e">
            <v>#N/A</v>
          </cell>
          <cell r="AD191" t="str">
            <v>0834-17</v>
          </cell>
          <cell r="AE19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2">
          <cell r="A192" t="str">
            <v>835-17</v>
          </cell>
          <cell r="B192">
            <v>4042</v>
          </cell>
          <cell r="C192" t="str">
            <v>DE.1.0.7.0</v>
          </cell>
          <cell r="D192" t="str">
            <v>204:965</v>
          </cell>
          <cell r="E192">
            <v>42599.738738425927</v>
          </cell>
          <cell r="F192">
            <v>42599.739675925928</v>
          </cell>
          <cell r="G192">
            <v>1</v>
          </cell>
          <cell r="H192" t="str">
            <v>300:58907</v>
          </cell>
          <cell r="I192">
            <v>42599.753692129627</v>
          </cell>
          <cell r="J192">
            <v>0</v>
          </cell>
          <cell r="K192" t="str">
            <v>4041/4042</v>
          </cell>
          <cell r="L192" t="str">
            <v>OUN</v>
          </cell>
          <cell r="M192">
            <v>1.4016203698702157E-2</v>
          </cell>
          <cell r="N192">
            <v>20.183333326131105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https://search-rtdc-monitor-bjffxe2xuh6vdkpspy63sjmuny.us-east-1.es.amazonaws.com/_plugin/kibana/#/discover/Steve-Slow-Train-Analysis-(2080s-and-2083s)?_g=(refreshInterval:(display:Off,section:0,value:0),time:(from:'2016-08-17 16:43:47-0600',mode:absolute,to:'2016-08-17 19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2" t="str">
            <v>N</v>
          </cell>
          <cell r="X192">
            <v>1</v>
          </cell>
          <cell r="Y192">
            <v>9.6500000000000002E-2</v>
          </cell>
          <cell r="Z192">
            <v>5.8906999999999998</v>
          </cell>
          <cell r="AA192">
            <v>5.7942</v>
          </cell>
          <cell r="AB192" t="e">
            <v>#N/A</v>
          </cell>
          <cell r="AC192" t="e">
            <v>#N/A</v>
          </cell>
          <cell r="AD192" t="str">
            <v>0835-17</v>
          </cell>
          <cell r="AE192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93">
          <cell r="A193" t="str">
            <v>836-17</v>
          </cell>
          <cell r="B193">
            <v>4041</v>
          </cell>
          <cell r="C193" t="str">
            <v>DE.1.0.7.0</v>
          </cell>
          <cell r="D193" t="str">
            <v>300:58596</v>
          </cell>
          <cell r="E193">
            <v>42599.754733796297</v>
          </cell>
          <cell r="F193">
            <v>42599.755752314813</v>
          </cell>
          <cell r="G193">
            <v>1</v>
          </cell>
          <cell r="H193" t="str">
            <v>204:694</v>
          </cell>
          <cell r="I193">
            <v>42599.767685185187</v>
          </cell>
          <cell r="J193">
            <v>0</v>
          </cell>
          <cell r="K193" t="str">
            <v>4041/4042</v>
          </cell>
          <cell r="L193" t="str">
            <v>OUN</v>
          </cell>
          <cell r="M193">
            <v>1.1932870373129845E-2</v>
          </cell>
          <cell r="N193">
            <v>17.183333337306976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https://search-rtdc-monitor-bjffxe2xuh6vdkpspy63sjmuny.us-east-1.es.amazonaws.com/_plugin/kibana/#/discover/Steve-Slow-Train-Analysis-(2080s-and-2083s)?_g=(refreshInterval:(display:Off,section:0,value:0),time:(from:'2016-08-17 17:06:49-0600',mode:absolute,to:'2016-08-17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3" t="str">
            <v>N</v>
          </cell>
          <cell r="X193">
            <v>1</v>
          </cell>
          <cell r="Y193">
            <v>5.8596000000000004</v>
          </cell>
          <cell r="Z193">
            <v>6.9400000000000003E-2</v>
          </cell>
          <cell r="AA193">
            <v>5.7902000000000005</v>
          </cell>
          <cell r="AB193" t="e">
            <v>#N/A</v>
          </cell>
          <cell r="AC193" t="e">
            <v>#N/A</v>
          </cell>
          <cell r="AD193" t="str">
            <v>0836-17</v>
          </cell>
          <cell r="AE193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194">
          <cell r="A194" t="str">
            <v>837-17</v>
          </cell>
          <cell r="B194">
            <v>4007</v>
          </cell>
          <cell r="C194" t="str">
            <v>DE.1.0.7.0</v>
          </cell>
          <cell r="D194" t="str">
            <v>204:932</v>
          </cell>
          <cell r="E194">
            <v>42599.761932870373</v>
          </cell>
          <cell r="F194">
            <v>42599.763240740744</v>
          </cell>
          <cell r="G194">
            <v>1</v>
          </cell>
          <cell r="H194" t="str">
            <v>300:58975</v>
          </cell>
          <cell r="I194">
            <v>42599.774525462963</v>
          </cell>
          <cell r="J194">
            <v>0</v>
          </cell>
          <cell r="K194" t="str">
            <v>4007/4008</v>
          </cell>
          <cell r="L194" t="str">
            <v>MOSES</v>
          </cell>
          <cell r="M194">
            <v>1.1284722218988463E-2</v>
          </cell>
          <cell r="N194">
            <v>16.249999995343387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https://search-rtdc-monitor-bjffxe2xuh6vdkpspy63sjmuny.us-east-1.es.amazonaws.com/_plugin/kibana/#/discover/Steve-Slow-Train-Analysis-(2080s-and-2083s)?_g=(refreshInterval:(display:Off,section:0,value:0),time:(from:'2016-08-17 17:17:11-0600',mode:absolute,to:'2016-08-17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9.3200000000000005E-2</v>
          </cell>
          <cell r="Z194">
            <v>5.8975</v>
          </cell>
          <cell r="AA194">
            <v>5.8042999999999996</v>
          </cell>
          <cell r="AB194" t="e">
            <v>#N/A</v>
          </cell>
          <cell r="AC194" t="e">
            <v>#N/A</v>
          </cell>
          <cell r="AD194" t="str">
            <v>0837-17</v>
          </cell>
          <cell r="AE194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5">
          <cell r="A195" t="str">
            <v>838-17</v>
          </cell>
          <cell r="B195">
            <v>4008</v>
          </cell>
          <cell r="C195" t="str">
            <v>DE.1.0.7.0</v>
          </cell>
          <cell r="D195" t="str">
            <v>300:58664</v>
          </cell>
          <cell r="E195">
            <v>42599.775856481479</v>
          </cell>
          <cell r="F195">
            <v>42599.776666666665</v>
          </cell>
          <cell r="G195">
            <v>1</v>
          </cell>
          <cell r="H195" t="str">
            <v>204:652</v>
          </cell>
          <cell r="I195">
            <v>42599.789351851854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1.2685185189184267E-2</v>
          </cell>
          <cell r="N195">
            <v>18.266666672425345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https://search-rtdc-monitor-bjffxe2xuh6vdkpspy63sjmuny.us-east-1.es.amazonaws.com/_plugin/kibana/#/discover/Steve-Slow-Train-Analysis-(2080s-and-2083s)?_g=(refreshInterval:(display:Off,section:0,value:0),time:(from:'2016-08-17 17:37:14-0600',mode:absolute,to:'2016-08-17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5.8663999999999996</v>
          </cell>
          <cell r="Z195">
            <v>6.5199999999999994E-2</v>
          </cell>
          <cell r="AA195">
            <v>5.8011999999999997</v>
          </cell>
          <cell r="AB195" t="e">
            <v>#N/A</v>
          </cell>
          <cell r="AC195" t="e">
            <v>#N/A</v>
          </cell>
          <cell r="AD195" t="str">
            <v>0838-17</v>
          </cell>
          <cell r="AE195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6">
          <cell r="A196" t="str">
            <v>839-17</v>
          </cell>
          <cell r="B196">
            <v>4042</v>
          </cell>
          <cell r="C196" t="str">
            <v>DE.1.0.7.0</v>
          </cell>
          <cell r="D196" t="str">
            <v>204:979</v>
          </cell>
          <cell r="E196">
            <v>42599.77952546296</v>
          </cell>
          <cell r="F196">
            <v>42599.780347222222</v>
          </cell>
          <cell r="G196">
            <v>1</v>
          </cell>
          <cell r="H196" t="str">
            <v>300:58901</v>
          </cell>
          <cell r="I196">
            <v>42599.795891203707</v>
          </cell>
          <cell r="J196">
            <v>0</v>
          </cell>
          <cell r="K196" t="str">
            <v>4041/4042</v>
          </cell>
          <cell r="L196" t="str">
            <v>OUN</v>
          </cell>
          <cell r="M196">
            <v>1.5543981484370306E-2</v>
          </cell>
          <cell r="N196">
            <v>22.383333337493241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https://search-rtdc-monitor-bjffxe2xuh6vdkpspy63sjmuny.us-east-1.es.amazonaws.com/_plugin/kibana/#/discover/Steve-Slow-Train-Analysis-(2080s-and-2083s)?_g=(refreshInterval:(display:Off,section:0,value:0),time:(from:'2016-08-17 17:42:31-0600',mode:absolute,to:'2016-08-17 20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6" t="str">
            <v>N</v>
          </cell>
          <cell r="X196">
            <v>1</v>
          </cell>
          <cell r="Y196">
            <v>9.7900000000000001E-2</v>
          </cell>
          <cell r="Z196">
            <v>5.8901000000000003</v>
          </cell>
          <cell r="AA196">
            <v>5.7922000000000002</v>
          </cell>
          <cell r="AB196" t="e">
            <v>#N/A</v>
          </cell>
          <cell r="AC196" t="e">
            <v>#N/A</v>
          </cell>
          <cell r="AD196" t="str">
            <v>0839-17</v>
          </cell>
          <cell r="AE196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197">
          <cell r="A197" t="str">
            <v>840-17</v>
          </cell>
          <cell r="B197">
            <v>4008</v>
          </cell>
          <cell r="C197" t="str">
            <v>DE.1.0.7.0</v>
          </cell>
          <cell r="D197" t="str">
            <v>300:58666</v>
          </cell>
          <cell r="E197">
            <v>42599.818414351852</v>
          </cell>
          <cell r="F197">
            <v>42599.819490740738</v>
          </cell>
          <cell r="G197">
            <v>1</v>
          </cell>
          <cell r="H197" t="str">
            <v>204:640</v>
          </cell>
          <cell r="I197">
            <v>42599.830625000002</v>
          </cell>
          <cell r="J197">
            <v>0</v>
          </cell>
          <cell r="K197" t="str">
            <v>4007/4008</v>
          </cell>
          <cell r="L197" t="str">
            <v>MOSES</v>
          </cell>
          <cell r="M197">
            <v>1.1134259264508728E-2</v>
          </cell>
          <cell r="N197">
            <v>16.033333340892568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https://search-rtdc-monitor-bjffxe2xuh6vdkpspy63sjmuny.us-east-1.es.amazonaws.com/_plugin/kibana/#/discover/Steve-Slow-Train-Analysis-(2080s-and-2083s)?_g=(refreshInterval:(display:Off,section:0,value:0),time:(from:'2016-08-17 18:38:31-0600',mode:absolute,to:'2016-08-17 20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7" t="str">
            <v>N</v>
          </cell>
          <cell r="X197">
            <v>1</v>
          </cell>
          <cell r="Y197">
            <v>5.8666</v>
          </cell>
          <cell r="Z197">
            <v>6.4000000000000001E-2</v>
          </cell>
          <cell r="AA197">
            <v>5.8026</v>
          </cell>
          <cell r="AB197" t="e">
            <v>#N/A</v>
          </cell>
          <cell r="AC197" t="e">
            <v>#N/A</v>
          </cell>
          <cell r="AD197" t="str">
            <v>0840-17</v>
          </cell>
          <cell r="AE197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198">
          <cell r="A198" t="str">
            <v>841-17</v>
          </cell>
          <cell r="B198">
            <v>4007</v>
          </cell>
          <cell r="C198" t="str">
            <v>DE.1.0.7.0</v>
          </cell>
          <cell r="D198" t="str">
            <v>204:939</v>
          </cell>
          <cell r="E198">
            <v>42599.802465277775</v>
          </cell>
          <cell r="F198">
            <v>42599.803506944445</v>
          </cell>
          <cell r="G198">
            <v>1</v>
          </cell>
          <cell r="H198" t="str">
            <v>300:58980</v>
          </cell>
          <cell r="I198">
            <v>42599.816886574074</v>
          </cell>
          <cell r="J198">
            <v>0</v>
          </cell>
          <cell r="K198" t="str">
            <v>4007/4008</v>
          </cell>
          <cell r="L198" t="str">
            <v>MOSES</v>
          </cell>
          <cell r="M198">
            <v>1.3379629628616385E-2</v>
          </cell>
          <cell r="N198">
            <v>19.266666665207595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https://search-rtdc-monitor-bjffxe2xuh6vdkpspy63sjmuny.us-east-1.es.amazonaws.com/_plugin/kibana/#/discover/Steve-Slow-Train-Analysis-(2080s-and-2083s)?_g=(refreshInterval:(display:Off,section:0,value:0),time:(from:'2016-08-17 18:15:33-0600',mode:absolute,to:'2016-08-17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9.3899999999999997E-2</v>
          </cell>
          <cell r="Z198">
            <v>5.8979999999999997</v>
          </cell>
          <cell r="AA198">
            <v>5.8041</v>
          </cell>
          <cell r="AB198" t="e">
            <v>#N/A</v>
          </cell>
          <cell r="AC198" t="e">
            <v>#N/A</v>
          </cell>
          <cell r="AD198" t="str">
            <v>0841-17</v>
          </cell>
          <cell r="AE198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199">
          <cell r="A199" t="str">
            <v>842-17</v>
          </cell>
          <cell r="B199">
            <v>4008</v>
          </cell>
          <cell r="C199" t="str">
            <v>DE.1.0.7.0</v>
          </cell>
          <cell r="D199" t="str">
            <v>300:58664</v>
          </cell>
          <cell r="E199">
            <v>42599.859618055554</v>
          </cell>
          <cell r="F199">
            <v>42599.860555555555</v>
          </cell>
          <cell r="G199">
            <v>1</v>
          </cell>
          <cell r="H199" t="str">
            <v>204:635</v>
          </cell>
          <cell r="I199">
            <v>42599.872152777774</v>
          </cell>
          <cell r="J199">
            <v>0</v>
          </cell>
          <cell r="K199" t="str">
            <v>4007/4008</v>
          </cell>
          <cell r="L199" t="str">
            <v>MOSES</v>
          </cell>
          <cell r="M199">
            <v>1.1597222219279502E-2</v>
          </cell>
          <cell r="N199">
            <v>16.699999995762482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https://search-rtdc-monitor-bjffxe2xuh6vdkpspy63sjmuny.us-east-1.es.amazonaws.com/_plugin/kibana/#/discover/Steve-Slow-Train-Analysis-(2080s-and-2083s)?_g=(refreshInterval:(display:Off,section:0,value:0),time:(from:'2016-08-17 19:37:51-0600',mode:absolute,to:'2016-08-17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9" t="str">
            <v>N</v>
          </cell>
          <cell r="X199">
            <v>1</v>
          </cell>
          <cell r="Y199">
            <v>5.8663999999999996</v>
          </cell>
          <cell r="Z199">
            <v>6.3500000000000001E-2</v>
          </cell>
          <cell r="AA199">
            <v>5.8028999999999993</v>
          </cell>
          <cell r="AB199" t="e">
            <v>#N/A</v>
          </cell>
          <cell r="AC199" t="e">
            <v>#N/A</v>
          </cell>
          <cell r="AD199" t="str">
            <v>0842-17</v>
          </cell>
          <cell r="AE199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00">
          <cell r="A200" t="str">
            <v>843-17</v>
          </cell>
          <cell r="B200">
            <v>4007</v>
          </cell>
          <cell r="C200" t="str">
            <v>DE.1.0.7.0</v>
          </cell>
          <cell r="D200" t="str">
            <v>204:932</v>
          </cell>
          <cell r="E200">
            <v>42599.844039351854</v>
          </cell>
          <cell r="F200">
            <v>42599.845243055555</v>
          </cell>
          <cell r="G200">
            <v>1</v>
          </cell>
          <cell r="H200" t="str">
            <v>300:58978</v>
          </cell>
          <cell r="I200">
            <v>42599.85837962963</v>
          </cell>
          <cell r="J200">
            <v>0</v>
          </cell>
          <cell r="K200" t="str">
            <v>4007/4008</v>
          </cell>
          <cell r="L200" t="str">
            <v>MOSES</v>
          </cell>
          <cell r="M200">
            <v>1.3136574074451346E-2</v>
          </cell>
          <cell r="N200">
            <v>18.916666667209938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https://search-rtdc-monitor-bjffxe2xuh6vdkpspy63sjmuny.us-east-1.es.amazonaws.com/_plugin/kibana/#/discover/Steve-Slow-Train-Analysis-(2080s-and-2083s)?_g=(refreshInterval:(display:Off,section:0,value:0),time:(from:'2016-08-17 19:15:25-0600',mode:absolute,to:'2016-08-17 21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0" t="str">
            <v>N</v>
          </cell>
          <cell r="X200">
            <v>1</v>
          </cell>
          <cell r="Y200">
            <v>9.3200000000000005E-2</v>
          </cell>
          <cell r="Z200">
            <v>5.8978000000000002</v>
          </cell>
          <cell r="AA200">
            <v>5.8045999999999998</v>
          </cell>
          <cell r="AB200" t="e">
            <v>#N/A</v>
          </cell>
          <cell r="AC200" t="e">
            <v>#N/A</v>
          </cell>
          <cell r="AD200" t="str">
            <v>0843-17</v>
          </cell>
          <cell r="AE200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1">
          <cell r="A201" t="str">
            <v>844-17</v>
          </cell>
          <cell r="B201">
            <v>4008</v>
          </cell>
          <cell r="C201" t="str">
            <v>DE.1.0.7.0</v>
          </cell>
          <cell r="D201" t="str">
            <v>300:58619</v>
          </cell>
          <cell r="E201">
            <v>42599.900972222225</v>
          </cell>
          <cell r="F201">
            <v>42599.901863425926</v>
          </cell>
          <cell r="G201">
            <v>1</v>
          </cell>
          <cell r="H201" t="str">
            <v>204:678</v>
          </cell>
          <cell r="I201">
            <v>42599.91369212963</v>
          </cell>
          <cell r="J201">
            <v>0</v>
          </cell>
          <cell r="K201" t="str">
            <v>4007/4008</v>
          </cell>
          <cell r="L201" t="str">
            <v>OUN</v>
          </cell>
          <cell r="M201">
            <v>1.1828703703940846E-2</v>
          </cell>
          <cell r="N201">
            <v>17.033333333674818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https://search-rtdc-monitor-bjffxe2xuh6vdkpspy63sjmuny.us-east-1.es.amazonaws.com/_plugin/kibana/#/discover/Steve-Slow-Train-Analysis-(2080s-and-2083s)?_g=(refreshInterval:(display:Off,section:0,value:0),time:(from:'2016-08-17 20:37:24-0600',mode:absolute,to:'2016-08-17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1" t="str">
            <v>N</v>
          </cell>
          <cell r="X201">
            <v>1</v>
          </cell>
          <cell r="Y201">
            <v>5.8619000000000003</v>
          </cell>
          <cell r="Z201">
            <v>6.7799999999999999E-2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0844-17</v>
          </cell>
          <cell r="AE20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02">
          <cell r="A202" t="str">
            <v>845-17</v>
          </cell>
          <cell r="B202">
            <v>4007</v>
          </cell>
          <cell r="C202" t="str">
            <v>DE.1.0.7.0</v>
          </cell>
          <cell r="D202" t="str">
            <v>204:922</v>
          </cell>
          <cell r="E202">
            <v>42599.87709490741</v>
          </cell>
          <cell r="F202">
            <v>42599.879305555558</v>
          </cell>
          <cell r="G202">
            <v>3</v>
          </cell>
          <cell r="H202" t="str">
            <v>300:58928</v>
          </cell>
          <cell r="I202">
            <v>42599.900138888886</v>
          </cell>
          <cell r="J202">
            <v>0</v>
          </cell>
          <cell r="K202" t="str">
            <v>4007/4008</v>
          </cell>
          <cell r="L202" t="str">
            <v>OUN</v>
          </cell>
          <cell r="M202">
            <v>2.0833333328482695E-2</v>
          </cell>
          <cell r="N202">
            <v>29.999999993015081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https://search-rtdc-monitor-bjffxe2xuh6vdkpspy63sjmuny.us-east-1.es.amazonaws.com/_plugin/kibana/#/discover/Steve-Slow-Train-Analysis-(2080s-and-2083s)?_g=(refreshInterval:(display:Off,section:0,value:0),time:(from:'2016-08-17 20:03:01-0600',mode:absolute,to:'2016-08-17 22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2" t="str">
            <v>N</v>
          </cell>
          <cell r="X202">
            <v>1</v>
          </cell>
          <cell r="Y202">
            <v>9.2200000000000004E-2</v>
          </cell>
          <cell r="Z202">
            <v>5.8928000000000003</v>
          </cell>
          <cell r="AA202">
            <v>5.8006000000000002</v>
          </cell>
          <cell r="AB202" t="e">
            <v>#N/A</v>
          </cell>
          <cell r="AC202" t="e">
            <v>#N/A</v>
          </cell>
          <cell r="AD202" t="str">
            <v>0845-17</v>
          </cell>
          <cell r="AE202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3">
          <cell r="A203" t="str">
            <v>847-17</v>
          </cell>
          <cell r="B203">
            <v>4007</v>
          </cell>
          <cell r="C203" t="str">
            <v>DE.1.0.7.0</v>
          </cell>
          <cell r="D203" t="str">
            <v>204:958</v>
          </cell>
          <cell r="E203">
            <v>42599.928726851853</v>
          </cell>
          <cell r="F203">
            <v>42599.929444444446</v>
          </cell>
          <cell r="G203">
            <v>1</v>
          </cell>
          <cell r="H203" t="str">
            <v>300:58922</v>
          </cell>
          <cell r="I203">
            <v>42599.941944444443</v>
          </cell>
          <cell r="J203">
            <v>0</v>
          </cell>
          <cell r="K203" t="str">
            <v>4007/4008</v>
          </cell>
          <cell r="L203" t="str">
            <v>OUN</v>
          </cell>
          <cell r="M203">
            <v>1.2499999997089617E-2</v>
          </cell>
          <cell r="N203">
            <v>17.999999995809048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3" t="str">
            <v>N</v>
          </cell>
          <cell r="X203">
            <v>2</v>
          </cell>
          <cell r="Y203">
            <v>9.5799999999999996E-2</v>
          </cell>
          <cell r="Z203">
            <v>5.8921999999999999</v>
          </cell>
          <cell r="AA203">
            <v>5.7964000000000002</v>
          </cell>
          <cell r="AB203" t="e">
            <v>#N/A</v>
          </cell>
          <cell r="AC203" t="e">
            <v>#N/A</v>
          </cell>
          <cell r="AD203" t="str">
            <v>0847-17</v>
          </cell>
          <cell r="AE203" t="str">
    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    </cell>
        </row>
        <row r="204">
          <cell r="A204" t="str">
            <v>302-17</v>
          </cell>
          <cell r="B204">
            <v>4028</v>
          </cell>
          <cell r="C204" t="str">
            <v>DE.1.0.7.0</v>
          </cell>
          <cell r="D204" t="str">
            <v>300:22179</v>
          </cell>
          <cell r="E204">
            <v>42599.116122685184</v>
          </cell>
          <cell r="F204">
            <v>42599.118206018517</v>
          </cell>
          <cell r="G204">
            <v>3</v>
          </cell>
          <cell r="H204" t="str">
            <v>300:4955</v>
          </cell>
          <cell r="I204">
            <v>42599.125023148146</v>
          </cell>
          <cell r="J204">
            <v>0</v>
          </cell>
          <cell r="K204" t="str">
            <v>4027/4028</v>
          </cell>
          <cell r="L204" t="str">
            <v>MAELZER</v>
          </cell>
          <cell r="M204">
            <v>6.8171296297805384E-3</v>
          </cell>
          <cell r="N204">
            <v>9.8166666668839753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https://search-rtdc-monitor-bjffxe2xuh6vdkpspy63sjmuny.us-east-1.es.amazonaws.com/_plugin/kibana/#/discover/Steve-Slow-Train-Analysis-(2080s-and-2083s)?_g=(refreshInterval:(display:Off,section:0,value:0),time:(from:'2016-08-17 01:47:13-0600',mode:absolute,to:'2016-08-17 04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04" t="str">
            <v>Y</v>
          </cell>
          <cell r="X204">
            <v>-545</v>
          </cell>
          <cell r="Y204">
            <v>2.2179000000000002</v>
          </cell>
          <cell r="Z204">
            <v>0.4955</v>
          </cell>
          <cell r="AA204">
            <v>1.7224000000000002</v>
          </cell>
          <cell r="AB204" t="e">
            <v>#N/A</v>
          </cell>
          <cell r="AC204" t="e">
            <v>#N/A</v>
          </cell>
          <cell r="AD204" t="str">
            <v>0302-17</v>
          </cell>
          <cell r="AE204" t="str">
    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    </cell>
        </row>
        <row r="205">
          <cell r="A205" t="str">
            <v>304-17</v>
          </cell>
          <cell r="B205">
            <v>4026</v>
          </cell>
          <cell r="C205" t="str">
            <v>DE.1.0.7.0</v>
          </cell>
          <cell r="D205" t="str">
            <v>300:21930</v>
          </cell>
          <cell r="E205">
            <v>42599.143854166665</v>
          </cell>
          <cell r="F205">
            <v>42599.146041666667</v>
          </cell>
          <cell r="G205">
            <v>3</v>
          </cell>
          <cell r="H205" t="str">
            <v>204:158</v>
          </cell>
          <cell r="I205">
            <v>42599.153692129628</v>
          </cell>
          <cell r="J205">
            <v>0</v>
          </cell>
          <cell r="K205" t="str">
            <v>4025/4026</v>
          </cell>
          <cell r="L205" t="str">
            <v>ACKERMAN</v>
          </cell>
          <cell r="M205">
            <v>7.6504629614646547E-3</v>
          </cell>
          <cell r="N205">
            <v>11.016666664509103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https://search-rtdc-monitor-bjffxe2xuh6vdkpspy63sjmuny.us-east-1.es.amazonaws.com/_plugin/kibana/#/discover/Steve-Slow-Train-Analysis-(2080s-and-2083s)?_g=(refreshInterval:(display:Off,section:0,value:0),time:(from:'2016-08-17 02:27:09-0600',mode:absolute,to:'2016-08-17 04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5" t="str">
            <v>Y</v>
          </cell>
          <cell r="X205">
            <v>2</v>
          </cell>
          <cell r="Y205">
            <v>2.1930000000000001</v>
          </cell>
          <cell r="Z205">
            <v>1.5800000000000002E-2</v>
          </cell>
          <cell r="AA205">
            <v>2.1772</v>
          </cell>
          <cell r="AB205" t="e">
            <v>#N/A</v>
          </cell>
          <cell r="AC205" t="e">
            <v>#N/A</v>
          </cell>
          <cell r="AD205" t="str">
            <v>0304-17</v>
          </cell>
          <cell r="AE205" t="str">
    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    </cell>
        </row>
        <row r="206">
          <cell r="A206" t="str">
            <v>305-17</v>
          </cell>
          <cell r="B206">
            <v>4002</v>
          </cell>
          <cell r="C206" t="str">
            <v>DE.1.0.7.0</v>
          </cell>
          <cell r="D206" t="str">
            <v>204:1619</v>
          </cell>
          <cell r="E206">
            <v>42599.805266203701</v>
          </cell>
          <cell r="F206">
            <v>42599.805879629632</v>
          </cell>
          <cell r="G206">
            <v>0</v>
          </cell>
          <cell r="H206" t="str">
            <v>300:23297</v>
          </cell>
          <cell r="I206">
            <v>42599.812731481485</v>
          </cell>
          <cell r="J206">
            <v>0</v>
          </cell>
          <cell r="K206" t="str">
            <v>4001/4002</v>
          </cell>
          <cell r="L206" t="str">
            <v>STAMBAUGH</v>
          </cell>
          <cell r="M206">
            <v>6.8518518528435379E-3</v>
          </cell>
          <cell r="N206">
            <v>9.8666666680946946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https://search-rtdc-monitor-bjffxe2xuh6vdkpspy63sjmuny.us-east-1.es.amazonaws.com/_plugin/kibana/#/discover/Steve-Slow-Train-Analysis-(2080s-and-2083s)?_g=(refreshInterval:(display:Off,section:0,value:0),time:(from:'2016-08-17 18:19:35-0600',mode:absolute,to:'2016-08-17 20:30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6" t="str">
            <v>Y</v>
          </cell>
          <cell r="X206">
            <v>1</v>
          </cell>
          <cell r="Y206">
            <v>0.16189999999999999</v>
          </cell>
          <cell r="Z206">
            <v>2.3296999999999999</v>
          </cell>
          <cell r="AA206">
            <v>2.1677999999999997</v>
          </cell>
          <cell r="AB206" t="e">
            <v>#N/A</v>
          </cell>
          <cell r="AC206" t="e">
            <v>#N/A</v>
          </cell>
          <cell r="AD206" t="str">
            <v>0305-17</v>
          </cell>
          <cell r="AE206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07">
          <cell r="A207" t="str">
            <v>305-17</v>
          </cell>
          <cell r="B207">
            <v>4002</v>
          </cell>
          <cell r="C207" t="str">
            <v>DE.1.0.7.0</v>
          </cell>
          <cell r="D207" t="str">
            <v>204:469</v>
          </cell>
          <cell r="E207">
            <v>42599.800104166665</v>
          </cell>
          <cell r="F207">
            <v>42599.800949074073</v>
          </cell>
          <cell r="G207">
            <v>1</v>
          </cell>
          <cell r="H207" t="str">
            <v>204:1847</v>
          </cell>
          <cell r="I207">
            <v>42599.802071759259</v>
          </cell>
          <cell r="J207">
            <v>0</v>
          </cell>
          <cell r="K207" t="str">
            <v>4001/4002</v>
          </cell>
          <cell r="L207" t="str">
            <v>STAMBAUGH</v>
          </cell>
          <cell r="M207">
            <v>1.1226851856918074E-3</v>
          </cell>
          <cell r="N207">
            <v>1.6166666673962027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https://search-rtdc-monitor-bjffxe2xuh6vdkpspy63sjmuny.us-east-1.es.amazonaws.com/_plugin/kibana/#/discover/Steve-Slow-Train-Analysis-(2080s-and-2083s)?_g=(refreshInterval:(display:Off,section:0,value:0),time:(from:'2016-08-17 18:12:09-0600',mode:absolute,to:'2016-08-17 20:14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7" t="str">
            <v>Y</v>
          </cell>
          <cell r="X207">
            <v>0</v>
          </cell>
          <cell r="Y207">
            <v>4.6899999999999997E-2</v>
          </cell>
          <cell r="Z207">
            <v>0.1847</v>
          </cell>
          <cell r="AA207">
            <v>0.13780000000000001</v>
          </cell>
          <cell r="AB207" t="e">
            <v>#N/A</v>
          </cell>
          <cell r="AC207" t="e">
            <v>#N/A</v>
          </cell>
          <cell r="AD207" t="str">
            <v>0305-17</v>
          </cell>
          <cell r="AE207" t="str">
    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    </cell>
        </row>
        <row r="208">
          <cell r="A208" t="str">
            <v>306-17</v>
          </cell>
          <cell r="B208">
            <v>4019</v>
          </cell>
          <cell r="C208" t="str">
            <v>DE.1.0.7.0</v>
          </cell>
          <cell r="D208" t="str">
            <v>300:21757</v>
          </cell>
          <cell r="E208">
            <v>42599.160636574074</v>
          </cell>
          <cell r="F208">
            <v>42599.163530092592</v>
          </cell>
          <cell r="G208">
            <v>4</v>
          </cell>
          <cell r="H208">
            <v>8.5326388888888882</v>
          </cell>
          <cell r="I208">
            <v>42599.170185185183</v>
          </cell>
          <cell r="J208">
            <v>0</v>
          </cell>
          <cell r="K208" t="str">
            <v>4019/4020</v>
          </cell>
          <cell r="L208" t="str">
            <v>STRICKLAND</v>
          </cell>
          <cell r="M208">
            <v>6.655092591245193E-3</v>
          </cell>
          <cell r="N208">
            <v>9.583333331393078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08" t="str">
            <v>N</v>
          </cell>
          <cell r="X208">
            <v>1</v>
          </cell>
          <cell r="Y208">
            <v>2.1757</v>
          </cell>
          <cell r="Z208">
            <v>26388888.888900001</v>
          </cell>
          <cell r="AA208">
            <v>26388886.713199999</v>
          </cell>
          <cell r="AB208" t="e">
            <v>#N/A</v>
          </cell>
          <cell r="AC208" t="e">
            <v>#N/A</v>
          </cell>
          <cell r="AD208" t="str">
            <v>0306-17</v>
          </cell>
          <cell r="AE208" t="str">
    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    </cell>
        </row>
        <row r="209">
          <cell r="A209" t="str">
            <v>307-17</v>
          </cell>
          <cell r="B209">
            <v>4020</v>
          </cell>
          <cell r="C209" t="str">
            <v>DE.1.0.7.0</v>
          </cell>
          <cell r="D209" t="str">
            <v>204:466</v>
          </cell>
          <cell r="E209">
            <v>42599.818090277775</v>
          </cell>
          <cell r="F209">
            <v>42599.819131944445</v>
          </cell>
          <cell r="G209">
            <v>1</v>
          </cell>
          <cell r="H209" t="str">
            <v>300:23346</v>
          </cell>
          <cell r="I209">
            <v>42599.825358796297</v>
          </cell>
          <cell r="J209">
            <v>0</v>
          </cell>
          <cell r="K209" t="str">
            <v>4019/4020</v>
          </cell>
          <cell r="L209" t="str">
            <v>ROBINSON</v>
          </cell>
          <cell r="M209">
            <v>6.2268518522614613E-3</v>
          </cell>
          <cell r="N209">
            <v>8.9666666672565043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https://search-rtdc-monitor-bjffxe2xuh6vdkpspy63sjmuny.us-east-1.es.amazonaws.com/_plugin/kibana/#/discover/Steve-Slow-Train-Analysis-(2080s-and-2083s)?_g=(refreshInterval:(display:Off,section:0,value:0),time:(from:'2016-08-17 18:38:03-0600',mode:absolute,to:'2016-08-17 20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9" t="str">
            <v>Y</v>
          </cell>
          <cell r="X209">
            <v>1</v>
          </cell>
          <cell r="Y209">
            <v>4.6600000000000003E-2</v>
          </cell>
          <cell r="Z209">
            <v>2.3346</v>
          </cell>
          <cell r="AA209">
            <v>2.2879999999999998</v>
          </cell>
          <cell r="AB209" t="e">
            <v>#N/A</v>
          </cell>
          <cell r="AC209" t="e">
            <v>#N/A</v>
          </cell>
          <cell r="AD209" t="str">
            <v>0307-17</v>
          </cell>
          <cell r="AE209" t="str">
    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    </cell>
        </row>
        <row r="210">
          <cell r="A210" t="str">
            <v>308-17</v>
          </cell>
          <cell r="B210">
            <v>4004</v>
          </cell>
          <cell r="C210" t="str">
            <v>DE.1.0.7.0</v>
          </cell>
          <cell r="D210" t="str">
            <v>300:21825</v>
          </cell>
          <cell r="E210">
            <v>42599.176111111112</v>
          </cell>
          <cell r="F210">
            <v>42599.17696759259</v>
          </cell>
          <cell r="G210">
            <v>1</v>
          </cell>
          <cell r="H210" t="str">
            <v>204:156</v>
          </cell>
          <cell r="I210">
            <v>42599.184166666666</v>
          </cell>
          <cell r="J210">
            <v>0</v>
          </cell>
          <cell r="K210" t="str">
            <v>4003/4004</v>
          </cell>
          <cell r="L210" t="str">
            <v>SPECTOR</v>
          </cell>
          <cell r="M210">
            <v>7.1990740761975758E-3</v>
          </cell>
          <cell r="N210">
            <v>10.366666669724509</v>
          </cell>
          <cell r="S210">
            <v>1</v>
          </cell>
          <cell r="T210" t="str">
            <v>Southbound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https://search-rtdc-monitor-bjffxe2xuh6vdkpspy63sjmuny.us-east-1.es.amazonaws.com/_plugin/kibana/#/discover/Steve-Slow-Train-Analysis-(2080s-and-2083s)?_g=(refreshInterval:(display:Off,section:0,value:0),time:(from:'2016-08-17 03:13:36-0600',mode:absolute,to:'2016-08-17 05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    </cell>
          <cell r="W210" t="str">
            <v>Y</v>
          </cell>
          <cell r="X210">
            <v>1</v>
          </cell>
          <cell r="Y210">
            <v>2.1825000000000001</v>
          </cell>
          <cell r="Z210">
            <v>1.5599999999999999E-2</v>
          </cell>
          <cell r="AA210">
            <v>2.1669</v>
          </cell>
          <cell r="AB210" t="e">
            <v>#N/A</v>
          </cell>
          <cell r="AC210" t="e">
            <v>#N/A</v>
          </cell>
          <cell r="AD210" t="str">
            <v>0308-17</v>
          </cell>
          <cell r="AE210" t="str">
    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    </cell>
        </row>
        <row r="211">
          <cell r="A211" t="str">
            <v>309-17</v>
          </cell>
          <cell r="B211">
            <v>4009</v>
          </cell>
          <cell r="C211" t="str">
            <v>DE.1.0.7.0</v>
          </cell>
          <cell r="D211" t="str">
            <v>204:482</v>
          </cell>
          <cell r="E211">
            <v>42600.039363425924</v>
          </cell>
          <cell r="F211">
            <v>42600.04010416667</v>
          </cell>
          <cell r="G211">
            <v>1</v>
          </cell>
          <cell r="H211" t="str">
            <v>300:23301</v>
          </cell>
          <cell r="I211">
            <v>42600.050138888888</v>
          </cell>
          <cell r="J211">
            <v>0</v>
          </cell>
          <cell r="K211" t="str">
            <v>4009/4010</v>
          </cell>
          <cell r="L211" t="str">
            <v>STURGEON</v>
          </cell>
          <cell r="M211">
            <v>1.003472221782431E-2</v>
          </cell>
          <cell r="N211">
            <v>14.449999993667006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https://search-rtdc-monitor-bjffxe2xuh6vdkpspy63sjmuny.us-east-1.es.amazonaws.com/_plugin/kibana/#/discover/Steve-Slow-Train-Analysis-(2080s-and-2083s)?_g=(refreshInterval:(display:Off,section:0,value:0),time:(from:'2016-08-17 23:56:41-0600',mode:absolute,to:'2016-08-18 02:12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1" t="str">
            <v>Y</v>
          </cell>
          <cell r="X211">
            <v>1</v>
          </cell>
          <cell r="Y211">
            <v>4.82E-2</v>
          </cell>
          <cell r="Z211">
            <v>2.3300999999999998</v>
          </cell>
          <cell r="AA211">
            <v>2.2818999999999998</v>
          </cell>
          <cell r="AB211" t="e">
            <v>#N/A</v>
          </cell>
          <cell r="AC211" t="e">
            <v>#N/A</v>
          </cell>
          <cell r="AD211" t="str">
            <v>0309-17</v>
          </cell>
          <cell r="AE211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12">
          <cell r="A212" t="str">
            <v>310-17</v>
          </cell>
          <cell r="B212">
            <v>4013</v>
          </cell>
          <cell r="C212" t="str">
            <v>DE.1.0.7.0</v>
          </cell>
          <cell r="D212" t="str">
            <v>300:21574</v>
          </cell>
          <cell r="E212">
            <v>42599.18109953704</v>
          </cell>
          <cell r="F212">
            <v>42599.182314814818</v>
          </cell>
          <cell r="G212">
            <v>1</v>
          </cell>
          <cell r="H212" t="str">
            <v>204:150</v>
          </cell>
          <cell r="I212">
            <v>42599.194479166668</v>
          </cell>
          <cell r="J212">
            <v>0</v>
          </cell>
          <cell r="K212" t="str">
            <v>4013/4014</v>
          </cell>
          <cell r="L212" t="str">
            <v>KILLION</v>
          </cell>
          <cell r="M212">
            <v>1.2164351850515231E-2</v>
          </cell>
          <cell r="N212">
            <v>17.516666664741933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https://search-rtdc-monitor-bjffxe2xuh6vdkpspy63sjmuny.us-east-1.es.amazonaws.com/_plugin/kibana/#/discover/Steve-Slow-Train-Analysis-(2080s-and-2083s)?_g=(refreshInterval:(display:Off,section:0,value:0),time:(from:'2016-08-17 03:20:47-0600',mode:absolute,to:'2016-08-17 05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12" t="str">
            <v>Y</v>
          </cell>
          <cell r="X212">
            <v>1</v>
          </cell>
          <cell r="Y212">
            <v>2.1574</v>
          </cell>
          <cell r="Z212">
            <v>1.4999999999999999E-2</v>
          </cell>
          <cell r="AA212">
            <v>2.1423999999999999</v>
          </cell>
          <cell r="AB212" t="e">
            <v>#N/A</v>
          </cell>
          <cell r="AC212" t="e">
            <v>#N/A</v>
          </cell>
          <cell r="AD212" t="str">
            <v>0310-17</v>
          </cell>
          <cell r="AE212" t="str">
    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    </cell>
        </row>
        <row r="213">
          <cell r="A213" t="str">
            <v>311-17</v>
          </cell>
          <cell r="B213">
            <v>4014</v>
          </cell>
          <cell r="C213" t="str">
            <v>DE.1.0.7.0</v>
          </cell>
          <cell r="D213" t="str">
            <v>204:469</v>
          </cell>
          <cell r="E213">
            <v>42600.056539351855</v>
          </cell>
          <cell r="F213">
            <v>42600.05740740741</v>
          </cell>
          <cell r="G213">
            <v>1</v>
          </cell>
          <cell r="H213" t="str">
            <v>300:23121</v>
          </cell>
          <cell r="I213">
            <v>42600.062083333331</v>
          </cell>
          <cell r="J213">
            <v>0</v>
          </cell>
          <cell r="K213" t="str">
            <v>4013/4014</v>
          </cell>
          <cell r="L213" t="str">
            <v>ISHMAEL</v>
          </cell>
          <cell r="M213">
            <v>4.6759259203099646E-3</v>
          </cell>
          <cell r="N213">
            <v>6.733333325246349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https://search-rtdc-monitor-bjffxe2xuh6vdkpspy63sjmuny.us-east-1.es.amazonaws.com/_plugin/kibana/#/discover/Steve-Slow-Train-Analysis-(2080s-and-2083s)?_g=(refreshInterval:(display:Off,section:0,value:0),time:(from:'2016-08-18 00:21:25-0600',mode:absolute,to:'2016-08-18 02:29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13" t="str">
            <v>Y</v>
          </cell>
          <cell r="X213">
            <v>1</v>
          </cell>
          <cell r="Y213">
            <v>4.6899999999999997E-2</v>
          </cell>
          <cell r="Z213">
            <v>2.3121</v>
          </cell>
          <cell r="AA213">
            <v>2.2652000000000001</v>
          </cell>
          <cell r="AB213" t="e">
            <v>#N/A</v>
          </cell>
          <cell r="AC213" t="e">
            <v>#N/A</v>
          </cell>
          <cell r="AD213" t="str">
            <v>0311-17</v>
          </cell>
          <cell r="AE213" t="str">
            <v>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 &amp; 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</v>
          </cell>
        </row>
        <row r="214">
          <cell r="A214" t="str">
            <v>313-16</v>
          </cell>
          <cell r="B214">
            <v>4038</v>
          </cell>
          <cell r="C214" t="str">
            <v>DE.1.0.7.0</v>
          </cell>
          <cell r="D214" t="str">
            <v>204:332</v>
          </cell>
          <cell r="E214">
            <v>42599.080937500003</v>
          </cell>
          <cell r="F214">
            <v>42599.081793981481</v>
          </cell>
          <cell r="G214">
            <v>1</v>
          </cell>
          <cell r="H214" t="str">
            <v>300:23111</v>
          </cell>
          <cell r="I214">
            <v>42599.086805555555</v>
          </cell>
          <cell r="J214">
            <v>0</v>
          </cell>
          <cell r="K214" t="str">
            <v>4037/4038</v>
          </cell>
          <cell r="L214" t="str">
            <v>ISHMAEL</v>
          </cell>
          <cell r="M214">
            <v>5.0115740741603076E-3</v>
          </cell>
          <cell r="N214">
            <v>7.216666666790843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14" t="str">
            <v>Y</v>
          </cell>
          <cell r="X214">
            <v>2</v>
          </cell>
          <cell r="Y214">
            <v>3.32E-2</v>
          </cell>
          <cell r="Z214">
            <v>2.3111000000000002</v>
          </cell>
          <cell r="AA214">
            <v>2.2779000000000003</v>
          </cell>
          <cell r="AB214" t="e">
            <v>#N/A</v>
          </cell>
          <cell r="AC214" t="e">
            <v>#N/A</v>
          </cell>
          <cell r="AD214" t="str">
            <v>0313-16</v>
          </cell>
          <cell r="AE214" t="str">
    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    </cell>
        </row>
        <row r="215">
          <cell r="A215" t="str">
            <v>313-17</v>
          </cell>
          <cell r="B215">
            <v>4016</v>
          </cell>
          <cell r="C215" t="str">
            <v>DE.1.0.7.0</v>
          </cell>
          <cell r="D215" t="str">
            <v>204:450</v>
          </cell>
          <cell r="E215">
            <v>42600.077650462961</v>
          </cell>
          <cell r="F215">
            <v>42600.078553240739</v>
          </cell>
          <cell r="G215">
            <v>1</v>
          </cell>
          <cell r="H215" t="str">
            <v>300:23301</v>
          </cell>
          <cell r="I215">
            <v>42600.086145833331</v>
          </cell>
          <cell r="J215">
            <v>0</v>
          </cell>
          <cell r="K215" t="str">
            <v>4015/4016</v>
          </cell>
          <cell r="L215" t="str">
            <v>LEVI</v>
          </cell>
          <cell r="M215">
            <v>7.5925925921183079E-3</v>
          </cell>
          <cell r="N215">
            <v>10.933333332650363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5" t="str">
            <v>Y</v>
          </cell>
          <cell r="X215">
            <v>0</v>
          </cell>
          <cell r="Y215">
            <v>4.4999999999999998E-2</v>
          </cell>
          <cell r="Z215">
            <v>2.3300999999999998</v>
          </cell>
          <cell r="AA215">
            <v>2.2850999999999999</v>
          </cell>
          <cell r="AB215" t="e">
            <v>#N/A</v>
          </cell>
          <cell r="AC215" t="e">
            <v>#N/A</v>
          </cell>
          <cell r="AD215" t="str">
            <v>0313-17</v>
          </cell>
          <cell r="AE215" t="str">
    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    </cell>
        </row>
        <row r="216">
          <cell r="A216" t="str">
            <v>315-16</v>
          </cell>
          <cell r="B216">
            <v>4029</v>
          </cell>
          <cell r="C216" t="str">
            <v>DE.1.0.7.0</v>
          </cell>
          <cell r="D216" t="str">
            <v>204:640</v>
          </cell>
          <cell r="E216">
            <v>42599.095069444447</v>
          </cell>
          <cell r="F216">
            <v>42599.095879629633</v>
          </cell>
          <cell r="G216">
            <v>1</v>
          </cell>
          <cell r="H216" t="str">
            <v>300:23312</v>
          </cell>
          <cell r="I216">
            <v>42599.103321759256</v>
          </cell>
          <cell r="J216">
            <v>0</v>
          </cell>
          <cell r="K216" t="str">
            <v>4029/4030</v>
          </cell>
          <cell r="L216" t="str">
            <v>CHANDLER</v>
          </cell>
          <cell r="M216">
            <v>7.4421296230866574E-3</v>
          </cell>
          <cell r="N216">
            <v>10.716666657244787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6" t="str">
            <v>Y</v>
          </cell>
          <cell r="X216">
            <v>2</v>
          </cell>
          <cell r="Y216">
            <v>6.4000000000000001E-2</v>
          </cell>
          <cell r="Z216">
            <v>2.3311999999999999</v>
          </cell>
          <cell r="AA216">
            <v>2.2671999999999999</v>
          </cell>
          <cell r="AB216" t="e">
            <v>#N/A</v>
          </cell>
          <cell r="AC216" t="e">
            <v>#N/A</v>
          </cell>
          <cell r="AD216" t="str">
            <v>0315-16</v>
          </cell>
          <cell r="AE216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17">
          <cell r="A217" t="str">
            <v>315-16</v>
          </cell>
          <cell r="B217">
            <v>4029</v>
          </cell>
          <cell r="C217" t="str">
            <v>DE.1.0.7.0</v>
          </cell>
          <cell r="D217" t="str">
            <v>300:23312</v>
          </cell>
          <cell r="E217">
            <v>42599.095069444447</v>
          </cell>
          <cell r="F217">
            <v>42599.103298611109</v>
          </cell>
          <cell r="G217">
            <v>11</v>
          </cell>
          <cell r="H217" t="str">
            <v>300:23312</v>
          </cell>
          <cell r="I217">
            <v>42599.103321759256</v>
          </cell>
          <cell r="J217">
            <v>0</v>
          </cell>
          <cell r="K217" t="str">
            <v>4029/4030</v>
          </cell>
          <cell r="L217" t="str">
            <v>CHANDLER</v>
          </cell>
          <cell r="M217">
            <v>2.314814628334716E-5</v>
          </cell>
          <cell r="N217">
            <v>3.333333064801991E-2</v>
          </cell>
          <cell r="S217">
            <v>0</v>
          </cell>
          <cell r="T217" t="str">
            <v>NorthBound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7" t="str">
            <v>Y</v>
          </cell>
          <cell r="X217">
            <v>0</v>
          </cell>
          <cell r="Y217">
            <v>2.3311999999999999</v>
          </cell>
          <cell r="Z217">
            <v>2.3311999999999999</v>
          </cell>
          <cell r="AA217">
            <v>0</v>
          </cell>
          <cell r="AB217" t="e">
            <v>#N/A</v>
          </cell>
          <cell r="AC217" t="e">
            <v>#N/A</v>
          </cell>
          <cell r="AD217" t="str">
            <v>0315-16</v>
          </cell>
          <cell r="AE217" t="str">
    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    </cell>
        </row>
        <row r="218">
          <cell r="A218" t="str">
            <v>903-17</v>
          </cell>
          <cell r="B218">
            <v>4042</v>
          </cell>
          <cell r="C218" t="str">
            <v>DE.1.0.7.0</v>
          </cell>
          <cell r="D218" t="str">
            <v>204:1051</v>
          </cell>
          <cell r="E218">
            <v>42599.355821759258</v>
          </cell>
          <cell r="F218">
            <v>42599.356666666667</v>
          </cell>
          <cell r="G218">
            <v>1</v>
          </cell>
          <cell r="H218" t="str">
            <v>300:24207</v>
          </cell>
          <cell r="I218">
            <v>42599.372523148151</v>
          </cell>
          <cell r="J218">
            <v>0</v>
          </cell>
          <cell r="K218" t="str">
            <v>4041/4042</v>
          </cell>
          <cell r="L218" t="str">
            <v>STARKS</v>
          </cell>
          <cell r="M218">
            <v>1.5856481484661344E-2</v>
          </cell>
          <cell r="N218">
            <v>22.833333337912336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https://search-rtdc-monitor-bjffxe2xuh6vdkpspy63sjmuny.us-east-1.es.amazonaws.com/_plugin/kibana/#/discover/Steve-Slow-Train-Analysis-(2080s-and-2083s)?_g=(refreshInterval:(display:Off,section:0,value:0),time:(from:'2016-08-17 07:32:23-0600',mode:absolute,to:'2016-08-17 09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18" t="str">
            <v>Y</v>
          </cell>
          <cell r="X218">
            <v>588</v>
          </cell>
          <cell r="Y218">
            <v>0.1051</v>
          </cell>
          <cell r="Z218">
            <v>2.4207000000000001</v>
          </cell>
          <cell r="AA218">
            <v>2.3155999999999999</v>
          </cell>
          <cell r="AB218" t="e">
            <v>#N/A</v>
          </cell>
          <cell r="AC218" t="e">
            <v>#N/A</v>
          </cell>
          <cell r="AD218" t="str">
            <v>0903-17</v>
          </cell>
          <cell r="AE218" t="str">
    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    </cell>
        </row>
        <row r="219">
          <cell r="A219" t="str">
            <v>904-17</v>
          </cell>
          <cell r="B219">
            <v>4041</v>
          </cell>
          <cell r="C219" t="str">
            <v>DE.1.0.7.0</v>
          </cell>
          <cell r="D219" t="str">
            <v>300:24381</v>
          </cell>
          <cell r="E219">
            <v>42599.642071759263</v>
          </cell>
          <cell r="F219">
            <v>42599.642962962964</v>
          </cell>
          <cell r="G219">
            <v>1</v>
          </cell>
          <cell r="H219" t="str">
            <v>300:24039</v>
          </cell>
          <cell r="I219">
            <v>42599.646331018521</v>
          </cell>
          <cell r="J219">
            <v>0</v>
          </cell>
          <cell r="K219" t="str">
            <v>4041/4042</v>
          </cell>
          <cell r="L219" t="str">
            <v>OUN</v>
          </cell>
          <cell r="M219">
            <v>3.3680555570754223E-3</v>
          </cell>
          <cell r="N219">
            <v>4.8500000021886081</v>
          </cell>
          <cell r="S219">
            <v>0</v>
          </cell>
          <cell r="T219" t="str">
            <v>Southbound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19" t="str">
            <v>Y</v>
          </cell>
          <cell r="X219">
            <v>1</v>
          </cell>
          <cell r="Y219">
            <v>2.4380999999999999</v>
          </cell>
          <cell r="Z219">
            <v>2.4039000000000001</v>
          </cell>
          <cell r="AA219">
            <v>3.4199999999999786E-2</v>
          </cell>
          <cell r="AB219" t="e">
            <v>#N/A</v>
          </cell>
          <cell r="AC219" t="e">
            <v>#N/A</v>
          </cell>
          <cell r="AD219" t="str">
            <v>0904-17</v>
          </cell>
          <cell r="AE219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220">
          <cell r="A220" t="str">
            <v>906-17</v>
          </cell>
          <cell r="B220">
            <v>4041</v>
          </cell>
          <cell r="C220" t="str">
            <v>DE.1.0.7.0</v>
          </cell>
          <cell r="D220" t="str">
            <v>300:58589</v>
          </cell>
          <cell r="E220">
            <v>42599.796979166669</v>
          </cell>
          <cell r="F220">
            <v>42599.79792824074</v>
          </cell>
          <cell r="G220">
            <v>1</v>
          </cell>
          <cell r="H220" t="str">
            <v>300:21719</v>
          </cell>
          <cell r="I220">
            <v>42599.803356481483</v>
          </cell>
          <cell r="J220">
            <v>0</v>
          </cell>
          <cell r="K220" t="str">
            <v>4041/4042</v>
          </cell>
          <cell r="L220" t="str">
            <v>OUN</v>
          </cell>
          <cell r="M220">
            <v>5.4282407436403446E-3</v>
          </cell>
          <cell r="N220">
            <v>7.8166666708420962</v>
          </cell>
          <cell r="S220">
            <v>0</v>
          </cell>
          <cell r="T220" t="str">
            <v>Southbound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https://search-rtdc-monitor-bjffxe2xuh6vdkpspy63sjmuny.us-east-1.es.amazonaws.com/_plugin/kibana/#/discover/Steve-Slow-Train-Analysis-(2080s-and-2083s)?_g=(refreshInterval:(display:Off,section:0,value:0),time:(from:'2016-08-17 18:07:39-0600',mode:absolute,to:'2016-08-17 20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20" t="str">
            <v>Y</v>
          </cell>
          <cell r="X220">
            <v>2</v>
          </cell>
          <cell r="Y220">
            <v>5.8589000000000002</v>
          </cell>
          <cell r="Z220">
            <v>2.1718999999999999</v>
          </cell>
          <cell r="AA220">
            <v>3.6870000000000003</v>
          </cell>
          <cell r="AB220" t="e">
            <v>#N/A</v>
          </cell>
          <cell r="AC220" t="e">
            <v>#N/A</v>
          </cell>
          <cell r="AD220" t="str">
            <v>0906-17</v>
          </cell>
          <cell r="AE220" t="str">
    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    </cell>
        </row>
        <row r="221">
          <cell r="A221" t="str">
            <v>908-17</v>
          </cell>
          <cell r="B221">
            <v>4008</v>
          </cell>
          <cell r="C221" t="str">
            <v>DE.1.0.7.0</v>
          </cell>
          <cell r="D221" t="str">
            <v>300:58604</v>
          </cell>
          <cell r="E221">
            <v>42599.943124999998</v>
          </cell>
          <cell r="F221">
            <v>42599.943912037037</v>
          </cell>
          <cell r="G221">
            <v>1</v>
          </cell>
          <cell r="H221" t="str">
            <v>300:12991</v>
          </cell>
          <cell r="I221">
            <v>42599.952627314815</v>
          </cell>
          <cell r="J221">
            <v>0</v>
          </cell>
          <cell r="K221" t="str">
            <v>4007/4008</v>
          </cell>
          <cell r="L221" t="str">
            <v>OUN</v>
          </cell>
          <cell r="M221">
            <v>8.7152777778101154E-3</v>
          </cell>
          <cell r="N221">
            <v>12.550000000046566</v>
          </cell>
          <cell r="S221">
            <v>0</v>
          </cell>
          <cell r="T221" t="str">
            <v>Southbound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https://search-rtdc-monitor-bjffxe2xuh6vdkpspy63sjmuny.us-east-1.es.amazonaws.com/_plugin/kibana/#/discover/Steve-Slow-Train-Analysis-(2080s-and-2083s)?_g=(refreshInterval:(display:Off,section:0,value:0),time:(from:'2016-08-17 21:38:06-0600',mode:absolute,to:'2016-08-17 23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21" t="str">
            <v>Y</v>
          </cell>
          <cell r="X221">
            <v>2</v>
          </cell>
          <cell r="Y221">
            <v>5.8604000000000003</v>
          </cell>
          <cell r="Z221">
            <v>1.2990999999999999</v>
          </cell>
          <cell r="AA221">
            <v>4.5613000000000001</v>
          </cell>
          <cell r="AB221" t="e">
            <v>#N/A</v>
          </cell>
          <cell r="AC221" t="e">
            <v>#N/A</v>
          </cell>
          <cell r="AD221" t="str">
            <v>0908-17</v>
          </cell>
          <cell r="AE221" t="str">
    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    </cell>
        </row>
        <row r="222">
          <cell r="A222" t="str">
            <v>52-17</v>
          </cell>
          <cell r="B222">
            <v>4005</v>
          </cell>
          <cell r="C222" t="str">
            <v>DE.1.0.7.0</v>
          </cell>
          <cell r="D222" t="str">
            <v>300:23722</v>
          </cell>
          <cell r="E222">
            <v>42599.695856481485</v>
          </cell>
          <cell r="F222">
            <v>42599.697870370372</v>
          </cell>
          <cell r="G222">
            <v>2</v>
          </cell>
          <cell r="H222" t="str">
            <v>204:157</v>
          </cell>
          <cell r="I222">
            <v>42599.704930555556</v>
          </cell>
          <cell r="J222">
            <v>0</v>
          </cell>
          <cell r="K222" t="str">
            <v>4005/4006</v>
          </cell>
          <cell r="L222" t="str">
            <v>STURGEON</v>
          </cell>
          <cell r="M222">
            <v>7.0601851839455776E-3</v>
          </cell>
          <cell r="N222">
            <v>10.166666664881632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https://search-rtdc-monitor-bjffxe2xuh6vdkpspy63sjmuny.us-east-1.es.amazonaws.com/_plugin/kibana/#/discover/Steve-Slow-Train-Analysis-(2080s-and-2083s)?_g=(refreshInterval:(display:Off,section:0,value:0),time:(from:'2016-08-17 15:42:02-0600',mode:absolute,to:'2016-08-17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2" t="str">
            <v>Y</v>
          </cell>
          <cell r="X222" t="e">
            <v>#VALUE!</v>
          </cell>
          <cell r="Y222">
            <v>2.3721999999999999</v>
          </cell>
          <cell r="Z222">
            <v>1.5699999999999999E-2</v>
          </cell>
          <cell r="AA222">
            <v>2.3565</v>
          </cell>
          <cell r="AB222" t="e">
            <v>#N/A</v>
          </cell>
          <cell r="AC222" t="e">
            <v>#N/A</v>
          </cell>
          <cell r="AD222" t="str">
            <v>52-17</v>
          </cell>
          <cell r="AE222" t="str">
            <v>aws s3 cp s3://rtdc.mdm.uploadarchive/RTDC4005/2016-08-17/ "%USERPROFILE%\AppData\Local\Temp\OnboardLogs"\RTDC4005\2016-08-17 --recursive &amp; "%USERPROFILE%\Documents\GitHub\mrs-test-scripts\Headless Mode &amp; Sideloading\WalkAndUnGZ.bat" "%USERPROFILE%\AppData\Local\Temp\OnboardLogs"\RTDC4005\2016-08-17 &amp; aws s3 cp s3://rtdc.mdm.uploadarchive/RTDC4005/2016-08-18/ "%USERPROFILE%\AppData\Local\Temp\OnboardLogs"\RTDC4005\2016-08-18 --recursive &amp; "%USERPROFILE%\Documents\GitHub\mrs-test-scripts\Headless Mode &amp; Sideloading\WalkAndUnGZ.bat" "%USERPROFILE%\AppData\Local\Temp\OnboardLogs"\RTDC4005\2016-08-18</v>
          </cell>
        </row>
        <row r="223">
          <cell r="A223" t="str">
            <v>56-17</v>
          </cell>
          <cell r="B223">
            <v>4021</v>
          </cell>
          <cell r="C223" t="str">
            <v>DE.1.0.7.0</v>
          </cell>
          <cell r="D223" t="str">
            <v>300:23457</v>
          </cell>
          <cell r="E223">
            <v>42599.712916666664</v>
          </cell>
          <cell r="F223">
            <v>42599.718055555553</v>
          </cell>
          <cell r="G223">
            <v>7</v>
          </cell>
          <cell r="H223" t="str">
            <v>204:480</v>
          </cell>
          <cell r="I223">
            <v>42599.723668981482</v>
          </cell>
          <cell r="J223">
            <v>0</v>
          </cell>
          <cell r="K223" t="str">
            <v>4021/4022</v>
          </cell>
          <cell r="L223" t="str">
            <v>YANAI</v>
          </cell>
          <cell r="M223">
            <v>5.6134259284590371E-3</v>
          </cell>
          <cell r="N223">
            <v>8.0833333369810134</v>
          </cell>
          <cell r="S223">
            <v>0</v>
          </cell>
          <cell r="T223" t="e">
            <v>#VALUE!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https://search-rtdc-monitor-bjffxe2xuh6vdkpspy63sjmuny.us-east-1.es.amazonaws.com/_plugin/kibana/#/discover/Steve-Slow-Train-Analysis-(2080s-and-2083s)?_g=(refreshInterval:(display:Off,section:0,value:0),time:(from:'2016-08-17 16:06:36-0600',mode:absolute,to:'2016-08-17 18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23" t="str">
            <v>Y</v>
          </cell>
          <cell r="X223" t="e">
            <v>#VALUE!</v>
          </cell>
          <cell r="Y223">
            <v>2.3456999999999999</v>
          </cell>
          <cell r="Z223">
            <v>4.8000000000000001E-2</v>
          </cell>
          <cell r="AA223">
            <v>2.2976999999999999</v>
          </cell>
          <cell r="AB223" t="e">
            <v>#N/A</v>
          </cell>
          <cell r="AC223" t="e">
            <v>#N/A</v>
          </cell>
          <cell r="AD223" t="str">
            <v>56-17</v>
          </cell>
          <cell r="AE223" t="str">
            <v>aws s3 cp s3://rtdc.mdm.uploadarchive/RTDC4021/2016-08-17/ "%USERPROFILE%\AppData\Local\Temp\OnboardLogs"\RTDC4021\2016-08-17 --recursive &amp; "%USERPROFILE%\Documents\GitHub\mrs-test-scripts\Headless Mode &amp; Sideloading\WalkAndUnGZ.bat" "%USERPROFILE%\AppData\Local\Temp\OnboardLogs"\RTDC4021\2016-08-17 &amp; aws s3 cp s3://rtdc.mdm.uploadarchive/RTDC4021/2016-08-18/ "%USERPROFILE%\AppData\Local\Temp\OnboardLogs"\RTDC4021\2016-08-18 --recursive &amp; "%USERPROFILE%\Documents\GitHub\mrs-test-scripts\Headless Mode &amp; Sideloading\WalkAndUnGZ.bat" "%USERPROFILE%\AppData\Local\Temp\OnboardLogs"\RTDC4021\2016-08-18</v>
          </cell>
        </row>
      </sheetData>
      <sheetData sheetId="1" refreshError="1"/>
      <sheetData sheetId="2" refreshError="1"/>
      <sheetData sheetId="3">
        <row r="1">
          <cell r="C1" t="str">
            <v>244-16</v>
          </cell>
          <cell r="D1">
            <v>1800000</v>
          </cell>
          <cell r="E1" t="str">
            <v>CHANDLER</v>
          </cell>
        </row>
        <row r="2">
          <cell r="C2" t="str">
            <v>313-16</v>
          </cell>
          <cell r="D2">
            <v>2100000</v>
          </cell>
          <cell r="E2" t="str">
            <v>ISHMAEL</v>
          </cell>
        </row>
        <row r="3">
          <cell r="C3" t="str">
            <v>244-16</v>
          </cell>
          <cell r="D3">
            <v>1800000</v>
          </cell>
          <cell r="E3" t="str">
            <v>CHANDLER</v>
          </cell>
        </row>
        <row r="4">
          <cell r="C4" t="str">
            <v>315-16</v>
          </cell>
          <cell r="D4">
            <v>1800000</v>
          </cell>
          <cell r="E4" t="str">
            <v>CHANDLER</v>
          </cell>
        </row>
        <row r="5">
          <cell r="C5" t="str">
            <v>302-17</v>
          </cell>
          <cell r="D5">
            <v>2010000</v>
          </cell>
          <cell r="E5" t="str">
            <v>MAELZER</v>
          </cell>
        </row>
        <row r="6">
          <cell r="C6" t="str">
            <v>101-17</v>
          </cell>
          <cell r="D6">
            <v>2010000</v>
          </cell>
          <cell r="E6" t="str">
            <v>MAELZER</v>
          </cell>
        </row>
        <row r="7">
          <cell r="C7" t="str">
            <v>304-17</v>
          </cell>
          <cell r="D7">
            <v>1260000</v>
          </cell>
          <cell r="E7" t="str">
            <v>ACKERMAN</v>
          </cell>
        </row>
        <row r="8">
          <cell r="C8" t="str">
            <v>103-17</v>
          </cell>
          <cell r="D8">
            <v>1260000</v>
          </cell>
          <cell r="E8" t="str">
            <v>ACKERMAN</v>
          </cell>
        </row>
        <row r="9">
          <cell r="C9" t="str">
            <v>306-17</v>
          </cell>
          <cell r="D9">
            <v>1760000</v>
          </cell>
          <cell r="E9" t="str">
            <v>STRICKLAND</v>
          </cell>
        </row>
        <row r="10">
          <cell r="C10" t="str">
            <v>102-17</v>
          </cell>
          <cell r="D10">
            <v>2010000</v>
          </cell>
          <cell r="E10" t="str">
            <v>MAELZER</v>
          </cell>
        </row>
        <row r="11">
          <cell r="C11" t="str">
            <v>105-17</v>
          </cell>
          <cell r="D11">
            <v>1760000</v>
          </cell>
          <cell r="E11" t="str">
            <v>STRICKLAND</v>
          </cell>
        </row>
        <row r="12">
          <cell r="C12" t="str">
            <v>308-17</v>
          </cell>
          <cell r="D12">
            <v>1090000</v>
          </cell>
          <cell r="E12" t="str">
            <v>SPECTOR</v>
          </cell>
        </row>
        <row r="13">
          <cell r="C13" t="str">
            <v>310-17</v>
          </cell>
          <cell r="D13">
            <v>2030000</v>
          </cell>
          <cell r="E13" t="str">
            <v>KILLION</v>
          </cell>
        </row>
        <row r="14">
          <cell r="C14" t="str">
            <v>107-17</v>
          </cell>
          <cell r="D14">
            <v>1090000</v>
          </cell>
          <cell r="E14" t="str">
            <v>SPECTOR</v>
          </cell>
        </row>
        <row r="15">
          <cell r="C15" t="str">
            <v>104-17</v>
          </cell>
          <cell r="D15">
            <v>1260000</v>
          </cell>
          <cell r="E15" t="str">
            <v>ACKERMAN</v>
          </cell>
        </row>
        <row r="16">
          <cell r="C16" t="str">
            <v>109-17</v>
          </cell>
          <cell r="D16">
            <v>2030000</v>
          </cell>
          <cell r="E16" t="str">
            <v>KILLION</v>
          </cell>
        </row>
        <row r="17">
          <cell r="C17" t="str">
            <v>106-17</v>
          </cell>
          <cell r="D17">
            <v>1760000</v>
          </cell>
          <cell r="E17" t="str">
            <v>STRICKLAND</v>
          </cell>
        </row>
        <row r="18">
          <cell r="C18" t="str">
            <v>800-17</v>
          </cell>
          <cell r="D18">
            <v>1110000</v>
          </cell>
          <cell r="E18" t="str">
            <v>STARKS</v>
          </cell>
        </row>
        <row r="19">
          <cell r="C19" t="str">
            <v>111-17</v>
          </cell>
          <cell r="D19">
            <v>900000</v>
          </cell>
          <cell r="E19" t="str">
            <v>ROCHA</v>
          </cell>
        </row>
        <row r="20">
          <cell r="C20" t="str">
            <v>113-17</v>
          </cell>
          <cell r="D20">
            <v>2010000</v>
          </cell>
          <cell r="E20" t="str">
            <v>MAELZER</v>
          </cell>
        </row>
        <row r="21">
          <cell r="C21" t="str">
            <v>111-17</v>
          </cell>
          <cell r="D21">
            <v>900000</v>
          </cell>
          <cell r="E21" t="str">
            <v>ROCHA</v>
          </cell>
        </row>
        <row r="22">
          <cell r="C22" t="str">
            <v>111-17</v>
          </cell>
          <cell r="D22">
            <v>900000</v>
          </cell>
          <cell r="E22" t="str">
            <v>ROCHA</v>
          </cell>
        </row>
        <row r="23">
          <cell r="C23" t="str">
            <v>108-17</v>
          </cell>
          <cell r="D23">
            <v>1090000</v>
          </cell>
          <cell r="E23" t="str">
            <v>SPECTOR</v>
          </cell>
        </row>
        <row r="24">
          <cell r="C24" t="str">
            <v>110-17</v>
          </cell>
          <cell r="D24">
            <v>2030000</v>
          </cell>
          <cell r="E24" t="str">
            <v>KILLION</v>
          </cell>
        </row>
        <row r="25">
          <cell r="C25" t="str">
            <v>801-17</v>
          </cell>
          <cell r="D25">
            <v>1110000</v>
          </cell>
          <cell r="E25" t="str">
            <v>STARKS</v>
          </cell>
        </row>
        <row r="26">
          <cell r="C26" t="str">
            <v>115-17</v>
          </cell>
          <cell r="D26">
            <v>1190000</v>
          </cell>
          <cell r="E26" t="str">
            <v>BRANNON</v>
          </cell>
        </row>
        <row r="27">
          <cell r="C27" t="str">
            <v>117-17</v>
          </cell>
          <cell r="D27">
            <v>1260000</v>
          </cell>
          <cell r="E27" t="str">
            <v>ACKERMAN</v>
          </cell>
        </row>
        <row r="28">
          <cell r="C28" t="str">
            <v>803-17</v>
          </cell>
          <cell r="D28">
            <v>2150000</v>
          </cell>
          <cell r="E28" t="str">
            <v>SWANSON</v>
          </cell>
        </row>
        <row r="29">
          <cell r="C29" t="str">
            <v>119-17</v>
          </cell>
          <cell r="D29">
            <v>1760000</v>
          </cell>
          <cell r="E29" t="str">
            <v>STRICKLAND</v>
          </cell>
        </row>
        <row r="30">
          <cell r="C30" t="str">
            <v>802-17</v>
          </cell>
          <cell r="D30">
            <v>1110000</v>
          </cell>
          <cell r="E30" t="str">
            <v>STARKS</v>
          </cell>
        </row>
        <row r="31">
          <cell r="C31" t="str">
            <v>112-17</v>
          </cell>
          <cell r="D31">
            <v>900000</v>
          </cell>
          <cell r="E31" t="str">
            <v>ROCHA</v>
          </cell>
        </row>
        <row r="32">
          <cell r="C32" t="str">
            <v>121-17</v>
          </cell>
          <cell r="D32">
            <v>1090000</v>
          </cell>
          <cell r="E32" t="str">
            <v>SPECTOR</v>
          </cell>
        </row>
        <row r="33">
          <cell r="C33" t="str">
            <v>114-17</v>
          </cell>
          <cell r="D33">
            <v>2010000</v>
          </cell>
          <cell r="E33" t="str">
            <v>MAELZER</v>
          </cell>
        </row>
        <row r="34">
          <cell r="C34" t="str">
            <v>123-17</v>
          </cell>
          <cell r="D34">
            <v>2030000</v>
          </cell>
          <cell r="E34" t="str">
            <v>KILLION</v>
          </cell>
        </row>
        <row r="35">
          <cell r="C35" t="str">
            <v>804-17</v>
          </cell>
          <cell r="D35">
            <v>2150000</v>
          </cell>
          <cell r="E35" t="str">
            <v>SWANSON</v>
          </cell>
        </row>
        <row r="36">
          <cell r="C36" t="str">
            <v>805-17</v>
          </cell>
          <cell r="D36">
            <v>1110000</v>
          </cell>
          <cell r="E36" t="str">
            <v>STARKS</v>
          </cell>
        </row>
        <row r="37">
          <cell r="C37" t="str">
            <v>116-17</v>
          </cell>
          <cell r="D37">
            <v>1190000</v>
          </cell>
          <cell r="E37" t="str">
            <v>BRANNON</v>
          </cell>
        </row>
        <row r="38">
          <cell r="C38" t="str">
            <v>118-17</v>
          </cell>
          <cell r="D38">
            <v>1260000</v>
          </cell>
          <cell r="E38" t="str">
            <v>ACKERMAN</v>
          </cell>
        </row>
        <row r="39">
          <cell r="C39" t="str">
            <v>129-17</v>
          </cell>
          <cell r="D39">
            <v>900000</v>
          </cell>
          <cell r="E39" t="str">
            <v>ROCHA</v>
          </cell>
        </row>
        <row r="40">
          <cell r="C40" t="str">
            <v>806-17</v>
          </cell>
          <cell r="D40">
            <v>1110000</v>
          </cell>
          <cell r="E40" t="str">
            <v>STARKS</v>
          </cell>
        </row>
        <row r="41">
          <cell r="C41" t="str">
            <v>120-17</v>
          </cell>
          <cell r="D41">
            <v>1760000</v>
          </cell>
          <cell r="E41" t="str">
            <v>STRICKLAND</v>
          </cell>
        </row>
        <row r="42">
          <cell r="C42" t="str">
            <v>122-17</v>
          </cell>
          <cell r="D42">
            <v>1090000</v>
          </cell>
          <cell r="E42" t="str">
            <v>SPECTOR</v>
          </cell>
        </row>
        <row r="43">
          <cell r="C43" t="str">
            <v>807-17</v>
          </cell>
          <cell r="D43">
            <v>2150000</v>
          </cell>
          <cell r="E43" t="str">
            <v>SWANSON</v>
          </cell>
        </row>
        <row r="44">
          <cell r="C44" t="str">
            <v>131-17</v>
          </cell>
          <cell r="D44">
            <v>2010000</v>
          </cell>
          <cell r="E44" t="str">
            <v>MAELZER</v>
          </cell>
        </row>
        <row r="45">
          <cell r="C45" t="str">
            <v>126-17</v>
          </cell>
          <cell r="D45">
            <v>2030000</v>
          </cell>
          <cell r="E45" t="str">
            <v>KILLION</v>
          </cell>
        </row>
        <row r="46">
          <cell r="C46" t="str">
            <v>808-17</v>
          </cell>
          <cell r="D46">
            <v>2150000</v>
          </cell>
          <cell r="E46" t="str">
            <v>SWANSON</v>
          </cell>
        </row>
        <row r="47">
          <cell r="C47" t="str">
            <v>133-17</v>
          </cell>
          <cell r="D47">
            <v>1190000</v>
          </cell>
          <cell r="E47" t="str">
            <v>BRANNON</v>
          </cell>
        </row>
        <row r="48">
          <cell r="C48" t="str">
            <v>809-17</v>
          </cell>
          <cell r="D48">
            <v>1110000</v>
          </cell>
          <cell r="E48" t="str">
            <v>STARKS</v>
          </cell>
        </row>
        <row r="49">
          <cell r="C49" t="str">
            <v>135-17</v>
          </cell>
          <cell r="D49">
            <v>1260000</v>
          </cell>
          <cell r="E49" t="str">
            <v>ACKERMAN</v>
          </cell>
        </row>
        <row r="50">
          <cell r="C50" t="str">
            <v>137-17</v>
          </cell>
          <cell r="D50">
            <v>1760000</v>
          </cell>
          <cell r="E50" t="str">
            <v>STRICKLAND</v>
          </cell>
        </row>
        <row r="51">
          <cell r="C51" t="str">
            <v>130-17</v>
          </cell>
          <cell r="D51">
            <v>900000</v>
          </cell>
          <cell r="E51" t="str">
            <v>ROCHA</v>
          </cell>
        </row>
        <row r="52">
          <cell r="C52" t="str">
            <v>810-17</v>
          </cell>
          <cell r="D52">
            <v>1110000</v>
          </cell>
          <cell r="E52" t="str">
            <v>STARKS</v>
          </cell>
        </row>
        <row r="53">
          <cell r="C53" t="str">
            <v>132-17</v>
          </cell>
          <cell r="D53">
            <v>2010000</v>
          </cell>
          <cell r="E53" t="str">
            <v>MAELZER</v>
          </cell>
        </row>
        <row r="54">
          <cell r="C54" t="str">
            <v>811-17</v>
          </cell>
          <cell r="D54">
            <v>2150000</v>
          </cell>
          <cell r="E54" t="str">
            <v>SWANSON</v>
          </cell>
        </row>
        <row r="55">
          <cell r="C55" t="str">
            <v>139-17</v>
          </cell>
          <cell r="D55">
            <v>1090000</v>
          </cell>
          <cell r="E55" t="str">
            <v>SPECTOR</v>
          </cell>
        </row>
        <row r="56">
          <cell r="C56" t="str">
            <v>903-17</v>
          </cell>
          <cell r="D56">
            <v>1110000</v>
          </cell>
          <cell r="E56" t="str">
            <v>STARKS</v>
          </cell>
        </row>
        <row r="57">
          <cell r="C57" t="str">
            <v>812-17</v>
          </cell>
          <cell r="D57">
            <v>2150000</v>
          </cell>
          <cell r="E57" t="str">
            <v>SWANSON</v>
          </cell>
        </row>
        <row r="58">
          <cell r="C58" t="str">
            <v>141-17</v>
          </cell>
          <cell r="D58">
            <v>2030000</v>
          </cell>
          <cell r="E58" t="str">
            <v>KILLION</v>
          </cell>
        </row>
        <row r="59">
          <cell r="C59" t="str">
            <v>134-17</v>
          </cell>
          <cell r="D59">
            <v>1190000</v>
          </cell>
          <cell r="E59" t="str">
            <v>BRANNON</v>
          </cell>
        </row>
        <row r="60">
          <cell r="C60" t="str">
            <v>136-17</v>
          </cell>
          <cell r="D60">
            <v>1260000</v>
          </cell>
          <cell r="E60" t="str">
            <v>ACKERMAN</v>
          </cell>
        </row>
        <row r="61">
          <cell r="C61" t="str">
            <v>143-17</v>
          </cell>
          <cell r="D61">
            <v>900000</v>
          </cell>
          <cell r="E61" t="str">
            <v>ROCHA</v>
          </cell>
        </row>
        <row r="62">
          <cell r="C62" t="str">
            <v>138-17</v>
          </cell>
          <cell r="D62">
            <v>1760000</v>
          </cell>
          <cell r="E62" t="str">
            <v>STRICKLAND</v>
          </cell>
        </row>
        <row r="63">
          <cell r="C63" t="str">
            <v>145-17</v>
          </cell>
          <cell r="D63">
            <v>2010000</v>
          </cell>
          <cell r="E63" t="str">
            <v>MAELZER</v>
          </cell>
        </row>
        <row r="64">
          <cell r="C64" t="str">
            <v>813-17</v>
          </cell>
          <cell r="D64">
            <v>2150000</v>
          </cell>
          <cell r="E64" t="str">
            <v>SWANSON</v>
          </cell>
        </row>
        <row r="65">
          <cell r="C65" t="str">
            <v>140-17</v>
          </cell>
          <cell r="D65">
            <v>1090000</v>
          </cell>
          <cell r="E65" t="str">
            <v>SPECTOR</v>
          </cell>
        </row>
        <row r="66">
          <cell r="C66" t="str">
            <v>147-17</v>
          </cell>
          <cell r="D66">
            <v>1190000</v>
          </cell>
          <cell r="E66" t="str">
            <v>BRANNON</v>
          </cell>
        </row>
        <row r="67">
          <cell r="C67" t="str">
            <v>814-17</v>
          </cell>
          <cell r="D67">
            <v>2150000</v>
          </cell>
          <cell r="E67" t="str">
            <v>SWANSON</v>
          </cell>
        </row>
        <row r="68">
          <cell r="C68" t="str">
            <v>142-17</v>
          </cell>
          <cell r="D68">
            <v>2030000</v>
          </cell>
          <cell r="E68" t="str">
            <v>KILLION</v>
          </cell>
        </row>
        <row r="69">
          <cell r="C69" t="str">
            <v>149-17</v>
          </cell>
          <cell r="D69">
            <v>1260000</v>
          </cell>
          <cell r="E69" t="str">
            <v>ACKERMAN</v>
          </cell>
        </row>
        <row r="70">
          <cell r="C70" t="str">
            <v>144-17</v>
          </cell>
          <cell r="D70">
            <v>900000</v>
          </cell>
          <cell r="E70" t="str">
            <v>ROCHA</v>
          </cell>
        </row>
        <row r="71">
          <cell r="C71" t="str">
            <v>146-17</v>
          </cell>
          <cell r="D71">
            <v>2010000</v>
          </cell>
          <cell r="E71" t="str">
            <v>MAELZER</v>
          </cell>
        </row>
        <row r="72">
          <cell r="C72" t="str">
            <v>153-17</v>
          </cell>
          <cell r="D72">
            <v>1760000</v>
          </cell>
          <cell r="E72" t="str">
            <v>STRICKLAND</v>
          </cell>
        </row>
        <row r="73">
          <cell r="C73" t="str">
            <v>815-17</v>
          </cell>
          <cell r="D73">
            <v>2150000</v>
          </cell>
          <cell r="E73" t="str">
            <v>SWANSON</v>
          </cell>
        </row>
        <row r="74">
          <cell r="C74" t="str">
            <v>155-17</v>
          </cell>
          <cell r="D74">
            <v>1110000</v>
          </cell>
          <cell r="E74" t="str">
            <v>STARKS</v>
          </cell>
        </row>
        <row r="75">
          <cell r="C75" t="str">
            <v>157-17</v>
          </cell>
          <cell r="D75">
            <v>2030000</v>
          </cell>
          <cell r="E75" t="str">
            <v>KILLION</v>
          </cell>
        </row>
        <row r="76">
          <cell r="C76" t="str">
            <v>816-17</v>
          </cell>
          <cell r="D76">
            <v>2150000</v>
          </cell>
          <cell r="E76" t="str">
            <v>SWANSON</v>
          </cell>
        </row>
        <row r="77">
          <cell r="C77" t="str">
            <v>148-17</v>
          </cell>
          <cell r="D77">
            <v>1190000</v>
          </cell>
          <cell r="E77" t="str">
            <v>BRANNON</v>
          </cell>
        </row>
        <row r="78">
          <cell r="C78" t="str">
            <v>150-17</v>
          </cell>
          <cell r="D78">
            <v>1260000</v>
          </cell>
          <cell r="E78" t="str">
            <v>ACKERMAN</v>
          </cell>
        </row>
        <row r="79">
          <cell r="C79" t="str">
            <v>159-17</v>
          </cell>
          <cell r="D79">
            <v>940000</v>
          </cell>
          <cell r="E79" t="str">
            <v>BONDS</v>
          </cell>
        </row>
        <row r="80">
          <cell r="C80" t="str">
            <v>159-17</v>
          </cell>
          <cell r="D80">
            <v>940000</v>
          </cell>
          <cell r="E80" t="str">
            <v>BONDS</v>
          </cell>
        </row>
        <row r="81">
          <cell r="C81" t="str">
            <v>161-17</v>
          </cell>
          <cell r="D81">
            <v>1830000</v>
          </cell>
          <cell r="E81" t="str">
            <v>YORK</v>
          </cell>
        </row>
        <row r="82">
          <cell r="C82" t="str">
            <v>154-17</v>
          </cell>
          <cell r="D82">
            <v>1760000</v>
          </cell>
          <cell r="E82" t="str">
            <v>STRICKLAND</v>
          </cell>
        </row>
        <row r="83">
          <cell r="C83" t="str">
            <v>817-17</v>
          </cell>
          <cell r="D83">
            <v>2150000</v>
          </cell>
          <cell r="E83" t="str">
            <v>SWANSON</v>
          </cell>
        </row>
        <row r="84">
          <cell r="C84" t="str">
            <v>156-17</v>
          </cell>
          <cell r="D84">
            <v>1110000</v>
          </cell>
          <cell r="E84" t="str">
            <v>STARKS</v>
          </cell>
        </row>
        <row r="85">
          <cell r="C85" t="str">
            <v>163-17</v>
          </cell>
          <cell r="D85">
            <v>1540000</v>
          </cell>
          <cell r="E85" t="str">
            <v>HELVIE</v>
          </cell>
        </row>
        <row r="86">
          <cell r="C86" t="str">
            <v>818-17</v>
          </cell>
          <cell r="D86">
            <v>2150000</v>
          </cell>
          <cell r="E86" t="str">
            <v>SWANSON</v>
          </cell>
        </row>
        <row r="87">
          <cell r="C87" t="str">
            <v>158-17</v>
          </cell>
          <cell r="D87">
            <v>2030000</v>
          </cell>
          <cell r="E87" t="str">
            <v>KILLION</v>
          </cell>
        </row>
        <row r="88">
          <cell r="C88" t="str">
            <v>165-17</v>
          </cell>
          <cell r="D88">
            <v>1740000</v>
          </cell>
          <cell r="E88" t="str">
            <v>STORY</v>
          </cell>
        </row>
        <row r="89">
          <cell r="C89" t="str">
            <v>160-17</v>
          </cell>
          <cell r="D89">
            <v>940000</v>
          </cell>
          <cell r="E89" t="str">
            <v>BONDS</v>
          </cell>
        </row>
        <row r="90">
          <cell r="C90" t="str">
            <v>160-17</v>
          </cell>
          <cell r="D90">
            <v>940000</v>
          </cell>
          <cell r="E90" t="str">
            <v>BONDS</v>
          </cell>
        </row>
        <row r="91">
          <cell r="C91" t="str">
            <v>162-17</v>
          </cell>
          <cell r="D91">
            <v>1830000</v>
          </cell>
          <cell r="E91" t="str">
            <v>YORK</v>
          </cell>
        </row>
        <row r="92">
          <cell r="C92" t="str">
            <v>167-17</v>
          </cell>
          <cell r="D92">
            <v>2000000</v>
          </cell>
          <cell r="E92" t="str">
            <v>STAMBAUGH</v>
          </cell>
        </row>
        <row r="93">
          <cell r="C93" t="str">
            <v>819-17</v>
          </cell>
          <cell r="D93">
            <v>2150000</v>
          </cell>
          <cell r="E93" t="str">
            <v>SWANSON</v>
          </cell>
        </row>
        <row r="94">
          <cell r="C94" t="str">
            <v>164-17</v>
          </cell>
          <cell r="D94">
            <v>1540000</v>
          </cell>
          <cell r="E94" t="str">
            <v>HELVIE</v>
          </cell>
        </row>
        <row r="95">
          <cell r="C95" t="str">
            <v>169-17</v>
          </cell>
          <cell r="D95">
            <v>1770000</v>
          </cell>
          <cell r="E95" t="str">
            <v>BRUDER</v>
          </cell>
        </row>
        <row r="96">
          <cell r="C96" t="str">
            <v>171-17</v>
          </cell>
          <cell r="D96">
            <v>2030000</v>
          </cell>
          <cell r="E96" t="str">
            <v>KILLION</v>
          </cell>
        </row>
        <row r="97">
          <cell r="C97" t="str">
            <v>166-17</v>
          </cell>
          <cell r="D97">
            <v>1740000</v>
          </cell>
          <cell r="E97" t="str">
            <v>STORY</v>
          </cell>
        </row>
        <row r="98">
          <cell r="C98" t="str">
            <v>820-17</v>
          </cell>
          <cell r="D98">
            <v>2150000</v>
          </cell>
          <cell r="E98" t="str">
            <v>SWANSON</v>
          </cell>
        </row>
        <row r="99">
          <cell r="C99" t="str">
            <v>173-17</v>
          </cell>
          <cell r="D99">
            <v>940000</v>
          </cell>
          <cell r="E99" t="str">
            <v>BONDS</v>
          </cell>
        </row>
        <row r="100">
          <cell r="C100" t="str">
            <v>175-17</v>
          </cell>
          <cell r="D100">
            <v>1830000</v>
          </cell>
          <cell r="E100" t="str">
            <v>YORK</v>
          </cell>
        </row>
        <row r="101">
          <cell r="C101" t="str">
            <v>168-17</v>
          </cell>
          <cell r="D101">
            <v>2000000</v>
          </cell>
          <cell r="E101" t="str">
            <v>STAMBAUGH</v>
          </cell>
        </row>
        <row r="102">
          <cell r="C102" t="str">
            <v>175-17</v>
          </cell>
          <cell r="D102">
            <v>1830000</v>
          </cell>
          <cell r="E102" t="str">
            <v>YORK</v>
          </cell>
        </row>
        <row r="103">
          <cell r="C103" t="str">
            <v>175-17</v>
          </cell>
          <cell r="D103">
            <v>1830000</v>
          </cell>
          <cell r="E103" t="str">
            <v>YORK</v>
          </cell>
        </row>
        <row r="104">
          <cell r="C104" t="str">
            <v>170-17</v>
          </cell>
          <cell r="D104">
            <v>1770000</v>
          </cell>
          <cell r="E104" t="str">
            <v>BRUDER</v>
          </cell>
        </row>
        <row r="105">
          <cell r="C105" t="str">
            <v>177-17</v>
          </cell>
          <cell r="D105">
            <v>1540000</v>
          </cell>
          <cell r="E105" t="str">
            <v>HELVIE</v>
          </cell>
        </row>
        <row r="106">
          <cell r="C106" t="str">
            <v>821-17</v>
          </cell>
          <cell r="D106">
            <v>2040000</v>
          </cell>
          <cell r="E106" t="str">
            <v>MOSES</v>
          </cell>
        </row>
        <row r="107">
          <cell r="C107" t="str">
            <v>179-17</v>
          </cell>
          <cell r="D107">
            <v>1740000</v>
          </cell>
          <cell r="E107" t="str">
            <v>STORY</v>
          </cell>
        </row>
        <row r="108">
          <cell r="C108" t="str">
            <v>172-17</v>
          </cell>
          <cell r="D108">
            <v>2030000</v>
          </cell>
          <cell r="E108" t="str">
            <v>KILLION</v>
          </cell>
        </row>
        <row r="109">
          <cell r="C109" t="str">
            <v>174-17</v>
          </cell>
          <cell r="D109">
            <v>940000</v>
          </cell>
          <cell r="E109" t="str">
            <v>BONDS</v>
          </cell>
        </row>
        <row r="110">
          <cell r="C110" t="str">
            <v>181-17</v>
          </cell>
          <cell r="D110">
            <v>2000000</v>
          </cell>
          <cell r="E110" t="str">
            <v>STAMBAUGH</v>
          </cell>
        </row>
        <row r="111">
          <cell r="C111" t="str">
            <v>176-17</v>
          </cell>
          <cell r="D111">
            <v>1830000</v>
          </cell>
          <cell r="E111" t="str">
            <v>YORK</v>
          </cell>
        </row>
        <row r="112">
          <cell r="C112" t="str">
            <v>822-17</v>
          </cell>
          <cell r="D112">
            <v>2040000</v>
          </cell>
          <cell r="E112" t="str">
            <v>MOSES</v>
          </cell>
        </row>
        <row r="113">
          <cell r="C113" t="str">
            <v>183-17</v>
          </cell>
          <cell r="D113">
            <v>1770000</v>
          </cell>
          <cell r="E113" t="str">
            <v>BRUDER</v>
          </cell>
        </row>
        <row r="114">
          <cell r="C114" t="str">
            <v>178-17</v>
          </cell>
          <cell r="D114">
            <v>1540000</v>
          </cell>
          <cell r="E114" t="str">
            <v>HELVIE</v>
          </cell>
        </row>
        <row r="115">
          <cell r="C115" t="str">
            <v>185-17</v>
          </cell>
          <cell r="D115">
            <v>2030000</v>
          </cell>
          <cell r="E115" t="str">
            <v>KILLION</v>
          </cell>
        </row>
        <row r="116">
          <cell r="C116" t="str">
            <v>823-17</v>
          </cell>
          <cell r="D116">
            <v>2040000</v>
          </cell>
          <cell r="E116" t="str">
            <v>MOSES</v>
          </cell>
        </row>
        <row r="117">
          <cell r="C117" t="str">
            <v>180-17</v>
          </cell>
          <cell r="D117">
            <v>1740000</v>
          </cell>
          <cell r="E117" t="str">
            <v>STORY</v>
          </cell>
        </row>
        <row r="118">
          <cell r="C118" t="str">
            <v>187-17</v>
          </cell>
          <cell r="D118">
            <v>940000</v>
          </cell>
          <cell r="E118" t="str">
            <v>BONDS</v>
          </cell>
        </row>
        <row r="119">
          <cell r="C119" t="str">
            <v>189-17</v>
          </cell>
          <cell r="D119">
            <v>1830000</v>
          </cell>
          <cell r="E119" t="str">
            <v>YORK</v>
          </cell>
        </row>
        <row r="120">
          <cell r="C120" t="str">
            <v>182-17</v>
          </cell>
          <cell r="D120">
            <v>2000000</v>
          </cell>
          <cell r="E120" t="str">
            <v>STAMBAUGH</v>
          </cell>
        </row>
        <row r="121">
          <cell r="C121" t="str">
            <v>824-17</v>
          </cell>
          <cell r="D121">
            <v>2040000</v>
          </cell>
          <cell r="E121" t="str">
            <v>MOSES</v>
          </cell>
        </row>
        <row r="122">
          <cell r="C122" t="str">
            <v>184-17</v>
          </cell>
          <cell r="D122">
            <v>1770000</v>
          </cell>
          <cell r="E122" t="str">
            <v>BRUDER</v>
          </cell>
        </row>
        <row r="123">
          <cell r="C123" t="str">
            <v>191-17</v>
          </cell>
          <cell r="D123">
            <v>1540000</v>
          </cell>
          <cell r="E123" t="str">
            <v>HELVIE</v>
          </cell>
        </row>
        <row r="124">
          <cell r="C124" t="str">
            <v>186-17</v>
          </cell>
          <cell r="D124">
            <v>2030000</v>
          </cell>
          <cell r="E124" t="str">
            <v>KILLION</v>
          </cell>
        </row>
        <row r="125">
          <cell r="C125" t="str">
            <v>193-17</v>
          </cell>
          <cell r="D125">
            <v>1740000</v>
          </cell>
          <cell r="E125" t="str">
            <v>STORY</v>
          </cell>
        </row>
        <row r="126">
          <cell r="C126" t="str">
            <v>188-17</v>
          </cell>
          <cell r="D126">
            <v>940000</v>
          </cell>
          <cell r="E126" t="str">
            <v>BONDS</v>
          </cell>
        </row>
        <row r="127">
          <cell r="C127" t="str">
            <v>825-17</v>
          </cell>
          <cell r="D127">
            <v>2040000</v>
          </cell>
          <cell r="E127" t="str">
            <v>MOSES</v>
          </cell>
        </row>
        <row r="128">
          <cell r="C128" t="str">
            <v>190-17</v>
          </cell>
          <cell r="D128">
            <v>1830000</v>
          </cell>
          <cell r="E128" t="str">
            <v>YORK</v>
          </cell>
        </row>
        <row r="129">
          <cell r="C129" t="str">
            <v>904-17</v>
          </cell>
          <cell r="D129">
            <v>2110000</v>
          </cell>
          <cell r="E129" t="str">
            <v>OUN</v>
          </cell>
        </row>
        <row r="130">
          <cell r="C130" t="str">
            <v>195-17</v>
          </cell>
          <cell r="D130">
            <v>2000000</v>
          </cell>
          <cell r="E130" t="str">
            <v>STAMBAUGH</v>
          </cell>
        </row>
        <row r="131">
          <cell r="C131" t="str">
            <v>826-17</v>
          </cell>
          <cell r="D131">
            <v>2040000</v>
          </cell>
          <cell r="E131" t="str">
            <v>MOSES</v>
          </cell>
        </row>
        <row r="132">
          <cell r="C132" t="str">
            <v>197-17</v>
          </cell>
          <cell r="D132">
            <v>1770000</v>
          </cell>
          <cell r="E132" t="str">
            <v>BRUDER</v>
          </cell>
        </row>
        <row r="133">
          <cell r="C133" t="str">
            <v>827-17</v>
          </cell>
          <cell r="D133">
            <v>2110000</v>
          </cell>
          <cell r="E133" t="str">
            <v>OUN</v>
          </cell>
        </row>
        <row r="134">
          <cell r="C134" t="str">
            <v>50-17</v>
          </cell>
          <cell r="D134">
            <v>750000</v>
          </cell>
          <cell r="E134" t="str">
            <v>NATION</v>
          </cell>
        </row>
        <row r="135">
          <cell r="C135" t="str">
            <v>50-17</v>
          </cell>
          <cell r="D135">
            <v>750000</v>
          </cell>
          <cell r="E135" t="str">
            <v>NATION</v>
          </cell>
        </row>
        <row r="136">
          <cell r="C136" t="str">
            <v>192-17</v>
          </cell>
          <cell r="D136">
            <v>1540000</v>
          </cell>
          <cell r="E136" t="str">
            <v>HELVIE</v>
          </cell>
        </row>
        <row r="137">
          <cell r="C137" t="str">
            <v>199-17</v>
          </cell>
          <cell r="D137">
            <v>2030000</v>
          </cell>
          <cell r="E137" t="str">
            <v>KILLION</v>
          </cell>
        </row>
        <row r="138">
          <cell r="C138" t="str">
            <v>194-17</v>
          </cell>
          <cell r="D138">
            <v>1740000</v>
          </cell>
          <cell r="E138" t="str">
            <v>STORY</v>
          </cell>
        </row>
        <row r="139">
          <cell r="C139" t="str">
            <v>201-17</v>
          </cell>
          <cell r="D139">
            <v>940000</v>
          </cell>
          <cell r="E139" t="str">
            <v>BONDS</v>
          </cell>
        </row>
        <row r="140">
          <cell r="C140" t="str">
            <v>828-17</v>
          </cell>
          <cell r="D140">
            <v>2110000</v>
          </cell>
          <cell r="E140" t="str">
            <v>OUN</v>
          </cell>
        </row>
        <row r="141">
          <cell r="C141" t="str">
            <v>829-17</v>
          </cell>
          <cell r="D141">
            <v>2040000</v>
          </cell>
          <cell r="E141" t="str">
            <v>MOSES</v>
          </cell>
        </row>
        <row r="142">
          <cell r="C142" t="str">
            <v>203-17</v>
          </cell>
          <cell r="D142">
            <v>1830000</v>
          </cell>
          <cell r="E142" t="str">
            <v>YORK</v>
          </cell>
        </row>
        <row r="143">
          <cell r="C143" t="str">
            <v>196-17</v>
          </cell>
          <cell r="D143">
            <v>2000000</v>
          </cell>
          <cell r="E143" t="str">
            <v>STAMBAUGH</v>
          </cell>
        </row>
        <row r="144">
          <cell r="C144" t="str">
            <v>198-17</v>
          </cell>
          <cell r="D144">
            <v>1770000</v>
          </cell>
          <cell r="E144" t="str">
            <v>BRUDER</v>
          </cell>
        </row>
        <row r="145">
          <cell r="C145" t="str">
            <v>NATION-17</v>
          </cell>
          <cell r="D145">
            <v>750000</v>
          </cell>
          <cell r="E145" t="str">
            <v>NATION</v>
          </cell>
        </row>
        <row r="146">
          <cell r="C146" t="str">
            <v>205-17</v>
          </cell>
          <cell r="D146">
            <v>1540000</v>
          </cell>
          <cell r="E146" t="str">
            <v>HELVIE</v>
          </cell>
        </row>
        <row r="147">
          <cell r="C147" t="str">
            <v>830-17</v>
          </cell>
          <cell r="D147">
            <v>2040000</v>
          </cell>
          <cell r="E147" t="str">
            <v>MOSES</v>
          </cell>
        </row>
        <row r="148">
          <cell r="C148" t="str">
            <v>831-17</v>
          </cell>
          <cell r="D148">
            <v>2110000</v>
          </cell>
          <cell r="E148" t="str">
            <v>OUN</v>
          </cell>
        </row>
        <row r="149">
          <cell r="C149" t="str">
            <v>52-17</v>
          </cell>
          <cell r="D149">
            <v>1480000</v>
          </cell>
          <cell r="E149" t="str">
            <v>STURGEON</v>
          </cell>
        </row>
        <row r="150">
          <cell r="C150" t="str">
            <v>NATION-17</v>
          </cell>
          <cell r="D150">
            <v>750000</v>
          </cell>
          <cell r="E150" t="str">
            <v>NATION</v>
          </cell>
        </row>
        <row r="151">
          <cell r="C151" t="str">
            <v>200-17</v>
          </cell>
          <cell r="D151">
            <v>2030000</v>
          </cell>
          <cell r="E151" t="str">
            <v>KILLION</v>
          </cell>
        </row>
        <row r="152">
          <cell r="C152" t="str">
            <v>207-17</v>
          </cell>
          <cell r="D152">
            <v>1740000</v>
          </cell>
          <cell r="E152" t="str">
            <v>STORY</v>
          </cell>
        </row>
        <row r="153">
          <cell r="C153" t="str">
            <v>201-17</v>
          </cell>
          <cell r="D153">
            <v>940000</v>
          </cell>
          <cell r="E153" t="str">
            <v>BONDS</v>
          </cell>
        </row>
        <row r="154">
          <cell r="C154" t="str">
            <v>202-17</v>
          </cell>
          <cell r="D154">
            <v>940000</v>
          </cell>
          <cell r="E154" t="str">
            <v>BONDS</v>
          </cell>
        </row>
        <row r="155">
          <cell r="C155" t="str">
            <v>204-17</v>
          </cell>
          <cell r="D155">
            <v>1830000</v>
          </cell>
          <cell r="E155" t="str">
            <v>YORK</v>
          </cell>
        </row>
        <row r="156">
          <cell r="C156" t="str">
            <v>56-17</v>
          </cell>
          <cell r="D156">
            <v>1230000</v>
          </cell>
          <cell r="E156" t="str">
            <v>YANAI</v>
          </cell>
        </row>
        <row r="157">
          <cell r="C157" t="str">
            <v>209-17</v>
          </cell>
          <cell r="D157">
            <v>1480000</v>
          </cell>
          <cell r="E157" t="str">
            <v>STURGEON</v>
          </cell>
        </row>
        <row r="158">
          <cell r="C158" t="str">
            <v>832-17</v>
          </cell>
          <cell r="D158">
            <v>2110000</v>
          </cell>
          <cell r="E158" t="str">
            <v>OUN</v>
          </cell>
        </row>
        <row r="159">
          <cell r="C159" t="str">
            <v>833-17</v>
          </cell>
          <cell r="D159">
            <v>2040000</v>
          </cell>
          <cell r="E159" t="str">
            <v>MOSES</v>
          </cell>
        </row>
        <row r="160">
          <cell r="C160" t="str">
            <v>211-17</v>
          </cell>
          <cell r="D160">
            <v>2000000</v>
          </cell>
          <cell r="E160" t="str">
            <v>STAMBAUGH</v>
          </cell>
        </row>
        <row r="161">
          <cell r="C161" t="str">
            <v>206-17</v>
          </cell>
          <cell r="D161">
            <v>1540000</v>
          </cell>
          <cell r="E161" t="str">
            <v>HELVIE</v>
          </cell>
        </row>
        <row r="162">
          <cell r="C162" t="str">
            <v>56-17</v>
          </cell>
          <cell r="D162">
            <v>1770000</v>
          </cell>
          <cell r="E162" t="str">
            <v>BRUDER</v>
          </cell>
        </row>
        <row r="163">
          <cell r="C163" t="str">
            <v>56-17</v>
          </cell>
          <cell r="D163">
            <v>1770000</v>
          </cell>
          <cell r="E163" t="str">
            <v>BRUDER</v>
          </cell>
        </row>
        <row r="164">
          <cell r="C164" t="str">
            <v>834-17</v>
          </cell>
          <cell r="D164">
            <v>2040000</v>
          </cell>
          <cell r="E164" t="str">
            <v>MOSES</v>
          </cell>
        </row>
        <row r="165">
          <cell r="C165" t="str">
            <v>213-17</v>
          </cell>
          <cell r="D165">
            <v>2100000</v>
          </cell>
          <cell r="E165" t="str">
            <v>ISHMAEL</v>
          </cell>
        </row>
        <row r="166">
          <cell r="C166" t="str">
            <v>835-17</v>
          </cell>
          <cell r="D166">
            <v>2110000</v>
          </cell>
          <cell r="E166" t="str">
            <v>OUN</v>
          </cell>
        </row>
        <row r="167">
          <cell r="C167" t="str">
            <v>208-17</v>
          </cell>
          <cell r="D167">
            <v>1740000</v>
          </cell>
          <cell r="E167" t="str">
            <v>STORY</v>
          </cell>
        </row>
        <row r="168">
          <cell r="C168" t="str">
            <v>215-17</v>
          </cell>
          <cell r="D168">
            <v>2140000</v>
          </cell>
          <cell r="E168" t="str">
            <v>ROBINSON</v>
          </cell>
        </row>
        <row r="169">
          <cell r="C169" t="str">
            <v>210-17</v>
          </cell>
          <cell r="D169">
            <v>1480000</v>
          </cell>
          <cell r="E169" t="str">
            <v>STURGEON</v>
          </cell>
        </row>
        <row r="170">
          <cell r="C170" t="str">
            <v>836-17</v>
          </cell>
          <cell r="D170">
            <v>2110000</v>
          </cell>
          <cell r="E170" t="str">
            <v>OUN</v>
          </cell>
        </row>
        <row r="171">
          <cell r="C171" t="str">
            <v>217-17</v>
          </cell>
          <cell r="D171">
            <v>1300000</v>
          </cell>
          <cell r="E171" t="str">
            <v>LEVIN</v>
          </cell>
        </row>
        <row r="172">
          <cell r="C172" t="str">
            <v>837-17</v>
          </cell>
          <cell r="D172">
            <v>2040000</v>
          </cell>
          <cell r="E172" t="str">
            <v>MOSES</v>
          </cell>
        </row>
        <row r="173">
          <cell r="C173" t="str">
            <v>212-17</v>
          </cell>
          <cell r="D173">
            <v>2000000</v>
          </cell>
          <cell r="E173" t="str">
            <v>STAMBAUGH</v>
          </cell>
        </row>
        <row r="174">
          <cell r="C174" t="str">
            <v>219-17</v>
          </cell>
          <cell r="D174">
            <v>1780000</v>
          </cell>
          <cell r="E174" t="str">
            <v>DE LA ROSA</v>
          </cell>
        </row>
        <row r="175">
          <cell r="C175" t="str">
            <v>214-17</v>
          </cell>
          <cell r="D175">
            <v>2100000</v>
          </cell>
          <cell r="E175" t="str">
            <v>ISHMAEL</v>
          </cell>
        </row>
        <row r="176">
          <cell r="C176" t="str">
            <v>838-17</v>
          </cell>
          <cell r="D176">
            <v>2040000</v>
          </cell>
          <cell r="E176" t="str">
            <v>MOSES</v>
          </cell>
        </row>
        <row r="177">
          <cell r="C177" t="str">
            <v>303-17</v>
          </cell>
          <cell r="D177">
            <v>1740000</v>
          </cell>
          <cell r="E177" t="str">
            <v>STORY</v>
          </cell>
        </row>
        <row r="178">
          <cell r="C178" t="str">
            <v>839-17</v>
          </cell>
          <cell r="D178">
            <v>2110000</v>
          </cell>
          <cell r="E178" t="str">
            <v>OUN</v>
          </cell>
        </row>
        <row r="179">
          <cell r="C179" t="str">
            <v>216-17</v>
          </cell>
          <cell r="D179">
            <v>2140000</v>
          </cell>
          <cell r="E179" t="str">
            <v>ROBINSON</v>
          </cell>
        </row>
        <row r="180">
          <cell r="C180" t="str">
            <v>221-17</v>
          </cell>
          <cell r="D180">
            <v>1480000</v>
          </cell>
          <cell r="E180" t="str">
            <v>STURGEON</v>
          </cell>
        </row>
        <row r="181">
          <cell r="C181" t="str">
            <v>218-17</v>
          </cell>
          <cell r="D181">
            <v>1300000</v>
          </cell>
          <cell r="E181" t="str">
            <v>LEVIN</v>
          </cell>
        </row>
        <row r="182">
          <cell r="C182" t="str">
            <v>906-17</v>
          </cell>
          <cell r="D182">
            <v>2110000</v>
          </cell>
          <cell r="E182" t="str">
            <v>OUN</v>
          </cell>
        </row>
        <row r="183">
          <cell r="C183" t="str">
            <v>305-17</v>
          </cell>
          <cell r="D183">
            <v>2000000</v>
          </cell>
          <cell r="E183" t="str">
            <v>STAMBAUGH</v>
          </cell>
        </row>
        <row r="184">
          <cell r="C184" t="str">
            <v>220-17</v>
          </cell>
          <cell r="D184">
            <v>1780000</v>
          </cell>
          <cell r="E184" t="str">
            <v>DE LA ROSA</v>
          </cell>
        </row>
        <row r="185">
          <cell r="C185" t="str">
            <v>841-17</v>
          </cell>
          <cell r="D185">
            <v>2040000</v>
          </cell>
          <cell r="E185" t="str">
            <v>MOSES</v>
          </cell>
        </row>
        <row r="186">
          <cell r="C186" t="str">
            <v>305-17</v>
          </cell>
          <cell r="D186">
            <v>2000000</v>
          </cell>
          <cell r="E186" t="str">
            <v>STAMBAUGH</v>
          </cell>
        </row>
        <row r="187">
          <cell r="C187" t="str">
            <v>223-17</v>
          </cell>
          <cell r="D187">
            <v>2100000</v>
          </cell>
          <cell r="E187" t="str">
            <v>ISHMAEL</v>
          </cell>
        </row>
        <row r="188">
          <cell r="C188" t="str">
            <v>307-17</v>
          </cell>
          <cell r="D188">
            <v>2140000</v>
          </cell>
          <cell r="E188" t="str">
            <v>ROBINSON</v>
          </cell>
        </row>
        <row r="189">
          <cell r="C189" t="str">
            <v>840-17</v>
          </cell>
          <cell r="D189">
            <v>2040000</v>
          </cell>
          <cell r="E189" t="str">
            <v>MOSES</v>
          </cell>
        </row>
        <row r="190">
          <cell r="C190" t="str">
            <v>222-17</v>
          </cell>
          <cell r="D190">
            <v>1480000</v>
          </cell>
          <cell r="E190" t="str">
            <v>STURGEON</v>
          </cell>
        </row>
        <row r="191">
          <cell r="C191" t="str">
            <v>225-17</v>
          </cell>
          <cell r="D191">
            <v>1300000</v>
          </cell>
          <cell r="E191" t="str">
            <v>LEVIN</v>
          </cell>
        </row>
        <row r="192">
          <cell r="C192" t="str">
            <v>843-17</v>
          </cell>
          <cell r="D192">
            <v>2040000</v>
          </cell>
          <cell r="E192" t="str">
            <v>MOSES</v>
          </cell>
        </row>
        <row r="193">
          <cell r="C193" t="str">
            <v>224-17</v>
          </cell>
          <cell r="D193">
            <v>2100000</v>
          </cell>
          <cell r="E193" t="str">
            <v>ISHMAEL</v>
          </cell>
        </row>
        <row r="194">
          <cell r="C194" t="str">
            <v>227-17</v>
          </cell>
          <cell r="D194">
            <v>1780000</v>
          </cell>
          <cell r="E194" t="str">
            <v>DE LA ROSA</v>
          </cell>
        </row>
        <row r="195">
          <cell r="C195" t="str">
            <v>842-17</v>
          </cell>
          <cell r="D195">
            <v>2040000</v>
          </cell>
          <cell r="E195" t="str">
            <v>MOSES</v>
          </cell>
        </row>
        <row r="196">
          <cell r="C196" t="str">
            <v>226-17</v>
          </cell>
          <cell r="D196">
            <v>1300000</v>
          </cell>
          <cell r="E196" t="str">
            <v>LEVIN</v>
          </cell>
        </row>
        <row r="197">
          <cell r="C197" t="str">
            <v>229-17</v>
          </cell>
          <cell r="D197">
            <v>1480000</v>
          </cell>
          <cell r="E197" t="str">
            <v>STURGEON</v>
          </cell>
        </row>
        <row r="198">
          <cell r="C198" t="str">
            <v>845-17</v>
          </cell>
          <cell r="D198">
            <v>2110000</v>
          </cell>
          <cell r="E198" t="str">
            <v>OUN</v>
          </cell>
        </row>
        <row r="199">
          <cell r="C199" t="str">
            <v>231-17</v>
          </cell>
          <cell r="D199">
            <v>2100000</v>
          </cell>
          <cell r="E199" t="str">
            <v>ISHMAEL</v>
          </cell>
        </row>
        <row r="200">
          <cell r="C200" t="str">
            <v>228-17</v>
          </cell>
          <cell r="D200">
            <v>1780000</v>
          </cell>
          <cell r="E200" t="str">
            <v>DE LA ROSA</v>
          </cell>
        </row>
        <row r="201">
          <cell r="C201" t="str">
            <v>844-17</v>
          </cell>
          <cell r="D201">
            <v>2110000</v>
          </cell>
          <cell r="E201" t="str">
            <v>OUN</v>
          </cell>
        </row>
        <row r="202">
          <cell r="C202" t="str">
            <v>230-17</v>
          </cell>
          <cell r="D202">
            <v>1480000</v>
          </cell>
          <cell r="E202" t="str">
            <v>STURGEON</v>
          </cell>
        </row>
        <row r="203">
          <cell r="C203" t="str">
            <v>233-17</v>
          </cell>
          <cell r="D203">
            <v>1300000</v>
          </cell>
          <cell r="E203" t="str">
            <v>LEVIN</v>
          </cell>
        </row>
        <row r="204">
          <cell r="C204" t="str">
            <v>232-17</v>
          </cell>
          <cell r="D204">
            <v>2100000</v>
          </cell>
          <cell r="E204" t="str">
            <v>ISHMAEL</v>
          </cell>
        </row>
        <row r="205">
          <cell r="C205" t="str">
            <v>847-17</v>
          </cell>
          <cell r="D205">
            <v>2110000</v>
          </cell>
          <cell r="E205" t="str">
            <v>OUN</v>
          </cell>
        </row>
        <row r="206">
          <cell r="C206" t="str">
            <v>235-17</v>
          </cell>
          <cell r="D206">
            <v>1780000</v>
          </cell>
          <cell r="E206" t="str">
            <v>DE LA ROSA</v>
          </cell>
        </row>
        <row r="207">
          <cell r="C207" t="str">
            <v>908-17</v>
          </cell>
          <cell r="D207">
            <v>2110000</v>
          </cell>
          <cell r="E207" t="str">
            <v>OUN</v>
          </cell>
        </row>
        <row r="208">
          <cell r="C208" t="str">
            <v>234-17</v>
          </cell>
          <cell r="D208">
            <v>1300000</v>
          </cell>
          <cell r="E208" t="str">
            <v>LEVIN</v>
          </cell>
        </row>
        <row r="209">
          <cell r="C209" t="str">
            <v>237-17</v>
          </cell>
          <cell r="D209">
            <v>1480000</v>
          </cell>
          <cell r="E209" t="str">
            <v>STURGEON</v>
          </cell>
        </row>
        <row r="210">
          <cell r="C210" t="str">
            <v>239-17</v>
          </cell>
          <cell r="D210">
            <v>2100000</v>
          </cell>
          <cell r="E210" t="str">
            <v>ISHMAEL</v>
          </cell>
        </row>
        <row r="211">
          <cell r="C211" t="str">
            <v>236-17</v>
          </cell>
          <cell r="D211">
            <v>1780000</v>
          </cell>
          <cell r="E211" t="str">
            <v>DE LA ROSA</v>
          </cell>
        </row>
        <row r="212">
          <cell r="C212" t="str">
            <v>241-17</v>
          </cell>
          <cell r="D212">
            <v>1300000</v>
          </cell>
          <cell r="E212" t="str">
            <v>LEVIN</v>
          </cell>
        </row>
        <row r="213">
          <cell r="C213" t="str">
            <v>238-17</v>
          </cell>
          <cell r="D213">
            <v>1480000</v>
          </cell>
          <cell r="E213" t="str">
            <v>STURGEON</v>
          </cell>
        </row>
        <row r="214">
          <cell r="C214" t="str">
            <v>240-17</v>
          </cell>
          <cell r="D214">
            <v>2100000</v>
          </cell>
          <cell r="E214" t="str">
            <v>ISHMAEL</v>
          </cell>
        </row>
        <row r="215">
          <cell r="C215" t="str">
            <v>243-17</v>
          </cell>
          <cell r="D215">
            <v>1780000</v>
          </cell>
          <cell r="E215" t="str">
            <v>DE LA ROSA</v>
          </cell>
        </row>
        <row r="216">
          <cell r="C216" t="str">
            <v>243-17</v>
          </cell>
          <cell r="D216">
            <v>1780000</v>
          </cell>
          <cell r="E216" t="str">
            <v>DE LA ROSA</v>
          </cell>
        </row>
        <row r="217">
          <cell r="C217" t="str">
            <v>242-17</v>
          </cell>
          <cell r="D217">
            <v>1300000</v>
          </cell>
          <cell r="E217" t="str">
            <v>LEVIN</v>
          </cell>
        </row>
        <row r="218">
          <cell r="C218" t="str">
            <v>309-17</v>
          </cell>
          <cell r="D218">
            <v>1480000</v>
          </cell>
          <cell r="E218" t="str">
            <v>STURGEON</v>
          </cell>
        </row>
        <row r="219">
          <cell r="C219" t="str">
            <v>311-17</v>
          </cell>
          <cell r="D219">
            <v>2100000</v>
          </cell>
          <cell r="E219" t="str">
            <v>ISHMAEL</v>
          </cell>
        </row>
        <row r="220">
          <cell r="C220" t="str">
            <v>244-17</v>
          </cell>
          <cell r="D220">
            <v>1780000</v>
          </cell>
          <cell r="E220" t="str">
            <v>DE LA ROSA</v>
          </cell>
        </row>
        <row r="221">
          <cell r="C221" t="str">
            <v>313-17</v>
          </cell>
          <cell r="D221">
            <v>1300000</v>
          </cell>
          <cell r="E221" t="str">
            <v>LEVI</v>
          </cell>
        </row>
        <row r="222">
          <cell r="C222" t="str">
            <v>239-16</v>
          </cell>
          <cell r="D222">
            <v>1740000</v>
          </cell>
          <cell r="E222" t="str">
            <v>STORY</v>
          </cell>
        </row>
        <row r="223">
          <cell r="C223" t="str">
            <v>238-16</v>
          </cell>
          <cell r="D223">
            <v>2110000</v>
          </cell>
          <cell r="E223" t="str">
            <v>OUN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101-18</v>
          </cell>
          <cell r="B13">
            <v>4025</v>
          </cell>
          <cell r="C13" t="str">
            <v>DE.1.0.7.0</v>
          </cell>
          <cell r="D13" t="str">
            <v>204:744</v>
          </cell>
          <cell r="E13">
            <v>42600.132986111108</v>
          </cell>
          <cell r="F13">
            <v>42600.134189814817</v>
          </cell>
          <cell r="G13">
            <v>1</v>
          </cell>
          <cell r="H13" t="str">
            <v>204:233316</v>
          </cell>
          <cell r="I13">
            <v>42600.16846064815</v>
          </cell>
          <cell r="J13">
            <v>0</v>
          </cell>
          <cell r="K13" t="str">
            <v>4025/4026</v>
          </cell>
          <cell r="L13" t="str">
            <v>MAELZER</v>
          </cell>
          <cell r="M13">
            <v>3.4270833333721384E-2</v>
          </cell>
          <cell r="N13">
            <v>49.350000000558794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https://search-rtdc-monitor-bjffxe2xuh6vdkpspy63sjmuny.us-east-1.es.amazonaws.com/_plugin/kibana/#/discover/Steve-Slow-Train-Analysis-(2080s-and-2083s)?_g=(refreshInterval:(display:Off,section:0,value:0),time:(from:'2016-08-18 02:11:30-0600',mode:absolute,to:'2016-08-18 05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" t="str">
            <v>N</v>
          </cell>
          <cell r="X13" t="e">
            <v>#VALUE!</v>
          </cell>
          <cell r="Y13">
            <v>7.4399999999999994E-2</v>
          </cell>
          <cell r="Z13">
            <v>23.331600000000002</v>
          </cell>
          <cell r="AA13">
            <v>23.257200000000001</v>
          </cell>
          <cell r="AB13" t="e">
            <v>#N/A</v>
          </cell>
          <cell r="AC13" t="e">
            <v>#N/A</v>
          </cell>
          <cell r="AD13" t="str">
            <v>0101-18</v>
          </cell>
          <cell r="AE13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4">
          <cell r="A14" t="str">
            <v>102-18</v>
          </cell>
          <cell r="B14">
            <v>4037</v>
          </cell>
          <cell r="C14" t="str">
            <v>DE.1.0.7.0</v>
          </cell>
          <cell r="D14" t="str">
            <v>204:232667</v>
          </cell>
          <cell r="E14">
            <v>42600.168368055558</v>
          </cell>
          <cell r="F14">
            <v>42600.169166666667</v>
          </cell>
          <cell r="G14">
            <v>1</v>
          </cell>
          <cell r="H14" t="str">
            <v>204:223456</v>
          </cell>
          <cell r="I14">
            <v>42600.178391203706</v>
          </cell>
          <cell r="J14">
            <v>0</v>
          </cell>
          <cell r="K14" t="str">
            <v>4037/4038</v>
          </cell>
          <cell r="L14" t="str">
            <v>MAELZER</v>
          </cell>
          <cell r="M14">
            <v>9.2245370396994986E-3</v>
          </cell>
          <cell r="P14">
            <v>13.283333337167278</v>
          </cell>
          <cell r="R14" t="str">
            <v>78th 4S stuck at STOP</v>
          </cell>
          <cell r="S14">
            <v>0</v>
          </cell>
          <cell r="T14" t="str">
            <v>Southbound</v>
          </cell>
          <cell r="U14">
            <v>0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https://search-rtdc-monitor-bjffxe2xuh6vdkpspy63sjmuny.us-east-1.es.amazonaws.com/_plugin/kibana/#/discover/Steve-Slow-Train-Analysis-(2080s-and-2083s)?_g=(refreshInterval:(display:Off,section:0,value:0),time:(from:'2016-08-18 03:02:27-0600',mode:absolute,to:'2016-08-18 05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4" t="str">
            <v>Y</v>
          </cell>
          <cell r="X14">
            <v>1</v>
          </cell>
          <cell r="Y14">
            <v>23.2667</v>
          </cell>
          <cell r="Z14">
            <v>22.345600000000001</v>
          </cell>
          <cell r="AA14">
            <v>0.92109999999999914</v>
          </cell>
          <cell r="AB14" t="e">
            <v>#N/A</v>
          </cell>
          <cell r="AC14" t="e">
            <v>#N/A</v>
          </cell>
          <cell r="AD14" t="str">
            <v>0102-18</v>
          </cell>
          <cell r="AE14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5">
          <cell r="A15" t="str">
            <v>103-18</v>
          </cell>
          <cell r="B15">
            <v>4042</v>
          </cell>
          <cell r="C15" t="str">
            <v>DE.1.0.7.0</v>
          </cell>
          <cell r="D15" t="str">
            <v>204:732</v>
          </cell>
          <cell r="E15">
            <v>42600.156504629631</v>
          </cell>
          <cell r="F15">
            <v>42600.157627314817</v>
          </cell>
          <cell r="G15">
            <v>1</v>
          </cell>
          <cell r="H15" t="str">
            <v>204:233312</v>
          </cell>
          <cell r="I15">
            <v>42600.185277777775</v>
          </cell>
          <cell r="J15">
            <v>0</v>
          </cell>
          <cell r="K15" t="str">
            <v>4041/4042</v>
          </cell>
          <cell r="L15" t="str">
            <v>SPECTOR</v>
          </cell>
          <cell r="M15">
            <v>2.7650462958263233E-2</v>
          </cell>
          <cell r="N15">
            <v>39.816666659899056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https://search-rtdc-monitor-bjffxe2xuh6vdkpspy63sjmuny.us-east-1.es.amazonaws.com/_plugin/kibana/#/discover/Steve-Slow-Train-Analysis-(2080s-and-2083s)?_g=(refreshInterval:(display:Off,section:0,value:0),time:(from:'2016-08-18 02:45:22-0600',mode:absolute,to:'2016-08-18 05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5" t="str">
            <v>N</v>
          </cell>
          <cell r="X15">
            <v>1</v>
          </cell>
          <cell r="Y15">
            <v>7.3200000000000001E-2</v>
          </cell>
          <cell r="Z15">
            <v>23.331199999999999</v>
          </cell>
          <cell r="AA15">
            <v>23.257999999999999</v>
          </cell>
          <cell r="AB15" t="e">
            <v>#N/A</v>
          </cell>
          <cell r="AC15" t="e">
            <v>#N/A</v>
          </cell>
          <cell r="AD15" t="str">
            <v>0103-18</v>
          </cell>
          <cell r="AE15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16">
          <cell r="A16" t="str">
            <v>104-18</v>
          </cell>
          <cell r="B16">
            <v>4043</v>
          </cell>
          <cell r="C16" t="str">
            <v>DE.1.0.7.0</v>
          </cell>
          <cell r="D16" t="str">
            <v>204:232654</v>
          </cell>
          <cell r="E16">
            <v>42600.191990740743</v>
          </cell>
          <cell r="F16">
            <v>42600.196840277778</v>
          </cell>
          <cell r="G16">
            <v>6</v>
          </cell>
          <cell r="H16" t="str">
            <v>204:138</v>
          </cell>
          <cell r="I16">
            <v>42600.224629629629</v>
          </cell>
          <cell r="J16">
            <v>0</v>
          </cell>
          <cell r="K16" t="str">
            <v>4043/4044</v>
          </cell>
          <cell r="L16" t="str">
            <v>SPECTOR</v>
          </cell>
          <cell r="M16">
            <v>2.7789351850515231E-2</v>
          </cell>
          <cell r="N16">
            <v>40.016666664741933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https://search-rtdc-monitor-bjffxe2xuh6vdkpspy63sjmuny.us-east-1.es.amazonaws.com/_plugin/kibana/#/discover/Steve-Slow-Train-Analysis-(2080s-and-2083s)?_g=(refreshInterval:(display:Off,section:0,value:0),time:(from:'2016-08-18 03:36:28-0600',mode:absolute,to:'2016-08-18 06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6" t="str">
            <v>N</v>
          </cell>
          <cell r="X16">
            <v>1</v>
          </cell>
          <cell r="Y16">
            <v>23.2654</v>
          </cell>
          <cell r="Z16">
            <v>1.38E-2</v>
          </cell>
          <cell r="AA16">
            <v>23.2516</v>
          </cell>
          <cell r="AB16" t="e">
            <v>#N/A</v>
          </cell>
          <cell r="AC16" t="e">
            <v>#N/A</v>
          </cell>
          <cell r="AD16" t="str">
            <v>0104-18</v>
          </cell>
          <cell r="AE16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7">
          <cell r="A17" t="str">
            <v>105-18</v>
          </cell>
          <cell r="B17">
            <v>4027</v>
          </cell>
          <cell r="C17" t="str">
            <v>DE.1.0.7.0</v>
          </cell>
          <cell r="D17" t="str">
            <v>204:721</v>
          </cell>
          <cell r="E17">
            <v>42600.175266203703</v>
          </cell>
          <cell r="F17">
            <v>42600.17628472222</v>
          </cell>
          <cell r="G17">
            <v>1</v>
          </cell>
          <cell r="H17" t="str">
            <v>204:233322</v>
          </cell>
          <cell r="I17">
            <v>42600.202893518515</v>
          </cell>
          <cell r="J17">
            <v>0</v>
          </cell>
          <cell r="K17" t="str">
            <v>4027/4028</v>
          </cell>
          <cell r="L17" t="str">
            <v>MALAVE</v>
          </cell>
          <cell r="M17">
            <v>2.6608796295477077E-2</v>
          </cell>
          <cell r="N17">
            <v>38.316666665486991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https://search-rtdc-monitor-bjffxe2xuh6vdkpspy63sjmuny.us-east-1.es.amazonaws.com/_plugin/kibana/#/discover/Steve-Slow-Train-Analysis-(2080s-and-2083s)?_g=(refreshInterval:(display:Off,section:0,value:0),time:(from:'2016-08-18 03:12:23-0600',mode:absolute,to:'2016-08-18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7" t="str">
            <v>N</v>
          </cell>
          <cell r="X17">
            <v>1</v>
          </cell>
          <cell r="Y17">
            <v>7.2099999999999997E-2</v>
          </cell>
          <cell r="Z17">
            <v>23.3322</v>
          </cell>
          <cell r="AA17">
            <v>23.260100000000001</v>
          </cell>
          <cell r="AB17" t="e">
            <v>#N/A</v>
          </cell>
          <cell r="AC17" t="e">
            <v>#N/A</v>
          </cell>
          <cell r="AD17" t="str">
            <v>0105-18</v>
          </cell>
          <cell r="AE17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8">
          <cell r="A18" t="str">
            <v>106-18</v>
          </cell>
          <cell r="B18">
            <v>4030</v>
          </cell>
          <cell r="C18" t="str">
            <v>DE.1.0.7.0</v>
          </cell>
          <cell r="D18" t="str">
            <v>204:232644</v>
          </cell>
          <cell r="E18">
            <v>42600.215127314812</v>
          </cell>
          <cell r="F18">
            <v>42600.216064814813</v>
          </cell>
          <cell r="G18">
            <v>1</v>
          </cell>
          <cell r="H18" t="str">
            <v>204:161</v>
          </cell>
          <cell r="I18">
            <v>42600.243969907409</v>
          </cell>
          <cell r="J18">
            <v>0</v>
          </cell>
          <cell r="K18" t="str">
            <v>4029/4030</v>
          </cell>
          <cell r="L18" t="str">
            <v>MALAVE</v>
          </cell>
          <cell r="M18">
            <v>2.7905092596483883E-2</v>
          </cell>
          <cell r="N18">
            <v>40.183333338936791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https://search-rtdc-monitor-bjffxe2xuh6vdkpspy63sjmuny.us-east-1.es.amazonaws.com/_plugin/kibana/#/discover/Steve-Slow-Train-Analysis-(2080s-and-2083s)?_g=(refreshInterval:(display:Off,section:0,value:0),time:(from:'2016-08-18 04:09:47-0600',mode:absolute,to:'2016-08-18 06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" t="str">
            <v>N</v>
          </cell>
          <cell r="X18">
            <v>1</v>
          </cell>
          <cell r="Y18">
            <v>23.264399999999998</v>
          </cell>
          <cell r="Z18">
            <v>1.61E-2</v>
          </cell>
          <cell r="AA18">
            <v>23.248299999999997</v>
          </cell>
          <cell r="AB18">
            <v>42961</v>
          </cell>
          <cell r="AC18" t="str">
            <v>GRADE CROSSING</v>
          </cell>
          <cell r="AD18" t="str">
            <v>0106-18</v>
          </cell>
          <cell r="AE18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9">
          <cell r="A19" t="str">
            <v>107-18</v>
          </cell>
          <cell r="B19">
            <v>4007</v>
          </cell>
          <cell r="C19" t="str">
            <v>DE.1.0.7.0</v>
          </cell>
          <cell r="D19" t="str">
            <v>204:482</v>
          </cell>
          <cell r="E19">
            <v>42600.179513888892</v>
          </cell>
          <cell r="F19">
            <v>42600.180601851855</v>
          </cell>
          <cell r="G19">
            <v>1</v>
          </cell>
          <cell r="H19" t="str">
            <v>204:233289</v>
          </cell>
          <cell r="I19">
            <v>42600.215381944443</v>
          </cell>
          <cell r="J19">
            <v>0</v>
          </cell>
          <cell r="K19" t="str">
            <v>4007/4008</v>
          </cell>
          <cell r="L19" t="str">
            <v>STRICKLAND</v>
          </cell>
          <cell r="M19">
            <v>3.478009258833481E-2</v>
          </cell>
          <cell r="N19">
            <v>50.083333327202126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https://search-rtdc-monitor-bjffxe2xuh6vdkpspy63sjmuny.us-east-1.es.amazonaws.com/_plugin/kibana/#/discover/Steve-Slow-Train-Analysis-(2080s-and-2083s)?_g=(refreshInterval:(display:Off,section:0,value:0),time:(from:'2016-08-18 03:18:30-0600',mode:absolute,to:'2016-08-18 06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" t="str">
            <v>N</v>
          </cell>
          <cell r="X19">
            <v>1</v>
          </cell>
          <cell r="Y19">
            <v>4.82E-2</v>
          </cell>
          <cell r="Z19">
            <v>23.328900000000001</v>
          </cell>
          <cell r="AA19">
            <v>23.2807</v>
          </cell>
          <cell r="AB19" t="e">
            <v>#N/A</v>
          </cell>
          <cell r="AC19" t="e">
            <v>#N/A</v>
          </cell>
          <cell r="AD19" t="str">
            <v>0107-18</v>
          </cell>
          <cell r="AE19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20">
          <cell r="A20" t="str">
            <v>108-18</v>
          </cell>
          <cell r="B20">
            <v>4008</v>
          </cell>
          <cell r="C20" t="str">
            <v>DE.1.0.7.0</v>
          </cell>
          <cell r="D20" t="str">
            <v>204:232985</v>
          </cell>
          <cell r="E20">
            <v>42600.223761574074</v>
          </cell>
          <cell r="F20">
            <v>42600.225347222222</v>
          </cell>
          <cell r="G20">
            <v>2</v>
          </cell>
          <cell r="H20" t="str">
            <v>204:167</v>
          </cell>
          <cell r="I20">
            <v>42600.255011574074</v>
          </cell>
          <cell r="J20">
            <v>0</v>
          </cell>
          <cell r="K20" t="str">
            <v>4007/4008</v>
          </cell>
          <cell r="L20" t="str">
            <v>STRICKLAND</v>
          </cell>
          <cell r="M20">
            <v>2.9664351852261461E-2</v>
          </cell>
          <cell r="N20">
            <v>42.716666667256504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https://search-rtdc-monitor-bjffxe2xuh6vdkpspy63sjmuny.us-east-1.es.amazonaws.com/_plugin/kibana/#/discover/Steve-Slow-Train-Analysis-(2080s-and-2083s)?_g=(refreshInterval:(display:Off,section:0,value:0),time:(from:'2016-08-18 04:22:13-0600',mode:absolute,to:'2016-08-18 07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" t="str">
            <v>N</v>
          </cell>
          <cell r="X20">
            <v>1</v>
          </cell>
          <cell r="Y20">
            <v>23.298500000000001</v>
          </cell>
          <cell r="Z20">
            <v>1.67E-2</v>
          </cell>
          <cell r="AA20">
            <v>23.2818</v>
          </cell>
          <cell r="AB20" t="e">
            <v>#N/A</v>
          </cell>
          <cell r="AC20" t="e">
            <v>#N/A</v>
          </cell>
          <cell r="AD20" t="str">
            <v>0108-18</v>
          </cell>
          <cell r="AE20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21">
          <cell r="A21" t="str">
            <v>109-18</v>
          </cell>
          <cell r="B21">
            <v>4009</v>
          </cell>
          <cell r="C21" t="str">
            <v>DE.1.0.7.0</v>
          </cell>
          <cell r="D21" t="str">
            <v>204:446</v>
          </cell>
          <cell r="E21">
            <v>42600.189432870371</v>
          </cell>
          <cell r="F21">
            <v>42600.190335648149</v>
          </cell>
          <cell r="G21">
            <v>1</v>
          </cell>
          <cell r="H21" t="str">
            <v>204:233299</v>
          </cell>
          <cell r="I21">
            <v>42600.222546296296</v>
          </cell>
          <cell r="J21">
            <v>0</v>
          </cell>
          <cell r="K21" t="str">
            <v>4009/4010</v>
          </cell>
          <cell r="L21" t="str">
            <v>ROCHA</v>
          </cell>
          <cell r="M21">
            <v>3.2210648147156462E-2</v>
          </cell>
          <cell r="N21">
            <v>46.383333331905305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https://search-rtdc-monitor-bjffxe2xuh6vdkpspy63sjmuny.us-east-1.es.amazonaws.com/_plugin/kibana/#/discover/Steve-Slow-Train-Analysis-(2080s-and-2083s)?_g=(refreshInterval:(display:Off,section:0,value:0),time:(from:'2016-08-18 03:32:47-0600',mode:absolute,to:'2016-08-18 06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" t="str">
            <v>N</v>
          </cell>
          <cell r="X21">
            <v>1</v>
          </cell>
          <cell r="Y21">
            <v>4.4600000000000001E-2</v>
          </cell>
          <cell r="Z21">
            <v>23.329899999999999</v>
          </cell>
          <cell r="AA21">
            <v>23.285299999999999</v>
          </cell>
          <cell r="AB21" t="e">
            <v>#N/A</v>
          </cell>
          <cell r="AC21" t="e">
            <v>#N/A</v>
          </cell>
          <cell r="AD21" t="str">
            <v>0109-18</v>
          </cell>
          <cell r="AE21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2">
          <cell r="A22" t="str">
            <v>110-18</v>
          </cell>
          <cell r="B22">
            <v>4010</v>
          </cell>
          <cell r="C22" t="str">
            <v>DE.1.0.7.0</v>
          </cell>
          <cell r="D22" t="str">
            <v>204:232988</v>
          </cell>
          <cell r="E22">
            <v>42600.236111111109</v>
          </cell>
          <cell r="F22">
            <v>42600.237222222226</v>
          </cell>
          <cell r="G22">
            <v>1</v>
          </cell>
          <cell r="H22" t="str">
            <v>204:156</v>
          </cell>
          <cell r="I22">
            <v>42600.264907407407</v>
          </cell>
          <cell r="J22">
            <v>0</v>
          </cell>
          <cell r="K22" t="str">
            <v>4009/4010</v>
          </cell>
          <cell r="L22" t="str">
            <v>ROCHA</v>
          </cell>
          <cell r="M22">
            <v>2.7685185181326233E-2</v>
          </cell>
          <cell r="N22">
            <v>39.866666661109775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https://search-rtdc-monitor-bjffxe2xuh6vdkpspy63sjmuny.us-east-1.es.amazonaws.com/_plugin/kibana/#/discover/Steve-Slow-Train-Analysis-(2080s-and-2083s)?_g=(refreshInterval:(display:Off,section:0,value:0),time:(from:'2016-08-18 04:40:00-0600',mode:absolute,to:'2016-08-18 07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2" t="str">
            <v>N</v>
          </cell>
          <cell r="X22">
            <v>1</v>
          </cell>
          <cell r="Y22">
            <v>23.2988</v>
          </cell>
          <cell r="Z22">
            <v>1.5599999999999999E-2</v>
          </cell>
          <cell r="AA22">
            <v>23.283200000000001</v>
          </cell>
          <cell r="AB22" t="e">
            <v>#N/A</v>
          </cell>
          <cell r="AC22" t="e">
            <v>#N/A</v>
          </cell>
          <cell r="AD22" t="str">
            <v>0110-18</v>
          </cell>
          <cell r="AE22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23">
          <cell r="A23" t="str">
            <v>111-18</v>
          </cell>
          <cell r="B23">
            <v>4025</v>
          </cell>
          <cell r="C23" t="str">
            <v>DE.1.0.7.0</v>
          </cell>
          <cell r="D23" t="str">
            <v>204:19118</v>
          </cell>
          <cell r="E23">
            <v>42600.211956018517</v>
          </cell>
          <cell r="F23">
            <v>42600.218217592592</v>
          </cell>
          <cell r="G23">
            <v>9</v>
          </cell>
          <cell r="H23" t="str">
            <v>204:233304</v>
          </cell>
          <cell r="I23">
            <v>42600.241944444446</v>
          </cell>
          <cell r="J23">
            <v>0</v>
          </cell>
          <cell r="K23" t="str">
            <v>4025/4026</v>
          </cell>
          <cell r="L23" t="str">
            <v>STARKS</v>
          </cell>
          <cell r="M23">
            <v>2.3726851854007691E-2</v>
          </cell>
          <cell r="P23">
            <v>34.166666669771075</v>
          </cell>
          <cell r="R23" t="str">
            <v>TMDS sent repeated consist updates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https://search-rtdc-monitor-bjffxe2xuh6vdkpspy63sjmuny.us-east-1.es.amazonaws.com/_plugin/kibana/#/discover/Steve-Slow-Train-Analysis-(2080s-and-2083s)?_g=(refreshInterval:(display:Off,section:0,value:0),time:(from:'2016-08-18 04:05:13-0600',mode:absolute,to:'2016-08-18 06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3" t="str">
            <v>Y</v>
          </cell>
          <cell r="X23">
            <v>1</v>
          </cell>
          <cell r="Y23">
            <v>1.9117999999999999</v>
          </cell>
          <cell r="Z23">
            <v>23.330400000000001</v>
          </cell>
          <cell r="AA23">
            <v>21.418600000000001</v>
          </cell>
          <cell r="AB23" t="e">
            <v>#N/A</v>
          </cell>
          <cell r="AC23" t="e">
            <v>#N/A</v>
          </cell>
          <cell r="AD23" t="str">
            <v>0111-18</v>
          </cell>
          <cell r="AE23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24">
          <cell r="A24" t="str">
            <v>112-18</v>
          </cell>
          <cell r="B24">
            <v>4026</v>
          </cell>
          <cell r="C24" t="str">
            <v>DE.1.0.7.0</v>
          </cell>
          <cell r="D24" t="str">
            <v>204:232987</v>
          </cell>
          <cell r="E24">
            <v>42600.245335648149</v>
          </cell>
          <cell r="F24">
            <v>42600.246469907404</v>
          </cell>
          <cell r="G24">
            <v>1</v>
          </cell>
          <cell r="H24" t="str">
            <v>204:156</v>
          </cell>
          <cell r="I24">
            <v>42600.275659722225</v>
          </cell>
          <cell r="J24">
            <v>0</v>
          </cell>
          <cell r="K24" t="str">
            <v>4025/4026</v>
          </cell>
          <cell r="L24" t="str">
            <v>STARKS</v>
          </cell>
          <cell r="M24">
            <v>2.9189814820711035E-2</v>
          </cell>
          <cell r="N24">
            <v>42.033333341823891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https://search-rtdc-monitor-bjffxe2xuh6vdkpspy63sjmuny.us-east-1.es.amazonaws.com/_plugin/kibana/#/discover/Steve-Slow-Train-Analysis-(2080s-and-2083s)?_g=(refreshInterval:(display:Off,section:0,value:0),time:(from:'2016-08-18 04:53:17-0600',mode:absolute,to:'2016-08-18 07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4" t="str">
            <v>N</v>
          </cell>
          <cell r="X24">
            <v>1</v>
          </cell>
          <cell r="Y24">
            <v>23.2987</v>
          </cell>
          <cell r="Z24">
            <v>1.5599999999999999E-2</v>
          </cell>
          <cell r="AA24">
            <v>23.283100000000001</v>
          </cell>
          <cell r="AB24" t="e">
            <v>#N/A</v>
          </cell>
          <cell r="AC24" t="e">
            <v>#N/A</v>
          </cell>
          <cell r="AD24" t="str">
            <v>0112-18</v>
          </cell>
          <cell r="AE24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25">
          <cell r="A25" t="str">
            <v>113-18</v>
          </cell>
          <cell r="B25">
            <v>4038</v>
          </cell>
          <cell r="C25" t="str">
            <v>DE.1.0.7.0</v>
          </cell>
          <cell r="D25" t="str">
            <v>204:462</v>
          </cell>
          <cell r="E25">
            <v>42600.214722222219</v>
          </cell>
          <cell r="F25">
            <v>42600.215902777774</v>
          </cell>
          <cell r="G25">
            <v>1</v>
          </cell>
          <cell r="H25" t="str">
            <v>204:233289</v>
          </cell>
          <cell r="I25">
            <v>42600.246759259258</v>
          </cell>
          <cell r="J25">
            <v>0</v>
          </cell>
          <cell r="K25" t="str">
            <v>4037/4038</v>
          </cell>
          <cell r="L25" t="str">
            <v>MAELZER</v>
          </cell>
          <cell r="M25">
            <v>3.0856481484079268E-2</v>
          </cell>
          <cell r="N25">
            <v>44.433333337074146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https://search-rtdc-monitor-bjffxe2xuh6vdkpspy63sjmuny.us-east-1.es.amazonaws.com/_plugin/kibana/#/discover/Steve-Slow-Train-Analysis-(2080s-and-2083s)?_g=(refreshInterval:(display:Off,section:0,value:0),time:(from:'2016-08-18 04:09:12-0600',mode:absolute,to:'2016-08-18 06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25" t="str">
            <v>N</v>
          </cell>
          <cell r="X25">
            <v>1</v>
          </cell>
          <cell r="Y25">
            <v>4.6199999999999998E-2</v>
          </cell>
          <cell r="Z25">
            <v>23.328900000000001</v>
          </cell>
          <cell r="AA25">
            <v>23.282700000000002</v>
          </cell>
          <cell r="AB25" t="e">
            <v>#N/A</v>
          </cell>
          <cell r="AC25" t="e">
            <v>#N/A</v>
          </cell>
          <cell r="AD25" t="str">
            <v>0113-18</v>
          </cell>
          <cell r="AE25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26">
          <cell r="A26" t="str">
            <v>114-18</v>
          </cell>
          <cell r="B26">
            <v>4037</v>
          </cell>
          <cell r="C26" t="str">
            <v>DE.1.0.7.0</v>
          </cell>
          <cell r="D26" t="str">
            <v>204:232963</v>
          </cell>
          <cell r="E26">
            <v>42600.251550925925</v>
          </cell>
          <cell r="F26">
            <v>42600.252638888887</v>
          </cell>
          <cell r="G26">
            <v>1</v>
          </cell>
          <cell r="H26" t="str">
            <v>204:147</v>
          </cell>
          <cell r="I26">
            <v>42600.285613425927</v>
          </cell>
          <cell r="J26">
            <v>0</v>
          </cell>
          <cell r="K26" t="str">
            <v>4037/4038</v>
          </cell>
          <cell r="L26" t="str">
            <v>MAELZER</v>
          </cell>
          <cell r="M26">
            <v>3.2974537039990537E-2</v>
          </cell>
          <cell r="N26">
            <v>47.483333337586373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https://search-rtdc-monitor-bjffxe2xuh6vdkpspy63sjmuny.us-east-1.es.amazonaws.com/_plugin/kibana/#/discover/Steve-Slow-Train-Analysis-(2080s-and-2083s)?_g=(refreshInterval:(display:Off,section:0,value:0),time:(from:'2016-08-18 05:02:14-0600',mode:absolute,to:'2016-08-18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6" t="str">
            <v>N</v>
          </cell>
          <cell r="X26">
            <v>1</v>
          </cell>
          <cell r="Y26">
            <v>23.296299999999999</v>
          </cell>
          <cell r="Z26">
            <v>1.47E-2</v>
          </cell>
          <cell r="AA26">
            <v>23.281599999999997</v>
          </cell>
          <cell r="AB26" t="e">
            <v>#N/A</v>
          </cell>
          <cell r="AC26" t="e">
            <v>#N/A</v>
          </cell>
          <cell r="AD26" t="str">
            <v>0114-18</v>
          </cell>
          <cell r="AE26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27">
          <cell r="A27" t="str">
            <v>115-18</v>
          </cell>
          <cell r="B27">
            <v>4042</v>
          </cell>
          <cell r="C27" t="str">
            <v>DE.1.0.7.0</v>
          </cell>
          <cell r="D27" t="str">
            <v>204:744</v>
          </cell>
          <cell r="E27">
            <v>42600.226006944446</v>
          </cell>
          <cell r="F27">
            <v>42600.227106481485</v>
          </cell>
          <cell r="G27">
            <v>1</v>
          </cell>
          <cell r="H27" t="str">
            <v>204:233287</v>
          </cell>
          <cell r="I27">
            <v>42600.256828703707</v>
          </cell>
          <cell r="J27">
            <v>0</v>
          </cell>
          <cell r="K27" t="str">
            <v>4041/4042</v>
          </cell>
          <cell r="L27" t="str">
            <v>BRANNON</v>
          </cell>
          <cell r="M27">
            <v>2.9722222221607808E-2</v>
          </cell>
          <cell r="N27">
            <v>42.799999999115244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https://search-rtdc-monitor-bjffxe2xuh6vdkpspy63sjmuny.us-east-1.es.amazonaws.com/_plugin/kibana/#/discover/Steve-Slow-Train-Analysis-(2080s-and-2083s)?_g=(refreshInterval:(display:Off,section:0,value:0),time:(from:'2016-08-18 04:25:27-0600',mode:absolute,to:'2016-08-18 07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7" t="str">
            <v>N</v>
          </cell>
          <cell r="X27">
            <v>1</v>
          </cell>
          <cell r="Y27">
            <v>7.4399999999999994E-2</v>
          </cell>
          <cell r="Z27">
            <v>23.328700000000001</v>
          </cell>
          <cell r="AA27">
            <v>23.254300000000001</v>
          </cell>
          <cell r="AB27" t="e">
            <v>#N/A</v>
          </cell>
          <cell r="AC27" t="e">
            <v>#N/A</v>
          </cell>
          <cell r="AD27" t="str">
            <v>0115-18</v>
          </cell>
          <cell r="AE27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28">
          <cell r="A28" t="str">
            <v>116-18</v>
          </cell>
          <cell r="B28">
            <v>4041</v>
          </cell>
          <cell r="C28" t="str">
            <v>DE.1.0.7.0</v>
          </cell>
          <cell r="D28" t="str">
            <v>204:232977</v>
          </cell>
          <cell r="E28">
            <v>42600.262719907405</v>
          </cell>
          <cell r="F28">
            <v>42600.264027777775</v>
          </cell>
          <cell r="G28">
            <v>1</v>
          </cell>
          <cell r="H28" t="str">
            <v>204:147</v>
          </cell>
          <cell r="I28">
            <v>42600.297048611108</v>
          </cell>
          <cell r="J28">
            <v>0</v>
          </cell>
          <cell r="K28" t="str">
            <v>4041/4042</v>
          </cell>
          <cell r="L28" t="str">
            <v>BRANNON</v>
          </cell>
          <cell r="M28">
            <v>3.3020833332557231E-2</v>
          </cell>
          <cell r="N28">
            <v>47.549999998882413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https://search-rtdc-monitor-bjffxe2xuh6vdkpspy63sjmuny.us-east-1.es.amazonaws.com/_plugin/kibana/#/discover/Steve-Slow-Train-Analysis-(2080s-and-2083s)?_g=(refreshInterval:(display:Off,section:0,value:0),time:(from:'2016-08-18 05:18:19-0600',mode:absolute,to:'2016-08-18 08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1.47E-2</v>
          </cell>
          <cell r="AA28">
            <v>23.282999999999998</v>
          </cell>
          <cell r="AB28" t="e">
            <v>#N/A</v>
          </cell>
          <cell r="AC28" t="e">
            <v>#N/A</v>
          </cell>
          <cell r="AD28" t="str">
            <v>0116-18</v>
          </cell>
          <cell r="AE28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29">
          <cell r="A29" t="str">
            <v>117-18</v>
          </cell>
          <cell r="B29">
            <v>4044</v>
          </cell>
          <cell r="C29" t="str">
            <v>DE.1.0.7.0</v>
          </cell>
          <cell r="D29" t="str">
            <v>204:453</v>
          </cell>
          <cell r="E29">
            <v>42600.231805555559</v>
          </cell>
          <cell r="F29">
            <v>42600.233171296299</v>
          </cell>
          <cell r="G29">
            <v>1</v>
          </cell>
          <cell r="H29" t="str">
            <v>204:37193</v>
          </cell>
          <cell r="I29">
            <v>42600.246840277781</v>
          </cell>
          <cell r="J29">
            <v>0</v>
          </cell>
          <cell r="K29" t="str">
            <v>4043/4044</v>
          </cell>
          <cell r="L29" t="str">
            <v>SPECTOR</v>
          </cell>
          <cell r="M29">
            <v>1.3668981482624076E-2</v>
          </cell>
          <cell r="P29">
            <v>19.68333333497867</v>
          </cell>
          <cell r="R29" t="str">
            <v>Onboard in-route failure</v>
          </cell>
          <cell r="S29">
            <v>0.25</v>
          </cell>
          <cell r="T29" t="str">
            <v>NorthBound</v>
          </cell>
          <cell r="U29">
            <v>3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https://search-rtdc-monitor-bjffxe2xuh6vdkpspy63sjmuny.us-east-1.es.amazonaws.com/_plugin/kibana/#/discover/Steve-Slow-Train-Analysis-(2080s-and-2083s)?_g=(refreshInterval:(display:Off,section:0,value:0),time:(from:'2016-08-18 04:33:48-0600',mode:absolute,to:'2016-08-18 06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9" t="str">
            <v>Y</v>
          </cell>
          <cell r="X29">
            <v>1</v>
          </cell>
          <cell r="Y29">
            <v>4.53E-2</v>
          </cell>
          <cell r="Z29">
            <v>3.7193000000000001</v>
          </cell>
          <cell r="AA29">
            <v>3.6739999999999999</v>
          </cell>
          <cell r="AB29" t="e">
            <v>#N/A</v>
          </cell>
          <cell r="AC29" t="e">
            <v>#N/A</v>
          </cell>
          <cell r="AD29" t="str">
            <v>0117-18</v>
          </cell>
          <cell r="AE29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30">
          <cell r="A30" t="str">
            <v>118-18</v>
          </cell>
          <cell r="B30">
            <v>4043</v>
          </cell>
          <cell r="C30" t="str">
            <v>DE.1.0.7.0</v>
          </cell>
          <cell r="D30" t="str">
            <v>204:232990</v>
          </cell>
          <cell r="E30">
            <v>42600.273564814815</v>
          </cell>
          <cell r="F30">
            <v>42600.274756944447</v>
          </cell>
          <cell r="G30">
            <v>1</v>
          </cell>
          <cell r="H30" t="str">
            <v>204:141</v>
          </cell>
          <cell r="I30">
            <v>42600.307604166665</v>
          </cell>
          <cell r="J30">
            <v>0</v>
          </cell>
          <cell r="K30" t="str">
            <v>4043/4044</v>
          </cell>
          <cell r="L30" t="str">
            <v>SPECTOR</v>
          </cell>
          <cell r="M30">
            <v>3.2847222217242233E-2</v>
          </cell>
          <cell r="N30">
            <v>47.299999992828816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https://search-rtdc-monitor-bjffxe2xuh6vdkpspy63sjmuny.us-east-1.es.amazonaws.com/_plugin/kibana/#/discover/Steve-Slow-Train-Analysis-(2080s-and-2083s)?_g=(refreshInterval:(display:Off,section:0,value:0),time:(from:'2016-08-18 05:33:56-0600',mode:absolute,to:'2016-08-18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0" t="str">
            <v>N</v>
          </cell>
          <cell r="X30">
            <v>1</v>
          </cell>
          <cell r="Y30">
            <v>23.298999999999999</v>
          </cell>
          <cell r="Z30">
            <v>1.41E-2</v>
          </cell>
          <cell r="AA30">
            <v>23.2849</v>
          </cell>
          <cell r="AB30" t="e">
            <v>#N/A</v>
          </cell>
          <cell r="AC30" t="e">
            <v>#N/A</v>
          </cell>
          <cell r="AD30" t="str">
            <v>0118-18</v>
          </cell>
          <cell r="AE30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31">
          <cell r="A31" t="str">
            <v>119-18</v>
          </cell>
          <cell r="B31">
            <v>4027</v>
          </cell>
          <cell r="C31" t="str">
            <v>DE.1.0.7.0</v>
          </cell>
          <cell r="D31" t="str">
            <v>204:757</v>
          </cell>
          <cell r="E31">
            <v>42600.248611111114</v>
          </cell>
          <cell r="F31">
            <v>42600.249652777777</v>
          </cell>
          <cell r="G31">
            <v>1</v>
          </cell>
          <cell r="H31" t="str">
            <v>204:233291</v>
          </cell>
          <cell r="I31">
            <v>42600.275833333333</v>
          </cell>
          <cell r="J31">
            <v>0</v>
          </cell>
          <cell r="K31" t="str">
            <v>4027/4028</v>
          </cell>
          <cell r="L31" t="str">
            <v>MALAVE</v>
          </cell>
          <cell r="M31">
            <v>2.6180555556493346E-2</v>
          </cell>
          <cell r="N31">
            <v>37.700000001350418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https://search-rtdc-monitor-bjffxe2xuh6vdkpspy63sjmuny.us-east-1.es.amazonaws.com/_plugin/kibana/#/discover/Steve-Slow-Train-Analysis-(2080s-and-2083s)?_g=(refreshInterval:(display:Off,section:0,value:0),time:(from:'2016-08-18 04:58:00-0600',mode:absolute,to:'2016-08-18 07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1" t="str">
            <v>N</v>
          </cell>
          <cell r="X31">
            <v>1</v>
          </cell>
          <cell r="Y31">
            <v>7.5700000000000003E-2</v>
          </cell>
          <cell r="Z31">
            <v>23.3291</v>
          </cell>
          <cell r="AA31">
            <v>23.253399999999999</v>
          </cell>
          <cell r="AB31" t="e">
            <v>#N/A</v>
          </cell>
          <cell r="AC31" t="e">
            <v>#N/A</v>
          </cell>
          <cell r="AD31" t="str">
            <v>0119-18</v>
          </cell>
          <cell r="AE31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32">
          <cell r="A32" t="str">
            <v>120-18</v>
          </cell>
          <cell r="B32">
            <v>4028</v>
          </cell>
          <cell r="C32" t="str">
            <v>DE.1.0.7.0</v>
          </cell>
          <cell r="D32" t="str">
            <v>204:232981</v>
          </cell>
          <cell r="E32">
            <v>42600.287280092591</v>
          </cell>
          <cell r="F32">
            <v>42600.288437499999</v>
          </cell>
          <cell r="G32">
            <v>1</v>
          </cell>
          <cell r="H32" t="str">
            <v>204:152</v>
          </cell>
          <cell r="I32">
            <v>42600.318645833337</v>
          </cell>
          <cell r="J32">
            <v>0</v>
          </cell>
          <cell r="K32" t="str">
            <v>4027/4028</v>
          </cell>
          <cell r="L32" t="str">
            <v>MALAVE</v>
          </cell>
          <cell r="M32">
            <v>3.0208333337213844E-2</v>
          </cell>
          <cell r="N32">
            <v>43.500000005587935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https://search-rtdc-monitor-bjffxe2xuh6vdkpspy63sjmuny.us-east-1.es.amazonaws.com/_plugin/kibana/#/discover/Steve-Slow-Train-Analysis-(2080s-and-2083s)?_g=(refreshInterval:(display:Off,section:0,value:0),time:(from:'2016-08-18 05:53:41-0600',mode:absolute,to:'2016-08-18 08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32" t="str">
            <v>N</v>
          </cell>
          <cell r="X32">
            <v>1</v>
          </cell>
          <cell r="Y32">
            <v>23.298100000000002</v>
          </cell>
          <cell r="Z32">
            <v>1.52E-2</v>
          </cell>
          <cell r="AA32">
            <v>23.282900000000001</v>
          </cell>
          <cell r="AB32">
            <v>103800</v>
          </cell>
          <cell r="AC32" t="str">
            <v>GRADE CROSSING</v>
          </cell>
          <cell r="AD32" t="str">
            <v>0120-18</v>
          </cell>
          <cell r="AE32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33">
          <cell r="A33" t="str">
            <v>121-18</v>
          </cell>
          <cell r="B33">
            <v>4007</v>
          </cell>
          <cell r="C33" t="str">
            <v>DE.1.0.7.0</v>
          </cell>
          <cell r="D33" t="str">
            <v>204:458</v>
          </cell>
          <cell r="E33">
            <v>42600.257569444446</v>
          </cell>
          <cell r="F33">
            <v>42600.258437500001</v>
          </cell>
          <cell r="G33">
            <v>1</v>
          </cell>
          <cell r="H33" t="str">
            <v>204:233289</v>
          </cell>
          <cell r="I33">
            <v>42600.288206018522</v>
          </cell>
          <cell r="J33">
            <v>0</v>
          </cell>
          <cell r="K33" t="str">
            <v>4007/4008</v>
          </cell>
          <cell r="L33" t="str">
            <v>STRICKLAND</v>
          </cell>
          <cell r="M33">
            <v>2.976851852145046E-2</v>
          </cell>
          <cell r="N33">
            <v>42.866666670888662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https://search-rtdc-monitor-bjffxe2xuh6vdkpspy63sjmuny.us-east-1.es.amazonaws.com/_plugin/kibana/#/discover/Steve-Slow-Train-Analysis-(2080s-and-2083s)?_g=(refreshInterval:(display:Off,section:0,value:0),time:(from:'2016-08-18 05:10:54-0600',mode:absolute,to:'2016-08-18 07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33" t="str">
            <v>N</v>
          </cell>
          <cell r="X33">
            <v>1</v>
          </cell>
          <cell r="Y33">
            <v>4.58E-2</v>
          </cell>
          <cell r="Z33">
            <v>23.328900000000001</v>
          </cell>
          <cell r="AA33">
            <v>23.283100000000001</v>
          </cell>
          <cell r="AB33">
            <v>161962</v>
          </cell>
          <cell r="AC33" t="str">
            <v>PERMANENT SPEED RESTRICTION</v>
          </cell>
          <cell r="AD33" t="str">
            <v>0121-18</v>
          </cell>
          <cell r="AE33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34">
          <cell r="A34" t="str">
            <v>122-18</v>
          </cell>
          <cell r="B34">
            <v>4008</v>
          </cell>
          <cell r="C34" t="str">
            <v>DE.1.0.7.0</v>
          </cell>
          <cell r="D34" t="str">
            <v>204:232940</v>
          </cell>
          <cell r="E34">
            <v>42600.294328703705</v>
          </cell>
          <cell r="F34">
            <v>42600.295208333337</v>
          </cell>
          <cell r="G34">
            <v>1</v>
          </cell>
          <cell r="H34" t="str">
            <v>204:145</v>
          </cell>
          <cell r="I34">
            <v>42600.328321759262</v>
          </cell>
          <cell r="J34">
            <v>0</v>
          </cell>
          <cell r="K34" t="str">
            <v>4007/4008</v>
          </cell>
          <cell r="L34" t="str">
            <v>STRICKLAND</v>
          </cell>
          <cell r="M34">
            <v>3.3113425924966577E-2</v>
          </cell>
          <cell r="N34">
            <v>47.683333331951872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https://search-rtdc-monitor-bjffxe2xuh6vdkpspy63sjmuny.us-east-1.es.amazonaws.com/_plugin/kibana/#/discover/Steve-Slow-Train-Analysis-(2080s-and-2083s)?_g=(refreshInterval:(display:Off,section:0,value:0),time:(from:'2016-08-18 06:03:50-0600',mode:absolute,to:'2016-08-18 08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34" t="str">
            <v>N</v>
          </cell>
          <cell r="X34">
            <v>1</v>
          </cell>
          <cell r="Y34">
            <v>23.294</v>
          </cell>
          <cell r="Z34">
            <v>1.4500000000000001E-2</v>
          </cell>
          <cell r="AA34">
            <v>23.279499999999999</v>
          </cell>
          <cell r="AB34">
            <v>4677</v>
          </cell>
          <cell r="AC34" t="str">
            <v>PERMANENT SPEED RESTRICTION</v>
          </cell>
          <cell r="AD34" t="str">
            <v>0122-18</v>
          </cell>
          <cell r="AE34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35">
          <cell r="A35" t="str">
            <v>123-18</v>
          </cell>
          <cell r="B35">
            <v>4009</v>
          </cell>
          <cell r="C35" t="str">
            <v>DE.1.0.7.0</v>
          </cell>
          <cell r="D35" t="str">
            <v>204:447</v>
          </cell>
          <cell r="E35">
            <v>42600.26966435185</v>
          </cell>
          <cell r="F35">
            <v>42600.270370370374</v>
          </cell>
          <cell r="G35">
            <v>1</v>
          </cell>
          <cell r="H35" t="str">
            <v>204:233291</v>
          </cell>
          <cell r="I35">
            <v>42600.296724537038</v>
          </cell>
          <cell r="J35">
            <v>0</v>
          </cell>
          <cell r="K35" t="str">
            <v>4009/4010</v>
          </cell>
          <cell r="L35" t="str">
            <v>ROCHA</v>
          </cell>
          <cell r="M35">
            <v>2.6354166664532386E-2</v>
          </cell>
          <cell r="N35">
            <v>37.949999996926636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https://search-rtdc-monitor-bjffxe2xuh6vdkpspy63sjmuny.us-east-1.es.amazonaws.com/_plugin/kibana/#/discover/Steve-Slow-Train-Analysis-(2080s-and-2083s)?_g=(refreshInterval:(display:Off,section:0,value:0),time:(from:'2016-08-18 05:28:19-0600',mode:absolute,to:'2016-08-18 08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5" t="str">
            <v>N</v>
          </cell>
          <cell r="X35">
            <v>1</v>
          </cell>
          <cell r="Y35">
            <v>4.4699999999999997E-2</v>
          </cell>
          <cell r="Z35">
            <v>23.3291</v>
          </cell>
          <cell r="AA35">
            <v>23.284400000000002</v>
          </cell>
          <cell r="AB35">
            <v>161962</v>
          </cell>
          <cell r="AC35" t="str">
            <v>PERMANENT SPEED RESTRICTION</v>
          </cell>
          <cell r="AD35" t="str">
            <v>0123-18</v>
          </cell>
          <cell r="AE35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36">
          <cell r="A36" t="str">
            <v>124-18</v>
          </cell>
          <cell r="B36">
            <v>4010</v>
          </cell>
          <cell r="C36" t="str">
            <v>DE.1.0.7.0</v>
          </cell>
          <cell r="D36" t="str">
            <v>204:232972</v>
          </cell>
          <cell r="E36">
            <v>42600.307291666664</v>
          </cell>
          <cell r="F36">
            <v>42600.309027777781</v>
          </cell>
          <cell r="G36">
            <v>2</v>
          </cell>
          <cell r="H36" t="str">
            <v>204:161</v>
          </cell>
          <cell r="I36">
            <v>42600.337048611109</v>
          </cell>
          <cell r="J36">
            <v>0</v>
          </cell>
          <cell r="K36" t="str">
            <v>4009/4010</v>
          </cell>
          <cell r="L36" t="str">
            <v>ROCHA</v>
          </cell>
          <cell r="M36">
            <v>2.8020833327900618E-2</v>
          </cell>
          <cell r="N36">
            <v>40.34999999217689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https://search-rtdc-monitor-bjffxe2xuh6vdkpspy63sjmuny.us-east-1.es.amazonaws.com/_plugin/kibana/#/discover/Steve-Slow-Train-Analysis-(2080s-and-2083s)?_g=(refreshInterval:(display:Off,section:0,value:0),time:(from:'2016-08-18 06:22:30-0600',mode:absolute,to:'2016-08-18 09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1.61E-2</v>
          </cell>
          <cell r="AA36">
            <v>23.281099999999999</v>
          </cell>
          <cell r="AB36" t="e">
            <v>#N/A</v>
          </cell>
          <cell r="AC36" t="e">
            <v>#N/A</v>
          </cell>
          <cell r="AD36" t="str">
            <v>0124-18</v>
          </cell>
          <cell r="AE36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37">
          <cell r="A37" t="str">
            <v>125-18</v>
          </cell>
          <cell r="B37">
            <v>4025</v>
          </cell>
          <cell r="C37" t="str">
            <v>DE.1.0.7.0</v>
          </cell>
          <cell r="D37" t="str">
            <v>204:457</v>
          </cell>
          <cell r="E37">
            <v>42600.279108796298</v>
          </cell>
          <cell r="F37">
            <v>42600.280104166668</v>
          </cell>
          <cell r="G37">
            <v>1</v>
          </cell>
          <cell r="H37" t="str">
            <v>204:233311</v>
          </cell>
          <cell r="I37">
            <v>42600.307569444441</v>
          </cell>
          <cell r="J37">
            <v>0</v>
          </cell>
          <cell r="K37" t="str">
            <v>4025/4026</v>
          </cell>
          <cell r="L37" t="str">
            <v>STARKS</v>
          </cell>
          <cell r="M37">
            <v>2.7465277773444541E-2</v>
          </cell>
          <cell r="N37">
            <v>39.549999993760139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https://search-rtdc-monitor-bjffxe2xuh6vdkpspy63sjmuny.us-east-1.es.amazonaws.com/_plugin/kibana/#/discover/Steve-Slow-Train-Analysis-(2080s-and-2083s)?_g=(refreshInterval:(display:Off,section:0,value:0),time:(from:'2016-08-18 05:41:55-0600',mode:absolute,to:'2016-08-18 08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7" t="str">
            <v>N</v>
          </cell>
          <cell r="X37">
            <v>1</v>
          </cell>
          <cell r="Y37">
            <v>4.5699999999999998E-2</v>
          </cell>
          <cell r="Z37">
            <v>23.331099999999999</v>
          </cell>
          <cell r="AA37">
            <v>23.285399999999999</v>
          </cell>
          <cell r="AB37">
            <v>222090</v>
          </cell>
          <cell r="AC37" t="str">
            <v>PERMANENT SPEED RESTRICTION</v>
          </cell>
          <cell r="AD37" t="str">
            <v>0125-18</v>
          </cell>
          <cell r="AE37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38">
          <cell r="A38" t="str">
            <v>126-18</v>
          </cell>
          <cell r="B38">
            <v>4026</v>
          </cell>
          <cell r="C38" t="str">
            <v>DE.1.0.7.0</v>
          </cell>
          <cell r="D38" t="str">
            <v>204:232965</v>
          </cell>
          <cell r="E38">
            <v>42600.318518518521</v>
          </cell>
          <cell r="F38">
            <v>42600.319456018522</v>
          </cell>
          <cell r="G38">
            <v>1</v>
          </cell>
          <cell r="H38" t="str">
            <v>204:154</v>
          </cell>
          <cell r="I38">
            <v>42600.349236111113</v>
          </cell>
          <cell r="J38">
            <v>0</v>
          </cell>
          <cell r="K38" t="str">
            <v>4025/4026</v>
          </cell>
          <cell r="L38" t="str">
            <v>STARKS</v>
          </cell>
          <cell r="M38">
            <v>2.9780092590954155E-2</v>
          </cell>
          <cell r="N38">
            <v>42.883333330973983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https://search-rtdc-monitor-bjffxe2xuh6vdkpspy63sjmuny.us-east-1.es.amazonaws.com/_plugin/kibana/#/discover/Steve-Slow-Train-Analysis-(2080s-and-2083s)?_g=(refreshInterval:(display:Off,section:0,value:0),time:(from:'2016-08-18 06:38:40-0600',mode:absolute,to:'2016-08-18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38" t="str">
            <v>N</v>
          </cell>
          <cell r="X38">
            <v>1</v>
          </cell>
          <cell r="Y38">
            <v>23.296500000000002</v>
          </cell>
          <cell r="Z38">
            <v>1.54E-2</v>
          </cell>
          <cell r="AA38">
            <v>23.281100000000002</v>
          </cell>
          <cell r="AB38">
            <v>78469</v>
          </cell>
          <cell r="AC38" t="str">
            <v>GRADE CROSSING</v>
          </cell>
          <cell r="AD38" t="str">
            <v>0126-18</v>
          </cell>
          <cell r="AE38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39">
          <cell r="A39" t="str">
            <v>127-18</v>
          </cell>
          <cell r="B39">
            <v>4038</v>
          </cell>
          <cell r="C39" t="str">
            <v>DE.1.0.7.0</v>
          </cell>
          <cell r="D39" t="str">
            <v>204:469</v>
          </cell>
          <cell r="E39">
            <v>42600.289872685185</v>
          </cell>
          <cell r="F39">
            <v>42600.290775462963</v>
          </cell>
          <cell r="G39">
            <v>1</v>
          </cell>
          <cell r="H39" t="str">
            <v>204:233306</v>
          </cell>
          <cell r="I39">
            <v>42600.317430555559</v>
          </cell>
          <cell r="J39">
            <v>0</v>
          </cell>
          <cell r="K39" t="str">
            <v>4037/4038</v>
          </cell>
          <cell r="L39" t="str">
            <v>MAELZER</v>
          </cell>
          <cell r="M39">
            <v>2.6655092595319729E-2</v>
          </cell>
          <cell r="N39">
            <v>38.38333333726041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https://search-rtdc-monitor-bjffxe2xuh6vdkpspy63sjmuny.us-east-1.es.amazonaws.com/_plugin/kibana/#/discover/Steve-Slow-Train-Analysis-(2080s-and-2083s)?_g=(refreshInterval:(display:Off,section:0,value:0),time:(from:'2016-08-18 05:57:25-0600',mode:absolute,to:'2016-08-18 08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9" t="str">
            <v>N</v>
          </cell>
          <cell r="X39">
            <v>1</v>
          </cell>
          <cell r="Y39">
            <v>4.6899999999999997E-2</v>
          </cell>
          <cell r="Z39">
            <v>23.3306</v>
          </cell>
          <cell r="AA39">
            <v>23.2837</v>
          </cell>
          <cell r="AB39" t="e">
            <v>#N/A</v>
          </cell>
          <cell r="AC39" t="e">
            <v>#N/A</v>
          </cell>
          <cell r="AD39" t="str">
            <v>0127-18</v>
          </cell>
          <cell r="AE39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40">
          <cell r="A40" t="str">
            <v>128-18</v>
          </cell>
          <cell r="B40">
            <v>4037</v>
          </cell>
          <cell r="C40" t="str">
            <v>DE.1.0.7.0</v>
          </cell>
          <cell r="D40" t="str">
            <v>204:232972</v>
          </cell>
          <cell r="E40">
            <v>42600.322465277779</v>
          </cell>
          <cell r="F40">
            <v>42600.323252314818</v>
          </cell>
          <cell r="G40">
            <v>1</v>
          </cell>
          <cell r="H40" t="str">
            <v>204:145</v>
          </cell>
          <cell r="I40">
            <v>42600.35832175926</v>
          </cell>
          <cell r="J40">
            <v>0</v>
          </cell>
          <cell r="K40" t="str">
            <v>4037/4038</v>
          </cell>
          <cell r="L40" t="str">
            <v>MAELZER</v>
          </cell>
          <cell r="M40">
            <v>3.5069444442342501E-2</v>
          </cell>
          <cell r="N40">
            <v>50.499999996973202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https://search-rtdc-monitor-bjffxe2xuh6vdkpspy63sjmuny.us-east-1.es.amazonaws.com/_plugin/kibana/#/discover/Steve-Slow-Train-Analysis-(2080s-and-2083s)?_g=(refreshInterval:(display:Off,section:0,value:0),time:(from:'2016-08-18 06:44:21-0600',mode:absolute,to:'2016-08-18 09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0" t="str">
            <v>N</v>
          </cell>
          <cell r="X40">
            <v>1</v>
          </cell>
          <cell r="Y40">
            <v>23.2972</v>
          </cell>
          <cell r="Z40">
            <v>1.4500000000000001E-2</v>
          </cell>
          <cell r="AA40">
            <v>23.282699999999998</v>
          </cell>
          <cell r="AB40" t="e">
            <v>#N/A</v>
          </cell>
          <cell r="AC40" t="e">
            <v>#N/A</v>
          </cell>
          <cell r="AD40" t="str">
            <v>0128-18</v>
          </cell>
          <cell r="AE40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41">
          <cell r="A41" t="str">
            <v>129-18</v>
          </cell>
          <cell r="B41">
            <v>4042</v>
          </cell>
          <cell r="C41" t="str">
            <v>DE.1.0.7.0</v>
          </cell>
          <cell r="D41" t="str">
            <v>204:464</v>
          </cell>
          <cell r="E41">
            <v>42600.300057870372</v>
          </cell>
          <cell r="F41">
            <v>42600.301365740743</v>
          </cell>
          <cell r="G41">
            <v>1</v>
          </cell>
          <cell r="H41" t="str">
            <v>204:233305</v>
          </cell>
          <cell r="I41">
            <v>42600.328912037039</v>
          </cell>
          <cell r="J41">
            <v>0</v>
          </cell>
          <cell r="K41" t="str">
            <v>4041/4042</v>
          </cell>
          <cell r="L41" t="str">
            <v>BRANNON</v>
          </cell>
          <cell r="M41">
            <v>2.7546296296350192E-2</v>
          </cell>
          <cell r="N41">
            <v>39.666666666744277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https://search-rtdc-monitor-bjffxe2xuh6vdkpspy63sjmuny.us-east-1.es.amazonaws.com/_plugin/kibana/#/discover/Steve-Slow-Train-Analysis-(2080s-and-2083s)?_g=(refreshInterval:(display:Off,section:0,value:0),time:(from:'2016-08-18 06:12:05-0600',mode:absolute,to:'2016-08-18 08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41" t="str">
            <v>N</v>
          </cell>
          <cell r="X41">
            <v>1</v>
          </cell>
          <cell r="Y41">
            <v>4.6399999999999997E-2</v>
          </cell>
          <cell r="Z41">
            <v>23.330500000000001</v>
          </cell>
          <cell r="AA41">
            <v>23.284100000000002</v>
          </cell>
          <cell r="AB41">
            <v>4677</v>
          </cell>
          <cell r="AC41" t="str">
            <v>PERMANENT SPEED RESTRICTION</v>
          </cell>
          <cell r="AD41" t="str">
            <v>0129-18</v>
          </cell>
          <cell r="AE41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42">
          <cell r="A42" t="str">
            <v>130-18</v>
          </cell>
          <cell r="B42">
            <v>4041</v>
          </cell>
          <cell r="C42" t="str">
            <v>DE.1.0.7.0</v>
          </cell>
          <cell r="D42" t="str">
            <v>204:232977</v>
          </cell>
          <cell r="E42">
            <v>42600.335393518515</v>
          </cell>
          <cell r="F42">
            <v>42600.336354166669</v>
          </cell>
          <cell r="G42">
            <v>1</v>
          </cell>
          <cell r="H42" t="str">
            <v>204:143</v>
          </cell>
          <cell r="I42">
            <v>42600.372175925928</v>
          </cell>
          <cell r="J42">
            <v>0</v>
          </cell>
          <cell r="K42" t="str">
            <v>4041/4042</v>
          </cell>
          <cell r="L42" t="str">
            <v>BRANNON</v>
          </cell>
          <cell r="M42">
            <v>3.5821759258396924E-2</v>
          </cell>
          <cell r="N42">
            <v>51.58333333209157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https://search-rtdc-monitor-bjffxe2xuh6vdkpspy63sjmuny.us-east-1.es.amazonaws.com/_plugin/kibana/#/discover/Steve-Slow-Train-Analysis-(2080s-and-2083s)?_g=(refreshInterval:(display:Off,section:0,value:0),time:(from:'2016-08-18 07:02:58-0600',mode:absolute,to:'2016-08-18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42" t="str">
            <v>N</v>
          </cell>
          <cell r="X42">
            <v>1</v>
          </cell>
          <cell r="Y42">
            <v>23.297699999999999</v>
          </cell>
          <cell r="Z42">
            <v>1.43E-2</v>
          </cell>
          <cell r="AA42">
            <v>23.2834</v>
          </cell>
          <cell r="AB42">
            <v>119716</v>
          </cell>
          <cell r="AC42" t="str">
            <v>PERMANENT SPEED RESTRICTION</v>
          </cell>
          <cell r="AD42" t="str">
            <v>0130-18</v>
          </cell>
          <cell r="AE42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43">
          <cell r="A43" t="str">
            <v>131-18</v>
          </cell>
          <cell r="B43">
            <v>4044</v>
          </cell>
          <cell r="C43" t="str">
            <v>DE.1.0.7.0</v>
          </cell>
          <cell r="D43" t="str">
            <v>204:442</v>
          </cell>
          <cell r="E43">
            <v>42600.310069444444</v>
          </cell>
          <cell r="F43">
            <v>42600.311562499999</v>
          </cell>
          <cell r="G43">
            <v>2</v>
          </cell>
          <cell r="H43" t="str">
            <v>204:233315</v>
          </cell>
          <cell r="I43">
            <v>42600.338287037041</v>
          </cell>
          <cell r="J43">
            <v>0</v>
          </cell>
          <cell r="K43" t="str">
            <v>4043/4044</v>
          </cell>
          <cell r="L43" t="str">
            <v>SPECTOR</v>
          </cell>
          <cell r="M43">
            <v>2.6724537041445728E-2</v>
          </cell>
          <cell r="N43">
            <v>38.483333339681849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https://search-rtdc-monitor-bjffxe2xuh6vdkpspy63sjmuny.us-east-1.es.amazonaws.com/_plugin/kibana/#/discover/Steve-Slow-Train-Analysis-(2080s-and-2083s)?_g=(refreshInterval:(display:Off,section:0,value:0),time:(from:'2016-08-18 06:26:30-0600',mode:absolute,to:'2016-08-18 09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3" t="str">
            <v>N</v>
          </cell>
          <cell r="X43">
            <v>1</v>
          </cell>
          <cell r="Y43">
            <v>4.4200000000000003E-2</v>
          </cell>
          <cell r="Z43">
            <v>23.331499999999998</v>
          </cell>
          <cell r="AA43">
            <v>23.287299999999998</v>
          </cell>
          <cell r="AB43" t="e">
            <v>#N/A</v>
          </cell>
          <cell r="AC43" t="e">
            <v>#N/A</v>
          </cell>
          <cell r="AD43" t="str">
            <v>0131-18</v>
          </cell>
          <cell r="AE43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44">
          <cell r="A44" t="str">
            <v>132-18</v>
          </cell>
          <cell r="B44">
            <v>4043</v>
          </cell>
          <cell r="C44" t="str">
            <v>DE.1.0.7.0</v>
          </cell>
          <cell r="D44" t="str">
            <v>204:232993</v>
          </cell>
          <cell r="E44">
            <v>42600.34579861111</v>
          </cell>
          <cell r="F44">
            <v>42600.347060185188</v>
          </cell>
          <cell r="G44">
            <v>1</v>
          </cell>
          <cell r="H44" t="str">
            <v>204:150</v>
          </cell>
          <cell r="I44">
            <v>42600.378969907404</v>
          </cell>
          <cell r="J44">
            <v>0</v>
          </cell>
          <cell r="K44" t="str">
            <v>4043/4044</v>
          </cell>
          <cell r="L44" t="str">
            <v>SPECTOR</v>
          </cell>
          <cell r="M44">
            <v>3.1909722216369119E-2</v>
          </cell>
          <cell r="N44">
            <v>45.949999991571531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https://search-rtdc-monitor-bjffxe2xuh6vdkpspy63sjmuny.us-east-1.es.amazonaws.com/_plugin/kibana/#/discover/Steve-Slow-Train-Analysis-(2080s-and-2083s)?_g=(refreshInterval:(display:Off,section:0,value:0),time:(from:'2016-08-18 07:17:57-0600',mode:absolute,to:'2016-08-18 10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4" t="str">
            <v>N</v>
          </cell>
          <cell r="X44">
            <v>1</v>
          </cell>
          <cell r="Y44">
            <v>23.299299999999999</v>
          </cell>
          <cell r="Z44">
            <v>1.4999999999999999E-2</v>
          </cell>
          <cell r="AA44">
            <v>23.284299999999998</v>
          </cell>
          <cell r="AB44" t="e">
            <v>#N/A</v>
          </cell>
          <cell r="AC44" t="e">
            <v>#N/A</v>
          </cell>
          <cell r="AD44" t="str">
            <v>0132-18</v>
          </cell>
          <cell r="AE44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45">
          <cell r="A45" t="str">
            <v>133-18</v>
          </cell>
          <cell r="B45">
            <v>4027</v>
          </cell>
          <cell r="C45" t="str">
            <v>DE.1.0.7.0</v>
          </cell>
          <cell r="D45" t="str">
            <v>204:455</v>
          </cell>
          <cell r="E45">
            <v>42600.322314814817</v>
          </cell>
          <cell r="F45">
            <v>42600.323518518519</v>
          </cell>
          <cell r="G45">
            <v>1</v>
          </cell>
          <cell r="H45" t="str">
            <v>204:233297</v>
          </cell>
          <cell r="I45">
            <v>42600.350486111114</v>
          </cell>
          <cell r="J45">
            <v>0</v>
          </cell>
          <cell r="K45" t="str">
            <v>4027/4028</v>
          </cell>
          <cell r="L45" t="str">
            <v>SWANSON</v>
          </cell>
          <cell r="M45">
            <v>2.6967592595610768E-2</v>
          </cell>
          <cell r="N45">
            <v>38.833333337679505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https://search-rtdc-monitor-bjffxe2xuh6vdkpspy63sjmuny.us-east-1.es.amazonaws.com/_plugin/kibana/#/discover/Steve-Slow-Train-Analysis-(2080s-and-2083s)?_g=(refreshInterval:(display:Off,section:0,value:0),time:(from:'2016-08-18 06:44:08-0600',mode:absolute,to:'2016-08-18 09:24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5" t="str">
            <v>N</v>
          </cell>
          <cell r="X45">
            <v>1</v>
          </cell>
          <cell r="Y45">
            <v>4.5499999999999999E-2</v>
          </cell>
          <cell r="Z45">
            <v>23.329699999999999</v>
          </cell>
          <cell r="AA45">
            <v>23.284199999999998</v>
          </cell>
          <cell r="AB45" t="e">
            <v>#N/A</v>
          </cell>
          <cell r="AC45" t="e">
            <v>#N/A</v>
          </cell>
          <cell r="AD45" t="str">
            <v>0133-18</v>
          </cell>
          <cell r="AE45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46">
          <cell r="A46" t="str">
            <v>134-18</v>
          </cell>
          <cell r="B46">
            <v>4028</v>
          </cell>
          <cell r="C46" t="str">
            <v>DE.1.0.7.0</v>
          </cell>
          <cell r="D46" t="str">
            <v>204:232977</v>
          </cell>
          <cell r="E46">
            <v>42600.358263888891</v>
          </cell>
          <cell r="F46">
            <v>42600.3594212963</v>
          </cell>
          <cell r="G46">
            <v>1</v>
          </cell>
          <cell r="H46" t="str">
            <v>204:121</v>
          </cell>
          <cell r="I46">
            <v>42600.390185185184</v>
          </cell>
          <cell r="J46">
            <v>0</v>
          </cell>
          <cell r="K46" t="str">
            <v>4027/4028</v>
          </cell>
          <cell r="L46" t="str">
            <v>SWANSON</v>
          </cell>
          <cell r="M46">
            <v>3.0763888884393964E-2</v>
          </cell>
          <cell r="N46">
            <v>44.299999993527308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https://search-rtdc-monitor-bjffxe2xuh6vdkpspy63sjmuny.us-east-1.es.amazonaws.com/_plugin/kibana/#/discover/Steve-Slow-Train-Analysis-(2080s-and-2083s)?_g=(refreshInterval:(display:Off,section:0,value:0),time:(from:'2016-08-18 07:35:54-0600',mode:absolute,to:'2016-08-18 10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6" t="str">
            <v>N</v>
          </cell>
          <cell r="X46">
            <v>1</v>
          </cell>
          <cell r="Y46">
            <v>23.297699999999999</v>
          </cell>
          <cell r="Z46">
            <v>1.21E-2</v>
          </cell>
          <cell r="AA46">
            <v>23.285599999999999</v>
          </cell>
          <cell r="AB46" t="e">
            <v>#N/A</v>
          </cell>
          <cell r="AC46" t="e">
            <v>#N/A</v>
          </cell>
          <cell r="AD46" t="str">
            <v>0134-18</v>
          </cell>
          <cell r="AE46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47">
          <cell r="A47" t="str">
            <v>135-18</v>
          </cell>
          <cell r="B47">
            <v>4007</v>
          </cell>
          <cell r="C47" t="str">
            <v>DE.1.0.7.0</v>
          </cell>
          <cell r="D47" t="str">
            <v>204:460</v>
          </cell>
          <cell r="E47">
            <v>42600.33011574074</v>
          </cell>
          <cell r="F47">
            <v>42600.331261574072</v>
          </cell>
          <cell r="G47">
            <v>1</v>
          </cell>
          <cell r="H47" t="str">
            <v>204:233314</v>
          </cell>
          <cell r="I47">
            <v>42600.360775462963</v>
          </cell>
          <cell r="J47">
            <v>0</v>
          </cell>
          <cell r="K47" t="str">
            <v>4007/4008</v>
          </cell>
          <cell r="L47" t="str">
            <v>STRICKLAND</v>
          </cell>
          <cell r="M47">
            <v>2.9513888890505768E-2</v>
          </cell>
          <cell r="N47">
            <v>42.500000002328306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https://search-rtdc-monitor-bjffxe2xuh6vdkpspy63sjmuny.us-east-1.es.amazonaws.com/_plugin/kibana/#/discover/Steve-Slow-Train-Analysis-(2080s-and-2083s)?_g=(refreshInterval:(display:Off,section:0,value:0),time:(from:'2016-08-18 06:55:22-0600',mode:absolute,to:'2016-08-18 09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47" t="str">
            <v>N</v>
          </cell>
          <cell r="X47">
            <v>1</v>
          </cell>
          <cell r="Y47">
            <v>4.5999999999999999E-2</v>
          </cell>
          <cell r="Z47">
            <v>23.331399999999999</v>
          </cell>
          <cell r="AA47">
            <v>23.285399999999999</v>
          </cell>
          <cell r="AB47" t="e">
            <v>#N/A</v>
          </cell>
          <cell r="AC47" t="e">
            <v>#N/A</v>
          </cell>
          <cell r="AD47" t="str">
            <v>0135-18</v>
          </cell>
          <cell r="AE47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48">
          <cell r="A48" t="str">
            <v>136-18</v>
          </cell>
          <cell r="B48">
            <v>4008</v>
          </cell>
          <cell r="C48" t="str">
            <v>DE.1.0.7.0</v>
          </cell>
          <cell r="D48" t="str">
            <v>204:232977</v>
          </cell>
          <cell r="E48">
            <v>42600.366990740738</v>
          </cell>
          <cell r="F48">
            <v>42600.368275462963</v>
          </cell>
          <cell r="G48">
            <v>1</v>
          </cell>
          <cell r="H48" t="str">
            <v>204:169</v>
          </cell>
          <cell r="I48">
            <v>42600.400671296295</v>
          </cell>
          <cell r="J48">
            <v>0</v>
          </cell>
          <cell r="K48" t="str">
            <v>4007/4008</v>
          </cell>
          <cell r="L48" t="str">
            <v>STRICKLAND</v>
          </cell>
          <cell r="M48">
            <v>3.2395833331975155E-2</v>
          </cell>
          <cell r="N48">
            <v>46.649999998044223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https://search-rtdc-monitor-bjffxe2xuh6vdkpspy63sjmuny.us-east-1.es.amazonaws.com/_plugin/kibana/#/discover/Steve-Slow-Train-Analysis-(2080s-and-2083s)?_g=(refreshInterval:(display:Off,section:0,value:0),time:(from:'2016-08-18 07:48:28-0600',mode:absolute,to:'2016-08-18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1.6899999999999998E-2</v>
          </cell>
          <cell r="AA48">
            <v>23.280799999999999</v>
          </cell>
          <cell r="AB48" t="e">
            <v>#N/A</v>
          </cell>
          <cell r="AC48" t="e">
            <v>#N/A</v>
          </cell>
          <cell r="AD48" t="str">
            <v>0136-18</v>
          </cell>
          <cell r="AE48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49">
          <cell r="A49" t="str">
            <v>137-18</v>
          </cell>
          <cell r="B49">
            <v>4009</v>
          </cell>
          <cell r="C49" t="str">
            <v>DE.1.0.7.0</v>
          </cell>
          <cell r="D49" t="str">
            <v>204:453</v>
          </cell>
          <cell r="E49">
            <v>42600.342233796298</v>
          </cell>
          <cell r="F49">
            <v>42600.343368055554</v>
          </cell>
          <cell r="G49">
            <v>1</v>
          </cell>
          <cell r="H49" t="str">
            <v>204:233282</v>
          </cell>
          <cell r="I49">
            <v>42600.368217592593</v>
          </cell>
          <cell r="J49">
            <v>0</v>
          </cell>
          <cell r="K49" t="str">
            <v>4009/4010</v>
          </cell>
          <cell r="L49" t="str">
            <v>ROCHA</v>
          </cell>
          <cell r="M49">
            <v>2.4849537039699499E-2</v>
          </cell>
          <cell r="N49">
            <v>35.783333337167278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https://search-rtdc-monitor-bjffxe2xuh6vdkpspy63sjmuny.us-east-1.es.amazonaws.com/_plugin/kibana/#/discover/Steve-Slow-Train-Analysis-(2080s-and-2083s)?_g=(refreshInterval:(display:Off,section:0,value:0),time:(from:'2016-08-18 07:12:49-0600',mode:absolute,to:'2016-08-18 09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9" t="str">
            <v>N</v>
          </cell>
          <cell r="X49">
            <v>1</v>
          </cell>
          <cell r="Y49">
            <v>4.53E-2</v>
          </cell>
          <cell r="Z49">
            <v>23.328199999999999</v>
          </cell>
          <cell r="AA49">
            <v>23.282899999999998</v>
          </cell>
          <cell r="AB49" t="e">
            <v>#N/A</v>
          </cell>
          <cell r="AC49" t="e">
            <v>#N/A</v>
          </cell>
          <cell r="AD49" t="str">
            <v>0137-18</v>
          </cell>
          <cell r="AE49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50">
          <cell r="A50" t="str">
            <v>138-18</v>
          </cell>
          <cell r="B50">
            <v>4010</v>
          </cell>
          <cell r="C50" t="str">
            <v>DE.1.0.7.0</v>
          </cell>
          <cell r="D50" t="str">
            <v>204:232973</v>
          </cell>
          <cell r="E50">
            <v>42600.380925925929</v>
          </cell>
          <cell r="F50">
            <v>42600.382199074076</v>
          </cell>
          <cell r="G50">
            <v>1</v>
          </cell>
          <cell r="H50" t="str">
            <v>204:145</v>
          </cell>
          <cell r="I50">
            <v>42600.409247685187</v>
          </cell>
          <cell r="J50">
            <v>0</v>
          </cell>
          <cell r="K50" t="str">
            <v>4009/4010</v>
          </cell>
          <cell r="L50" t="str">
            <v>ROCHA</v>
          </cell>
          <cell r="M50">
            <v>2.7048611111240461E-2</v>
          </cell>
          <cell r="N50">
            <v>38.950000000186265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https://search-rtdc-monitor-bjffxe2xuh6vdkpspy63sjmuny.us-east-1.es.amazonaws.com/_plugin/kibana/#/discover/Steve-Slow-Train-Analysis-(2080s-and-2083s)?_g=(refreshInterval:(display:Off,section:0,value:0),time:(from:'2016-08-18 08:08:32-0600',mode:absolute,to:'2016-08-18 10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0" t="str">
            <v>N</v>
          </cell>
          <cell r="X50">
            <v>1</v>
          </cell>
          <cell r="Y50">
            <v>23.2973</v>
          </cell>
          <cell r="Z50">
            <v>1.4500000000000001E-2</v>
          </cell>
          <cell r="AA50">
            <v>23.282799999999998</v>
          </cell>
          <cell r="AB50" t="e">
            <v>#N/A</v>
          </cell>
          <cell r="AC50" t="e">
            <v>#N/A</v>
          </cell>
          <cell r="AD50" t="str">
            <v>0138-18</v>
          </cell>
          <cell r="AE50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51">
          <cell r="A51" t="str">
            <v>139-18</v>
          </cell>
          <cell r="B51">
            <v>4025</v>
          </cell>
          <cell r="C51" t="str">
            <v>DE.1.0.7.0</v>
          </cell>
          <cell r="D51" t="str">
            <v>204:455</v>
          </cell>
          <cell r="E51">
            <v>42600.350949074076</v>
          </cell>
          <cell r="F51">
            <v>42600.351875</v>
          </cell>
          <cell r="G51">
            <v>1</v>
          </cell>
          <cell r="H51" t="str">
            <v>204:233300</v>
          </cell>
          <cell r="I51">
            <v>42600.380879629629</v>
          </cell>
          <cell r="J51">
            <v>0</v>
          </cell>
          <cell r="K51" t="str">
            <v>4025/4026</v>
          </cell>
          <cell r="L51" t="str">
            <v>STARKS</v>
          </cell>
          <cell r="M51">
            <v>2.9004629628616385E-2</v>
          </cell>
          <cell r="N51">
            <v>41.766666665207595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https://search-rtdc-monitor-bjffxe2xuh6vdkpspy63sjmuny.us-east-1.es.amazonaws.com/_plugin/kibana/#/discover/Steve-Slow-Train-Analysis-(2080s-and-2083s)?_g=(refreshInterval:(display:Off,section:0,value:0),time:(from:'2016-08-18 07:25:22-0600',mode:absolute,to:'2016-08-18 10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51" t="str">
            <v>N</v>
          </cell>
          <cell r="X51">
            <v>1</v>
          </cell>
          <cell r="Y51">
            <v>4.5499999999999999E-2</v>
          </cell>
          <cell r="Z51">
            <v>23.33</v>
          </cell>
          <cell r="AA51">
            <v>23.284499999999998</v>
          </cell>
          <cell r="AB51" t="e">
            <v>#N/A</v>
          </cell>
          <cell r="AC51" t="e">
            <v>#N/A</v>
          </cell>
          <cell r="AD51" t="str">
            <v>0139-18</v>
          </cell>
          <cell r="AE51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52">
          <cell r="A52" t="str">
            <v>140-18</v>
          </cell>
          <cell r="B52">
            <v>4026</v>
          </cell>
          <cell r="C52" t="str">
            <v>DE.1.0.7.0</v>
          </cell>
          <cell r="D52" t="str">
            <v>204:232983</v>
          </cell>
          <cell r="E52">
            <v>42600.391261574077</v>
          </cell>
          <cell r="F52">
            <v>42600.392199074071</v>
          </cell>
          <cell r="G52">
            <v>1</v>
          </cell>
          <cell r="H52" t="str">
            <v>204:149</v>
          </cell>
          <cell r="I52">
            <v>42600.421898148146</v>
          </cell>
          <cell r="J52">
            <v>0</v>
          </cell>
          <cell r="K52" t="str">
            <v>4025/4026</v>
          </cell>
          <cell r="L52" t="str">
            <v>STARKS</v>
          </cell>
          <cell r="M52">
            <v>2.9699074075324461E-2</v>
          </cell>
          <cell r="N52">
            <v>42.766666668467224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https://search-rtdc-monitor-bjffxe2xuh6vdkpspy63sjmuny.us-east-1.es.amazonaws.com/_plugin/kibana/#/discover/Steve-Slow-Train-Analysis-(2080s-and-2083s)?_g=(refreshInterval:(display:Off,section:0,value:0),time:(from:'2016-08-18 08:23:25-0600',mode:absolute,to:'2016-08-18 11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52" t="str">
            <v>N</v>
          </cell>
          <cell r="X52">
            <v>1</v>
          </cell>
          <cell r="Y52">
            <v>23.298300000000001</v>
          </cell>
          <cell r="Z52">
            <v>1.49E-2</v>
          </cell>
          <cell r="AA52">
            <v>23.2834</v>
          </cell>
          <cell r="AB52" t="e">
            <v>#N/A</v>
          </cell>
          <cell r="AC52" t="e">
            <v>#N/A</v>
          </cell>
          <cell r="AD52" t="str">
            <v>0140-18</v>
          </cell>
          <cell r="AE52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53">
          <cell r="A53" t="str">
            <v>141-18</v>
          </cell>
          <cell r="B53">
            <v>4038</v>
          </cell>
          <cell r="C53" t="str">
            <v>DE.1.0.7.0</v>
          </cell>
          <cell r="D53" t="str">
            <v>204:444</v>
          </cell>
          <cell r="E53">
            <v>42600.360821759263</v>
          </cell>
          <cell r="F53">
            <v>42600.361875000002</v>
          </cell>
          <cell r="G53">
            <v>1</v>
          </cell>
          <cell r="H53" t="str">
            <v>204:233305</v>
          </cell>
          <cell r="I53">
            <v>42600.389930555553</v>
          </cell>
          <cell r="J53">
            <v>0</v>
          </cell>
          <cell r="K53" t="str">
            <v>4037/4038</v>
          </cell>
          <cell r="L53" t="str">
            <v>MAELZER</v>
          </cell>
          <cell r="M53">
            <v>2.8055555550963618E-2</v>
          </cell>
          <cell r="N53">
            <v>40.39999999338761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https://search-rtdc-monitor-bjffxe2xuh6vdkpspy63sjmuny.us-east-1.es.amazonaws.com/_plugin/kibana/#/discover/Steve-Slow-Train-Analysis-(2080s-and-2083s)?_g=(refreshInterval:(display:Off,section:0,value:0),time:(from:'2016-08-18 07:39:35-0600',mode:absolute,to:'2016-08-18 10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53" t="str">
            <v>N</v>
          </cell>
          <cell r="X53">
            <v>1</v>
          </cell>
          <cell r="Y53">
            <v>4.4400000000000002E-2</v>
          </cell>
          <cell r="Z53">
            <v>23.330500000000001</v>
          </cell>
          <cell r="AA53">
            <v>23.286100000000001</v>
          </cell>
          <cell r="AB53" t="e">
            <v>#N/A</v>
          </cell>
          <cell r="AC53" t="e">
            <v>#N/A</v>
          </cell>
          <cell r="AD53" t="str">
            <v>0141-18</v>
          </cell>
          <cell r="AE53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54">
          <cell r="A54" t="str">
            <v>142-18</v>
          </cell>
          <cell r="B54">
            <v>4037</v>
          </cell>
          <cell r="C54" t="str">
            <v>DE.1.0.7.0</v>
          </cell>
          <cell r="D54" t="str">
            <v>204:232978</v>
          </cell>
          <cell r="E54">
            <v>42600.396192129629</v>
          </cell>
          <cell r="F54">
            <v>42600.396990740737</v>
          </cell>
          <cell r="G54">
            <v>1</v>
          </cell>
          <cell r="H54" t="str">
            <v>204:161</v>
          </cell>
          <cell r="I54">
            <v>42600.430833333332</v>
          </cell>
          <cell r="J54">
            <v>0</v>
          </cell>
          <cell r="K54" t="str">
            <v>4037/4038</v>
          </cell>
          <cell r="L54" t="str">
            <v>MAELZER</v>
          </cell>
          <cell r="M54">
            <v>3.3842592594737653E-2</v>
          </cell>
          <cell r="N54">
            <v>48.73333333642222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https://search-rtdc-monitor-bjffxe2xuh6vdkpspy63sjmuny.us-east-1.es.amazonaws.com/_plugin/kibana/#/discover/Steve-Slow-Train-Analysis-(2080s-and-2083s)?_g=(refreshInterval:(display:Off,section:0,value:0),time:(from:'2016-08-18 08:30:31-0600',mode:absolute,to:'2016-08-18 11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54" t="str">
            <v>N</v>
          </cell>
          <cell r="X54">
            <v>1</v>
          </cell>
          <cell r="Y54">
            <v>23.297799999999999</v>
          </cell>
          <cell r="Z54">
            <v>1.61E-2</v>
          </cell>
          <cell r="AA54">
            <v>23.281699999999997</v>
          </cell>
          <cell r="AB54" t="e">
            <v>#N/A</v>
          </cell>
          <cell r="AC54" t="e">
            <v>#N/A</v>
          </cell>
          <cell r="AD54" t="str">
            <v>0142-18</v>
          </cell>
          <cell r="AE54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55">
          <cell r="A55" t="str">
            <v>143-18</v>
          </cell>
          <cell r="B55">
            <v>4042</v>
          </cell>
          <cell r="C55" t="str">
            <v>DE.1.0.7.0</v>
          </cell>
          <cell r="D55" t="str">
            <v>204:453</v>
          </cell>
          <cell r="E55">
            <v>42600.373599537037</v>
          </cell>
          <cell r="F55">
            <v>42600.374942129631</v>
          </cell>
          <cell r="G55">
            <v>1</v>
          </cell>
          <cell r="H55" t="str">
            <v>204:233285</v>
          </cell>
          <cell r="I55">
            <v>42600.403020833335</v>
          </cell>
          <cell r="J55">
            <v>0</v>
          </cell>
          <cell r="K55" t="str">
            <v>4041/4042</v>
          </cell>
          <cell r="L55" t="str">
            <v>BRANNON</v>
          </cell>
          <cell r="M55">
            <v>2.8078703704522923E-2</v>
          </cell>
          <cell r="N55">
            <v>40.433333334513009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https://search-rtdc-monitor-bjffxe2xuh6vdkpspy63sjmuny.us-east-1.es.amazonaws.com/_plugin/kibana/#/discover/Steve-Slow-Train-Analysis-(2080s-and-2083s)?_g=(refreshInterval:(display:Off,section:0,value:0),time:(from:'2016-08-18 07:57:59-0600',mode:absolute,to:'2016-08-18 10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5" t="str">
            <v>N</v>
          </cell>
          <cell r="X55">
            <v>1</v>
          </cell>
          <cell r="Y55">
            <v>4.53E-2</v>
          </cell>
          <cell r="Z55">
            <v>23.328499999999998</v>
          </cell>
          <cell r="AA55">
            <v>23.283199999999997</v>
          </cell>
          <cell r="AB55" t="e">
            <v>#N/A</v>
          </cell>
          <cell r="AC55" t="e">
            <v>#N/A</v>
          </cell>
          <cell r="AD55" t="str">
            <v>0143-18</v>
          </cell>
          <cell r="AE55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  <row r="56">
          <cell r="A56" t="str">
            <v>144-18</v>
          </cell>
          <cell r="B56">
            <v>4041</v>
          </cell>
          <cell r="C56" t="str">
            <v>DE.1.0.7.0</v>
          </cell>
          <cell r="D56" t="str">
            <v>204:232981</v>
          </cell>
          <cell r="E56">
            <v>42600.407361111109</v>
          </cell>
          <cell r="F56">
            <v>42600.408726851849</v>
          </cell>
          <cell r="G56">
            <v>1</v>
          </cell>
          <cell r="H56" t="str">
            <v>204:1164</v>
          </cell>
          <cell r="I56">
            <v>42600.454317129632</v>
          </cell>
          <cell r="J56">
            <v>0</v>
          </cell>
          <cell r="K56" t="str">
            <v>4041/4042</v>
          </cell>
          <cell r="L56" t="str">
            <v>BRANNON</v>
          </cell>
          <cell r="M56">
            <v>4.5590277783048805E-2</v>
          </cell>
          <cell r="N56">
            <v>65.650000007590279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https://search-rtdc-monitor-bjffxe2xuh6vdkpspy63sjmuny.us-east-1.es.amazonaws.com/_plugin/kibana/#/discover/Steve-Slow-Train-Analysis-(2080s-and-2083s)?_g=(refreshInterval:(display:Off,section:0,value:0),time:(from:'2016-08-18 08:46:36-0600',mode:absolute,to:'2016-08-18 11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6" t="str">
            <v>N</v>
          </cell>
          <cell r="X56">
            <v>1</v>
          </cell>
          <cell r="Y56">
            <v>23.298100000000002</v>
          </cell>
          <cell r="Z56">
            <v>0.1164</v>
          </cell>
          <cell r="AA56">
            <v>23.181700000000003</v>
          </cell>
          <cell r="AB56" t="e">
            <v>#N/A</v>
          </cell>
          <cell r="AC56" t="e">
            <v>#N/A</v>
          </cell>
          <cell r="AD56" t="str">
            <v>0144-18</v>
          </cell>
          <cell r="AE56" t="str">
            <v>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 &amp; aws s3 cp s3://rtdc.mdm.uploadarchive/RTDC4041/2016-08-19/ "%USERPROFILE%\AppData\Local\Temp\OnboardLogs"\RTDC4041\2016-08-19 --recursive &amp; "%USERPROFILE%\Documents\GitHub\mrs-test-scripts\Headless Mode &amp; Sideloading\WalkAndUnGZ.bat" "%USERPROFILE%\AppData\Local\Temp\OnboardLogs"\RTDC4041\2016-08-19</v>
          </cell>
        </row>
        <row r="57">
          <cell r="A57" t="str">
            <v>145-18</v>
          </cell>
          <cell r="B57">
            <v>4044</v>
          </cell>
          <cell r="C57" t="str">
            <v>DE.1.0.7.0</v>
          </cell>
          <cell r="D57" t="str">
            <v>204:451</v>
          </cell>
          <cell r="E57">
            <v>42600.381805555553</v>
          </cell>
          <cell r="F57">
            <v>42600.382754629631</v>
          </cell>
          <cell r="G57">
            <v>1</v>
          </cell>
          <cell r="H57" t="str">
            <v>204:233324</v>
          </cell>
          <cell r="I57">
            <v>42600.411157407405</v>
          </cell>
          <cell r="J57">
            <v>0</v>
          </cell>
          <cell r="K57" t="str">
            <v>4043/4044</v>
          </cell>
          <cell r="L57" t="str">
            <v>SPECTOR</v>
          </cell>
          <cell r="M57">
            <v>2.8402777774317656E-2</v>
          </cell>
          <cell r="N57">
            <v>40.899999995017424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https://search-rtdc-monitor-bjffxe2xuh6vdkpspy63sjmuny.us-east-1.es.amazonaws.com/_plugin/kibana/#/discover/Steve-Slow-Train-Analysis-(2080s-and-2083s)?_g=(refreshInterval:(display:Off,section:0,value:0),time:(from:'2016-08-18 08:09:48-0600',mode:absolute,to:'2016-08-18 10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23.3324</v>
          </cell>
          <cell r="AA57">
            <v>23.287299999999998</v>
          </cell>
          <cell r="AB57" t="e">
            <v>#N/A</v>
          </cell>
          <cell r="AC57" t="e">
            <v>#N/A</v>
          </cell>
          <cell r="AD57" t="str">
            <v>0145-18</v>
          </cell>
          <cell r="AE57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58">
          <cell r="A58" t="str">
            <v>146-18</v>
          </cell>
          <cell r="B58">
            <v>4043</v>
          </cell>
          <cell r="C58" t="str">
            <v>DE.1.0.7.0</v>
          </cell>
          <cell r="D58" t="str">
            <v>204:232996</v>
          </cell>
          <cell r="E58">
            <v>42600.419212962966</v>
          </cell>
          <cell r="F58">
            <v>42600.420335648145</v>
          </cell>
          <cell r="G58">
            <v>1</v>
          </cell>
          <cell r="H58" t="str">
            <v>204:161</v>
          </cell>
          <cell r="I58">
            <v>42600.456087962964</v>
          </cell>
          <cell r="J58">
            <v>0</v>
          </cell>
          <cell r="K58" t="str">
            <v>4043/4044</v>
          </cell>
          <cell r="L58" t="str">
            <v>SPECTOR</v>
          </cell>
          <cell r="M58">
            <v>3.5752314819546882E-2</v>
          </cell>
          <cell r="N58">
            <v>51.48333334014751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https://search-rtdc-monitor-bjffxe2xuh6vdkpspy63sjmuny.us-east-1.es.amazonaws.com/_plugin/kibana/#/discover/Steve-Slow-Train-Analysis-(2080s-and-2083s)?_g=(refreshInterval:(display:Off,section:0,value:0),time:(from:'2016-08-18 09:03:40-0600',mode:absolute,to:'2016-08-18 11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8" t="str">
            <v>N</v>
          </cell>
          <cell r="X58">
            <v>1</v>
          </cell>
          <cell r="Y58">
            <v>23.299600000000002</v>
          </cell>
          <cell r="Z58">
            <v>1.61E-2</v>
          </cell>
          <cell r="AA58">
            <v>23.2835</v>
          </cell>
          <cell r="AB58" t="e">
            <v>#N/A</v>
          </cell>
          <cell r="AC58" t="e">
            <v>#N/A</v>
          </cell>
          <cell r="AD58" t="str">
            <v>0146-18</v>
          </cell>
          <cell r="AE58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59">
          <cell r="A59" t="str">
            <v>147-18</v>
          </cell>
          <cell r="B59">
            <v>4027</v>
          </cell>
          <cell r="C59" t="str">
            <v>DE.1.0.7.0</v>
          </cell>
          <cell r="D59" t="str">
            <v>204:422</v>
          </cell>
          <cell r="E59">
            <v>42600.394687499997</v>
          </cell>
          <cell r="F59">
            <v>42600.395752314813</v>
          </cell>
          <cell r="G59">
            <v>1</v>
          </cell>
          <cell r="H59" t="str">
            <v>204:233297</v>
          </cell>
          <cell r="I59">
            <v>42600.423946759256</v>
          </cell>
          <cell r="J59">
            <v>0</v>
          </cell>
          <cell r="K59" t="str">
            <v>4027/4028</v>
          </cell>
          <cell r="L59" t="str">
            <v>MALAVE</v>
          </cell>
          <cell r="M59">
            <v>2.8194444443215616E-2</v>
          </cell>
          <cell r="N59">
            <v>40.599999998230487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https://search-rtdc-monitor-bjffxe2xuh6vdkpspy63sjmuny.us-east-1.es.amazonaws.com/_plugin/kibana/#/discover/Steve-Slow-Train-Analysis-(2080s-and-2083s)?_g=(refreshInterval:(display:Off,section:0,value:0),time:(from:'2016-08-18 08:28:21-0600',mode:absolute,to:'2016-08-18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9" t="str">
            <v>N</v>
          </cell>
          <cell r="X59">
            <v>1</v>
          </cell>
          <cell r="Y59">
            <v>4.2200000000000001E-2</v>
          </cell>
          <cell r="Z59">
            <v>23.329699999999999</v>
          </cell>
          <cell r="AA59">
            <v>23.287499999999998</v>
          </cell>
          <cell r="AB59">
            <v>161962</v>
          </cell>
          <cell r="AC59" t="str">
            <v>PERMANENT SPEED RESTRICTION</v>
          </cell>
          <cell r="AD59" t="str">
            <v>0147-18</v>
          </cell>
          <cell r="AE59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60">
          <cell r="A60" t="str">
            <v>148-18</v>
          </cell>
          <cell r="B60">
            <v>4028</v>
          </cell>
          <cell r="C60" t="str">
            <v>DE.1.0.7.0</v>
          </cell>
          <cell r="D60" t="str">
            <v>204:232979</v>
          </cell>
          <cell r="E60">
            <v>42600.432812500003</v>
          </cell>
          <cell r="F60">
            <v>42600.433981481481</v>
          </cell>
          <cell r="G60">
            <v>1</v>
          </cell>
          <cell r="H60" t="str">
            <v>204:152</v>
          </cell>
          <cell r="I60">
            <v>42600.462870370371</v>
          </cell>
          <cell r="J60">
            <v>0</v>
          </cell>
          <cell r="K60" t="str">
            <v>4027/4028</v>
          </cell>
          <cell r="L60" t="str">
            <v>MALAVE</v>
          </cell>
          <cell r="M60">
            <v>2.8888888889923692E-2</v>
          </cell>
          <cell r="N60">
            <v>41.600000001490116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https://search-rtdc-monitor-bjffxe2xuh6vdkpspy63sjmuny.us-east-1.es.amazonaws.com/_plugin/kibana/#/discover/Steve-Slow-Train-Analysis-(2080s-and-2083s)?_g=(refreshInterval:(display:Off,section:0,value:0),time:(from:'2016-08-18 09:23:15-0600',mode:absolute,to:'2016-08-18 12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1.52E-2</v>
          </cell>
          <cell r="AA60">
            <v>23.282699999999998</v>
          </cell>
          <cell r="AB60" t="e">
            <v>#N/A</v>
          </cell>
          <cell r="AC60" t="e">
            <v>#N/A</v>
          </cell>
          <cell r="AD60" t="str">
            <v>0148-18</v>
          </cell>
          <cell r="AE60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61">
          <cell r="A61" t="str">
            <v>149-18</v>
          </cell>
          <cell r="B61">
            <v>4007</v>
          </cell>
          <cell r="C61" t="str">
            <v>DE.1.0.7.0</v>
          </cell>
          <cell r="D61" t="str">
            <v>204:473</v>
          </cell>
          <cell r="E61">
            <v>42600.403796296298</v>
          </cell>
          <cell r="F61">
            <v>42600.404976851853</v>
          </cell>
          <cell r="G61">
            <v>1</v>
          </cell>
          <cell r="H61" t="str">
            <v>204:233266</v>
          </cell>
          <cell r="I61">
            <v>42600.433217592596</v>
          </cell>
          <cell r="J61">
            <v>0</v>
          </cell>
          <cell r="K61" t="str">
            <v>4007/4008</v>
          </cell>
          <cell r="L61" t="str">
            <v>STRICKLAND</v>
          </cell>
          <cell r="M61">
            <v>2.8240740743058268E-2</v>
          </cell>
          <cell r="N61">
            <v>40.666666670003906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https://search-rtdc-monitor-bjffxe2xuh6vdkpspy63sjmuny.us-east-1.es.amazonaws.com/_plugin/kibana/#/discover/Steve-Slow-Train-Analysis-(2080s-and-2083s)?_g=(refreshInterval:(display:Off,section:0,value:0),time:(from:'2016-08-18 08:41:28-0600',mode:absolute,to:'2016-08-18 11:23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61" t="str">
            <v>N</v>
          </cell>
          <cell r="X61">
            <v>1</v>
          </cell>
          <cell r="Y61">
            <v>4.7300000000000002E-2</v>
          </cell>
          <cell r="Z61">
            <v>23.326599999999999</v>
          </cell>
          <cell r="AA61">
            <v>23.279299999999999</v>
          </cell>
          <cell r="AB61" t="e">
            <v>#N/A</v>
          </cell>
          <cell r="AC61" t="e">
            <v>#N/A</v>
          </cell>
          <cell r="AD61" t="str">
            <v>0149-18</v>
          </cell>
          <cell r="AE61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62">
          <cell r="A62" t="str">
            <v>150-18</v>
          </cell>
          <cell r="B62">
            <v>4008</v>
          </cell>
          <cell r="C62" t="str">
            <v>DE.1.0.7.0</v>
          </cell>
          <cell r="D62" t="str">
            <v>204:232961</v>
          </cell>
          <cell r="E62">
            <v>42600.440717592595</v>
          </cell>
          <cell r="F62">
            <v>42600.441944444443</v>
          </cell>
          <cell r="G62">
            <v>1</v>
          </cell>
          <cell r="H62" t="str">
            <v>204:169</v>
          </cell>
          <cell r="I62">
            <v>42600.472881944443</v>
          </cell>
          <cell r="J62">
            <v>0</v>
          </cell>
          <cell r="K62" t="str">
            <v>4007/4008</v>
          </cell>
          <cell r="L62" t="str">
            <v>STRICKLAND</v>
          </cell>
          <cell r="M62">
            <v>3.0937499999708962E-2</v>
          </cell>
          <cell r="N62">
            <v>44.549999999580905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https://search-rtdc-monitor-bjffxe2xuh6vdkpspy63sjmuny.us-east-1.es.amazonaws.com/_plugin/kibana/#/discover/Steve-Slow-Train-Analysis-(2080s-and-2083s)?_g=(refreshInterval:(display:Off,section:0,value:0),time:(from:'2016-08-18 09:34:38-0600',mode:absolute,to:'2016-08-18 12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62" t="str">
            <v>N</v>
          </cell>
          <cell r="X62">
            <v>1</v>
          </cell>
          <cell r="Y62">
            <v>23.296099999999999</v>
          </cell>
          <cell r="Z62">
            <v>1.6899999999999998E-2</v>
          </cell>
          <cell r="AA62">
            <v>23.279199999999999</v>
          </cell>
          <cell r="AB62" t="e">
            <v>#N/A</v>
          </cell>
          <cell r="AC62" t="e">
            <v>#N/A</v>
          </cell>
          <cell r="AD62" t="str">
            <v>0150-18</v>
          </cell>
          <cell r="AE62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63">
          <cell r="A63" t="str">
            <v>151-18</v>
          </cell>
          <cell r="B63">
            <v>4009</v>
          </cell>
          <cell r="C63" t="str">
            <v>DE.1.0.7.0</v>
          </cell>
          <cell r="D63" t="str">
            <v>204:449</v>
          </cell>
          <cell r="E63">
            <v>42600.411979166667</v>
          </cell>
          <cell r="F63">
            <v>42600.412858796299</v>
          </cell>
          <cell r="G63">
            <v>1</v>
          </cell>
          <cell r="H63" t="str">
            <v>204:233304</v>
          </cell>
          <cell r="I63">
            <v>42600.44159722222</v>
          </cell>
          <cell r="J63">
            <v>0</v>
          </cell>
          <cell r="K63" t="str">
            <v>4009/4010</v>
          </cell>
          <cell r="L63" t="str">
            <v>ROCHA</v>
          </cell>
          <cell r="M63">
            <v>2.8738425920892041E-2</v>
          </cell>
          <cell r="N63">
            <v>41.383333326084539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https://search-rtdc-monitor-bjffxe2xuh6vdkpspy63sjmuny.us-east-1.es.amazonaws.com/_plugin/kibana/#/discover/Steve-Slow-Train-Analysis-(2080s-and-2083s)?_g=(refreshInterval:(display:Off,section:0,value:0),time:(from:'2016-08-18 08:53:15-0600',mode:absolute,to:'2016-08-18 11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3" t="str">
            <v>N</v>
          </cell>
          <cell r="X63">
            <v>1</v>
          </cell>
          <cell r="Y63">
            <v>4.4900000000000002E-2</v>
          </cell>
          <cell r="Z63">
            <v>23.330400000000001</v>
          </cell>
          <cell r="AA63">
            <v>23.285500000000003</v>
          </cell>
          <cell r="AB63" t="e">
            <v>#N/A</v>
          </cell>
          <cell r="AC63" t="e">
            <v>#N/A</v>
          </cell>
          <cell r="AD63" t="str">
            <v>0151-18</v>
          </cell>
          <cell r="AE63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64">
          <cell r="A64" t="str">
            <v>152-18</v>
          </cell>
          <cell r="B64">
            <v>4010</v>
          </cell>
          <cell r="C64" t="str">
            <v>DE.1.0.7.0</v>
          </cell>
          <cell r="D64" t="str">
            <v>204:232998</v>
          </cell>
          <cell r="E64">
            <v>42600.454305555555</v>
          </cell>
          <cell r="F64">
            <v>42600.45553240741</v>
          </cell>
          <cell r="G64">
            <v>1</v>
          </cell>
          <cell r="H64" t="str">
            <v>204:154</v>
          </cell>
          <cell r="I64">
            <v>42600.482361111113</v>
          </cell>
          <cell r="J64">
            <v>0</v>
          </cell>
          <cell r="K64" t="str">
            <v>4009/4010</v>
          </cell>
          <cell r="L64" t="str">
            <v>ROCHA</v>
          </cell>
          <cell r="M64">
            <v>2.6828703703358769E-2</v>
          </cell>
          <cell r="N64">
            <v>38.633333332836628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https://search-rtdc-monitor-bjffxe2xuh6vdkpspy63sjmuny.us-east-1.es.amazonaws.com/_plugin/kibana/#/discover/Steve-Slow-Train-Analysis-(2080s-and-2083s)?_g=(refreshInterval:(display:Off,section:0,value:0),time:(from:'2016-08-18 09:54:12-0600',mode:absolute,to:'2016-08-18 12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4" t="str">
            <v>N</v>
          </cell>
          <cell r="X64">
            <v>1</v>
          </cell>
          <cell r="Y64">
            <v>23.299800000000001</v>
          </cell>
          <cell r="Z64">
            <v>1.54E-2</v>
          </cell>
          <cell r="AA64">
            <v>23.284400000000002</v>
          </cell>
          <cell r="AB64" t="e">
            <v>#N/A</v>
          </cell>
          <cell r="AC64" t="e">
            <v>#N/A</v>
          </cell>
          <cell r="AD64" t="str">
            <v>0152-18</v>
          </cell>
          <cell r="AE64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65">
          <cell r="A65" t="str">
            <v>153-18</v>
          </cell>
          <cell r="B65">
            <v>4025</v>
          </cell>
          <cell r="C65" t="str">
            <v>DE.1.0.7.0</v>
          </cell>
          <cell r="D65" t="str">
            <v>204:460</v>
          </cell>
          <cell r="E65">
            <v>42600.423321759263</v>
          </cell>
          <cell r="F65">
            <v>42600.42428240741</v>
          </cell>
          <cell r="G65">
            <v>1</v>
          </cell>
          <cell r="H65" t="str">
            <v>204:233316</v>
          </cell>
          <cell r="I65">
            <v>42600.453703703701</v>
          </cell>
          <cell r="J65">
            <v>0</v>
          </cell>
          <cell r="K65" t="str">
            <v>4025/4026</v>
          </cell>
          <cell r="L65" t="str">
            <v>STARKS</v>
          </cell>
          <cell r="M65">
            <v>2.9421296290820464E-2</v>
          </cell>
          <cell r="N65">
            <v>42.366666658781469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https://search-rtdc-monitor-bjffxe2xuh6vdkpspy63sjmuny.us-east-1.es.amazonaws.com/_plugin/kibana/#/discover/Steve-Slow-Train-Analysis-(2080s-and-2083s)?_g=(refreshInterval:(display:Off,section:0,value:0),time:(from:'2016-08-18 09:09:35-0600',mode:absolute,to:'2016-08-18 11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65" t="str">
            <v>N</v>
          </cell>
          <cell r="X65">
            <v>1</v>
          </cell>
          <cell r="Y65">
            <v>4.5999999999999999E-2</v>
          </cell>
          <cell r="Z65">
            <v>23.331600000000002</v>
          </cell>
          <cell r="AA65">
            <v>23.285600000000002</v>
          </cell>
          <cell r="AB65">
            <v>222090</v>
          </cell>
          <cell r="AC65" t="str">
            <v>PERMANENT SPEED RESTRICTION</v>
          </cell>
          <cell r="AD65" t="str">
            <v>0153-18</v>
          </cell>
          <cell r="AE65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66">
          <cell r="A66" t="str">
            <v>154-18</v>
          </cell>
          <cell r="B66">
            <v>4026</v>
          </cell>
          <cell r="C66" t="str">
            <v>DE.1.0.7.0</v>
          </cell>
          <cell r="D66" t="str">
            <v>204:232978</v>
          </cell>
          <cell r="E66">
            <v>42600.464247685188</v>
          </cell>
          <cell r="F66">
            <v>42600.465138888889</v>
          </cell>
          <cell r="G66">
            <v>1</v>
          </cell>
          <cell r="H66" t="str">
            <v>204:143</v>
          </cell>
          <cell r="I66">
            <v>42600.495474537034</v>
          </cell>
          <cell r="J66">
            <v>0</v>
          </cell>
          <cell r="K66" t="str">
            <v>4025/4026</v>
          </cell>
          <cell r="L66" t="str">
            <v>STARKS</v>
          </cell>
          <cell r="M66">
            <v>3.0335648145410232E-2</v>
          </cell>
          <cell r="N66">
            <v>43.683333329390734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https://search-rtdc-monitor-bjffxe2xuh6vdkpspy63sjmuny.us-east-1.es.amazonaws.com/_plugin/kibana/#/discover/Steve-Slow-Train-Analysis-(2080s-and-2083s)?_g=(refreshInterval:(display:Off,section:0,value:0),time:(from:'2016-08-18 10:08:31-0600',mode:absolute,to:'2016-08-18 12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66" t="str">
            <v>N</v>
          </cell>
          <cell r="X66">
            <v>1</v>
          </cell>
          <cell r="Y66">
            <v>23.297799999999999</v>
          </cell>
          <cell r="Z66">
            <v>1.43E-2</v>
          </cell>
          <cell r="AA66">
            <v>23.2835</v>
          </cell>
          <cell r="AB66" t="e">
            <v>#N/A</v>
          </cell>
          <cell r="AC66" t="e">
            <v>#N/A</v>
          </cell>
          <cell r="AD66" t="str">
            <v>0154-18</v>
          </cell>
          <cell r="AE66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67">
          <cell r="A67" t="str">
            <v>155-18</v>
          </cell>
          <cell r="B67">
            <v>4038</v>
          </cell>
          <cell r="C67" t="str">
            <v>DE.1.0.7.0</v>
          </cell>
          <cell r="D67" t="str">
            <v>204:469</v>
          </cell>
          <cell r="E67">
            <v>42600.432858796295</v>
          </cell>
          <cell r="F67">
            <v>42600.437731481485</v>
          </cell>
          <cell r="G67">
            <v>7</v>
          </cell>
          <cell r="H67" t="str">
            <v>204:233312</v>
          </cell>
          <cell r="I67">
            <v>42600.462500000001</v>
          </cell>
          <cell r="J67">
            <v>0</v>
          </cell>
          <cell r="K67" t="str">
            <v>4037/4038</v>
          </cell>
          <cell r="L67" t="str">
            <v>YORK</v>
          </cell>
          <cell r="M67">
            <v>2.4768518516793847E-2</v>
          </cell>
          <cell r="N67">
            <v>35.66666666418314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https://search-rtdc-monitor-bjffxe2xuh6vdkpspy63sjmuny.us-east-1.es.amazonaws.com/_plugin/kibana/#/discover/Steve-Slow-Train-Analysis-(2080s-and-2083s)?_g=(refreshInterval:(display:Off,section:0,value:0),time:(from:'2016-08-18 09:23:19-0600',mode:absolute,to:'2016-08-18 12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23.331199999999999</v>
          </cell>
          <cell r="AA67">
            <v>23.284299999999998</v>
          </cell>
          <cell r="AB67" t="e">
            <v>#N/A</v>
          </cell>
          <cell r="AC67" t="e">
            <v>#N/A</v>
          </cell>
          <cell r="AD67" t="str">
            <v>0155-18</v>
          </cell>
          <cell r="AE67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68">
          <cell r="A68" t="str">
            <v>156-18</v>
          </cell>
          <cell r="B68">
            <v>4037</v>
          </cell>
          <cell r="C68" t="str">
            <v>DE.1.0.7.0</v>
          </cell>
          <cell r="D68" t="str">
            <v>204:232993</v>
          </cell>
          <cell r="E68">
            <v>42600.46366898148</v>
          </cell>
          <cell r="F68">
            <v>42600.464525462965</v>
          </cell>
          <cell r="G68">
            <v>1</v>
          </cell>
          <cell r="H68" t="str">
            <v>204:160</v>
          </cell>
          <cell r="I68">
            <v>42600.50608796296</v>
          </cell>
          <cell r="J68">
            <v>0</v>
          </cell>
          <cell r="K68" t="str">
            <v>4037/4038</v>
          </cell>
          <cell r="L68" t="str">
            <v>YORK</v>
          </cell>
          <cell r="M68">
            <v>4.1562499995052349E-2</v>
          </cell>
          <cell r="N68">
            <v>59.849999992875382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https://search-rtdc-monitor-bjffxe2xuh6vdkpspy63sjmuny.us-east-1.es.amazonaws.com/_plugin/kibana/#/discover/Steve-Slow-Train-Analysis-(2080s-and-2083s)?_g=(refreshInterval:(display:Off,section:0,value:0),time:(from:'2016-08-18 10:07:41-0600',mode:absolute,to:'2016-08-18 13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8" t="str">
            <v>N</v>
          </cell>
          <cell r="X68">
            <v>1</v>
          </cell>
          <cell r="Y68">
            <v>23.299299999999999</v>
          </cell>
          <cell r="Z68">
            <v>1.6E-2</v>
          </cell>
          <cell r="AA68">
            <v>23.283300000000001</v>
          </cell>
          <cell r="AB68" t="e">
            <v>#N/A</v>
          </cell>
          <cell r="AC68" t="e">
            <v>#N/A</v>
          </cell>
          <cell r="AD68" t="str">
            <v>0156-18</v>
          </cell>
          <cell r="AE68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69">
          <cell r="A69" t="str">
            <v>157-18</v>
          </cell>
          <cell r="B69">
            <v>4029</v>
          </cell>
          <cell r="C69" t="str">
            <v>DE.1.0.7.0</v>
          </cell>
          <cell r="D69" t="str">
            <v>204:1481</v>
          </cell>
          <cell r="E69">
            <v>42600.445439814815</v>
          </cell>
          <cell r="F69">
            <v>42600.446342592593</v>
          </cell>
          <cell r="G69">
            <v>1</v>
          </cell>
          <cell r="H69" t="str">
            <v>204:233314</v>
          </cell>
          <cell r="I69">
            <v>42600.474282407406</v>
          </cell>
          <cell r="J69">
            <v>0</v>
          </cell>
          <cell r="K69" t="str">
            <v>4029/4030</v>
          </cell>
          <cell r="L69" t="str">
            <v>GRASTON</v>
          </cell>
          <cell r="M69">
            <v>2.7939814812270924E-2</v>
          </cell>
          <cell r="N69">
            <v>40.233333329670131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https://search-rtdc-monitor-bjffxe2xuh6vdkpspy63sjmuny.us-east-1.es.amazonaws.com/_plugin/kibana/#/discover/Steve-Slow-Train-Analysis-(2080s-and-2083s)?_g=(refreshInterval:(display:Off,section:0,value:0),time:(from:'2016-08-18 09:41:26-0600',mode:absolute,to:'2016-08-18 12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9" t="str">
            <v>N</v>
          </cell>
          <cell r="X69">
            <v>1</v>
          </cell>
          <cell r="Y69">
            <v>0.14810000000000001</v>
          </cell>
          <cell r="Z69">
            <v>23.331399999999999</v>
          </cell>
          <cell r="AA69">
            <v>23.183299999999999</v>
          </cell>
          <cell r="AB69" t="e">
            <v>#N/A</v>
          </cell>
          <cell r="AC69" t="e">
            <v>#N/A</v>
          </cell>
          <cell r="AD69" t="str">
            <v>0157-18</v>
          </cell>
          <cell r="AE69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70">
          <cell r="A70" t="str">
            <v>158-18</v>
          </cell>
          <cell r="B70">
            <v>4030</v>
          </cell>
          <cell r="C70" t="str">
            <v>DE.1.0.7.0</v>
          </cell>
          <cell r="D70" t="str">
            <v>204:232994</v>
          </cell>
          <cell r="E70">
            <v>42600.476122685184</v>
          </cell>
          <cell r="F70">
            <v>42600.4768287037</v>
          </cell>
          <cell r="G70">
            <v>1</v>
          </cell>
          <cell r="H70" t="str">
            <v>204:161</v>
          </cell>
          <cell r="I70">
            <v>42600.5153587963</v>
          </cell>
          <cell r="J70">
            <v>0</v>
          </cell>
          <cell r="K70" t="str">
            <v>4029/4030</v>
          </cell>
          <cell r="L70" t="str">
            <v>GRASTON</v>
          </cell>
          <cell r="M70">
            <v>3.8530092599103227E-2</v>
          </cell>
          <cell r="N70">
            <v>55.483333342708647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https://search-rtdc-monitor-bjffxe2xuh6vdkpspy63sjmuny.us-east-1.es.amazonaws.com/_plugin/kibana/#/discover/Steve-Slow-Train-Analysis-(2080s-and-2083s)?_g=(refreshInterval:(display:Off,section:0,value:0),time:(from:'2016-08-18 10:25:37-0600',mode:absolute,to:'2016-08-18 13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70" t="str">
            <v>N</v>
          </cell>
          <cell r="X70">
            <v>1</v>
          </cell>
          <cell r="Y70">
            <v>23.299399999999999</v>
          </cell>
          <cell r="Z70">
            <v>1.61E-2</v>
          </cell>
          <cell r="AA70">
            <v>23.283299999999997</v>
          </cell>
          <cell r="AB70" t="e">
            <v>#N/A</v>
          </cell>
          <cell r="AC70" t="e">
            <v>#N/A</v>
          </cell>
          <cell r="AD70" t="str">
            <v>0158-18</v>
          </cell>
          <cell r="AE70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71">
          <cell r="A71" t="str">
            <v>159-18</v>
          </cell>
          <cell r="B71">
            <v>4044</v>
          </cell>
          <cell r="C71" t="str">
            <v>DE.1.0.7.0</v>
          </cell>
          <cell r="D71" t="str">
            <v>204:453</v>
          </cell>
          <cell r="E71">
            <v>42600.459236111114</v>
          </cell>
          <cell r="F71">
            <v>42600.460462962961</v>
          </cell>
          <cell r="G71">
            <v>1</v>
          </cell>
          <cell r="H71" t="str">
            <v>204:233332</v>
          </cell>
          <cell r="I71">
            <v>42600.486898148149</v>
          </cell>
          <cell r="J71">
            <v>0</v>
          </cell>
          <cell r="K71" t="str">
            <v>4043/4044</v>
          </cell>
          <cell r="L71" t="str">
            <v>BONDS</v>
          </cell>
          <cell r="M71">
            <v>2.6435185187438037E-2</v>
          </cell>
          <cell r="N71">
            <v>38.066666669910774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https://search-rtdc-monitor-bjffxe2xuh6vdkpspy63sjmuny.us-east-1.es.amazonaws.com/_plugin/kibana/#/discover/Steve-Slow-Train-Analysis-(2080s-and-2083s)?_g=(refreshInterval:(display:Off,section:0,value:0),time:(from:'2016-08-18 10:01:18-0600',mode:absolute,to:'2016-08-18 12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1" t="str">
            <v>N</v>
          </cell>
          <cell r="X71">
            <v>1</v>
          </cell>
          <cell r="Y71">
            <v>4.53E-2</v>
          </cell>
          <cell r="Z71">
            <v>23.333200000000001</v>
          </cell>
          <cell r="AA71">
            <v>23.2879</v>
          </cell>
          <cell r="AB71">
            <v>33137</v>
          </cell>
          <cell r="AC71" t="str">
            <v>GRADE CROSSING</v>
          </cell>
          <cell r="AD71" t="str">
            <v>0159-18</v>
          </cell>
          <cell r="AE71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72">
          <cell r="A72" t="str">
            <v>160-18</v>
          </cell>
          <cell r="B72">
            <v>4043</v>
          </cell>
          <cell r="C72" t="str">
            <v>DE.1.0.7.0</v>
          </cell>
          <cell r="D72" t="str">
            <v>204:233017</v>
          </cell>
          <cell r="E72">
            <v>42600.491238425922</v>
          </cell>
          <cell r="F72">
            <v>42600.492256944446</v>
          </cell>
          <cell r="G72">
            <v>1</v>
          </cell>
          <cell r="H72" t="str">
            <v>204:145</v>
          </cell>
          <cell r="I72">
            <v>42600.525335648148</v>
          </cell>
          <cell r="J72">
            <v>0</v>
          </cell>
          <cell r="K72" t="str">
            <v>4043/4044</v>
          </cell>
          <cell r="L72" t="str">
            <v>BONDS</v>
          </cell>
          <cell r="M72">
            <v>3.3078703701903578E-2</v>
          </cell>
          <cell r="N72">
            <v>47.633333330741152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https://search-rtdc-monitor-bjffxe2xuh6vdkpspy63sjmuny.us-east-1.es.amazonaws.com/_plugin/kibana/#/discover/Steve-Slow-Train-Analysis-(2080s-and-2083s)?_g=(refreshInterval:(display:Off,section:0,value:0),time:(from:'2016-08-18 10:47:23-0600',mode:absolute,to:'2016-08-18 13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2" t="str">
            <v>N</v>
          </cell>
          <cell r="X72">
            <v>1</v>
          </cell>
          <cell r="Y72">
            <v>23.3017</v>
          </cell>
          <cell r="Z72">
            <v>1.4500000000000001E-2</v>
          </cell>
          <cell r="AA72">
            <v>23.287199999999999</v>
          </cell>
          <cell r="AB72" t="e">
            <v>#N/A</v>
          </cell>
          <cell r="AC72" t="e">
            <v>#N/A</v>
          </cell>
          <cell r="AD72" t="str">
            <v>0160-18</v>
          </cell>
          <cell r="AE72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73">
          <cell r="A73" t="str">
            <v>161-18</v>
          </cell>
          <cell r="B73">
            <v>4027</v>
          </cell>
          <cell r="C73" t="str">
            <v>DE.1.0.7.0</v>
          </cell>
          <cell r="D73" t="str">
            <v>204:19133</v>
          </cell>
          <cell r="E73">
            <v>42600.472743055558</v>
          </cell>
          <cell r="F73">
            <v>42600.473622685182</v>
          </cell>
          <cell r="G73">
            <v>1</v>
          </cell>
          <cell r="H73" t="str">
            <v>204:233305</v>
          </cell>
          <cell r="I73">
            <v>42600.496539351851</v>
          </cell>
          <cell r="J73">
            <v>0</v>
          </cell>
          <cell r="K73" t="str">
            <v>4027/4028</v>
          </cell>
          <cell r="L73" t="str">
            <v>SANTIZO</v>
          </cell>
          <cell r="M73">
            <v>2.2916666668606922E-2</v>
          </cell>
          <cell r="P73">
            <v>34.383333334699273</v>
          </cell>
          <cell r="R73" t="str">
            <v>DUS 2N - No clear controls sent by dispatcher, signal cleared after cut out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https://search-rtdc-monitor-bjffxe2xuh6vdkpspy63sjmuny.us-east-1.es.amazonaws.com/_plugin/kibana/#/discover/Steve-Slow-Train-Analysis-(2080s-and-2083s)?_g=(refreshInterval:(display:Off,section:0,value:0),time:(from:'2016-08-18 10:20:45-0600',mode:absolute,to:'2016-08-18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3" t="str">
            <v>Y</v>
          </cell>
          <cell r="X73">
            <v>1</v>
          </cell>
          <cell r="Y73">
            <v>1.9133</v>
          </cell>
          <cell r="Z73">
            <v>23.330500000000001</v>
          </cell>
          <cell r="AA73">
            <v>21.417200000000001</v>
          </cell>
          <cell r="AB73" t="e">
            <v>#N/A</v>
          </cell>
          <cell r="AC73" t="e">
            <v>#N/A</v>
          </cell>
          <cell r="AD73" t="str">
            <v>0161-18</v>
          </cell>
          <cell r="AE73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74">
          <cell r="A74" t="str">
            <v>161-18</v>
          </cell>
          <cell r="B74">
            <v>4027</v>
          </cell>
          <cell r="C74" t="str">
            <v>DE.1.0.7.0</v>
          </cell>
          <cell r="D74" t="str">
            <v>204:467</v>
          </cell>
          <cell r="E74">
            <v>42600.46769675926</v>
          </cell>
          <cell r="F74">
            <v>42600.468877314815</v>
          </cell>
          <cell r="G74">
            <v>1</v>
          </cell>
          <cell r="H74" t="str">
            <v>204:1138</v>
          </cell>
          <cell r="I74">
            <v>42600.469837962963</v>
          </cell>
          <cell r="J74">
            <v>0</v>
          </cell>
          <cell r="K74" t="str">
            <v>4027/4028</v>
          </cell>
          <cell r="L74" t="str">
            <v>SANTIZO</v>
          </cell>
          <cell r="M74">
            <v>9.6064814715646207E-4</v>
          </cell>
          <cell r="T74" t="str">
            <v>NorthBound</v>
          </cell>
          <cell r="U74">
            <v>0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https://search-rtdc-monitor-bjffxe2xuh6vdkpspy63sjmuny.us-east-1.es.amazonaws.com/_plugin/kibana/#/discover/Steve-Slow-Train-Analysis-(2080s-and-2083s)?_g=(refreshInterval:(display:Off,section:0,value:0),time:(from:'2016-08-18 10:13:29-0600',mode:absolute,to:'2016-08-18 12:16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4" t="str">
            <v>Y</v>
          </cell>
          <cell r="X74">
            <v>0</v>
          </cell>
          <cell r="Y74">
            <v>4.6699999999999998E-2</v>
          </cell>
          <cell r="Z74">
            <v>0.1138</v>
          </cell>
          <cell r="AA74">
            <v>6.7099999999999993E-2</v>
          </cell>
          <cell r="AB74" t="e">
            <v>#N/A</v>
          </cell>
          <cell r="AC74" t="e">
            <v>#N/A</v>
          </cell>
          <cell r="AD74" t="str">
            <v>0161-18</v>
          </cell>
          <cell r="AE74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75">
          <cell r="A75" t="str">
            <v>162-18</v>
          </cell>
          <cell r="B75">
            <v>4028</v>
          </cell>
          <cell r="C75" t="str">
            <v>DE.1.0.7.0</v>
          </cell>
          <cell r="D75" t="str">
            <v>204:232992</v>
          </cell>
          <cell r="E75">
            <v>42600.49728009259</v>
          </cell>
          <cell r="F75">
            <v>42600.498194444444</v>
          </cell>
          <cell r="G75">
            <v>1</v>
          </cell>
          <cell r="H75" t="str">
            <v>204:152</v>
          </cell>
          <cell r="I75">
            <v>42600.534687500003</v>
          </cell>
          <cell r="J75">
            <v>0</v>
          </cell>
          <cell r="K75" t="str">
            <v>4027/4028</v>
          </cell>
          <cell r="L75" t="str">
            <v>SANTIZO</v>
          </cell>
          <cell r="M75">
            <v>3.6493055558821652E-2</v>
          </cell>
          <cell r="N75">
            <v>52.550000004703179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https://search-rtdc-monitor-bjffxe2xuh6vdkpspy63sjmuny.us-east-1.es.amazonaws.com/_plugin/kibana/#/discover/Steve-Slow-Train-Analysis-(2080s-and-2083s)?_g=(refreshInterval:(display:Off,section:0,value:0),time:(from:'2016-08-18 10:56:05-0600',mode:absolute,to:'2016-08-18 13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5" t="str">
            <v>N</v>
          </cell>
          <cell r="X75">
            <v>1</v>
          </cell>
          <cell r="Y75">
            <v>23.299199999999999</v>
          </cell>
          <cell r="Z75">
            <v>1.52E-2</v>
          </cell>
          <cell r="AA75">
            <v>23.283999999999999</v>
          </cell>
          <cell r="AB75" t="e">
            <v>#N/A</v>
          </cell>
          <cell r="AC75" t="e">
            <v>#N/A</v>
          </cell>
          <cell r="AD75" t="str">
            <v>0162-18</v>
          </cell>
          <cell r="AE75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76">
          <cell r="A76" t="str">
            <v>163-18</v>
          </cell>
          <cell r="B76">
            <v>4007</v>
          </cell>
          <cell r="C76" t="str">
            <v>DE.1.0.7.0</v>
          </cell>
          <cell r="D76" t="str">
            <v>204:462</v>
          </cell>
          <cell r="E76">
            <v>42600.475682870368</v>
          </cell>
          <cell r="F76">
            <v>42600.47729166667</v>
          </cell>
          <cell r="G76">
            <v>2</v>
          </cell>
          <cell r="H76" t="str">
            <v>204:233331</v>
          </cell>
          <cell r="I76">
            <v>42600.505509259259</v>
          </cell>
          <cell r="J76">
            <v>0</v>
          </cell>
          <cell r="K76" t="str">
            <v>4007/4008</v>
          </cell>
          <cell r="L76" t="str">
            <v>MOSES</v>
          </cell>
          <cell r="M76">
            <v>2.8217592589498963E-2</v>
          </cell>
          <cell r="N76">
            <v>40.633333328878507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https://search-rtdc-monitor-bjffxe2xuh6vdkpspy63sjmuny.us-east-1.es.amazonaws.com/_plugin/kibana/#/discover/Steve-Slow-Train-Analysis-(2080s-and-2083s)?_g=(refreshInterval:(display:Off,section:0,value:0),time:(from:'2016-08-18 10:24:59-0600',mode:absolute,to:'2016-08-18 13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76" t="str">
            <v>N</v>
          </cell>
          <cell r="X76">
            <v>1</v>
          </cell>
          <cell r="Y76">
            <v>4.6199999999999998E-2</v>
          </cell>
          <cell r="Z76">
            <v>23.333100000000002</v>
          </cell>
          <cell r="AA76">
            <v>23.286900000000003</v>
          </cell>
          <cell r="AB76" t="e">
            <v>#N/A</v>
          </cell>
          <cell r="AC76" t="e">
            <v>#N/A</v>
          </cell>
          <cell r="AD76" t="str">
            <v>0163-18</v>
          </cell>
          <cell r="AE76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77">
          <cell r="A77" t="str">
            <v>164-18</v>
          </cell>
          <cell r="B77">
            <v>4008</v>
          </cell>
          <cell r="C77" t="str">
            <v>DE.1.0.7.0</v>
          </cell>
          <cell r="D77" t="str">
            <v>204:232996</v>
          </cell>
          <cell r="E77">
            <v>42600.513819444444</v>
          </cell>
          <cell r="F77">
            <v>42600.515405092592</v>
          </cell>
          <cell r="G77">
            <v>2</v>
          </cell>
          <cell r="H77" t="str">
            <v>204:161</v>
          </cell>
          <cell r="I77">
            <v>42600.546712962961</v>
          </cell>
          <cell r="J77">
            <v>0</v>
          </cell>
          <cell r="K77" t="str">
            <v>4007/4008</v>
          </cell>
          <cell r="L77" t="str">
            <v>MOSES</v>
          </cell>
          <cell r="M77">
            <v>3.1307870369346347E-2</v>
          </cell>
          <cell r="N77">
            <v>45.083333331858739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https://search-rtdc-monitor-bjffxe2xuh6vdkpspy63sjmuny.us-east-1.es.amazonaws.com/_plugin/kibana/#/discover/Steve-Slow-Train-Analysis-(2080s-and-2083s)?_g=(refreshInterval:(display:Off,section:0,value:0),time:(from:'2016-08-18 11:19:54-0600',mode:absolute,to:'2016-08-18 14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77" t="str">
            <v>N</v>
          </cell>
          <cell r="X77">
            <v>1</v>
          </cell>
          <cell r="Y77">
            <v>23.299600000000002</v>
          </cell>
          <cell r="Z77">
            <v>1.61E-2</v>
          </cell>
          <cell r="AA77">
            <v>23.2835</v>
          </cell>
          <cell r="AB77" t="e">
            <v>#N/A</v>
          </cell>
          <cell r="AC77" t="e">
            <v>#N/A</v>
          </cell>
          <cell r="AD77" t="str">
            <v>0164-18</v>
          </cell>
          <cell r="AE77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78">
          <cell r="A78" t="str">
            <v>165-18</v>
          </cell>
          <cell r="B78">
            <v>4009</v>
          </cell>
          <cell r="C78" t="str">
            <v>DE.1.0.7.0</v>
          </cell>
          <cell r="D78" t="str">
            <v>204:464</v>
          </cell>
          <cell r="E78">
            <v>42600.485532407409</v>
          </cell>
          <cell r="F78">
            <v>42600.48673611111</v>
          </cell>
          <cell r="G78">
            <v>1</v>
          </cell>
          <cell r="H78" t="str">
            <v>204:233324</v>
          </cell>
          <cell r="I78">
            <v>42600.513981481483</v>
          </cell>
          <cell r="J78">
            <v>0</v>
          </cell>
          <cell r="K78" t="str">
            <v>4009/4010</v>
          </cell>
          <cell r="L78" t="str">
            <v>NEWELL</v>
          </cell>
          <cell r="M78">
            <v>2.7245370372838806E-2</v>
          </cell>
          <cell r="N78">
            <v>39.233333336887881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https://search-rtdc-monitor-bjffxe2xuh6vdkpspy63sjmuny.us-east-1.es.amazonaws.com/_plugin/kibana/#/discover/Steve-Slow-Train-Analysis-(2080s-and-2083s)?_g=(refreshInterval:(display:Off,section:0,value:0),time:(from:'2016-08-18 10:39:10-0600',mode:absolute,to:'2016-08-18 13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8" t="str">
            <v>N</v>
          </cell>
          <cell r="X78">
            <v>1</v>
          </cell>
          <cell r="Y78">
            <v>4.6399999999999997E-2</v>
          </cell>
          <cell r="Z78">
            <v>23.3324</v>
          </cell>
          <cell r="AA78">
            <v>23.286000000000001</v>
          </cell>
          <cell r="AB78" t="e">
            <v>#N/A</v>
          </cell>
          <cell r="AC78" t="e">
            <v>#N/A</v>
          </cell>
          <cell r="AD78" t="str">
            <v>0165-18</v>
          </cell>
          <cell r="AE78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79">
          <cell r="A79" t="str">
            <v>166-18</v>
          </cell>
          <cell r="B79">
            <v>4010</v>
          </cell>
          <cell r="C79" t="str">
            <v>DE.1.0.7.0</v>
          </cell>
          <cell r="D79" t="str">
            <v>204:233000</v>
          </cell>
          <cell r="E79">
            <v>42600.515613425923</v>
          </cell>
          <cell r="F79">
            <v>42600.516585648147</v>
          </cell>
          <cell r="G79">
            <v>1</v>
          </cell>
          <cell r="H79" t="str">
            <v>204:143</v>
          </cell>
          <cell r="I79">
            <v>42600.55704861111</v>
          </cell>
          <cell r="J79">
            <v>0</v>
          </cell>
          <cell r="K79" t="str">
            <v>4009/4010</v>
          </cell>
          <cell r="L79" t="str">
            <v>NEWELL</v>
          </cell>
          <cell r="M79">
            <v>4.0462962962919846E-2</v>
          </cell>
          <cell r="N79">
            <v>58.266666666604578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https://search-rtdc-monitor-bjffxe2xuh6vdkpspy63sjmuny.us-east-1.es.amazonaws.com/_plugin/kibana/#/discover/Steve-Slow-Train-Analysis-(2080s-and-2083s)?_g=(refreshInterval:(display:Off,section:0,value:0),time:(from:'2016-08-18 11:22:29-0600',mode:absolute,to:'2016-08-18 14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9" t="str">
            <v>N</v>
          </cell>
          <cell r="X79">
            <v>1</v>
          </cell>
          <cell r="Y79">
            <v>23.3</v>
          </cell>
          <cell r="Z79">
            <v>1.43E-2</v>
          </cell>
          <cell r="AA79">
            <v>23.285700000000002</v>
          </cell>
          <cell r="AB79" t="e">
            <v>#N/A</v>
          </cell>
          <cell r="AC79" t="e">
            <v>#N/A</v>
          </cell>
          <cell r="AD79" t="str">
            <v>0166-18</v>
          </cell>
          <cell r="AE79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80">
          <cell r="A80" t="str">
            <v>167-18</v>
          </cell>
          <cell r="B80">
            <v>4025</v>
          </cell>
          <cell r="C80" t="str">
            <v>DE.1.0.7.0</v>
          </cell>
          <cell r="D80" t="str">
            <v>204:458</v>
          </cell>
          <cell r="E80">
            <v>42600.497256944444</v>
          </cell>
          <cell r="F80">
            <v>42600.498645833337</v>
          </cell>
          <cell r="G80">
            <v>1</v>
          </cell>
          <cell r="H80" t="str">
            <v>204:233332</v>
          </cell>
          <cell r="I80">
            <v>42600.525358796294</v>
          </cell>
          <cell r="J80">
            <v>0</v>
          </cell>
          <cell r="K80" t="str">
            <v>4025/4026</v>
          </cell>
          <cell r="L80" t="str">
            <v>STAMBAUGH</v>
          </cell>
          <cell r="M80">
            <v>2.6712962957390118E-2</v>
          </cell>
          <cell r="N80">
            <v>38.46666665864177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https://search-rtdc-monitor-bjffxe2xuh6vdkpspy63sjmuny.us-east-1.es.amazonaws.com/_plugin/kibana/#/discover/Steve-Slow-Train-Analysis-(2080s-and-2083s)?_g=(refreshInterval:(display:Off,section:0,value:0),time:(from:'2016-08-18 10:56:03-0600',mode:absolute,to:'2016-08-18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80" t="str">
            <v>N</v>
          </cell>
          <cell r="X80">
            <v>1</v>
          </cell>
          <cell r="Y80">
            <v>4.58E-2</v>
          </cell>
          <cell r="Z80">
            <v>23.333200000000001</v>
          </cell>
          <cell r="AA80">
            <v>23.287400000000002</v>
          </cell>
          <cell r="AB80" t="e">
            <v>#N/A</v>
          </cell>
          <cell r="AC80" t="e">
            <v>#N/A</v>
          </cell>
          <cell r="AD80" t="str">
            <v>0167-18</v>
          </cell>
          <cell r="AE80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81">
          <cell r="A81" t="str">
            <v>168-18</v>
          </cell>
          <cell r="B81">
            <v>4026</v>
          </cell>
          <cell r="C81" t="str">
            <v>DE.1.0.7.0</v>
          </cell>
          <cell r="D81" t="str">
            <v>204:233013</v>
          </cell>
          <cell r="E81">
            <v>42600.536574074074</v>
          </cell>
          <cell r="F81">
            <v>42600.537534722222</v>
          </cell>
          <cell r="G81">
            <v>1</v>
          </cell>
          <cell r="H81" t="str">
            <v>204:138</v>
          </cell>
          <cell r="I81">
            <v>42600.566851851851</v>
          </cell>
          <cell r="J81">
            <v>0</v>
          </cell>
          <cell r="K81" t="str">
            <v>4025/4026</v>
          </cell>
          <cell r="L81" t="str">
            <v>STAMBAUGH</v>
          </cell>
          <cell r="M81">
            <v>2.9317129628907423E-2</v>
          </cell>
          <cell r="N81">
            <v>42.21666666562669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https://search-rtdc-monitor-bjffxe2xuh6vdkpspy63sjmuny.us-east-1.es.amazonaws.com/_plugin/kibana/#/discover/Steve-Slow-Train-Analysis-(2080s-and-2083s)?_g=(refreshInterval:(display:Off,section:0,value:0),time:(from:'2016-08-18 11:52:40-0600',mode:absolute,to:'2016-08-18 14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81" t="str">
            <v>N</v>
          </cell>
          <cell r="X81">
            <v>1</v>
          </cell>
          <cell r="Y81">
            <v>23.301300000000001</v>
          </cell>
          <cell r="Z81">
            <v>1.38E-2</v>
          </cell>
          <cell r="AA81">
            <v>23.287500000000001</v>
          </cell>
          <cell r="AB81" t="e">
            <v>#N/A</v>
          </cell>
          <cell r="AC81" t="e">
            <v>#N/A</v>
          </cell>
          <cell r="AD81" t="str">
            <v>0168-18</v>
          </cell>
          <cell r="AE81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82">
          <cell r="A82" t="str">
            <v>169-18</v>
          </cell>
          <cell r="B82">
            <v>4038</v>
          </cell>
          <cell r="C82" t="str">
            <v>DE.1.0.7.0</v>
          </cell>
          <cell r="D82" t="str">
            <v>204:475</v>
          </cell>
          <cell r="E82">
            <v>42600.509409722225</v>
          </cell>
          <cell r="F82">
            <v>42600.511550925927</v>
          </cell>
          <cell r="G82">
            <v>3</v>
          </cell>
          <cell r="H82" t="str">
            <v>204:233293</v>
          </cell>
          <cell r="I82">
            <v>42600.538055555553</v>
          </cell>
          <cell r="J82">
            <v>0</v>
          </cell>
          <cell r="K82" t="str">
            <v>4037/4038</v>
          </cell>
          <cell r="L82" t="str">
            <v>SWANSON</v>
          </cell>
          <cell r="M82">
            <v>2.6504629626288079E-2</v>
          </cell>
          <cell r="N82">
            <v>38.166666661854833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https://search-rtdc-monitor-bjffxe2xuh6vdkpspy63sjmuny.us-east-1.es.amazonaws.com/_plugin/kibana/#/discover/Steve-Slow-Train-Analysis-(2080s-and-2083s)?_g=(refreshInterval:(display:Off,section:0,value:0),time:(from:'2016-08-18 11:13:33-0600',mode:absolute,to:'2016-08-18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2" t="str">
            <v>N</v>
          </cell>
          <cell r="X82">
            <v>1</v>
          </cell>
          <cell r="Y82">
            <v>4.7500000000000001E-2</v>
          </cell>
          <cell r="Z82">
            <v>23.3293</v>
          </cell>
          <cell r="AA82">
            <v>23.2818</v>
          </cell>
          <cell r="AB82" t="e">
            <v>#N/A</v>
          </cell>
          <cell r="AC82" t="e">
            <v>#N/A</v>
          </cell>
          <cell r="AD82" t="str">
            <v>0169-18</v>
          </cell>
          <cell r="AE82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83">
          <cell r="A83" t="str">
            <v>170-18</v>
          </cell>
          <cell r="B83">
            <v>4037</v>
          </cell>
          <cell r="C83" t="str">
            <v>DE.1.0.7.0</v>
          </cell>
          <cell r="D83" t="str">
            <v>204:232973</v>
          </cell>
          <cell r="E83">
            <v>42600.540219907409</v>
          </cell>
          <cell r="F83">
            <v>42600.541076388887</v>
          </cell>
          <cell r="G83">
            <v>1</v>
          </cell>
          <cell r="H83" t="str">
            <v>204:154</v>
          </cell>
          <cell r="I83">
            <v>42600.578576388885</v>
          </cell>
          <cell r="J83">
            <v>0</v>
          </cell>
          <cell r="K83" t="str">
            <v>4037/4038</v>
          </cell>
          <cell r="L83" t="str">
            <v>SWANSON</v>
          </cell>
          <cell r="M83">
            <v>3.7499999998544808E-2</v>
          </cell>
          <cell r="N83">
            <v>53.999999997904524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https://search-rtdc-monitor-bjffxe2xuh6vdkpspy63sjmuny.us-east-1.es.amazonaws.com/_plugin/kibana/#/discover/Steve-Slow-Train-Analysis-(2080s-and-2083s)?_g=(refreshInterval:(display:Off,section:0,value:0),time:(from:'2016-08-18 11:57:55-0600',mode:absolute,to:'2016-08-18 14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83" t="str">
            <v>N</v>
          </cell>
          <cell r="X83">
            <v>1</v>
          </cell>
          <cell r="Y83">
            <v>23.2973</v>
          </cell>
          <cell r="Z83">
            <v>1.54E-2</v>
          </cell>
          <cell r="AA83">
            <v>23.2819</v>
          </cell>
          <cell r="AB83" t="e">
            <v>#N/A</v>
          </cell>
          <cell r="AC83" t="e">
            <v>#N/A</v>
          </cell>
          <cell r="AD83" t="str">
            <v>0170-18</v>
          </cell>
          <cell r="AE83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84">
          <cell r="A84" t="str">
            <v>171-18</v>
          </cell>
          <cell r="B84">
            <v>4029</v>
          </cell>
          <cell r="C84" t="str">
            <v>DE.1.0.7.0</v>
          </cell>
          <cell r="D84" t="str">
            <v>204:455</v>
          </cell>
          <cell r="E84">
            <v>42600.517245370371</v>
          </cell>
          <cell r="F84">
            <v>42600.518854166665</v>
          </cell>
          <cell r="G84">
            <v>2</v>
          </cell>
          <cell r="H84" t="str">
            <v>204:233304</v>
          </cell>
          <cell r="I84">
            <v>42600.548726851855</v>
          </cell>
          <cell r="J84">
            <v>0</v>
          </cell>
          <cell r="K84" t="str">
            <v>4029/4030</v>
          </cell>
          <cell r="L84" t="str">
            <v>GRASTON</v>
          </cell>
          <cell r="M84">
            <v>2.9872685190639459E-2</v>
          </cell>
          <cell r="N84">
            <v>43.01666667452082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https://search-rtdc-monitor-bjffxe2xuh6vdkpspy63sjmuny.us-east-1.es.amazonaws.com/_plugin/kibana/#/discover/Steve-Slow-Train-Analysis-(2080s-and-2083s)?_g=(refreshInterval:(display:Off,section:0,value:0),time:(from:'2016-08-18 11:24:50-0600',mode:absolute,to:'2016-08-18 14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4" t="str">
            <v>N</v>
          </cell>
          <cell r="X84">
            <v>1</v>
          </cell>
          <cell r="Y84">
            <v>4.5499999999999999E-2</v>
          </cell>
          <cell r="Z84">
            <v>23.330400000000001</v>
          </cell>
          <cell r="AA84">
            <v>23.2849</v>
          </cell>
          <cell r="AB84" t="e">
            <v>#N/A</v>
          </cell>
          <cell r="AC84" t="e">
            <v>#N/A</v>
          </cell>
          <cell r="AD84" t="str">
            <v>0171-18</v>
          </cell>
          <cell r="AE84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85">
          <cell r="A85" t="str">
            <v>172-18</v>
          </cell>
          <cell r="B85">
            <v>4030</v>
          </cell>
          <cell r="C85" t="str">
            <v>DE.1.0.7.0</v>
          </cell>
          <cell r="D85" t="str">
            <v>204:232983</v>
          </cell>
          <cell r="E85">
            <v>42600.554907407408</v>
          </cell>
          <cell r="F85">
            <v>42600.555891203701</v>
          </cell>
          <cell r="G85">
            <v>1</v>
          </cell>
          <cell r="H85" t="str">
            <v>204:152</v>
          </cell>
          <cell r="I85">
            <v>42600.590729166666</v>
          </cell>
          <cell r="J85">
            <v>0</v>
          </cell>
          <cell r="K85" t="str">
            <v>4029/4030</v>
          </cell>
          <cell r="L85" t="str">
            <v>GRASTON</v>
          </cell>
          <cell r="M85">
            <v>3.4837962964957114E-2</v>
          </cell>
          <cell r="N85">
            <v>50.166666669538245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https://search-rtdc-monitor-bjffxe2xuh6vdkpspy63sjmuny.us-east-1.es.amazonaws.com/_plugin/kibana/#/discover/Steve-Slow-Train-Analysis-(2080s-and-2083s)?_g=(refreshInterval:(display:Off,section:0,value:0),time:(from:'2016-08-18 12:19:04-0600',mode:absolute,to:'2016-08-18 15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1.52E-2</v>
          </cell>
          <cell r="AA85">
            <v>23.283100000000001</v>
          </cell>
          <cell r="AB85" t="e">
            <v>#N/A</v>
          </cell>
          <cell r="AC85" t="e">
            <v>#N/A</v>
          </cell>
          <cell r="AD85" t="str">
            <v>0172-18</v>
          </cell>
          <cell r="AE85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86">
          <cell r="A86" t="str">
            <v>173-18</v>
          </cell>
          <cell r="B86">
            <v>4044</v>
          </cell>
          <cell r="C86" t="str">
            <v>DE.1.0.7.0</v>
          </cell>
          <cell r="D86" t="str">
            <v>204:446</v>
          </cell>
          <cell r="E86">
            <v>42600.526747685188</v>
          </cell>
          <cell r="F86">
            <v>42600.527777777781</v>
          </cell>
          <cell r="G86">
            <v>1</v>
          </cell>
          <cell r="H86" t="str">
            <v>204:233295</v>
          </cell>
          <cell r="I86">
            <v>42600.55678240741</v>
          </cell>
          <cell r="J86">
            <v>0</v>
          </cell>
          <cell r="K86" t="str">
            <v>4043/4044</v>
          </cell>
          <cell r="L86" t="str">
            <v>BONDS</v>
          </cell>
          <cell r="M86">
            <v>2.9004629628616385E-2</v>
          </cell>
          <cell r="N86">
            <v>41.766666665207595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https://search-rtdc-monitor-bjffxe2xuh6vdkpspy63sjmuny.us-east-1.es.amazonaws.com/_plugin/kibana/#/discover/Steve-Slow-Train-Analysis-(2080s-and-2083s)?_g=(refreshInterval:(display:Off,section:0,value:0),time:(from:'2016-08-18 11:38:31-0600',mode:absolute,to:'2016-08-18 14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6" t="str">
            <v>N</v>
          </cell>
          <cell r="X86">
            <v>1</v>
          </cell>
          <cell r="Y86">
            <v>4.4600000000000001E-2</v>
          </cell>
          <cell r="Z86">
            <v>23.329499999999999</v>
          </cell>
          <cell r="AA86">
            <v>23.2849</v>
          </cell>
          <cell r="AB86" t="e">
            <v>#N/A</v>
          </cell>
          <cell r="AC86" t="e">
            <v>#N/A</v>
          </cell>
          <cell r="AD86" t="str">
            <v>0173-18</v>
          </cell>
          <cell r="AE86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87">
          <cell r="A87" t="str">
            <v>174-18</v>
          </cell>
          <cell r="B87">
            <v>4043</v>
          </cell>
          <cell r="C87" t="str">
            <v>DE.1.0.7.0</v>
          </cell>
          <cell r="D87" t="str">
            <v>204:232994</v>
          </cell>
          <cell r="E87">
            <v>42600.561990740738</v>
          </cell>
          <cell r="F87">
            <v>42600.562777777777</v>
          </cell>
          <cell r="G87">
            <v>1</v>
          </cell>
          <cell r="H87" t="str">
            <v>204:141</v>
          </cell>
          <cell r="I87">
            <v>42600.597442129627</v>
          </cell>
          <cell r="J87">
            <v>0</v>
          </cell>
          <cell r="K87" t="str">
            <v>4043/4044</v>
          </cell>
          <cell r="L87" t="str">
            <v>BONDS</v>
          </cell>
          <cell r="M87">
            <v>3.4664351849642117E-2</v>
          </cell>
          <cell r="N87">
            <v>49.916666663484648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https://search-rtdc-monitor-bjffxe2xuh6vdkpspy63sjmuny.us-east-1.es.amazonaws.com/_plugin/kibana/#/discover/Steve-Slow-Train-Analysis-(2080s-and-2083s)?_g=(refreshInterval:(display:Off,section:0,value:0),time:(from:'2016-08-18 12:29:16-0600',mode:absolute,to:'2016-08-18 15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7" t="str">
            <v>N</v>
          </cell>
          <cell r="X87">
            <v>1</v>
          </cell>
          <cell r="Y87">
            <v>23.299399999999999</v>
          </cell>
          <cell r="Z87">
            <v>1.41E-2</v>
          </cell>
          <cell r="AA87">
            <v>23.285299999999999</v>
          </cell>
          <cell r="AB87" t="e">
            <v>#N/A</v>
          </cell>
          <cell r="AC87" t="e">
            <v>#N/A</v>
          </cell>
          <cell r="AD87" t="str">
            <v>0174-18</v>
          </cell>
          <cell r="AE87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88">
          <cell r="A88" t="str">
            <v>175-18</v>
          </cell>
          <cell r="B88">
            <v>4027</v>
          </cell>
          <cell r="C88" t="str">
            <v>DE.1.0.7.0</v>
          </cell>
          <cell r="D88" t="str">
            <v>204:471</v>
          </cell>
          <cell r="E88">
            <v>42600.536157407405</v>
          </cell>
          <cell r="F88">
            <v>42600.537465277775</v>
          </cell>
          <cell r="G88">
            <v>1</v>
          </cell>
          <cell r="H88" t="str">
            <v>204:233276</v>
          </cell>
          <cell r="I88">
            <v>42600.570381944446</v>
          </cell>
          <cell r="J88">
            <v>0</v>
          </cell>
          <cell r="K88" t="str">
            <v>4027/4028</v>
          </cell>
          <cell r="L88" t="str">
            <v>SANTIZO</v>
          </cell>
          <cell r="M88">
            <v>3.291666667064419E-2</v>
          </cell>
          <cell r="N88">
            <v>47.400000005727634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https://search-rtdc-monitor-bjffxe2xuh6vdkpspy63sjmuny.us-east-1.es.amazonaws.com/_plugin/kibana/#/discover/Steve-Slow-Train-Analysis-(2080s-and-2083s)?_g=(refreshInterval:(display:Off,section:0,value:0),time:(from:'2016-08-18 11:52:04-0600',mode:absolute,to:'2016-08-18 14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8" t="str">
            <v>N</v>
          </cell>
          <cell r="X88">
            <v>1</v>
          </cell>
          <cell r="Y88">
            <v>4.7100000000000003E-2</v>
          </cell>
          <cell r="Z88">
            <v>23.3276</v>
          </cell>
          <cell r="AA88">
            <v>23.2805</v>
          </cell>
          <cell r="AB88">
            <v>183829</v>
          </cell>
          <cell r="AC88" t="str">
            <v>PERMANENT SPEED RESTRICTION</v>
          </cell>
          <cell r="AD88" t="str">
            <v>0175-18</v>
          </cell>
          <cell r="AE88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89">
          <cell r="A89" t="str">
            <v>176-18</v>
          </cell>
          <cell r="B89">
            <v>4028</v>
          </cell>
          <cell r="C89" t="str">
            <v>DE.1.0.7.0</v>
          </cell>
          <cell r="D89" t="str">
            <v>204:232991</v>
          </cell>
          <cell r="E89">
            <v>42600.572013888886</v>
          </cell>
          <cell r="F89">
            <v>42600.573159722226</v>
          </cell>
          <cell r="G89">
            <v>1</v>
          </cell>
          <cell r="H89" t="str">
            <v>204:191</v>
          </cell>
          <cell r="I89">
            <v>42600.608425925922</v>
          </cell>
          <cell r="J89">
            <v>0</v>
          </cell>
          <cell r="K89" t="str">
            <v>4027/4028</v>
          </cell>
          <cell r="L89" t="str">
            <v>SANTIZO</v>
          </cell>
          <cell r="M89">
            <v>3.5266203696664888E-2</v>
          </cell>
          <cell r="N89">
            <v>50.783333323197439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https://search-rtdc-monitor-bjffxe2xuh6vdkpspy63sjmuny.us-east-1.es.amazonaws.com/_plugin/kibana/#/discover/Steve-Slow-Train-Analysis-(2080s-and-2083s)?_g=(refreshInterval:(display:Off,section:0,value:0),time:(from:'2016-08-18 12:43:42-0600',mode:absolute,to:'2016-08-18 15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9" t="str">
            <v>N</v>
          </cell>
          <cell r="X89">
            <v>1</v>
          </cell>
          <cell r="Y89">
            <v>23.299099999999999</v>
          </cell>
          <cell r="Z89">
            <v>1.9099999999999999E-2</v>
          </cell>
          <cell r="AA89">
            <v>23.279999999999998</v>
          </cell>
          <cell r="AB89" t="e">
            <v>#N/A</v>
          </cell>
          <cell r="AC89" t="e">
            <v>#N/A</v>
          </cell>
          <cell r="AD89" t="str">
            <v>0176-18</v>
          </cell>
          <cell r="AE89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90">
          <cell r="A90" t="str">
            <v>177-18</v>
          </cell>
          <cell r="B90">
            <v>4007</v>
          </cell>
          <cell r="C90" t="str">
            <v>DE.1.0.7.0</v>
          </cell>
          <cell r="D90" t="str">
            <v>204:466</v>
          </cell>
          <cell r="E90">
            <v>42600.549861111111</v>
          </cell>
          <cell r="F90">
            <v>42600.552442129629</v>
          </cell>
          <cell r="G90">
            <v>3</v>
          </cell>
          <cell r="H90" t="str">
            <v>204:233326</v>
          </cell>
          <cell r="I90">
            <v>42600.578726851854</v>
          </cell>
          <cell r="J90">
            <v>0</v>
          </cell>
          <cell r="K90" t="str">
            <v>4007/4008</v>
          </cell>
          <cell r="L90" t="str">
            <v>MOSES</v>
          </cell>
          <cell r="M90">
            <v>2.6284722225682344E-2</v>
          </cell>
          <cell r="N90">
            <v>37.850000004982576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https://search-rtdc-monitor-bjffxe2xuh6vdkpspy63sjmuny.us-east-1.es.amazonaws.com/_plugin/kibana/#/discover/Steve-Slow-Train-Analysis-(2080s-and-2083s)?_g=(refreshInterval:(display:Off,section:0,value:0),time:(from:'2016-08-18 12:11:48-0600',mode:absolute,to:'2016-08-18 14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90" t="str">
            <v>N</v>
          </cell>
          <cell r="X90">
            <v>1</v>
          </cell>
          <cell r="Y90">
            <v>4.6600000000000003E-2</v>
          </cell>
          <cell r="Z90">
            <v>23.332599999999999</v>
          </cell>
          <cell r="AA90">
            <v>23.285999999999998</v>
          </cell>
          <cell r="AB90" t="e">
            <v>#N/A</v>
          </cell>
          <cell r="AC90" t="e">
            <v>#N/A</v>
          </cell>
          <cell r="AD90" t="str">
            <v>0177-18</v>
          </cell>
          <cell r="AE90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91">
          <cell r="A91" t="str">
            <v>178-18</v>
          </cell>
          <cell r="B91">
            <v>4008</v>
          </cell>
          <cell r="C91" t="str">
            <v>DE.1.0.7.0</v>
          </cell>
          <cell r="D91" t="str">
            <v>204:233017</v>
          </cell>
          <cell r="E91">
            <v>42600.584467592591</v>
          </cell>
          <cell r="F91">
            <v>42600.586238425924</v>
          </cell>
          <cell r="G91">
            <v>2</v>
          </cell>
          <cell r="H91" t="str">
            <v>204:138</v>
          </cell>
          <cell r="I91">
            <v>42600.618969907409</v>
          </cell>
          <cell r="J91">
            <v>0</v>
          </cell>
          <cell r="K91" t="str">
            <v>4007/4008</v>
          </cell>
          <cell r="L91" t="str">
            <v>MOSES</v>
          </cell>
          <cell r="M91">
            <v>3.2731481485825498E-2</v>
          </cell>
          <cell r="N91">
            <v>47.133333339588717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https://search-rtdc-monitor-bjffxe2xuh6vdkpspy63sjmuny.us-east-1.es.amazonaws.com/_plugin/kibana/#/discover/Steve-Slow-Train-Analysis-(2080s-and-2083s)?_g=(refreshInterval:(display:Off,section:0,value:0),time:(from:'2016-08-18 13:01:38-0600',mode:absolute,to:'2016-08-18 15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91" t="str">
            <v>N</v>
          </cell>
          <cell r="X91">
            <v>1</v>
          </cell>
          <cell r="Y91">
            <v>23.3017</v>
          </cell>
          <cell r="Z91">
            <v>1.38E-2</v>
          </cell>
          <cell r="AA91">
            <v>23.2879</v>
          </cell>
          <cell r="AB91" t="e">
            <v>#N/A</v>
          </cell>
          <cell r="AC91" t="e">
            <v>#N/A</v>
          </cell>
          <cell r="AD91" t="str">
            <v>0178-18</v>
          </cell>
          <cell r="AE91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92">
          <cell r="A92" t="str">
            <v>179-18</v>
          </cell>
          <cell r="B92">
            <v>4009</v>
          </cell>
          <cell r="C92" t="str">
            <v>DE.1.0.7.0</v>
          </cell>
          <cell r="D92" t="str">
            <v>204:460</v>
          </cell>
          <cell r="E92">
            <v>42600.558668981481</v>
          </cell>
          <cell r="F92">
            <v>42600.559421296297</v>
          </cell>
          <cell r="G92">
            <v>1</v>
          </cell>
          <cell r="H92" t="str">
            <v>204:233355</v>
          </cell>
          <cell r="I92">
            <v>42600.58734953704</v>
          </cell>
          <cell r="J92">
            <v>0</v>
          </cell>
          <cell r="K92" t="str">
            <v>4009/4010</v>
          </cell>
          <cell r="L92" t="str">
            <v>NEWELL</v>
          </cell>
          <cell r="M92">
            <v>2.792824074276723E-2</v>
          </cell>
          <cell r="N92">
            <v>40.216666669584811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https://search-rtdc-monitor-bjffxe2xuh6vdkpspy63sjmuny.us-east-1.es.amazonaws.com/_plugin/kibana/#/discover/Steve-Slow-Train-Analysis-(2080s-and-2083s)?_g=(refreshInterval:(display:Off,section:0,value:0),time:(from:'2016-08-18 12:24:29-0600',mode:absolute,to:'2016-08-18 15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2" t="str">
            <v>N</v>
          </cell>
          <cell r="X92">
            <v>1</v>
          </cell>
          <cell r="Y92">
            <v>4.5999999999999999E-2</v>
          </cell>
          <cell r="Z92">
            <v>23.3355</v>
          </cell>
          <cell r="AA92">
            <v>23.2895</v>
          </cell>
          <cell r="AB92" t="e">
            <v>#N/A</v>
          </cell>
          <cell r="AC92" t="e">
            <v>#N/A</v>
          </cell>
          <cell r="AD92" t="str">
            <v>0179-18</v>
          </cell>
          <cell r="AE92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93">
          <cell r="A93" t="str">
            <v>180-18</v>
          </cell>
          <cell r="B93">
            <v>4010</v>
          </cell>
          <cell r="C93" t="str">
            <v>DE.1.0.7.0</v>
          </cell>
          <cell r="D93" t="str">
            <v>204:233030</v>
          </cell>
          <cell r="E93">
            <v>42600.588425925926</v>
          </cell>
          <cell r="F93">
            <v>42600.589236111111</v>
          </cell>
          <cell r="G93">
            <v>1</v>
          </cell>
          <cell r="H93" t="str">
            <v>204:139</v>
          </cell>
          <cell r="I93">
            <v>42600.628877314812</v>
          </cell>
          <cell r="J93">
            <v>0</v>
          </cell>
          <cell r="K93" t="str">
            <v>4009/4010</v>
          </cell>
          <cell r="L93" t="str">
            <v>NEWELL</v>
          </cell>
          <cell r="M93">
            <v>3.9641203700739425E-2</v>
          </cell>
          <cell r="N93">
            <v>57.083333329064772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https://search-rtdc-monitor-bjffxe2xuh6vdkpspy63sjmuny.us-east-1.es.amazonaws.com/_plugin/kibana/#/discover/Steve-Slow-Train-Analysis-(2080s-and-2083s)?_g=(refreshInterval:(display:Off,section:0,value:0),time:(from:'2016-08-18 13:07:20-0600',mode:absolute,to:'2016-08-18 16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3" t="str">
            <v>N</v>
          </cell>
          <cell r="X93">
            <v>1</v>
          </cell>
          <cell r="Y93">
            <v>23.303000000000001</v>
          </cell>
          <cell r="Z93">
            <v>1.3899999999999999E-2</v>
          </cell>
          <cell r="AA93">
            <v>23.289100000000001</v>
          </cell>
          <cell r="AB93" t="e">
            <v>#N/A</v>
          </cell>
          <cell r="AC93" t="e">
            <v>#N/A</v>
          </cell>
          <cell r="AD93" t="str">
            <v>0180-18</v>
          </cell>
          <cell r="AE93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94">
          <cell r="A94" t="str">
            <v>181-18</v>
          </cell>
          <cell r="B94">
            <v>4025</v>
          </cell>
          <cell r="C94" t="str">
            <v>DE.1.0.7.0</v>
          </cell>
          <cell r="D94" t="str">
            <v>204:471</v>
          </cell>
          <cell r="E94">
            <v>42600.568379629629</v>
          </cell>
          <cell r="F94">
            <v>42600.569699074076</v>
          </cell>
          <cell r="G94">
            <v>1</v>
          </cell>
          <cell r="H94" t="str">
            <v>204:233326</v>
          </cell>
          <cell r="I94">
            <v>42600.59820601852</v>
          </cell>
          <cell r="J94">
            <v>0</v>
          </cell>
          <cell r="K94" t="str">
            <v>4025/4026</v>
          </cell>
          <cell r="L94" t="str">
            <v>STAMBAUGH</v>
          </cell>
          <cell r="M94">
            <v>2.8506944443506654E-2</v>
          </cell>
          <cell r="N94">
            <v>41.049999998649582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https://search-rtdc-monitor-bjffxe2xuh6vdkpspy63sjmuny.us-east-1.es.amazonaws.com/_plugin/kibana/#/discover/Steve-Slow-Train-Analysis-(2080s-and-2083s)?_g=(refreshInterval:(display:Off,section:0,value:0),time:(from:'2016-08-18 12:38:28-0600',mode:absolute,to:'2016-08-18 15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94" t="str">
            <v>N</v>
          </cell>
          <cell r="X94">
            <v>1</v>
          </cell>
          <cell r="Y94">
            <v>4.7100000000000003E-2</v>
          </cell>
          <cell r="Z94">
            <v>23.332599999999999</v>
          </cell>
          <cell r="AA94">
            <v>23.285499999999999</v>
          </cell>
          <cell r="AB94" t="e">
            <v>#N/A</v>
          </cell>
          <cell r="AC94" t="e">
            <v>#N/A</v>
          </cell>
          <cell r="AD94" t="str">
            <v>0181-18</v>
          </cell>
          <cell r="AE94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95">
          <cell r="A95" t="str">
            <v>182-18</v>
          </cell>
          <cell r="B95">
            <v>4026</v>
          </cell>
          <cell r="C95" t="str">
            <v>DE.1.0.7.0</v>
          </cell>
          <cell r="D95" t="str">
            <v>204:232998</v>
          </cell>
          <cell r="E95">
            <v>42600.609710648147</v>
          </cell>
          <cell r="F95">
            <v>42600.61078703704</v>
          </cell>
          <cell r="G95">
            <v>1</v>
          </cell>
          <cell r="H95" t="str">
            <v>204:203</v>
          </cell>
          <cell r="I95">
            <v>42600.639155092591</v>
          </cell>
          <cell r="J95">
            <v>0</v>
          </cell>
          <cell r="K95" t="str">
            <v>4025/4026</v>
          </cell>
          <cell r="L95" t="str">
            <v>STAMBAUGH</v>
          </cell>
          <cell r="M95">
            <v>2.8368055551254656E-2</v>
          </cell>
          <cell r="N95">
            <v>40.849999993806705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https://search-rtdc-monitor-bjffxe2xuh6vdkpspy63sjmuny.us-east-1.es.amazonaws.com/_plugin/kibana/#/discover/Steve-Slow-Train-Analysis-(2080s-and-2083s)?_g=(refreshInterval:(display:Off,section:0,value:0),time:(from:'2016-08-18 13:37:59-0600',mode:absolute,to:'2016-08-18 16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95" t="str">
            <v>N</v>
          </cell>
          <cell r="X95">
            <v>1</v>
          </cell>
          <cell r="Y95">
            <v>23.299800000000001</v>
          </cell>
          <cell r="Z95">
            <v>2.0299999999999999E-2</v>
          </cell>
          <cell r="AA95">
            <v>23.279500000000002</v>
          </cell>
          <cell r="AB95" t="e">
            <v>#N/A</v>
          </cell>
          <cell r="AC95" t="e">
            <v>#N/A</v>
          </cell>
          <cell r="AD95" t="str">
            <v>0182-18</v>
          </cell>
          <cell r="AE95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96">
          <cell r="A96" t="str">
            <v>183-18</v>
          </cell>
          <cell r="B96">
            <v>4038</v>
          </cell>
          <cell r="C96" t="str">
            <v>DE.1.0.7.0</v>
          </cell>
          <cell r="D96" t="str">
            <v>204:446</v>
          </cell>
          <cell r="E96">
            <v>42600.580694444441</v>
          </cell>
          <cell r="F96">
            <v>42600.581956018519</v>
          </cell>
          <cell r="G96">
            <v>1</v>
          </cell>
          <cell r="H96" t="str">
            <v>204:233302</v>
          </cell>
          <cell r="I96">
            <v>42600.609675925924</v>
          </cell>
          <cell r="J96">
            <v>0</v>
          </cell>
          <cell r="K96" t="str">
            <v>4037/4038</v>
          </cell>
          <cell r="L96" t="str">
            <v>HAITHCOX</v>
          </cell>
          <cell r="M96">
            <v>2.7719907404389232E-2</v>
          </cell>
          <cell r="N96">
            <v>39.916666662320495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https://search-rtdc-monitor-bjffxe2xuh6vdkpspy63sjmuny.us-east-1.es.amazonaws.com/_plugin/kibana/#/discover/Steve-Slow-Train-Analysis-(2080s-and-2083s)?_g=(refreshInterval:(display:Off,section:0,value:0),time:(from:'2016-08-18 12:56:12-0600',mode:absolute,to:'2016-08-18 15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96" t="str">
            <v>N</v>
          </cell>
          <cell r="X96">
            <v>1</v>
          </cell>
          <cell r="Y96">
            <v>4.4600000000000001E-2</v>
          </cell>
          <cell r="Z96">
            <v>23.330200000000001</v>
          </cell>
          <cell r="AA96">
            <v>23.285600000000002</v>
          </cell>
          <cell r="AB96" t="e">
            <v>#N/A</v>
          </cell>
          <cell r="AC96" t="e">
            <v>#N/A</v>
          </cell>
          <cell r="AD96" t="str">
            <v>0183-18</v>
          </cell>
          <cell r="AE96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97">
          <cell r="A97" t="str">
            <v>184-18</v>
          </cell>
          <cell r="B97">
            <v>4037</v>
          </cell>
          <cell r="C97" t="str">
            <v>DE.1.0.7.0</v>
          </cell>
          <cell r="D97" t="str">
            <v>204:232976</v>
          </cell>
          <cell r="E97">
            <v>42600.615763888891</v>
          </cell>
          <cell r="F97">
            <v>42600.617465277777</v>
          </cell>
          <cell r="G97">
            <v>2</v>
          </cell>
          <cell r="H97" t="str">
            <v>204:161</v>
          </cell>
          <cell r="I97">
            <v>42600.652245370373</v>
          </cell>
          <cell r="J97">
            <v>0</v>
          </cell>
          <cell r="K97" t="str">
            <v>4037/4038</v>
          </cell>
          <cell r="L97" t="str">
            <v>HAITHCOX</v>
          </cell>
          <cell r="M97">
            <v>3.4780092595610768E-2</v>
          </cell>
          <cell r="N97">
            <v>50.083333337679505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https://search-rtdc-monitor-bjffxe2xuh6vdkpspy63sjmuny.us-east-1.es.amazonaws.com/_plugin/kibana/#/discover/Steve-Slow-Train-Analysis-(2080s-and-2083s)?_g=(refreshInterval:(display:Off,section:0,value:0),time:(from:'2016-08-18 13:46:42-0600',mode:absolute,to:'2016-08-18 16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7" t="str">
            <v>N</v>
          </cell>
          <cell r="X97">
            <v>1</v>
          </cell>
          <cell r="Y97">
            <v>23.297599999999999</v>
          </cell>
          <cell r="Z97">
            <v>1.61E-2</v>
          </cell>
          <cell r="AA97">
            <v>23.281499999999998</v>
          </cell>
          <cell r="AB97" t="e">
            <v>#N/A</v>
          </cell>
          <cell r="AC97" t="e">
            <v>#N/A</v>
          </cell>
          <cell r="AD97" t="str">
            <v>0184-18</v>
          </cell>
          <cell r="AE97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98">
          <cell r="A98" t="str">
            <v>185-18</v>
          </cell>
          <cell r="B98">
            <v>4029</v>
          </cell>
          <cell r="C98" t="str">
            <v>DE.1.0.7.0</v>
          </cell>
          <cell r="D98" t="str">
            <v>204:449</v>
          </cell>
          <cell r="E98">
            <v>42600.59202546296</v>
          </cell>
          <cell r="F98">
            <v>42600.592835648145</v>
          </cell>
          <cell r="G98">
            <v>1</v>
          </cell>
          <cell r="H98" t="str">
            <v>204:233284</v>
          </cell>
          <cell r="I98">
            <v>42600.620856481481</v>
          </cell>
          <cell r="J98">
            <v>0</v>
          </cell>
          <cell r="K98" t="str">
            <v>4029/4030</v>
          </cell>
          <cell r="L98" t="str">
            <v>GRASTON</v>
          </cell>
          <cell r="M98">
            <v>2.8020833335176576E-2</v>
          </cell>
          <cell r="N98">
            <v>40.350000002654269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https://search-rtdc-monitor-bjffxe2xuh6vdkpspy63sjmuny.us-east-1.es.amazonaws.com/_plugin/kibana/#/discover/Steve-Slow-Train-Analysis-(2080s-and-2083s)?_g=(refreshInterval:(display:Off,section:0,value:0),time:(from:'2016-08-18 13:12:31-0600',mode:absolute,to:'2016-08-18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8" t="str">
            <v>N</v>
          </cell>
          <cell r="X98">
            <v>1</v>
          </cell>
          <cell r="Y98">
            <v>4.4900000000000002E-2</v>
          </cell>
          <cell r="Z98">
            <v>23.328399999999998</v>
          </cell>
          <cell r="AA98">
            <v>23.2835</v>
          </cell>
          <cell r="AB98" t="e">
            <v>#N/A</v>
          </cell>
          <cell r="AC98" t="e">
            <v>#N/A</v>
          </cell>
          <cell r="AD98" t="str">
            <v>0185-18</v>
          </cell>
          <cell r="AE98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99">
          <cell r="A99" t="str">
            <v>186-18</v>
          </cell>
          <cell r="B99">
            <v>4030</v>
          </cell>
          <cell r="C99" t="str">
            <v>DE.1.0.7.0</v>
          </cell>
          <cell r="D99" t="str">
            <v>204:232950</v>
          </cell>
          <cell r="E99">
            <v>42600.627013888887</v>
          </cell>
          <cell r="F99">
            <v>42600.628067129626</v>
          </cell>
          <cell r="G99">
            <v>1</v>
          </cell>
          <cell r="H99" t="str">
            <v>204:156</v>
          </cell>
          <cell r="I99">
            <v>42600.662199074075</v>
          </cell>
          <cell r="J99">
            <v>0</v>
          </cell>
          <cell r="K99" t="str">
            <v>4029/4030</v>
          </cell>
          <cell r="L99" t="str">
            <v>GRASTON</v>
          </cell>
          <cell r="M99">
            <v>3.4131944448745344E-2</v>
          </cell>
          <cell r="N99">
            <v>49.150000006193295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https://search-rtdc-monitor-bjffxe2xuh6vdkpspy63sjmuny.us-east-1.es.amazonaws.com/_plugin/kibana/#/discover/Steve-Slow-Train-Analysis-(2080s-and-2083s)?_g=(refreshInterval:(display:Off,section:0,value:0),time:(from:'2016-08-18 14:02:54-0600',mode:absolute,to:'2016-08-18 16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9" t="str">
            <v>N</v>
          </cell>
          <cell r="X99">
            <v>1</v>
          </cell>
          <cell r="Y99">
            <v>23.295000000000002</v>
          </cell>
          <cell r="Z99">
            <v>1.5599999999999999E-2</v>
          </cell>
          <cell r="AA99">
            <v>23.279400000000003</v>
          </cell>
          <cell r="AB99" t="e">
            <v>#N/A</v>
          </cell>
          <cell r="AC99" t="e">
            <v>#N/A</v>
          </cell>
          <cell r="AD99" t="str">
            <v>0186-18</v>
          </cell>
          <cell r="AE99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00">
          <cell r="A100" t="str">
            <v>187-18</v>
          </cell>
          <cell r="B100">
            <v>4044</v>
          </cell>
          <cell r="C100" t="str">
            <v>DE.1.0.7.0</v>
          </cell>
          <cell r="D100" t="str">
            <v>204:438</v>
          </cell>
          <cell r="E100">
            <v>42600.599027777775</v>
          </cell>
          <cell r="F100">
            <v>42600.599988425929</v>
          </cell>
          <cell r="G100">
            <v>1</v>
          </cell>
          <cell r="H100" t="str">
            <v>204:233314</v>
          </cell>
          <cell r="I100">
            <v>42600.631006944444</v>
          </cell>
          <cell r="J100">
            <v>0</v>
          </cell>
          <cell r="K100" t="str">
            <v>4043/4044</v>
          </cell>
          <cell r="L100" t="str">
            <v>BONDS</v>
          </cell>
          <cell r="M100">
            <v>3.1018518515338656E-2</v>
          </cell>
          <cell r="N100">
            <v>44.666666662087664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https://search-rtdc-monitor-bjffxe2xuh6vdkpspy63sjmuny.us-east-1.es.amazonaws.com/_plugin/kibana/#/discover/Steve-Slow-Train-Analysis-(2080s-and-2083s)?_g=(refreshInterval:(display:Off,section:0,value:0),time:(from:'2016-08-18 13:22:36-0600',mode:absolute,to:'2016-08-18 16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0" t="str">
            <v>N</v>
          </cell>
          <cell r="X100">
            <v>1</v>
          </cell>
          <cell r="Y100">
            <v>4.3799999999999999E-2</v>
          </cell>
          <cell r="Z100">
            <v>23.331399999999999</v>
          </cell>
          <cell r="AA100">
            <v>23.287599999999998</v>
          </cell>
          <cell r="AB100">
            <v>33137</v>
          </cell>
          <cell r="AC100" t="str">
            <v>GRADE CROSSING</v>
          </cell>
          <cell r="AD100" t="str">
            <v>0187-18</v>
          </cell>
          <cell r="AE100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01">
          <cell r="A101" t="str">
            <v>188-18</v>
          </cell>
          <cell r="B101">
            <v>4043</v>
          </cell>
          <cell r="C101" t="str">
            <v>DE.1.0.7.0</v>
          </cell>
          <cell r="D101" t="str">
            <v>204:233011</v>
          </cell>
          <cell r="E101">
            <v>42600.637476851851</v>
          </cell>
          <cell r="F101">
            <v>42600.638136574074</v>
          </cell>
          <cell r="G101">
            <v>0</v>
          </cell>
          <cell r="H101" t="str">
            <v>204:18757</v>
          </cell>
          <cell r="I101">
            <v>42600.667129629626</v>
          </cell>
          <cell r="J101">
            <v>0</v>
          </cell>
          <cell r="K101" t="str">
            <v>4043/4044</v>
          </cell>
          <cell r="L101" t="str">
            <v>BONDS</v>
          </cell>
          <cell r="M101">
            <v>2.8993055551836733E-2</v>
          </cell>
          <cell r="P101">
            <v>41.749999994644895</v>
          </cell>
          <cell r="R101" t="str">
            <v>Cut out at 38th? No other issues found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https://search-rtdc-monitor-bjffxe2xuh6vdkpspy63sjmuny.us-east-1.es.amazonaws.com/_plugin/kibana/#/discover/Steve-Slow-Train-Analysis-(2080s-and-2083s)?_g=(refreshInterval:(display:Off,section:0,value:0),time:(from:'2016-08-18 14:17:58-0600',mode:absolute,to:'2016-08-18 17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1" t="str">
            <v>Y</v>
          </cell>
          <cell r="X101">
            <v>1</v>
          </cell>
          <cell r="Y101">
            <v>23.301100000000002</v>
          </cell>
          <cell r="Z101">
            <v>1.8756999999999999</v>
          </cell>
          <cell r="AA101">
            <v>21.425400000000003</v>
          </cell>
          <cell r="AB101" t="e">
            <v>#N/A</v>
          </cell>
          <cell r="AC101" t="e">
            <v>#N/A</v>
          </cell>
          <cell r="AD101" t="str">
            <v>0188-18</v>
          </cell>
          <cell r="AE101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02">
          <cell r="A102" t="str">
            <v>189-18</v>
          </cell>
          <cell r="B102">
            <v>4027</v>
          </cell>
          <cell r="C102" t="str">
            <v>DE.1.0.7.0</v>
          </cell>
          <cell r="D102" t="str">
            <v>204:520</v>
          </cell>
          <cell r="E102">
            <v>42600.610393518517</v>
          </cell>
          <cell r="F102">
            <v>42600.611620370371</v>
          </cell>
          <cell r="G102">
            <v>1</v>
          </cell>
          <cell r="H102" t="str">
            <v>204:233297</v>
          </cell>
          <cell r="I102">
            <v>42600.640324074076</v>
          </cell>
          <cell r="J102">
            <v>0</v>
          </cell>
          <cell r="K102" t="str">
            <v>4027/4028</v>
          </cell>
          <cell r="L102" t="str">
            <v>SANTIZO</v>
          </cell>
          <cell r="M102">
            <v>2.8703703705104999E-2</v>
          </cell>
          <cell r="N102">
            <v>41.333333335351199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https://search-rtdc-monitor-bjffxe2xuh6vdkpspy63sjmuny.us-east-1.es.amazonaws.com/_plugin/kibana/#/discover/Steve-Slow-Train-Analysis-(2080s-and-2083s)?_g=(refreshInterval:(display:Off,section:0,value:0),time:(from:'2016-08-18 13:38:58-0600',mode:absolute,to:'2016-08-18 16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2" t="str">
            <v>N</v>
          </cell>
          <cell r="X102">
            <v>1</v>
          </cell>
          <cell r="Y102">
            <v>5.1999999999999998E-2</v>
          </cell>
          <cell r="Z102">
            <v>23.329699999999999</v>
          </cell>
          <cell r="AA102">
            <v>23.277699999999999</v>
          </cell>
          <cell r="AB102" t="e">
            <v>#N/A</v>
          </cell>
          <cell r="AC102" t="e">
            <v>#N/A</v>
          </cell>
          <cell r="AD102" t="str">
            <v>0189-18</v>
          </cell>
          <cell r="AE102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03">
          <cell r="A103" t="str">
            <v>190-18</v>
          </cell>
          <cell r="B103">
            <v>4028</v>
          </cell>
          <cell r="C103" t="str">
            <v>DE.1.0.7.0</v>
          </cell>
          <cell r="D103" t="str">
            <v>204:232982</v>
          </cell>
          <cell r="E103">
            <v>42600.641261574077</v>
          </cell>
          <cell r="F103">
            <v>42600.642129629632</v>
          </cell>
          <cell r="G103">
            <v>1</v>
          </cell>
          <cell r="H103" t="str">
            <v>204:139</v>
          </cell>
          <cell r="I103">
            <v>42600.68172453704</v>
          </cell>
          <cell r="J103">
            <v>0</v>
          </cell>
          <cell r="K103" t="str">
            <v>4027/4028</v>
          </cell>
          <cell r="L103" t="str">
            <v>SANTIZO</v>
          </cell>
          <cell r="M103">
            <v>3.959490740817273E-2</v>
          </cell>
          <cell r="N103">
            <v>57.016666667768732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https://search-rtdc-monitor-bjffxe2xuh6vdkpspy63sjmuny.us-east-1.es.amazonaws.com/_plugin/kibana/#/discover/Steve-Slow-Train-Analysis-(2080s-and-2083s)?_g=(refreshInterval:(display:Off,section:0,value:0),time:(from:'2016-08-18 14:23:25-0600',mode:absolute,to:'2016-08-18 17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3" t="str">
            <v>N</v>
          </cell>
          <cell r="X103">
            <v>1</v>
          </cell>
          <cell r="Y103">
            <v>23.298200000000001</v>
          </cell>
          <cell r="Z103">
            <v>1.3899999999999999E-2</v>
          </cell>
          <cell r="AA103">
            <v>23.284300000000002</v>
          </cell>
          <cell r="AB103" t="e">
            <v>#N/A</v>
          </cell>
          <cell r="AC103" t="e">
            <v>#N/A</v>
          </cell>
          <cell r="AD103" t="str">
            <v>0190-18</v>
          </cell>
          <cell r="AE103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04">
          <cell r="A104" t="str">
            <v>191-18</v>
          </cell>
          <cell r="B104">
            <v>4007</v>
          </cell>
          <cell r="C104" t="str">
            <v>DE.1.0.7.0</v>
          </cell>
          <cell r="D104" t="str">
            <v>204:440</v>
          </cell>
          <cell r="E104">
            <v>42600.622511574074</v>
          </cell>
          <cell r="F104">
            <v>42600.623738425929</v>
          </cell>
          <cell r="G104">
            <v>1</v>
          </cell>
          <cell r="H104" t="str">
            <v>204:233336</v>
          </cell>
          <cell r="I104">
            <v>42600.651863425926</v>
          </cell>
          <cell r="J104">
            <v>0</v>
          </cell>
          <cell r="K104" t="str">
            <v>4007/4008</v>
          </cell>
          <cell r="L104" t="str">
            <v>MOSES</v>
          </cell>
          <cell r="M104">
            <v>2.8124999997089617E-2</v>
          </cell>
          <cell r="N104">
            <v>40.499999995809048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https://search-rtdc-monitor-bjffxe2xuh6vdkpspy63sjmuny.us-east-1.es.amazonaws.com/_plugin/kibana/#/discover/Steve-Slow-Train-Analysis-(2080s-and-2083s)?_g=(refreshInterval:(display:Off,section:0,value:0),time:(from:'2016-08-18 13:56:25-0600',mode:absolute,to:'2016-08-18 16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04" t="str">
            <v>N</v>
          </cell>
          <cell r="X104">
            <v>1</v>
          </cell>
          <cell r="Y104">
            <v>4.3999999999999997E-2</v>
          </cell>
          <cell r="Z104">
            <v>23.333600000000001</v>
          </cell>
          <cell r="AA104">
            <v>23.2896</v>
          </cell>
          <cell r="AB104">
            <v>17867</v>
          </cell>
          <cell r="AC104" t="str">
            <v>PERMANENT SPEED RESTRICTION</v>
          </cell>
          <cell r="AD104" t="str">
            <v>0191-18</v>
          </cell>
          <cell r="AE104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05">
          <cell r="A105" t="str">
            <v>192-18</v>
          </cell>
          <cell r="B105">
            <v>4008</v>
          </cell>
          <cell r="C105" t="str">
            <v>DE.1.0.7.0</v>
          </cell>
          <cell r="D105" t="str">
            <v>204:233023</v>
          </cell>
          <cell r="E105">
            <v>42600.659583333334</v>
          </cell>
          <cell r="F105">
            <v>42600.660752314812</v>
          </cell>
          <cell r="G105">
            <v>1</v>
          </cell>
          <cell r="H105" t="str">
            <v>204:121</v>
          </cell>
          <cell r="I105">
            <v>42600.691192129627</v>
          </cell>
          <cell r="J105">
            <v>0</v>
          </cell>
          <cell r="K105" t="str">
            <v>4007/4008</v>
          </cell>
          <cell r="L105" t="str">
            <v>MOSES</v>
          </cell>
          <cell r="M105">
            <v>3.0439814814599231E-2</v>
          </cell>
          <cell r="N105">
            <v>43.833333333022892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https://search-rtdc-monitor-bjffxe2xuh6vdkpspy63sjmuny.us-east-1.es.amazonaws.com/_plugin/kibana/#/discover/Steve-Slow-Train-Analysis-(2080s-and-2083s)?_g=(refreshInterval:(display:Off,section:0,value:0),time:(from:'2016-08-18 14:49:48-0600',mode:absolute,to:'2016-08-18 17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05" t="str">
            <v>N</v>
          </cell>
          <cell r="X105">
            <v>1</v>
          </cell>
          <cell r="Y105">
            <v>23.302299999999999</v>
          </cell>
          <cell r="Z105">
            <v>1.21E-2</v>
          </cell>
          <cell r="AA105">
            <v>23.290199999999999</v>
          </cell>
          <cell r="AB105" t="e">
            <v>#N/A</v>
          </cell>
          <cell r="AC105" t="e">
            <v>#N/A</v>
          </cell>
          <cell r="AD105" t="str">
            <v>0192-18</v>
          </cell>
          <cell r="AE105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06">
          <cell r="A106" t="str">
            <v>193-18</v>
          </cell>
          <cell r="B106">
            <v>4009</v>
          </cell>
          <cell r="C106" t="str">
            <v>DE.1.0.7.0</v>
          </cell>
          <cell r="D106" t="str">
            <v>204:467</v>
          </cell>
          <cell r="E106">
            <v>42600.63009259259</v>
          </cell>
          <cell r="F106">
            <v>42600.631180555552</v>
          </cell>
          <cell r="G106">
            <v>1</v>
          </cell>
          <cell r="H106" t="str">
            <v>204:233301</v>
          </cell>
          <cell r="I106">
            <v>42600.661689814813</v>
          </cell>
          <cell r="J106">
            <v>0</v>
          </cell>
          <cell r="K106" t="str">
            <v>4009/4010</v>
          </cell>
          <cell r="L106" t="str">
            <v>NEWELL</v>
          </cell>
          <cell r="M106">
            <v>3.050925926072523E-2</v>
          </cell>
          <cell r="N106">
            <v>43.933333335444331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https://search-rtdc-monitor-bjffxe2xuh6vdkpspy63sjmuny.us-east-1.es.amazonaws.com/_plugin/kibana/#/discover/Steve-Slow-Train-Analysis-(2080s-and-2083s)?_g=(refreshInterval:(display:Off,section:0,value:0),time:(from:'2016-08-18 14:07:20-0600',mode:absolute,to:'2016-08-18 16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6" t="str">
            <v>N</v>
          </cell>
          <cell r="X106">
            <v>1</v>
          </cell>
          <cell r="Y106">
            <v>4.6699999999999998E-2</v>
          </cell>
          <cell r="Z106">
            <v>23.330100000000002</v>
          </cell>
          <cell r="AA106">
            <v>23.2834</v>
          </cell>
          <cell r="AB106" t="e">
            <v>#N/A</v>
          </cell>
          <cell r="AC106" t="e">
            <v>#N/A</v>
          </cell>
          <cell r="AD106" t="str">
            <v>0193-18</v>
          </cell>
          <cell r="AE106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107">
          <cell r="A107" t="str">
            <v>194-18</v>
          </cell>
          <cell r="B107">
            <v>4010</v>
          </cell>
          <cell r="C107" t="str">
            <v>DE.1.0.7.0</v>
          </cell>
          <cell r="D107" t="str">
            <v>204:232986</v>
          </cell>
          <cell r="E107">
            <v>42600.665706018517</v>
          </cell>
          <cell r="F107">
            <v>42600.667233796295</v>
          </cell>
          <cell r="G107">
            <v>2</v>
          </cell>
          <cell r="H107" t="str">
            <v>204:156</v>
          </cell>
          <cell r="I107">
            <v>42600.701111111113</v>
          </cell>
          <cell r="J107">
            <v>0</v>
          </cell>
          <cell r="K107" t="str">
            <v>4009/4010</v>
          </cell>
          <cell r="L107" t="str">
            <v>NEWELL</v>
          </cell>
          <cell r="M107">
            <v>3.3877314817800652E-2</v>
          </cell>
          <cell r="N107">
            <v>48.783333337632939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https://search-rtdc-monitor-bjffxe2xuh6vdkpspy63sjmuny.us-east-1.es.amazonaws.com/_plugin/kibana/#/discover/Steve-Slow-Train-Analysis-(2080s-and-2083s)?_g=(refreshInterval:(display:Off,section:0,value:0),time:(from:'2016-08-18 14:58:37-0600',mode:absolute,to:'2016-08-18 17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7" t="str">
            <v>N</v>
          </cell>
          <cell r="X107">
            <v>1</v>
          </cell>
          <cell r="Y107">
            <v>23.2986</v>
          </cell>
          <cell r="Z107">
            <v>1.5599999999999999E-2</v>
          </cell>
          <cell r="AA107">
            <v>23.283000000000001</v>
          </cell>
          <cell r="AB107" t="e">
            <v>#N/A</v>
          </cell>
          <cell r="AC107" t="e">
            <v>#N/A</v>
          </cell>
          <cell r="AD107" t="str">
            <v>0194-18</v>
          </cell>
          <cell r="AE107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108">
          <cell r="A108" t="str">
            <v>195-18</v>
          </cell>
          <cell r="B108">
            <v>4025</v>
          </cell>
          <cell r="C108" t="str">
            <v>DE.1.0.7.0</v>
          </cell>
          <cell r="D108" t="str">
            <v>204:497</v>
          </cell>
          <cell r="E108">
            <v>42600.640300925923</v>
          </cell>
          <cell r="F108">
            <v>42600.641331018516</v>
          </cell>
          <cell r="G108">
            <v>1</v>
          </cell>
          <cell r="H108" t="str">
            <v>204:233312</v>
          </cell>
          <cell r="I108">
            <v>42600.670995370368</v>
          </cell>
          <cell r="J108">
            <v>0</v>
          </cell>
          <cell r="K108" t="str">
            <v>4025/4026</v>
          </cell>
          <cell r="L108" t="str">
            <v>STAMBAUGH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https://search-rtdc-monitor-bjffxe2xuh6vdkpspy63sjmuny.us-east-1.es.amazonaws.com/_plugin/kibana/#/discover/Steve-Slow-Train-Analysis-(2080s-and-2083s)?_g=(refreshInterval:(display:Off,section:0,value:0),time:(from:'2016-08-18 14:22:02-0600',mode:absolute,to:'2016-08-18 17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08" t="str">
            <v>N</v>
          </cell>
          <cell r="X108">
            <v>1</v>
          </cell>
          <cell r="Y108">
            <v>4.9700000000000001E-2</v>
          </cell>
          <cell r="Z108">
            <v>23.331199999999999</v>
          </cell>
          <cell r="AA108">
            <v>23.281499999999998</v>
          </cell>
          <cell r="AB108" t="e">
            <v>#N/A</v>
          </cell>
          <cell r="AC108" t="e">
            <v>#N/A</v>
          </cell>
          <cell r="AD108" t="str">
            <v>0195-18</v>
          </cell>
          <cell r="AE108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09">
          <cell r="A109" t="str">
            <v>196-18</v>
          </cell>
          <cell r="B109">
            <v>4026</v>
          </cell>
          <cell r="C109" t="str">
            <v>DE.1.0.7.0</v>
          </cell>
          <cell r="D109" t="str">
            <v>204:232994</v>
          </cell>
          <cell r="E109">
            <v>42600.681122685186</v>
          </cell>
          <cell r="F109">
            <v>42600.681886574072</v>
          </cell>
          <cell r="G109">
            <v>1</v>
          </cell>
          <cell r="H109" t="str">
            <v>204:118</v>
          </cell>
          <cell r="I109">
            <v>42600.712418981479</v>
          </cell>
          <cell r="J109">
            <v>0</v>
          </cell>
          <cell r="K109" t="str">
            <v>4025/4026</v>
          </cell>
          <cell r="L109" t="str">
            <v>STAMBAUGH</v>
          </cell>
          <cell r="M109">
            <v>3.0532407407008577E-2</v>
          </cell>
          <cell r="N109">
            <v>43.966666666092351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https://search-rtdc-monitor-bjffxe2xuh6vdkpspy63sjmuny.us-east-1.es.amazonaws.com/_plugin/kibana/#/discover/Steve-Slow-Train-Analysis-(2080s-and-2083s)?_g=(refreshInterval:(display:Off,section:0,value:0),time:(from:'2016-08-18 15:20:49-0600',mode:absolute,to:'2016-08-18 18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09" t="str">
            <v>N</v>
          </cell>
          <cell r="X109">
            <v>1</v>
          </cell>
          <cell r="Y109">
            <v>23.299399999999999</v>
          </cell>
          <cell r="Z109">
            <v>1.18E-2</v>
          </cell>
          <cell r="AA109">
            <v>23.287599999999998</v>
          </cell>
          <cell r="AB109" t="e">
            <v>#N/A</v>
          </cell>
          <cell r="AC109" t="e">
            <v>#N/A</v>
          </cell>
          <cell r="AD109" t="str">
            <v>0196-18</v>
          </cell>
          <cell r="AE109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10">
          <cell r="A110" t="str">
            <v>197-18</v>
          </cell>
          <cell r="B110">
            <v>4038</v>
          </cell>
          <cell r="C110" t="str">
            <v>DE.1.0.7.0</v>
          </cell>
          <cell r="D110" t="str">
            <v>204:484</v>
          </cell>
          <cell r="E110">
            <v>42600.653564814813</v>
          </cell>
          <cell r="F110">
            <v>42600.654363425929</v>
          </cell>
          <cell r="G110">
            <v>1</v>
          </cell>
          <cell r="H110" t="str">
            <v>204:233291</v>
          </cell>
          <cell r="I110">
            <v>42600.681527777779</v>
          </cell>
          <cell r="J110">
            <v>0</v>
          </cell>
          <cell r="K110" t="str">
            <v>4037/4038</v>
          </cell>
          <cell r="L110" t="str">
            <v>HAITHCOX</v>
          </cell>
          <cell r="M110">
            <v>2.7164351849933155E-2</v>
          </cell>
          <cell r="N110">
            <v>39.116666663903743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https://search-rtdc-monitor-bjffxe2xuh6vdkpspy63sjmuny.us-east-1.es.amazonaws.com/_plugin/kibana/#/discover/Steve-Slow-Train-Analysis-(2080s-and-2083s)?_g=(refreshInterval:(display:Off,section:0,value:0),time:(from:'2016-08-18 14:41:08-0600',mode:absolute,to:'2016-08-18 17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0" t="str">
            <v>N</v>
          </cell>
          <cell r="X110">
            <v>1</v>
          </cell>
          <cell r="Y110">
            <v>4.8399999999999999E-2</v>
          </cell>
          <cell r="Z110">
            <v>23.3291</v>
          </cell>
          <cell r="AA110">
            <v>23.2807</v>
          </cell>
          <cell r="AB110" t="e">
            <v>#N/A</v>
          </cell>
          <cell r="AC110" t="e">
            <v>#N/A</v>
          </cell>
          <cell r="AD110" t="str">
            <v>0197-18</v>
          </cell>
          <cell r="AE110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111">
          <cell r="A111" t="str">
            <v>198-18</v>
          </cell>
          <cell r="B111">
            <v>4037</v>
          </cell>
          <cell r="C111" t="str">
            <v>DE.1.0.7.0</v>
          </cell>
          <cell r="D111" t="str">
            <v>204:232980</v>
          </cell>
          <cell r="E111">
            <v>42600.694710648146</v>
          </cell>
          <cell r="F111">
            <v>42600.695694444446</v>
          </cell>
          <cell r="G111">
            <v>1</v>
          </cell>
          <cell r="H111" t="str">
            <v>204:150</v>
          </cell>
          <cell r="I111">
            <v>42600.72378472222</v>
          </cell>
          <cell r="J111">
            <v>0</v>
          </cell>
          <cell r="K111" t="str">
            <v>4037/4038</v>
          </cell>
          <cell r="L111" t="str">
            <v>HAITHCOX</v>
          </cell>
          <cell r="M111">
            <v>2.8090277774026617E-2</v>
          </cell>
          <cell r="N111">
            <v>40.449999994598329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https://search-rtdc-monitor-bjffxe2xuh6vdkpspy63sjmuny.us-east-1.es.amazonaws.com/_plugin/kibana/#/discover/Steve-Slow-Train-Analysis-(2080s-and-2083s)?_g=(refreshInterval:(display:Off,section:0,value:0),time:(from:'2016-08-18 15:40:23-0600',mode:absolute,to:'2016-08-18 18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1" t="str">
            <v>N</v>
          </cell>
          <cell r="X111">
            <v>1</v>
          </cell>
          <cell r="Y111">
            <v>23.297999999999998</v>
          </cell>
          <cell r="Z111">
            <v>1.4999999999999999E-2</v>
          </cell>
          <cell r="AA111">
            <v>23.282999999999998</v>
          </cell>
          <cell r="AB111" t="e">
            <v>#N/A</v>
          </cell>
          <cell r="AC111" t="e">
            <v>#N/A</v>
          </cell>
          <cell r="AD111" t="str">
            <v>0198-18</v>
          </cell>
          <cell r="AE111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12">
          <cell r="A112" t="str">
            <v>199-18</v>
          </cell>
          <cell r="B112">
            <v>4029</v>
          </cell>
          <cell r="C112" t="str">
            <v>DE.1.0.7.0</v>
          </cell>
          <cell r="D112" t="str">
            <v>204:431</v>
          </cell>
          <cell r="E112">
            <v>42600.663518518515</v>
          </cell>
          <cell r="F112">
            <v>42600.664594907408</v>
          </cell>
          <cell r="G112">
            <v>1</v>
          </cell>
          <cell r="H112" t="str">
            <v>204:233281</v>
          </cell>
          <cell r="I112">
            <v>42600.69326388889</v>
          </cell>
          <cell r="J112">
            <v>0</v>
          </cell>
          <cell r="K112" t="str">
            <v>4029/4030</v>
          </cell>
          <cell r="L112" t="str">
            <v>GRASTON</v>
          </cell>
          <cell r="M112">
            <v>2.8668981482042E-2</v>
          </cell>
          <cell r="N112">
            <v>41.28333333414048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https://search-rtdc-monitor-bjffxe2xuh6vdkpspy63sjmuny.us-east-1.es.amazonaws.com/_plugin/kibana/#/discover/Steve-Slow-Train-Analysis-(2080s-and-2083s)?_g=(refreshInterval:(display:Off,section:0,value:0),time:(from:'2016-08-18 14:55:28-0600',mode:absolute,to:'2016-08-18 17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12" t="str">
            <v>N</v>
          </cell>
          <cell r="X112">
            <v>1</v>
          </cell>
          <cell r="Y112">
            <v>4.3099999999999999E-2</v>
          </cell>
          <cell r="Z112">
            <v>23.328099999999999</v>
          </cell>
          <cell r="AA112">
            <v>23.285</v>
          </cell>
          <cell r="AB112" t="e">
            <v>#N/A</v>
          </cell>
          <cell r="AC112" t="e">
            <v>#N/A</v>
          </cell>
          <cell r="AD112" t="str">
            <v>0199-18</v>
          </cell>
          <cell r="AE112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13">
          <cell r="A113" t="str">
            <v>200-18</v>
          </cell>
          <cell r="B113">
            <v>4030</v>
          </cell>
          <cell r="C113" t="str">
            <v>DE.1.0.7.0</v>
          </cell>
          <cell r="D113" t="str">
            <v>204:232970</v>
          </cell>
          <cell r="E113">
            <v>42600.699652777781</v>
          </cell>
          <cell r="F113">
            <v>42600.700520833336</v>
          </cell>
          <cell r="G113">
            <v>1</v>
          </cell>
          <cell r="H113" t="str">
            <v>204:121</v>
          </cell>
          <cell r="I113">
            <v>42600.733923611115</v>
          </cell>
          <cell r="J113">
            <v>0</v>
          </cell>
          <cell r="K113" t="str">
            <v>4029/4030</v>
          </cell>
          <cell r="L113" t="str">
            <v>GRASTON</v>
          </cell>
          <cell r="M113">
            <v>3.3402777778974269E-2</v>
          </cell>
          <cell r="N113">
            <v>48.100000001722947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https://search-rtdc-monitor-bjffxe2xuh6vdkpspy63sjmuny.us-east-1.es.amazonaws.com/_plugin/kibana/#/discover/Steve-Slow-Train-Analysis-(2080s-and-2083s)?_g=(refreshInterval:(display:Off,section:0,value:0),time:(from:'2016-08-18 15:47:30-0600',mode:absolute,to:'2016-08-18 18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3" t="str">
            <v>N</v>
          </cell>
          <cell r="X113">
            <v>1</v>
          </cell>
          <cell r="Y113">
            <v>23.297000000000001</v>
          </cell>
          <cell r="Z113">
            <v>1.21E-2</v>
          </cell>
          <cell r="AA113">
            <v>23.2849</v>
          </cell>
          <cell r="AB113" t="e">
            <v>#N/A</v>
          </cell>
          <cell r="AC113" t="e">
            <v>#N/A</v>
          </cell>
          <cell r="AD113" t="str">
            <v>0200-18</v>
          </cell>
          <cell r="AE113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14">
          <cell r="A114" t="str">
            <v>201-18</v>
          </cell>
          <cell r="B114">
            <v>4044</v>
          </cell>
          <cell r="C114" t="str">
            <v>DE.1.0.7.0</v>
          </cell>
          <cell r="D114" t="str">
            <v>204:429</v>
          </cell>
          <cell r="E114">
            <v>42600.673634259256</v>
          </cell>
          <cell r="F114">
            <v>42600.674618055556</v>
          </cell>
          <cell r="G114">
            <v>1</v>
          </cell>
          <cell r="H114" t="str">
            <v>204:233322</v>
          </cell>
          <cell r="I114">
            <v>42600.704502314817</v>
          </cell>
          <cell r="J114">
            <v>0</v>
          </cell>
          <cell r="K114" t="str">
            <v>4043/4044</v>
          </cell>
          <cell r="L114" t="str">
            <v>BONDS</v>
          </cell>
          <cell r="M114">
            <v>2.9884259260143153E-2</v>
          </cell>
          <cell r="N114">
            <v>43.033333334606141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https://search-rtdc-monitor-bjffxe2xuh6vdkpspy63sjmuny.us-east-1.es.amazonaws.com/_plugin/kibana/#/discover/Steve-Slow-Train-Analysis-(2080s-and-2083s)?_g=(refreshInterval:(display:Off,section:0,value:0),time:(from:'2016-08-18 15:10:02-0600',mode:absolute,to:'2016-08-18 17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4" t="str">
            <v>N</v>
          </cell>
          <cell r="X114">
            <v>1</v>
          </cell>
          <cell r="Y114">
            <v>4.2900000000000001E-2</v>
          </cell>
          <cell r="Z114">
            <v>23.3322</v>
          </cell>
          <cell r="AA114">
            <v>23.289300000000001</v>
          </cell>
          <cell r="AB114" t="e">
            <v>#N/A</v>
          </cell>
          <cell r="AC114" t="e">
            <v>#N/A</v>
          </cell>
          <cell r="AD114" t="str">
            <v>0201-18</v>
          </cell>
          <cell r="AE114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15">
          <cell r="A115" t="str">
            <v>202-18</v>
          </cell>
          <cell r="B115">
            <v>4043</v>
          </cell>
          <cell r="C115" t="str">
            <v>DE.1.0.7.0</v>
          </cell>
          <cell r="D115" t="str">
            <v>204:233003</v>
          </cell>
          <cell r="E115">
            <v>42600.711944444447</v>
          </cell>
          <cell r="F115">
            <v>42600.712743055556</v>
          </cell>
          <cell r="G115">
            <v>1</v>
          </cell>
          <cell r="H115" t="str">
            <v>204:141</v>
          </cell>
          <cell r="I115">
            <v>42600.742685185185</v>
          </cell>
          <cell r="J115">
            <v>0</v>
          </cell>
          <cell r="K115" t="str">
            <v>4043/4044</v>
          </cell>
          <cell r="L115" t="str">
            <v>BONDS</v>
          </cell>
          <cell r="M115">
            <v>2.99421296294895E-2</v>
          </cell>
          <cell r="N115">
            <v>43.11666666646488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https://search-rtdc-monitor-bjffxe2xuh6vdkpspy63sjmuny.us-east-1.es.amazonaws.com/_plugin/kibana/#/discover/Steve-Slow-Train-Analysis-(2080s-and-2083s)?_g=(refreshInterval:(display:Off,section:0,value:0),time:(from:'2016-08-18 16:05:12-0600',mode:absolute,to:'2016-08-18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5" t="str">
            <v>N</v>
          </cell>
          <cell r="X115">
            <v>1</v>
          </cell>
          <cell r="Y115">
            <v>23.3003</v>
          </cell>
          <cell r="Z115">
            <v>1.41E-2</v>
          </cell>
          <cell r="AA115">
            <v>23.286200000000001</v>
          </cell>
          <cell r="AB115" t="e">
            <v>#N/A</v>
          </cell>
          <cell r="AC115" t="e">
            <v>#N/A</v>
          </cell>
          <cell r="AD115" t="str">
            <v>0202-18</v>
          </cell>
          <cell r="AE115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16">
          <cell r="A116" t="str">
            <v>203-18</v>
          </cell>
          <cell r="B116">
            <v>4027</v>
          </cell>
          <cell r="C116" t="str">
            <v>DE.1.0.7.0</v>
          </cell>
          <cell r="D116" t="str">
            <v>204:446</v>
          </cell>
          <cell r="E116">
            <v>42600.683437500003</v>
          </cell>
          <cell r="F116">
            <v>42600.684606481482</v>
          </cell>
          <cell r="G116">
            <v>1</v>
          </cell>
          <cell r="H116" t="str">
            <v>204:233315</v>
          </cell>
          <cell r="I116">
            <v>42600.713726851849</v>
          </cell>
          <cell r="J116">
            <v>0</v>
          </cell>
          <cell r="K116" t="str">
            <v>4027/4028</v>
          </cell>
          <cell r="L116" t="str">
            <v>SANTIZO</v>
          </cell>
          <cell r="M116">
            <v>2.9120370367309079E-2</v>
          </cell>
          <cell r="N116">
            <v>41.933333328925073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https://search-rtdc-monitor-bjffxe2xuh6vdkpspy63sjmuny.us-east-1.es.amazonaws.com/_plugin/kibana/#/discover/Steve-Slow-Train-Analysis-(2080s-and-2083s)?_g=(refreshInterval:(display:Off,section:0,value:0),time:(from:'2016-08-18 15:24:09-0600',mode:absolute,to:'2016-08-18 18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16" t="str">
            <v>N</v>
          </cell>
          <cell r="X116">
            <v>1</v>
          </cell>
          <cell r="Y116">
            <v>4.4600000000000001E-2</v>
          </cell>
          <cell r="Z116">
            <v>23.331499999999998</v>
          </cell>
          <cell r="AA116">
            <v>23.286899999999999</v>
          </cell>
          <cell r="AB116" t="e">
            <v>#N/A</v>
          </cell>
          <cell r="AC116" t="e">
            <v>#N/A</v>
          </cell>
          <cell r="AD116" t="str">
            <v>0203-18</v>
          </cell>
          <cell r="AE116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17">
          <cell r="A117" t="str">
            <v>204-18</v>
          </cell>
          <cell r="B117">
            <v>4028</v>
          </cell>
          <cell r="C117" t="str">
            <v>DE.1.0.7.0</v>
          </cell>
          <cell r="D117" t="str">
            <v>204:232987</v>
          </cell>
          <cell r="E117">
            <v>42600.718576388892</v>
          </cell>
          <cell r="F117">
            <v>42600.723032407404</v>
          </cell>
          <cell r="G117">
            <v>6</v>
          </cell>
          <cell r="H117" t="str">
            <v>204:138</v>
          </cell>
          <cell r="I117">
            <v>42600.754467592589</v>
          </cell>
          <cell r="J117">
            <v>0</v>
          </cell>
          <cell r="K117" t="str">
            <v>4027/4028</v>
          </cell>
          <cell r="L117" t="str">
            <v>SANTIZO</v>
          </cell>
          <cell r="M117">
            <v>3.1435185184818693E-2</v>
          </cell>
          <cell r="N117">
            <v>45.266666666138917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https://search-rtdc-monitor-bjffxe2xuh6vdkpspy63sjmuny.us-east-1.es.amazonaws.com/_plugin/kibana/#/discover/Steve-Slow-Train-Analysis-(2080s-and-2083s)?_g=(refreshInterval:(display:Off,section:0,value:0),time:(from:'2016-08-18 16:14:45-0600',mode:absolute,to:'2016-08-18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7" t="str">
            <v>N</v>
          </cell>
          <cell r="X117">
            <v>1</v>
          </cell>
          <cell r="Y117">
            <v>23.2987</v>
          </cell>
          <cell r="Z117">
            <v>1.38E-2</v>
          </cell>
          <cell r="AA117">
            <v>23.2849</v>
          </cell>
          <cell r="AB117" t="e">
            <v>#N/A</v>
          </cell>
          <cell r="AC117" t="e">
            <v>#N/A</v>
          </cell>
          <cell r="AD117" t="str">
            <v>0204-18</v>
          </cell>
          <cell r="AE117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18">
          <cell r="A118" t="str">
            <v>205-18</v>
          </cell>
          <cell r="B118">
            <v>4007</v>
          </cell>
          <cell r="C118" t="str">
            <v>DE.1.0.7.0</v>
          </cell>
          <cell r="D118" t="str">
            <v>204:420</v>
          </cell>
          <cell r="E118">
            <v>42600.694421296299</v>
          </cell>
          <cell r="F118">
            <v>42600.695706018516</v>
          </cell>
          <cell r="G118">
            <v>1</v>
          </cell>
          <cell r="H118" t="str">
            <v>204:233280</v>
          </cell>
          <cell r="I118">
            <v>42600.723958333336</v>
          </cell>
          <cell r="J118">
            <v>0</v>
          </cell>
          <cell r="K118" t="str">
            <v>4007/4008</v>
          </cell>
          <cell r="L118" t="str">
            <v>MOSES</v>
          </cell>
          <cell r="M118">
            <v>2.825231481983792E-2</v>
          </cell>
          <cell r="N118">
            <v>40.683333340566605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https://search-rtdc-monitor-bjffxe2xuh6vdkpspy63sjmuny.us-east-1.es.amazonaws.com/_plugin/kibana/#/discover/Steve-Slow-Train-Analysis-(2080s-and-2083s)?_g=(refreshInterval:(display:Off,section:0,value:0),time:(from:'2016-08-18 15:39:58-0600',mode:absolute,to:'2016-08-18 18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18" t="str">
            <v>N</v>
          </cell>
          <cell r="X118">
            <v>1</v>
          </cell>
          <cell r="Y118">
            <v>4.2000000000000003E-2</v>
          </cell>
          <cell r="Z118">
            <v>23.327999999999999</v>
          </cell>
          <cell r="AA118">
            <v>23.285999999999998</v>
          </cell>
          <cell r="AB118" t="e">
            <v>#N/A</v>
          </cell>
          <cell r="AC118" t="e">
            <v>#N/A</v>
          </cell>
          <cell r="AD118" t="str">
            <v>0205-18</v>
          </cell>
          <cell r="AE118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19">
          <cell r="A119" t="str">
            <v>206-18</v>
          </cell>
          <cell r="B119">
            <v>4008</v>
          </cell>
          <cell r="C119" t="str">
            <v>DE.1.0.7.0</v>
          </cell>
          <cell r="D119" t="str">
            <v>204:232996</v>
          </cell>
          <cell r="E119">
            <v>42600.733703703707</v>
          </cell>
          <cell r="F119">
            <v>42600.734733796293</v>
          </cell>
          <cell r="G119">
            <v>1</v>
          </cell>
          <cell r="H119" t="str">
            <v>204:178</v>
          </cell>
          <cell r="I119">
            <v>42600.764305555553</v>
          </cell>
          <cell r="J119">
            <v>0</v>
          </cell>
          <cell r="K119" t="str">
            <v>4007/4008</v>
          </cell>
          <cell r="L119" t="str">
            <v>MOSES</v>
          </cell>
          <cell r="M119">
            <v>2.9571759259852115E-2</v>
          </cell>
          <cell r="N119">
            <v>42.583333334187046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https://search-rtdc-monitor-bjffxe2xuh6vdkpspy63sjmuny.us-east-1.es.amazonaws.com/_plugin/kibana/#/discover/Steve-Slow-Train-Analysis-(2080s-and-2083s)?_g=(refreshInterval:(display:Off,section:0,value:0),time:(from:'2016-08-18 16:36:32-0600',mode:absolute,to:'2016-08-18 19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19" t="str">
            <v>N</v>
          </cell>
          <cell r="X119">
            <v>1</v>
          </cell>
          <cell r="Y119">
            <v>23.299600000000002</v>
          </cell>
          <cell r="Z119">
            <v>1.78E-2</v>
          </cell>
          <cell r="AA119">
            <v>23.2818</v>
          </cell>
          <cell r="AB119" t="e">
            <v>#N/A</v>
          </cell>
          <cell r="AC119" t="e">
            <v>#N/A</v>
          </cell>
          <cell r="AD119" t="str">
            <v>0206-18</v>
          </cell>
          <cell r="AE119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20">
          <cell r="A120" t="str">
            <v>207-18</v>
          </cell>
          <cell r="B120">
            <v>4009</v>
          </cell>
          <cell r="C120" t="str">
            <v>DE.1.0.7.0</v>
          </cell>
          <cell r="D120" t="str">
            <v>204:447</v>
          </cell>
          <cell r="E120">
            <v>42600.702476851853</v>
          </cell>
          <cell r="F120">
            <v>42600.70385416667</v>
          </cell>
          <cell r="G120">
            <v>1</v>
          </cell>
          <cell r="H120" t="str">
            <v>204:233349</v>
          </cell>
          <cell r="I120">
            <v>42600.73369212963</v>
          </cell>
          <cell r="J120">
            <v>0</v>
          </cell>
          <cell r="K120" t="str">
            <v>4009/4010</v>
          </cell>
          <cell r="L120" t="str">
            <v>NEWELL</v>
          </cell>
          <cell r="M120">
            <v>2.9837962960300501E-2</v>
          </cell>
          <cell r="N120">
            <v>42.966666662832722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https://search-rtdc-monitor-bjffxe2xuh6vdkpspy63sjmuny.us-east-1.es.amazonaws.com/_plugin/kibana/#/discover/Steve-Slow-Train-Analysis-(2080s-and-2083s)?_g=(refreshInterval:(display:Off,section:0,value:0),time:(from:'2016-08-18 15:51:34-0600',mode:absolute,to:'2016-08-18 18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0" t="str">
            <v>N</v>
          </cell>
          <cell r="X120">
            <v>1</v>
          </cell>
          <cell r="Y120">
            <v>4.4699999999999997E-2</v>
          </cell>
          <cell r="Z120">
            <v>23.334900000000001</v>
          </cell>
          <cell r="AA120">
            <v>23.290200000000002</v>
          </cell>
          <cell r="AB120" t="e">
            <v>#N/A</v>
          </cell>
          <cell r="AC120" t="e">
            <v>#N/A</v>
          </cell>
          <cell r="AD120" t="str">
            <v>0207-18</v>
          </cell>
          <cell r="AE120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121">
          <cell r="A121" t="str">
            <v>208-18</v>
          </cell>
          <cell r="B121">
            <v>4010</v>
          </cell>
          <cell r="C121" t="str">
            <v>DE.1.0.7.0</v>
          </cell>
          <cell r="D121" t="str">
            <v>204:233040</v>
          </cell>
          <cell r="E121">
            <v>42600.735162037039</v>
          </cell>
          <cell r="F121">
            <v>42600.736342592594</v>
          </cell>
          <cell r="G121">
            <v>1</v>
          </cell>
          <cell r="H121" t="str">
            <v>204:138</v>
          </cell>
          <cell r="I121">
            <v>42600.775300925925</v>
          </cell>
          <cell r="J121">
            <v>0</v>
          </cell>
          <cell r="K121" t="str">
            <v>4009/4010</v>
          </cell>
          <cell r="L121" t="str">
            <v>NEWELL</v>
          </cell>
          <cell r="M121">
            <v>3.8958333330811001E-2</v>
          </cell>
          <cell r="N121">
            <v>56.099999996367842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https://search-rtdc-monitor-bjffxe2xuh6vdkpspy63sjmuny.us-east-1.es.amazonaws.com/_plugin/kibana/#/discover/Steve-Slow-Train-Analysis-(2080s-and-2083s)?_g=(refreshInterval:(display:Off,section:0,value:0),time:(from:'2016-08-18 16:38:38-0600',mode:absolute,to:'2016-08-18 19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1" t="str">
            <v>N</v>
          </cell>
          <cell r="X121">
            <v>1</v>
          </cell>
          <cell r="Y121">
            <v>23.303999999999998</v>
          </cell>
          <cell r="Z121">
            <v>1.38E-2</v>
          </cell>
          <cell r="AA121">
            <v>23.290199999999999</v>
          </cell>
          <cell r="AB121" t="e">
            <v>#N/A</v>
          </cell>
          <cell r="AC121" t="e">
            <v>#N/A</v>
          </cell>
          <cell r="AD121" t="str">
            <v>0208-18</v>
          </cell>
          <cell r="AE121" t="str">
            <v>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 &amp; aws s3 cp s3://rtdc.mdm.uploadarchive/RTDC4010/2016-08-19/ "%USERPROFILE%\AppData\Local\Temp\OnboardLogs"\RTDC4010\2016-08-19 --recursive &amp; "%USERPROFILE%\Documents\GitHub\mrs-test-scripts\Headless Mode &amp; Sideloading\WalkAndUnGZ.bat" "%USERPROFILE%\AppData\Local\Temp\OnboardLogs"\RTDC4010\2016-08-19</v>
          </cell>
        </row>
        <row r="122">
          <cell r="A122" t="str">
            <v>209-18</v>
          </cell>
          <cell r="B122">
            <v>4025</v>
          </cell>
          <cell r="C122" t="str">
            <v>DE.1.0.7.0</v>
          </cell>
          <cell r="D122" t="str">
            <v>204:426</v>
          </cell>
          <cell r="E122">
            <v>42600.715844907405</v>
          </cell>
          <cell r="F122">
            <v>42600.716921296298</v>
          </cell>
          <cell r="G122">
            <v>1</v>
          </cell>
          <cell r="H122" t="str">
            <v>204:233301</v>
          </cell>
          <cell r="I122">
            <v>42600.745150462964</v>
          </cell>
          <cell r="J122">
            <v>0</v>
          </cell>
          <cell r="K122" t="str">
            <v>4025/4026</v>
          </cell>
          <cell r="L122" t="str">
            <v>HOMIK</v>
          </cell>
          <cell r="M122">
            <v>2.8229166666278616E-2</v>
          </cell>
          <cell r="N122">
            <v>40.649999999441206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https://search-rtdc-monitor-bjffxe2xuh6vdkpspy63sjmuny.us-east-1.es.amazonaws.com/_plugin/kibana/#/discover/Steve-Slow-Train-Analysis-(2080s-and-2083s)?_g=(refreshInterval:(display:Off,section:0,value:0),time:(from:'2016-08-18 16:10:49-0600',mode:absolute,to:'2016-08-18 18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22" t="str">
            <v>N</v>
          </cell>
          <cell r="X122">
            <v>1</v>
          </cell>
          <cell r="Y122">
            <v>4.2599999999999999E-2</v>
          </cell>
          <cell r="Z122">
            <v>23.330100000000002</v>
          </cell>
          <cell r="AA122">
            <v>23.287500000000001</v>
          </cell>
          <cell r="AB122" t="e">
            <v>#N/A</v>
          </cell>
          <cell r="AC122" t="e">
            <v>#N/A</v>
          </cell>
          <cell r="AD122" t="str">
            <v>0209-18</v>
          </cell>
          <cell r="AE122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23">
          <cell r="A123" t="str">
            <v>210-18</v>
          </cell>
          <cell r="B123">
            <v>4026</v>
          </cell>
          <cell r="C123" t="str">
            <v>DE.1.0.7.0</v>
          </cell>
          <cell r="D123" t="str">
            <v>204:232938</v>
          </cell>
          <cell r="E123">
            <v>42600.747523148151</v>
          </cell>
          <cell r="F123">
            <v>42600.749027777776</v>
          </cell>
          <cell r="G123">
            <v>2</v>
          </cell>
          <cell r="H123" t="str">
            <v>204:169</v>
          </cell>
          <cell r="I123">
            <v>42600.788472222222</v>
          </cell>
          <cell r="J123">
            <v>0</v>
          </cell>
          <cell r="K123" t="str">
            <v>4025/4026</v>
          </cell>
          <cell r="L123" t="str">
            <v>HOMIK</v>
          </cell>
          <cell r="M123">
            <v>3.9444444446417037E-2</v>
          </cell>
          <cell r="N123">
            <v>56.800000002840534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https://search-rtdc-monitor-bjffxe2xuh6vdkpspy63sjmuny.us-east-1.es.amazonaws.com/_plugin/kibana/#/discover/Steve-Slow-Train-Analysis-(2080s-and-2083s)?_g=(refreshInterval:(display:Off,section:0,value:0),time:(from:'2016-08-18 16:56:26-0600',mode:absolute,to:'2016-08-18 19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23" t="str">
            <v>N</v>
          </cell>
          <cell r="X123">
            <v>1</v>
          </cell>
          <cell r="Y123">
            <v>23.293800000000001</v>
          </cell>
          <cell r="Z123">
            <v>1.6899999999999998E-2</v>
          </cell>
          <cell r="AA123">
            <v>23.276900000000001</v>
          </cell>
          <cell r="AB123" t="e">
            <v>#N/A</v>
          </cell>
          <cell r="AC123" t="e">
            <v>#N/A</v>
          </cell>
          <cell r="AD123" t="str">
            <v>0210-18</v>
          </cell>
          <cell r="AE123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24">
          <cell r="A124" t="str">
            <v>211-18</v>
          </cell>
          <cell r="B124">
            <v>4038</v>
          </cell>
          <cell r="C124" t="str">
            <v>DE.1.0.7.0</v>
          </cell>
          <cell r="D124" t="str">
            <v>204:466</v>
          </cell>
          <cell r="E124">
            <v>42600.725706018522</v>
          </cell>
          <cell r="F124">
            <v>42600.726840277777</v>
          </cell>
          <cell r="G124">
            <v>1</v>
          </cell>
          <cell r="H124" t="str">
            <v>204:233323</v>
          </cell>
          <cell r="I124">
            <v>42600.754479166666</v>
          </cell>
          <cell r="J124">
            <v>0</v>
          </cell>
          <cell r="K124" t="str">
            <v>4037/4038</v>
          </cell>
          <cell r="L124" t="str">
            <v>STAMBAUGH</v>
          </cell>
          <cell r="M124">
            <v>2.7638888888759539E-2</v>
          </cell>
          <cell r="N124">
            <v>39.799999999813735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https://search-rtdc-monitor-bjffxe2xuh6vdkpspy63sjmuny.us-east-1.es.amazonaws.com/_plugin/kibana/#/discover/Steve-Slow-Train-Analysis-(2080s-and-2083s)?_g=(refreshInterval:(display:Off,section:0,value:0),time:(from:'2016-08-18 16:25:01-0600',mode:absolute,to:'2016-08-18 19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24" t="str">
            <v>N</v>
          </cell>
          <cell r="X124">
            <v>1</v>
          </cell>
          <cell r="Y124">
            <v>4.6600000000000003E-2</v>
          </cell>
          <cell r="Z124">
            <v>23.3323</v>
          </cell>
          <cell r="AA124">
            <v>23.285699999999999</v>
          </cell>
          <cell r="AB124" t="e">
            <v>#N/A</v>
          </cell>
          <cell r="AC124" t="e">
            <v>#N/A</v>
          </cell>
          <cell r="AD124" t="str">
            <v>0211-18</v>
          </cell>
          <cell r="AE124" t="str">
            <v>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 &amp; aws s3 cp s3://rtdc.mdm.uploadarchive/RTDC4038/2016-08-19/ "%USERPROFILE%\AppData\Local\Temp\OnboardLogs"\RTDC4038\2016-08-19 --recursive &amp; "%USERPROFILE%\Documents\GitHub\mrs-test-scripts\Headless Mode &amp; Sideloading\WalkAndUnGZ.bat" "%USERPROFILE%\AppData\Local\Temp\OnboardLogs"\RTDC4038\2016-08-19</v>
          </cell>
        </row>
        <row r="125">
          <cell r="A125" t="str">
            <v>212-18</v>
          </cell>
          <cell r="B125">
            <v>4037</v>
          </cell>
          <cell r="C125" t="str">
            <v>DE.1.0.7.0</v>
          </cell>
          <cell r="D125" t="str">
            <v>204:233002</v>
          </cell>
          <cell r="E125">
            <v>42600.765324074076</v>
          </cell>
          <cell r="F125">
            <v>42600.766377314816</v>
          </cell>
          <cell r="G125">
            <v>1</v>
          </cell>
          <cell r="H125" t="str">
            <v>204:247</v>
          </cell>
          <cell r="I125">
            <v>42600.795277777775</v>
          </cell>
          <cell r="J125">
            <v>0</v>
          </cell>
          <cell r="K125" t="str">
            <v>4037/4038</v>
          </cell>
          <cell r="L125" t="str">
            <v>STAMBAUGH</v>
          </cell>
          <cell r="M125">
            <v>2.8900462959427387E-2</v>
          </cell>
          <cell r="N125">
            <v>41.616666661575437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https://search-rtdc-monitor-bjffxe2xuh6vdkpspy63sjmuny.us-east-1.es.amazonaws.com/_plugin/kibana/#/discover/Steve-Slow-Train-Analysis-(2080s-and-2083s)?_g=(refreshInterval:(display:Off,section:0,value:0),time:(from:'2016-08-18 17:22:04-0600',mode:absolute,to:'2016-08-18 20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25" t="str">
            <v>N</v>
          </cell>
          <cell r="X125">
            <v>1</v>
          </cell>
          <cell r="Y125">
            <v>23.3002</v>
          </cell>
          <cell r="Z125">
            <v>2.47E-2</v>
          </cell>
          <cell r="AA125">
            <v>23.275500000000001</v>
          </cell>
          <cell r="AB125" t="e">
            <v>#N/A</v>
          </cell>
          <cell r="AC125" t="e">
            <v>#N/A</v>
          </cell>
          <cell r="AD125" t="str">
            <v>0212-18</v>
          </cell>
          <cell r="AE125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126">
          <cell r="A126" t="str">
            <v>213-18</v>
          </cell>
          <cell r="B126">
            <v>4029</v>
          </cell>
          <cell r="C126" t="str">
            <v>DE.1.0.7.0</v>
          </cell>
          <cell r="D126" t="str">
            <v>204:446</v>
          </cell>
          <cell r="E126">
            <v>42600.73982638889</v>
          </cell>
          <cell r="F126">
            <v>42600.741481481484</v>
          </cell>
          <cell r="G126">
            <v>2</v>
          </cell>
          <cell r="H126" t="str">
            <v>204:233295</v>
          </cell>
          <cell r="I126">
            <v>42600.768101851849</v>
          </cell>
          <cell r="J126">
            <v>0</v>
          </cell>
          <cell r="K126" t="str">
            <v>4029/4030</v>
          </cell>
          <cell r="L126" t="str">
            <v>GRASTON</v>
          </cell>
          <cell r="M126">
            <v>2.6620370364980772E-2</v>
          </cell>
          <cell r="N126">
            <v>38.333333325572312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https://search-rtdc-monitor-bjffxe2xuh6vdkpspy63sjmuny.us-east-1.es.amazonaws.com/_plugin/kibana/#/discover/Steve-Slow-Train-Analysis-(2080s-and-2083s)?_g=(refreshInterval:(display:Off,section:0,value:0),time:(from:'2016-08-18 16:45:21-0600',mode:absolute,to:'2016-08-18 19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6" t="str">
            <v>N</v>
          </cell>
          <cell r="X126">
            <v>1</v>
          </cell>
          <cell r="Y126">
            <v>4.4600000000000001E-2</v>
          </cell>
          <cell r="Z126">
            <v>23.329499999999999</v>
          </cell>
          <cell r="AA126">
            <v>23.2849</v>
          </cell>
          <cell r="AB126" t="e">
            <v>#N/A</v>
          </cell>
          <cell r="AC126" t="e">
            <v>#N/A</v>
          </cell>
          <cell r="AD126" t="str">
            <v>0213-18</v>
          </cell>
          <cell r="AE126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27">
          <cell r="A127" t="str">
            <v>214-18</v>
          </cell>
          <cell r="B127">
            <v>4030</v>
          </cell>
          <cell r="C127" t="str">
            <v>DE.1.0.7.0</v>
          </cell>
          <cell r="D127" t="str">
            <v>204:232980</v>
          </cell>
          <cell r="E127">
            <v>42600.774930555555</v>
          </cell>
          <cell r="F127">
            <v>42600.776145833333</v>
          </cell>
          <cell r="G127">
            <v>1</v>
          </cell>
          <cell r="H127" t="str">
            <v>204:154</v>
          </cell>
          <cell r="I127">
            <v>42600.80609953704</v>
          </cell>
          <cell r="J127">
            <v>0</v>
          </cell>
          <cell r="K127" t="str">
            <v>4029/4030</v>
          </cell>
          <cell r="L127" t="str">
            <v>DE LA ROSA</v>
          </cell>
          <cell r="M127">
            <v>2.9953703706269152E-2</v>
          </cell>
          <cell r="N127">
            <v>43.13333333702758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https://search-rtdc-monitor-bjffxe2xuh6vdkpspy63sjmuny.us-east-1.es.amazonaws.com/_plugin/kibana/#/discover/Steve-Slow-Train-Analysis-(2080s-and-2083s)?_g=(refreshInterval:(display:Off,section:0,value:0),time:(from:'2016-08-18 17:35:54-0600',mode:absolute,to:'2016-08-18 20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7" t="str">
            <v>N</v>
          </cell>
          <cell r="X127">
            <v>1</v>
          </cell>
          <cell r="Y127">
            <v>23.297999999999998</v>
          </cell>
          <cell r="Z127">
            <v>1.54E-2</v>
          </cell>
          <cell r="AA127">
            <v>23.282599999999999</v>
          </cell>
          <cell r="AB127" t="e">
            <v>#N/A</v>
          </cell>
          <cell r="AC127" t="e">
            <v>#N/A</v>
          </cell>
          <cell r="AD127" t="str">
            <v>0214-18</v>
          </cell>
          <cell r="AE127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28">
          <cell r="A128" t="str">
            <v>215-18</v>
          </cell>
          <cell r="B128">
            <v>4044</v>
          </cell>
          <cell r="C128" t="str">
            <v>DE.1.0.7.0</v>
          </cell>
          <cell r="D128" t="str">
            <v>204:429</v>
          </cell>
          <cell r="E128">
            <v>42600.745532407411</v>
          </cell>
          <cell r="F128">
            <v>42600.750185185185</v>
          </cell>
          <cell r="G128">
            <v>6</v>
          </cell>
          <cell r="H128" t="str">
            <v>204:155065</v>
          </cell>
          <cell r="I128">
            <v>42600.769270833334</v>
          </cell>
          <cell r="J128">
            <v>0</v>
          </cell>
          <cell r="K128" t="str">
            <v>4043/4044</v>
          </cell>
          <cell r="L128" t="str">
            <v>DE LA ROSA</v>
          </cell>
          <cell r="M128">
            <v>1.9085648149484769E-2</v>
          </cell>
          <cell r="P128">
            <v>27.483333335258067</v>
          </cell>
          <cell r="R128" t="str">
            <v>Wi-MAX outage at ML1678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https://search-rtdc-monitor-bjffxe2xuh6vdkpspy63sjmuny.us-east-1.es.amazonaws.com/_plugin/kibana/#/discover/Steve-Slow-Train-Analysis-(2080s-and-2083s)?_g=(refreshInterval:(display:Off,section:0,value:0),time:(from:'2016-08-18 16:53:34-0600',mode:absolute,to:'2016-08-18 19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8" t="str">
            <v>Y</v>
          </cell>
          <cell r="X128">
            <v>1</v>
          </cell>
          <cell r="Y128">
            <v>4.2900000000000001E-2</v>
          </cell>
          <cell r="Z128">
            <v>15.506500000000001</v>
          </cell>
          <cell r="AA128">
            <v>15.463600000000001</v>
          </cell>
          <cell r="AB128" t="e">
            <v>#N/A</v>
          </cell>
          <cell r="AC128" t="e">
            <v>#N/A</v>
          </cell>
          <cell r="AD128" t="str">
            <v>0215-18</v>
          </cell>
          <cell r="AE128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129">
          <cell r="A129" t="str">
            <v>216-18</v>
          </cell>
          <cell r="B129">
            <v>4043</v>
          </cell>
          <cell r="C129" t="str">
            <v>DE.1.0.7.0</v>
          </cell>
          <cell r="D129" t="str">
            <v>204:232996</v>
          </cell>
          <cell r="E129">
            <v>42600.780474537038</v>
          </cell>
          <cell r="F129">
            <v>42600.781469907408</v>
          </cell>
          <cell r="G129">
            <v>1</v>
          </cell>
          <cell r="H129" t="str">
            <v>204:130</v>
          </cell>
          <cell r="I129">
            <v>42600.819027777776</v>
          </cell>
          <cell r="J129">
            <v>0</v>
          </cell>
          <cell r="K129" t="str">
            <v>4043/4044</v>
          </cell>
          <cell r="L129" t="str">
            <v>BONDS</v>
          </cell>
          <cell r="M129">
            <v>3.7557870367891155E-2</v>
          </cell>
          <cell r="N129">
            <v>54.083333329763263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https://search-rtdc-monitor-bjffxe2xuh6vdkpspy63sjmuny.us-east-1.es.amazonaws.com/_plugin/kibana/#/discover/Steve-Slow-Train-Analysis-(2080s-and-2083s)?_g=(refreshInterval:(display:Off,section:0,value:0),time:(from:'2016-08-18 17:43:53-0600',mode:absolute,to:'2016-08-18 20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9" t="str">
            <v>N</v>
          </cell>
          <cell r="X129">
            <v>1</v>
          </cell>
          <cell r="Y129">
            <v>23.299600000000002</v>
          </cell>
          <cell r="Z129">
            <v>1.2999999999999999E-2</v>
          </cell>
          <cell r="AA129">
            <v>23.2866</v>
          </cell>
          <cell r="AB129" t="e">
            <v>#N/A</v>
          </cell>
          <cell r="AC129" t="e">
            <v>#N/A</v>
          </cell>
          <cell r="AD129" t="str">
            <v>0216-18</v>
          </cell>
          <cell r="AE129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130">
          <cell r="A130" t="str">
            <v>217-18</v>
          </cell>
          <cell r="B130">
            <v>4027</v>
          </cell>
          <cell r="C130" t="str">
            <v>DE.1.0.7.0</v>
          </cell>
          <cell r="D130" t="str">
            <v>204:437</v>
          </cell>
          <cell r="E130">
            <v>42600.756076388891</v>
          </cell>
          <cell r="F130">
            <v>42600.757430555554</v>
          </cell>
          <cell r="G130">
            <v>1</v>
          </cell>
          <cell r="H130" t="str">
            <v>204:233316</v>
          </cell>
          <cell r="I130">
            <v>42600.785821759258</v>
          </cell>
          <cell r="J130">
            <v>0</v>
          </cell>
          <cell r="K130" t="str">
            <v>4027/4028</v>
          </cell>
          <cell r="L130" t="str">
            <v>LEVIN</v>
          </cell>
          <cell r="M130">
            <v>2.8391203704813961E-2</v>
          </cell>
          <cell r="N130">
            <v>40.883333334932104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https://search-rtdc-monitor-bjffxe2xuh6vdkpspy63sjmuny.us-east-1.es.amazonaws.com/_plugin/kibana/#/discover/Steve-Slow-Train-Analysis-(2080s-and-2083s)?_g=(refreshInterval:(display:Off,section:0,value:0),time:(from:'2016-08-18 17:08:45-0600',mode:absolute,to:'2016-08-18 19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0" t="str">
            <v>N</v>
          </cell>
          <cell r="X130">
            <v>1</v>
          </cell>
          <cell r="Y130">
            <v>4.3700000000000003E-2</v>
          </cell>
          <cell r="Z130">
            <v>23.331600000000002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0217-18</v>
          </cell>
          <cell r="AE130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31">
          <cell r="A131" t="str">
            <v>218-18</v>
          </cell>
          <cell r="B131">
            <v>4028</v>
          </cell>
          <cell r="C131" t="str">
            <v>DE.1.0.7.0</v>
          </cell>
          <cell r="D131" t="str">
            <v>204:233001</v>
          </cell>
          <cell r="E131">
            <v>42600.793171296296</v>
          </cell>
          <cell r="F131">
            <v>42600.79420138889</v>
          </cell>
          <cell r="G131">
            <v>1</v>
          </cell>
          <cell r="H131" t="str">
            <v>204:150</v>
          </cell>
          <cell r="I131">
            <v>42600.826006944444</v>
          </cell>
          <cell r="J131">
            <v>0</v>
          </cell>
          <cell r="K131" t="str">
            <v>4027/4028</v>
          </cell>
          <cell r="L131" t="str">
            <v>LEVIN</v>
          </cell>
          <cell r="M131">
            <v>3.1805555554456078E-2</v>
          </cell>
          <cell r="N131">
            <v>45.799999998416752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https://search-rtdc-monitor-bjffxe2xuh6vdkpspy63sjmuny.us-east-1.es.amazonaws.com/_plugin/kibana/#/discover/Steve-Slow-Train-Analysis-(2080s-and-2083s)?_g=(refreshInterval:(display:Off,section:0,value:0),time:(from:'2016-08-18 18:02:10-0600',mode:absolute,to:'2016-08-18 20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1" t="str">
            <v>N</v>
          </cell>
          <cell r="X131">
            <v>1</v>
          </cell>
          <cell r="Y131">
            <v>23.3001</v>
          </cell>
          <cell r="Z131">
            <v>1.4999999999999999E-2</v>
          </cell>
          <cell r="AA131">
            <v>23.2851</v>
          </cell>
          <cell r="AB131" t="e">
            <v>#N/A</v>
          </cell>
          <cell r="AC131" t="e">
            <v>#N/A</v>
          </cell>
          <cell r="AD131" t="str">
            <v>0218-18</v>
          </cell>
          <cell r="AE131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32">
          <cell r="A132" t="str">
            <v>219-18</v>
          </cell>
          <cell r="B132">
            <v>4007</v>
          </cell>
          <cell r="C132" t="str">
            <v>DE.1.0.7.0</v>
          </cell>
          <cell r="D132" t="str">
            <v>204:484</v>
          </cell>
          <cell r="E132">
            <v>42600.768125000002</v>
          </cell>
          <cell r="F132">
            <v>42600.769629629627</v>
          </cell>
          <cell r="G132">
            <v>2</v>
          </cell>
          <cell r="H132" t="str">
            <v>204:233300</v>
          </cell>
          <cell r="I132">
            <v>42600.7965625</v>
          </cell>
          <cell r="J132">
            <v>0</v>
          </cell>
          <cell r="K132" t="str">
            <v>4007/4008</v>
          </cell>
          <cell r="L132" t="str">
            <v>STURGEON</v>
          </cell>
          <cell r="M132">
            <v>2.6932870372547768E-2</v>
          </cell>
          <cell r="N132">
            <v>38.783333336468786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https://search-rtdc-monitor-bjffxe2xuh6vdkpspy63sjmuny.us-east-1.es.amazonaws.com/_plugin/kibana/#/discover/Steve-Slow-Train-Analysis-(2080s-and-2083s)?_g=(refreshInterval:(display:Off,section:0,value:0),time:(from:'2016-08-18 17:26:06-0600',mode:absolute,to:'2016-08-18 20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32" t="str">
            <v>N</v>
          </cell>
          <cell r="X132">
            <v>1</v>
          </cell>
          <cell r="Y132">
            <v>4.8399999999999999E-2</v>
          </cell>
          <cell r="Z132">
            <v>23.33</v>
          </cell>
          <cell r="AA132">
            <v>23.281599999999997</v>
          </cell>
          <cell r="AB132" t="e">
            <v>#N/A</v>
          </cell>
          <cell r="AC132" t="e">
            <v>#N/A</v>
          </cell>
          <cell r="AD132" t="str">
            <v>0219-18</v>
          </cell>
          <cell r="AE132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33">
          <cell r="A133" t="str">
            <v>220-18</v>
          </cell>
          <cell r="B133">
            <v>4008</v>
          </cell>
          <cell r="C133" t="str">
            <v>DE.1.0.7.0</v>
          </cell>
          <cell r="D133" t="str">
            <v>204:232987</v>
          </cell>
          <cell r="E133">
            <v>42600.80269675926</v>
          </cell>
          <cell r="F133">
            <v>42600.804108796299</v>
          </cell>
          <cell r="G133">
            <v>2</v>
          </cell>
          <cell r="H133" t="str">
            <v>204:154</v>
          </cell>
          <cell r="I133">
            <v>42600.837152777778</v>
          </cell>
          <cell r="J133">
            <v>0</v>
          </cell>
          <cell r="K133" t="str">
            <v>4007/4008</v>
          </cell>
          <cell r="L133" t="str">
            <v>STURGEON</v>
          </cell>
          <cell r="M133">
            <v>3.3043981478840578E-2</v>
          </cell>
          <cell r="N133">
            <v>47.583333329530433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https://search-rtdc-monitor-bjffxe2xuh6vdkpspy63sjmuny.us-east-1.es.amazonaws.com/_plugin/kibana/#/discover/Steve-Slow-Train-Analysis-(2080s-and-2083s)?_g=(refreshInterval:(display:Off,section:0,value:0),time:(from:'2016-08-18 18:15:53-0600',mode:absolute,to:'2016-08-18 21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33" t="str">
            <v>N</v>
          </cell>
          <cell r="X133">
            <v>1</v>
          </cell>
          <cell r="Y133">
            <v>23.2987</v>
          </cell>
          <cell r="Z133">
            <v>1.54E-2</v>
          </cell>
          <cell r="AA133">
            <v>23.283300000000001</v>
          </cell>
          <cell r="AB133" t="e">
            <v>#N/A</v>
          </cell>
          <cell r="AC133" t="e">
            <v>#N/A</v>
          </cell>
          <cell r="AD133" t="str">
            <v>0220-18</v>
          </cell>
          <cell r="AE133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34">
          <cell r="A134" t="str">
            <v>221-18</v>
          </cell>
          <cell r="B134">
            <v>4025</v>
          </cell>
          <cell r="C134" t="str">
            <v>DE.1.0.7.0</v>
          </cell>
          <cell r="D134" t="str">
            <v>204:498</v>
          </cell>
          <cell r="E134">
            <v>42600.790451388886</v>
          </cell>
          <cell r="F134">
            <v>42600.791284722225</v>
          </cell>
          <cell r="G134">
            <v>1</v>
          </cell>
          <cell r="H134" t="str">
            <v>204:233317</v>
          </cell>
          <cell r="I134">
            <v>42600.818344907406</v>
          </cell>
          <cell r="J134">
            <v>0</v>
          </cell>
          <cell r="K134" t="str">
            <v>4025/4026</v>
          </cell>
          <cell r="L134" t="str">
            <v>HOMIK</v>
          </cell>
          <cell r="M134">
            <v>2.7060185180744156E-2</v>
          </cell>
          <cell r="N134">
            <v>38.966666660271585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https://search-rtdc-monitor-bjffxe2xuh6vdkpspy63sjmuny.us-east-1.es.amazonaws.com/_plugin/kibana/#/discover/Steve-Slow-Train-Analysis-(2080s-and-2083s)?_g=(refreshInterval:(display:Off,section:0,value:0),time:(from:'2016-08-18 17:58:15-0600',mode:absolute,to:'2016-08-18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4" t="str">
            <v>N</v>
          </cell>
          <cell r="X134">
            <v>1</v>
          </cell>
          <cell r="Y134">
            <v>4.9799999999999997E-2</v>
          </cell>
          <cell r="Z134">
            <v>23.331700000000001</v>
          </cell>
          <cell r="AA134">
            <v>23.2819</v>
          </cell>
          <cell r="AB134" t="e">
            <v>#N/A</v>
          </cell>
          <cell r="AC134" t="e">
            <v>#N/A</v>
          </cell>
          <cell r="AD134" t="str">
            <v>0221-18</v>
          </cell>
          <cell r="AE134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35">
          <cell r="A135" t="str">
            <v>222-18</v>
          </cell>
          <cell r="B135">
            <v>4026</v>
          </cell>
          <cell r="C135" t="str">
            <v>DE.1.0.7.0</v>
          </cell>
          <cell r="D135" t="str">
            <v>204:232972</v>
          </cell>
          <cell r="E135">
            <v>42600.823425925926</v>
          </cell>
          <cell r="F135">
            <v>42600.824444444443</v>
          </cell>
          <cell r="G135">
            <v>1</v>
          </cell>
          <cell r="H135" t="str">
            <v>204:187</v>
          </cell>
          <cell r="I135">
            <v>42600.858472222222</v>
          </cell>
          <cell r="J135">
            <v>0</v>
          </cell>
          <cell r="K135" t="str">
            <v>4025/4026</v>
          </cell>
          <cell r="L135" t="str">
            <v>HOMIK</v>
          </cell>
          <cell r="M135">
            <v>3.4027777779556345E-2</v>
          </cell>
          <cell r="N135">
            <v>49.000000002561137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https://search-rtdc-monitor-bjffxe2xuh6vdkpspy63sjmuny.us-east-1.es.amazonaws.com/_plugin/kibana/#/discover/Steve-Slow-Train-Analysis-(2080s-and-2083s)?_g=(refreshInterval:(display:Off,section:0,value:0),time:(from:'2016-08-18 18:45:44-0600',mode:absolute,to:'2016-08-18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35" t="str">
            <v>N</v>
          </cell>
          <cell r="X135">
            <v>1</v>
          </cell>
          <cell r="Y135">
            <v>23.2972</v>
          </cell>
          <cell r="Z135">
            <v>1.8700000000000001E-2</v>
          </cell>
          <cell r="AA135">
            <v>23.278500000000001</v>
          </cell>
          <cell r="AB135" t="e">
            <v>#N/A</v>
          </cell>
          <cell r="AC135" t="e">
            <v>#N/A</v>
          </cell>
          <cell r="AD135" t="str">
            <v>0222-18</v>
          </cell>
          <cell r="AE135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36">
          <cell r="A136" t="str">
            <v>223-18</v>
          </cell>
          <cell r="B136">
            <v>4029</v>
          </cell>
          <cell r="C136" t="str">
            <v>DE.1.0.7.0</v>
          </cell>
          <cell r="D136" t="str">
            <v>204:446</v>
          </cell>
          <cell r="E136">
            <v>42600.80908564815</v>
          </cell>
          <cell r="F136">
            <v>42600.810624999998</v>
          </cell>
          <cell r="G136">
            <v>2</v>
          </cell>
          <cell r="H136" t="str">
            <v>204:233306</v>
          </cell>
          <cell r="I136">
            <v>42600.837708333333</v>
          </cell>
          <cell r="J136">
            <v>0</v>
          </cell>
          <cell r="K136" t="str">
            <v>4029/4030</v>
          </cell>
          <cell r="L136" t="str">
            <v>DE LA ROSA</v>
          </cell>
          <cell r="M136">
            <v>2.7083333334303461E-2</v>
          </cell>
          <cell r="N136">
            <v>39.000000001396984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https://search-rtdc-monitor-bjffxe2xuh6vdkpspy63sjmuny.us-east-1.es.amazonaws.com/_plugin/kibana/#/discover/Steve-Slow-Train-Analysis-(2080s-and-2083s)?_g=(refreshInterval:(display:Off,section:0,value:0),time:(from:'2016-08-18 18:25:05-0600',mode:absolute,to:'2016-08-18 21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23.3306</v>
          </cell>
          <cell r="AA136">
            <v>23.286000000000001</v>
          </cell>
          <cell r="AB136" t="e">
            <v>#N/A</v>
          </cell>
          <cell r="AC136" t="e">
            <v>#N/A</v>
          </cell>
          <cell r="AD136" t="str">
            <v>0223-18</v>
          </cell>
          <cell r="AE136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37">
          <cell r="A137" t="str">
            <v>224-18</v>
          </cell>
          <cell r="B137">
            <v>4030</v>
          </cell>
          <cell r="C137" t="str">
            <v>DE.1.0.7.0</v>
          </cell>
          <cell r="D137" t="str">
            <v>204:232993</v>
          </cell>
          <cell r="E137">
            <v>42600.846597222226</v>
          </cell>
          <cell r="F137">
            <v>42600.847569444442</v>
          </cell>
          <cell r="G137">
            <v>1</v>
          </cell>
          <cell r="H137" t="str">
            <v>204:152</v>
          </cell>
          <cell r="I137">
            <v>42600.879282407404</v>
          </cell>
          <cell r="J137">
            <v>0</v>
          </cell>
          <cell r="K137" t="str">
            <v>4029/4030</v>
          </cell>
          <cell r="L137" t="str">
            <v>DE LA ROSA</v>
          </cell>
          <cell r="M137">
            <v>3.1712962962046731E-2</v>
          </cell>
          <cell r="N137">
            <v>45.666666665347293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https://search-rtdc-monitor-bjffxe2xuh6vdkpspy63sjmuny.us-east-1.es.amazonaws.com/_plugin/kibana/#/discover/Steve-Slow-Train-Analysis-(2080s-and-2083s)?_g=(refreshInterval:(display:Off,section:0,value:0),time:(from:'2016-08-18 19:19:06-0600',mode:absolute,to:'2016-08-18 22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37" t="str">
            <v>N</v>
          </cell>
          <cell r="X137">
            <v>1</v>
          </cell>
          <cell r="Y137">
            <v>23.299299999999999</v>
          </cell>
          <cell r="Z137">
            <v>1.52E-2</v>
          </cell>
          <cell r="AA137">
            <v>23.284099999999999</v>
          </cell>
          <cell r="AB137" t="e">
            <v>#N/A</v>
          </cell>
          <cell r="AC137" t="e">
            <v>#N/A</v>
          </cell>
          <cell r="AD137" t="str">
            <v>0224-18</v>
          </cell>
          <cell r="AE137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38">
          <cell r="A138" t="str">
            <v>225-18</v>
          </cell>
          <cell r="B138">
            <v>4027</v>
          </cell>
          <cell r="C138" t="str">
            <v>DE.1.0.7.0</v>
          </cell>
          <cell r="D138" t="str">
            <v>204:457</v>
          </cell>
          <cell r="E138">
            <v>42600.827418981484</v>
          </cell>
          <cell r="F138">
            <v>42600.828344907408</v>
          </cell>
          <cell r="G138">
            <v>1</v>
          </cell>
          <cell r="H138" t="str">
            <v>204:233317</v>
          </cell>
          <cell r="I138">
            <v>42600.860150462962</v>
          </cell>
          <cell r="J138">
            <v>0</v>
          </cell>
          <cell r="K138" t="str">
            <v>4027/4028</v>
          </cell>
          <cell r="L138" t="str">
            <v>OUN</v>
          </cell>
          <cell r="M138">
            <v>3.1805555554456078E-2</v>
          </cell>
          <cell r="N138">
            <v>45.799999998416752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https://search-rtdc-monitor-bjffxe2xuh6vdkpspy63sjmuny.us-east-1.es.amazonaws.com/_plugin/kibana/#/discover/Steve-Slow-Train-Analysis-(2080s-and-2083s)?_g=(refreshInterval:(display:Off,section:0,value:0),time:(from:'2016-08-18 18:51:29-0600',mode:absolute,to:'2016-08-18 21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23.331700000000001</v>
          </cell>
          <cell r="AA138">
            <v>23.286000000000001</v>
          </cell>
          <cell r="AB138" t="e">
            <v>#N/A</v>
          </cell>
          <cell r="AC138" t="e">
            <v>#N/A</v>
          </cell>
          <cell r="AD138" t="str">
            <v>0225-18</v>
          </cell>
          <cell r="AE138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39">
          <cell r="A139" t="str">
            <v>226-18</v>
          </cell>
          <cell r="B139">
            <v>4028</v>
          </cell>
          <cell r="C139" t="str">
            <v>DE.1.0.7.0</v>
          </cell>
          <cell r="D139" t="str">
            <v>204:232989</v>
          </cell>
          <cell r="E139">
            <v>42600.868483796294</v>
          </cell>
          <cell r="F139">
            <v>42600.869467592594</v>
          </cell>
          <cell r="G139">
            <v>1</v>
          </cell>
          <cell r="H139" t="str">
            <v>204:152</v>
          </cell>
          <cell r="I139">
            <v>42600.901817129627</v>
          </cell>
          <cell r="J139">
            <v>0</v>
          </cell>
          <cell r="K139" t="str">
            <v>4027/4028</v>
          </cell>
          <cell r="L139" t="str">
            <v>OUN</v>
          </cell>
          <cell r="M139">
            <v>3.2349537032132503E-2</v>
          </cell>
          <cell r="N139">
            <v>46.583333326270804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https://search-rtdc-monitor-bjffxe2xuh6vdkpspy63sjmuny.us-east-1.es.amazonaws.com/_plugin/kibana/#/discover/Steve-Slow-Train-Analysis-(2080s-and-2083s)?_g=(refreshInterval:(display:Off,section:0,value:0),time:(from:'2016-08-18 19:50:37-0600',mode:absolute,to:'2016-08-18 22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9" t="str">
            <v>N</v>
          </cell>
          <cell r="X139">
            <v>1</v>
          </cell>
          <cell r="Y139">
            <v>23.2989</v>
          </cell>
          <cell r="Z139">
            <v>1.52E-2</v>
          </cell>
          <cell r="AA139">
            <v>23.2837</v>
          </cell>
          <cell r="AB139" t="e">
            <v>#N/A</v>
          </cell>
          <cell r="AC139" t="e">
            <v>#N/A</v>
          </cell>
          <cell r="AD139" t="str">
            <v>0226-18</v>
          </cell>
          <cell r="AE139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40">
          <cell r="A140" t="str">
            <v>227-18</v>
          </cell>
          <cell r="B140">
            <v>4007</v>
          </cell>
          <cell r="C140" t="str">
            <v>DE.1.0.7.0</v>
          </cell>
          <cell r="D140" t="str">
            <v>204:469</v>
          </cell>
          <cell r="E140">
            <v>42600.847199074073</v>
          </cell>
          <cell r="F140">
            <v>42600.848587962966</v>
          </cell>
          <cell r="G140">
            <v>1</v>
          </cell>
          <cell r="H140" t="str">
            <v>204:233283</v>
          </cell>
          <cell r="I140">
            <v>42600.881620370368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3.3032407402060926E-2</v>
          </cell>
          <cell r="N140">
            <v>47.566666658967733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https://search-rtdc-monitor-bjffxe2xuh6vdkpspy63sjmuny.us-east-1.es.amazonaws.com/_plugin/kibana/#/discover/Steve-Slow-Train-Analysis-(2080s-and-2083s)?_g=(refreshInterval:(display:Off,section:0,value:0),time:(from:'2016-08-18 19:19:58-0600',mode:absolute,to:'2016-08-18 22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40" t="str">
            <v>N</v>
          </cell>
          <cell r="X140">
            <v>1</v>
          </cell>
          <cell r="Y140">
            <v>4.6899999999999997E-2</v>
          </cell>
          <cell r="Z140">
            <v>23.328299999999999</v>
          </cell>
          <cell r="AA140">
            <v>23.281399999999998</v>
          </cell>
          <cell r="AB140" t="e">
            <v>#N/A</v>
          </cell>
          <cell r="AC140" t="e">
            <v>#N/A</v>
          </cell>
          <cell r="AD140" t="str">
            <v>0227-18</v>
          </cell>
          <cell r="AE140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41">
          <cell r="A141" t="str">
            <v>228-18</v>
          </cell>
          <cell r="B141">
            <v>4008</v>
          </cell>
          <cell r="C141" t="str">
            <v>DE.1.0.7.0</v>
          </cell>
          <cell r="D141" t="str">
            <v>204:232974</v>
          </cell>
          <cell r="E141">
            <v>42600.886608796296</v>
          </cell>
          <cell r="F141">
            <v>42600.88795138889</v>
          </cell>
          <cell r="G141">
            <v>1</v>
          </cell>
          <cell r="H141" t="str">
            <v>204:176</v>
          </cell>
          <cell r="I141">
            <v>42600.924872685187</v>
          </cell>
          <cell r="J141">
            <v>0</v>
          </cell>
          <cell r="K141" t="str">
            <v>4007/4008</v>
          </cell>
          <cell r="L141" t="str">
            <v>STURGEON</v>
          </cell>
          <cell r="M141">
            <v>3.6921296297805384E-2</v>
          </cell>
          <cell r="N141">
            <v>53.166666668839753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https://search-rtdc-monitor-bjffxe2xuh6vdkpspy63sjmuny.us-east-1.es.amazonaws.com/_plugin/kibana/#/discover/Steve-Slow-Train-Analysis-(2080s-and-2083s)?_g=(refreshInterval:(display:Off,section:0,value:0),time:(from:'2016-08-18 20:16:43-0600',mode:absolute,to:'2016-08-18 23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41" t="str">
            <v>N</v>
          </cell>
          <cell r="X141">
            <v>1</v>
          </cell>
          <cell r="Y141">
            <v>23.2974</v>
          </cell>
          <cell r="Z141">
            <v>1.7600000000000001E-2</v>
          </cell>
          <cell r="AA141">
            <v>23.279799999999998</v>
          </cell>
          <cell r="AB141" t="e">
            <v>#N/A</v>
          </cell>
          <cell r="AC141" t="e">
            <v>#N/A</v>
          </cell>
          <cell r="AD141" t="str">
            <v>0228-18</v>
          </cell>
          <cell r="AE141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42">
          <cell r="A142" t="str">
            <v>229-18</v>
          </cell>
          <cell r="B142">
            <v>4025</v>
          </cell>
          <cell r="C142" t="str">
            <v>DE.1.0.7.0</v>
          </cell>
          <cell r="D142" t="str">
            <v>204:491</v>
          </cell>
          <cell r="E142">
            <v>42600.86204861111</v>
          </cell>
          <cell r="F142">
            <v>42600.863055555557</v>
          </cell>
          <cell r="G142">
            <v>1</v>
          </cell>
          <cell r="H142" t="str">
            <v>204:233274</v>
          </cell>
          <cell r="I142">
            <v>42600.902175925927</v>
          </cell>
          <cell r="J142">
            <v>0</v>
          </cell>
          <cell r="K142" t="str">
            <v>4025/4026</v>
          </cell>
          <cell r="L142" t="str">
            <v>HOMIK</v>
          </cell>
          <cell r="M142">
            <v>3.9120370369346347E-2</v>
          </cell>
          <cell r="N142">
            <v>56.333333331858739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https://search-rtdc-monitor-bjffxe2xuh6vdkpspy63sjmuny.us-east-1.es.amazonaws.com/_plugin/kibana/#/discover/Steve-Slow-Train-Analysis-(2080s-and-2083s)?_g=(refreshInterval:(display:Off,section:0,value:0),time:(from:'2016-08-18 19:41:21-0600',mode:absolute,to:'2016-08-18 22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42" t="str">
            <v>N</v>
          </cell>
          <cell r="X142">
            <v>1</v>
          </cell>
          <cell r="Y142">
            <v>4.9099999999999998E-2</v>
          </cell>
          <cell r="Z142">
            <v>23.327400000000001</v>
          </cell>
          <cell r="AA142">
            <v>23.278300000000002</v>
          </cell>
          <cell r="AB142" t="e">
            <v>#N/A</v>
          </cell>
          <cell r="AC142" t="e">
            <v>#N/A</v>
          </cell>
          <cell r="AD142" t="str">
            <v>0229-18</v>
          </cell>
          <cell r="AE142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43">
          <cell r="A143" t="str">
            <v>230-18</v>
          </cell>
          <cell r="B143">
            <v>4026</v>
          </cell>
          <cell r="C143" t="str">
            <v>DE.1.0.7.0</v>
          </cell>
          <cell r="D143" t="str">
            <v>204:232947</v>
          </cell>
          <cell r="E143">
            <v>42600.905405092592</v>
          </cell>
          <cell r="F143">
            <v>42600.906493055554</v>
          </cell>
          <cell r="G143">
            <v>1</v>
          </cell>
          <cell r="H143" t="str">
            <v>204:145</v>
          </cell>
          <cell r="I143">
            <v>42600.944062499999</v>
          </cell>
          <cell r="J143">
            <v>0</v>
          </cell>
          <cell r="K143" t="str">
            <v>4025/4026</v>
          </cell>
          <cell r="L143" t="str">
            <v>HOMIK</v>
          </cell>
          <cell r="M143">
            <v>3.7569444444670808E-2</v>
          </cell>
          <cell r="N143">
            <v>54.100000000325963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https://search-rtdc-monitor-bjffxe2xuh6vdkpspy63sjmuny.us-east-1.es.amazonaws.com/_plugin/kibana/#/discover/Steve-Slow-Train-Analysis-(2080s-and-2083s)?_g=(refreshInterval:(display:Off,section:0,value:0),time:(from:'2016-08-18 20:43:47-0600',mode:absolute,to:'2016-08-18 23:39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43" t="str">
            <v>N</v>
          </cell>
          <cell r="X143">
            <v>1</v>
          </cell>
          <cell r="Y143">
            <v>23.294699999999999</v>
          </cell>
          <cell r="Z143">
            <v>1.4500000000000001E-2</v>
          </cell>
          <cell r="AA143">
            <v>23.280199999999997</v>
          </cell>
          <cell r="AB143" t="e">
            <v>#N/A</v>
          </cell>
          <cell r="AC143" t="e">
            <v>#N/A</v>
          </cell>
          <cell r="AD143" t="str">
            <v>0230-18</v>
          </cell>
          <cell r="AE143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44">
          <cell r="A144" t="str">
            <v>231-18</v>
          </cell>
          <cell r="B144">
            <v>4029</v>
          </cell>
          <cell r="C144" t="str">
            <v>DE.1.0.7.0</v>
          </cell>
          <cell r="D144" t="str">
            <v>204:469</v>
          </cell>
          <cell r="E144">
            <v>42600.892141203702</v>
          </cell>
          <cell r="F144">
            <v>42600.893043981479</v>
          </cell>
          <cell r="G144">
            <v>1</v>
          </cell>
          <cell r="H144" t="str">
            <v>204:233293</v>
          </cell>
          <cell r="I144">
            <v>42600.921840277777</v>
          </cell>
          <cell r="J144">
            <v>0</v>
          </cell>
          <cell r="K144" t="str">
            <v>4029/4030</v>
          </cell>
          <cell r="L144" t="str">
            <v>DE LA ROSA</v>
          </cell>
          <cell r="M144">
            <v>2.8796296297514345E-2</v>
          </cell>
          <cell r="N144">
            <v>41.466666668420658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https://search-rtdc-monitor-bjffxe2xuh6vdkpspy63sjmuny.us-east-1.es.amazonaws.com/_plugin/kibana/#/discover/Steve-Slow-Train-Analysis-(2080s-and-2083s)?_g=(refreshInterval:(display:Off,section:0,value:0),time:(from:'2016-08-18 20:24:41-0600',mode:absolute,to:'2016-08-18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4" t="str">
            <v>N</v>
          </cell>
          <cell r="X144">
            <v>1</v>
          </cell>
          <cell r="Y144">
            <v>4.6899999999999997E-2</v>
          </cell>
          <cell r="Z144">
            <v>23.3293</v>
          </cell>
          <cell r="AA144">
            <v>23.282399999999999</v>
          </cell>
          <cell r="AB144" t="e">
            <v>#N/A</v>
          </cell>
          <cell r="AC144" t="e">
            <v>#N/A</v>
          </cell>
          <cell r="AD144" t="str">
            <v>0231-18</v>
          </cell>
          <cell r="AE144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45">
          <cell r="A145" t="str">
            <v>232-18</v>
          </cell>
          <cell r="B145">
            <v>4030</v>
          </cell>
          <cell r="C145" t="str">
            <v>DE.1.0.7.0</v>
          </cell>
          <cell r="D145" t="str">
            <v>204:232970</v>
          </cell>
          <cell r="E145">
            <v>42600.930775462963</v>
          </cell>
          <cell r="F145">
            <v>42600.93236111111</v>
          </cell>
          <cell r="G145">
            <v>2</v>
          </cell>
          <cell r="H145" t="str">
            <v>204:163</v>
          </cell>
          <cell r="I145">
            <v>42600.963935185187</v>
          </cell>
          <cell r="J145">
            <v>0</v>
          </cell>
          <cell r="K145" t="str">
            <v>4029/4030</v>
          </cell>
          <cell r="L145" t="str">
            <v>DE LA ROSA</v>
          </cell>
          <cell r="M145">
            <v>3.1574074077070691E-2</v>
          </cell>
          <cell r="N145">
            <v>45.466666670981795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https://search-rtdc-monitor-bjffxe2xuh6vdkpspy63sjmuny.us-east-1.es.amazonaws.com/_plugin/kibana/#/discover/Steve-Slow-Train-Analysis-(2080s-and-2083s)?_g=(refreshInterval:(display:Off,section:0,value:0),time:(from:'2016-08-18 21:20:19-0600',mode:absolute,to:'2016-08-19 00:08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5" t="str">
            <v>N</v>
          </cell>
          <cell r="X145">
            <v>1</v>
          </cell>
          <cell r="Y145">
            <v>23.297000000000001</v>
          </cell>
          <cell r="Z145">
            <v>1.6299999999999999E-2</v>
          </cell>
          <cell r="AA145">
            <v>23.2807</v>
          </cell>
          <cell r="AB145" t="e">
            <v>#N/A</v>
          </cell>
          <cell r="AC145" t="e">
            <v>#N/A</v>
          </cell>
          <cell r="AD145" t="str">
            <v>0232-18</v>
          </cell>
          <cell r="AE145" t="str">
    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    </cell>
        </row>
        <row r="146">
          <cell r="A146" t="str">
            <v>233-18</v>
          </cell>
          <cell r="B146">
            <v>4027</v>
          </cell>
          <cell r="C146" t="str">
            <v>DE.1.0.7.0</v>
          </cell>
          <cell r="D146" t="str">
            <v>204:455</v>
          </cell>
          <cell r="E146">
            <v>42600.911296296297</v>
          </cell>
          <cell r="F146">
            <v>42600.912453703706</v>
          </cell>
          <cell r="G146">
            <v>1</v>
          </cell>
          <cell r="H146" t="str">
            <v>204:233310</v>
          </cell>
          <cell r="I146">
            <v>42600.943993055553</v>
          </cell>
          <cell r="J146">
            <v>0</v>
          </cell>
          <cell r="K146" t="str">
            <v>4027/4028</v>
          </cell>
          <cell r="L146" t="str">
            <v>OUN</v>
          </cell>
          <cell r="M146">
            <v>3.1539351846731734E-2</v>
          </cell>
          <cell r="N146">
            <v>45.416666659293696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https://search-rtdc-monitor-bjffxe2xuh6vdkpspy63sjmuny.us-east-1.es.amazonaws.com/_plugin/kibana/#/discover/Steve-Slow-Train-Analysis-(2080s-and-2083s)?_g=(refreshInterval:(display:Off,section:0,value:0),time:(from:'2016-08-18 20:52:16-0600',mode:absolute,to:'2016-08-18 23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6" t="str">
            <v>N</v>
          </cell>
          <cell r="X146">
            <v>1</v>
          </cell>
          <cell r="Y146">
            <v>4.5499999999999999E-2</v>
          </cell>
          <cell r="Z146">
            <v>23.331</v>
          </cell>
          <cell r="AA146">
            <v>23.285499999999999</v>
          </cell>
          <cell r="AB146" t="e">
            <v>#N/A</v>
          </cell>
          <cell r="AC146" t="e">
            <v>#N/A</v>
          </cell>
          <cell r="AD146" t="str">
            <v>0233-18</v>
          </cell>
          <cell r="AE146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47">
          <cell r="A147" t="str">
            <v>234-18</v>
          </cell>
          <cell r="B147">
            <v>4028</v>
          </cell>
          <cell r="C147" t="str">
            <v>DE.1.0.7.0</v>
          </cell>
          <cell r="D147" t="str">
            <v>204:232987</v>
          </cell>
          <cell r="E147">
            <v>42600.95040509259</v>
          </cell>
          <cell r="F147">
            <v>42600.951458333337</v>
          </cell>
          <cell r="G147">
            <v>1</v>
          </cell>
          <cell r="H147" t="str">
            <v>204:161</v>
          </cell>
          <cell r="I147">
            <v>42600.987060185187</v>
          </cell>
          <cell r="J147">
            <v>0</v>
          </cell>
          <cell r="K147" t="str">
            <v>4027/4028</v>
          </cell>
          <cell r="L147" t="str">
            <v>OUN</v>
          </cell>
          <cell r="M147">
            <v>3.5601851850515231E-2</v>
          </cell>
          <cell r="N147">
            <v>51.266666664741933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https://search-rtdc-monitor-bjffxe2xuh6vdkpspy63sjmuny.us-east-1.es.amazonaws.com/_plugin/kibana/#/discover/Steve-Slow-Train-Analysis-(2080s-and-2083s)?_g=(refreshInterval:(display:Off,section:0,value:0),time:(from:'2016-08-18 21:48:35-0600',mode:absolute,to:'2016-08-19 00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7" t="str">
            <v>N</v>
          </cell>
          <cell r="X147">
            <v>1</v>
          </cell>
          <cell r="Y147">
            <v>23.2987</v>
          </cell>
          <cell r="Z147">
            <v>1.61E-2</v>
          </cell>
          <cell r="AA147">
            <v>23.282599999999999</v>
          </cell>
          <cell r="AB147" t="e">
            <v>#N/A</v>
          </cell>
          <cell r="AC147" t="e">
            <v>#N/A</v>
          </cell>
          <cell r="AD147" t="str">
            <v>0234-18</v>
          </cell>
          <cell r="AE147" t="str">
    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    </cell>
        </row>
        <row r="148">
          <cell r="A148" t="str">
            <v>235-18</v>
          </cell>
          <cell r="B148">
            <v>4007</v>
          </cell>
          <cell r="C148" t="str">
            <v>DE.1.0.7.0</v>
          </cell>
          <cell r="D148" t="str">
            <v>204:526</v>
          </cell>
          <cell r="E148">
            <v>42600.933437500003</v>
          </cell>
          <cell r="F148">
            <v>42600.934444444443</v>
          </cell>
          <cell r="G148">
            <v>1</v>
          </cell>
          <cell r="H148" t="str">
            <v>204:233300</v>
          </cell>
          <cell r="I148">
            <v>42600.966319444444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3.1875000000582077E-2</v>
          </cell>
          <cell r="N148">
            <v>45.90000000083819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https://search-rtdc-monitor-bjffxe2xuh6vdkpspy63sjmuny.us-east-1.es.amazonaws.com/_plugin/kibana/#/discover/Steve-Slow-Train-Analysis-(2080s-and-2083s)?_g=(refreshInterval:(display:Off,section:0,value:0),time:(from:'2016-08-18 21:24:09-0600',mode:absolute,to:'2016-08-19 00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48" t="str">
            <v>N</v>
          </cell>
          <cell r="X148">
            <v>1</v>
          </cell>
          <cell r="Y148">
            <v>5.2600000000000001E-2</v>
          </cell>
          <cell r="Z148">
            <v>23.33</v>
          </cell>
          <cell r="AA148">
            <v>23.277399999999997</v>
          </cell>
          <cell r="AB148" t="e">
            <v>#N/A</v>
          </cell>
          <cell r="AC148" t="e">
            <v>#N/A</v>
          </cell>
          <cell r="AD148" t="str">
            <v>0235-18</v>
          </cell>
          <cell r="AE148" t="str">
            <v>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 &amp; 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</v>
          </cell>
        </row>
        <row r="149">
          <cell r="A149" t="str">
            <v>236-18</v>
          </cell>
          <cell r="B149">
            <v>4008</v>
          </cell>
          <cell r="C149" t="str">
            <v>DE.1.0.7.0</v>
          </cell>
          <cell r="D149" t="str">
            <v>204:232972</v>
          </cell>
          <cell r="E149">
            <v>42600.970879629633</v>
          </cell>
          <cell r="F149">
            <v>42600.975231481483</v>
          </cell>
          <cell r="G149">
            <v>6</v>
          </cell>
          <cell r="H149" t="str">
            <v>204:181</v>
          </cell>
          <cell r="I149">
            <v>42601.00503472222</v>
          </cell>
          <cell r="J149">
            <v>0</v>
          </cell>
          <cell r="K149" t="str">
            <v>4007/4008</v>
          </cell>
          <cell r="L149" t="str">
            <v>STURGEON</v>
          </cell>
          <cell r="M149">
            <v>2.9803240737237502E-2</v>
          </cell>
          <cell r="N149">
            <v>42.916666661622003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https://search-rtdc-monitor-bjffxe2xuh6vdkpspy63sjmuny.us-east-1.es.amazonaws.com/_plugin/kibana/#/discover/Steve-Slow-Train-Analysis-(2080s-and-2083s)?_g=(refreshInterval:(display:Off,section:0,value:0),time:(from:'2016-08-18 22:18:04-0600',mode:absolute,to:'2016-08-19 01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49" t="str">
            <v>N</v>
          </cell>
          <cell r="X149">
            <v>1</v>
          </cell>
          <cell r="Y149">
            <v>23.2972</v>
          </cell>
          <cell r="Z149">
            <v>1.8100000000000002E-2</v>
          </cell>
          <cell r="AA149">
            <v>23.2791</v>
          </cell>
          <cell r="AB149" t="e">
            <v>#N/A</v>
          </cell>
          <cell r="AC149" t="e">
            <v>#N/A</v>
          </cell>
          <cell r="AD149" t="str">
            <v>0236-18</v>
          </cell>
          <cell r="AE149" t="str">
            <v>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 &amp; 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</v>
          </cell>
        </row>
        <row r="150">
          <cell r="A150" t="str">
            <v>237-18</v>
          </cell>
          <cell r="B150">
            <v>4025</v>
          </cell>
          <cell r="C150" t="str">
            <v>DE.1.0.7.0</v>
          </cell>
          <cell r="D150" t="str">
            <v>204:467</v>
          </cell>
          <cell r="E150">
            <v>42600.949282407404</v>
          </cell>
          <cell r="F150">
            <v>42600.950277777774</v>
          </cell>
          <cell r="G150">
            <v>1</v>
          </cell>
          <cell r="H150" t="str">
            <v>204:233316</v>
          </cell>
          <cell r="I150">
            <v>42600.984675925924</v>
          </cell>
          <cell r="J150">
            <v>0</v>
          </cell>
          <cell r="K150" t="str">
            <v>4025/4026</v>
          </cell>
          <cell r="L150" t="str">
            <v>GOLIGHTLY</v>
          </cell>
          <cell r="M150">
            <v>3.439814814919373E-2</v>
          </cell>
          <cell r="N150">
            <v>49.533333334838971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https://search-rtdc-monitor-bjffxe2xuh6vdkpspy63sjmuny.us-east-1.es.amazonaws.com/_plugin/kibana/#/discover/Steve-Slow-Train-Analysis-(2080s-and-2083s)?_g=(refreshInterval:(display:Off,section:0,value:0),time:(from:'2016-08-18 21:46:58-0600',mode:absolute,to:'2016-08-19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50" t="str">
            <v>N</v>
          </cell>
          <cell r="X150">
            <v>1</v>
          </cell>
          <cell r="Y150">
            <v>4.6699999999999998E-2</v>
          </cell>
          <cell r="Z150">
            <v>23.331600000000002</v>
          </cell>
          <cell r="AA150">
            <v>23.2849</v>
          </cell>
          <cell r="AB150" t="e">
            <v>#N/A</v>
          </cell>
          <cell r="AC150" t="e">
            <v>#N/A</v>
          </cell>
          <cell r="AD150" t="str">
            <v>0237-18</v>
          </cell>
          <cell r="AE150" t="str">
            <v>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 &amp; 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</v>
          </cell>
        </row>
        <row r="151">
          <cell r="A151" t="str">
            <v>238-18</v>
          </cell>
          <cell r="B151">
            <v>4026</v>
          </cell>
          <cell r="C151" t="str">
            <v>DE.1.0.7.0</v>
          </cell>
          <cell r="D151" t="str">
            <v>204:232977</v>
          </cell>
          <cell r="E151">
            <v>42600.99082175926</v>
          </cell>
          <cell r="F151">
            <v>42600.991898148146</v>
          </cell>
          <cell r="G151">
            <v>1</v>
          </cell>
          <cell r="H151" t="str">
            <v>204:158</v>
          </cell>
          <cell r="I151">
            <v>42601.026643518519</v>
          </cell>
          <cell r="J151">
            <v>0</v>
          </cell>
          <cell r="K151" t="str">
            <v>4025/4026</v>
          </cell>
          <cell r="L151" t="str">
            <v>GOLIGHTLY</v>
          </cell>
          <cell r="M151">
            <v>3.4745370372547768E-2</v>
          </cell>
          <cell r="N151">
            <v>50.033333336468786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https://search-rtdc-monitor-bjffxe2xuh6vdkpspy63sjmuny.us-east-1.es.amazonaws.com/_plugin/kibana/#/discover/Steve-Slow-Train-Analysis-(2080s-and-2083s)?_g=(refreshInterval:(display:Off,section:0,value:0),time:(from:'2016-08-18 22:46:47-0600',mode:absolute,to:'2016-08-19 01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51" t="str">
            <v>N</v>
          </cell>
          <cell r="X151">
            <v>1</v>
          </cell>
          <cell r="Y151">
            <v>23.297699999999999</v>
          </cell>
          <cell r="Z151">
            <v>1.5800000000000002E-2</v>
          </cell>
          <cell r="AA151">
            <v>23.2819</v>
          </cell>
          <cell r="AB151" t="e">
            <v>#N/A</v>
          </cell>
          <cell r="AC151" t="e">
            <v>#N/A</v>
          </cell>
          <cell r="AD151" t="str">
            <v>0238-18</v>
          </cell>
          <cell r="AE151" t="str">
    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    </cell>
        </row>
        <row r="152">
          <cell r="A152" t="str">
            <v>239-18</v>
          </cell>
          <cell r="B152">
            <v>4029</v>
          </cell>
          <cell r="C152" t="str">
            <v>DE.1.0.7.0</v>
          </cell>
          <cell r="D152" t="str">
            <v>204:455</v>
          </cell>
          <cell r="E152">
            <v>42600.972673611112</v>
          </cell>
          <cell r="F152">
            <v>42600.974965277775</v>
          </cell>
          <cell r="G152">
            <v>3</v>
          </cell>
          <cell r="H152" t="str">
            <v>204:233280</v>
          </cell>
          <cell r="I152">
            <v>42601.015752314815</v>
          </cell>
          <cell r="J152">
            <v>0</v>
          </cell>
          <cell r="K152" t="str">
            <v>4029/4030</v>
          </cell>
          <cell r="L152" t="str">
            <v>DE LA ROSA</v>
          </cell>
          <cell r="M152">
            <v>4.0787037039990537E-2</v>
          </cell>
          <cell r="N152">
            <v>58.733333337586373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https://search-rtdc-monitor-bjffxe2xuh6vdkpspy63sjmuny.us-east-1.es.amazonaws.com/_plugin/kibana/#/discover/Steve-Slow-Train-Analysis-(2080s-and-2083s)?_g=(refreshInterval:(display:Off,section:0,value:0),time:(from:'2016-08-18 22:20:39-0600',mode:absolute,to:'2016-08-19 01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2" t="str">
            <v>N</v>
          </cell>
          <cell r="X152">
            <v>1</v>
          </cell>
          <cell r="Y152">
            <v>4.5499999999999999E-2</v>
          </cell>
          <cell r="Z152">
            <v>23.327999999999999</v>
          </cell>
          <cell r="AA152">
            <v>23.282499999999999</v>
          </cell>
          <cell r="AB152" t="e">
            <v>#N/A</v>
          </cell>
          <cell r="AC152" t="e">
            <v>#N/A</v>
          </cell>
          <cell r="AD152" t="str">
            <v>0239-18</v>
          </cell>
          <cell r="AE152" t="str">
            <v>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 &amp; 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</v>
          </cell>
        </row>
        <row r="153">
          <cell r="A153" t="str">
            <v>240-18</v>
          </cell>
          <cell r="B153">
            <v>4030</v>
          </cell>
          <cell r="C153" t="str">
            <v>DE.1.0.7.0</v>
          </cell>
          <cell r="D153" t="str">
            <v>204:232955</v>
          </cell>
          <cell r="E153">
            <v>42601.017048611109</v>
          </cell>
          <cell r="F153">
            <v>42601.017777777779</v>
          </cell>
          <cell r="G153">
            <v>1</v>
          </cell>
          <cell r="H153" t="str">
            <v>204:160</v>
          </cell>
          <cell r="I153">
            <v>42601.046666666669</v>
          </cell>
          <cell r="J153">
            <v>0</v>
          </cell>
          <cell r="K153" t="str">
            <v>4029/4030</v>
          </cell>
          <cell r="L153" t="str">
            <v>DE LA ROSA</v>
          </cell>
          <cell r="M153">
            <v>2.8888888889923692E-2</v>
          </cell>
          <cell r="N153">
            <v>41.600000001490116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https://search-rtdc-monitor-bjffxe2xuh6vdkpspy63sjmuny.us-east-1.es.amazonaws.com/_plugin/kibana/#/discover/Steve-Slow-Train-Analysis-(2080s-and-2083s)?_g=(refreshInterval:(display:Off,section:0,value:0),time:(from:'2016-08-18 23:24:33-0600',mode:absolute,to:'2016-08-19 02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3" t="str">
            <v>N</v>
          </cell>
          <cell r="X153">
            <v>1</v>
          </cell>
          <cell r="Y153">
            <v>23.295500000000001</v>
          </cell>
          <cell r="Z153">
            <v>1.6E-2</v>
          </cell>
          <cell r="AA153">
            <v>23.279500000000002</v>
          </cell>
          <cell r="AB153" t="e">
            <v>#N/A</v>
          </cell>
          <cell r="AC153" t="e">
            <v>#N/A</v>
          </cell>
          <cell r="AD153" t="str">
            <v>0240-18</v>
          </cell>
          <cell r="AE153" t="str">
            <v>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 &amp; aws s3 cp s3://rtdc.mdm.uploadarchive/RTDC4030/2016-08-20/ "%USERPROFILE%\AppData\Local\Temp\OnboardLogs"\RTDC4030\2016-08-20 --recursive &amp; "%USERPROFILE%\Documents\GitHub\mrs-test-scripts\Headless Mode &amp; Sideloading\WalkAndUnGZ.bat" "%USERPROFILE%\AppData\Local\Temp\OnboardLogs"\RTDC4030\2016-08-20</v>
          </cell>
        </row>
        <row r="154">
          <cell r="A154" t="str">
            <v>241-18</v>
          </cell>
          <cell r="B154">
            <v>4027</v>
          </cell>
          <cell r="C154" t="str">
            <v>DE.1.0.7.0</v>
          </cell>
          <cell r="D154" t="str">
            <v>204:478</v>
          </cell>
          <cell r="E154">
            <v>42600.996666666666</v>
          </cell>
          <cell r="F154">
            <v>42600.997881944444</v>
          </cell>
          <cell r="G154">
            <v>1</v>
          </cell>
          <cell r="H154" t="str">
            <v>204:233312</v>
          </cell>
          <cell r="I154">
            <v>42601.035810185182</v>
          </cell>
          <cell r="J154">
            <v>0</v>
          </cell>
          <cell r="K154" t="str">
            <v>4027/4028</v>
          </cell>
          <cell r="L154" t="str">
            <v>LEVIN</v>
          </cell>
          <cell r="M154">
            <v>3.792824073752854E-2</v>
          </cell>
          <cell r="N154">
            <v>54.616666662041098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https://search-rtdc-monitor-bjffxe2xuh6vdkpspy63sjmuny.us-east-1.es.amazonaws.com/_plugin/kibana/#/discover/Steve-Slow-Train-Analysis-(2080s-and-2083s)?_g=(refreshInterval:(display:Off,section:0,value:0),time:(from:'2016-08-18 22:55:12-0600',mode:absolute,to:'2016-08-19 01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4" t="str">
            <v>N</v>
          </cell>
          <cell r="X154">
            <v>1</v>
          </cell>
          <cell r="Y154">
            <v>4.7800000000000002E-2</v>
          </cell>
          <cell r="Z154">
            <v>23.331199999999999</v>
          </cell>
          <cell r="AA154">
            <v>23.2834</v>
          </cell>
          <cell r="AB154" t="e">
            <v>#N/A</v>
          </cell>
          <cell r="AC154" t="e">
            <v>#N/A</v>
          </cell>
          <cell r="AD154" t="str">
            <v>0241-18</v>
          </cell>
          <cell r="AE154" t="str">
            <v>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 &amp; 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</v>
          </cell>
        </row>
        <row r="155">
          <cell r="A155" t="str">
            <v>242-18</v>
          </cell>
          <cell r="B155">
            <v>4028</v>
          </cell>
          <cell r="C155" t="str">
            <v>DE.1.0.7.0</v>
          </cell>
          <cell r="D155" t="str">
            <v>204:232969</v>
          </cell>
          <cell r="E155">
            <v>42601.037789351853</v>
          </cell>
          <cell r="F155">
            <v>42601.038553240738</v>
          </cell>
          <cell r="G155">
            <v>1</v>
          </cell>
          <cell r="H155" t="str">
            <v>204:154</v>
          </cell>
          <cell r="I155">
            <v>42601.066689814812</v>
          </cell>
          <cell r="J155">
            <v>0</v>
          </cell>
          <cell r="K155" t="str">
            <v>4027/4028</v>
          </cell>
          <cell r="L155" t="str">
            <v>OUN</v>
          </cell>
          <cell r="M155">
            <v>2.8136574073869269E-2</v>
          </cell>
          <cell r="N155">
            <v>40.516666666371748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https://search-rtdc-monitor-bjffxe2xuh6vdkpspy63sjmuny.us-east-1.es.amazonaws.com/_plugin/kibana/#/discover/Steve-Slow-Train-Analysis-(2080s-and-2083s)?_g=(refreshInterval:(display:Off,section:0,value:0),time:(from:'2016-08-18 23:54:25-0600',mode:absolute,to:'2016-08-19 02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5" t="str">
            <v>N</v>
          </cell>
          <cell r="X155">
            <v>1</v>
          </cell>
          <cell r="Y155">
            <v>23.296900000000001</v>
          </cell>
          <cell r="Z155">
            <v>1.54E-2</v>
          </cell>
          <cell r="AA155">
            <v>23.281500000000001</v>
          </cell>
          <cell r="AB155" t="e">
            <v>#N/A</v>
          </cell>
          <cell r="AC155" t="e">
            <v>#N/A</v>
          </cell>
          <cell r="AD155" t="str">
            <v>0242-18</v>
          </cell>
          <cell r="AE155" t="str">
            <v>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 &amp; aws s3 cp s3://rtdc.mdm.uploadarchive/RTDC4028/2016-08-20/ "%USERPROFILE%\AppData\Local\Temp\OnboardLogs"\RTDC4028\2016-08-20 --recursive &amp; "%USERPROFILE%\Documents\GitHub\mrs-test-scripts\Headless Mode &amp; Sideloading\WalkAndUnGZ.bat" "%USERPROFILE%\AppData\Local\Temp\OnboardLogs"\RTDC4028\2016-08-20</v>
          </cell>
        </row>
        <row r="156">
          <cell r="A156" t="str">
            <v>243-18</v>
          </cell>
          <cell r="B156">
            <v>4007</v>
          </cell>
          <cell r="C156" t="str">
            <v>DE.1.0.7.0</v>
          </cell>
          <cell r="D156" t="str">
            <v>204:497</v>
          </cell>
          <cell r="E156">
            <v>42601.011782407404</v>
          </cell>
          <cell r="F156">
            <v>42601.016435185185</v>
          </cell>
          <cell r="G156">
            <v>6</v>
          </cell>
          <cell r="H156" t="str">
            <v>204:233284</v>
          </cell>
          <cell r="I156">
            <v>42601.057210648149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4.0775462963210884E-2</v>
          </cell>
          <cell r="N156">
            <v>58.716666667023674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56" t="str">
            <v>N</v>
          </cell>
          <cell r="X156">
            <v>1</v>
          </cell>
          <cell r="Y156">
            <v>4.9700000000000001E-2</v>
          </cell>
          <cell r="Z156">
            <v>23.328399999999998</v>
          </cell>
          <cell r="AA156">
            <v>23.278699999999997</v>
          </cell>
          <cell r="AB156" t="e">
            <v>#N/A</v>
          </cell>
          <cell r="AC156" t="e">
            <v>#N/A</v>
          </cell>
          <cell r="AD156" t="str">
            <v>0243-18</v>
          </cell>
          <cell r="AE156" t="str">
    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    </cell>
        </row>
        <row r="157">
          <cell r="A157" t="str">
            <v>244-18</v>
          </cell>
          <cell r="B157">
            <v>4008</v>
          </cell>
          <cell r="C157" t="str">
            <v>DE.1.0.7.0</v>
          </cell>
          <cell r="D157" t="str">
            <v>204:497</v>
          </cell>
          <cell r="E157">
            <v>42601.011782407404</v>
          </cell>
          <cell r="F157">
            <v>42601.059641203705</v>
          </cell>
          <cell r="G157">
            <v>6</v>
          </cell>
          <cell r="H157" t="str">
            <v>204:233284</v>
          </cell>
          <cell r="I157">
            <v>42601.080289351848</v>
          </cell>
          <cell r="J157">
            <v>0</v>
          </cell>
          <cell r="K157" t="str">
            <v>4007/4008</v>
          </cell>
          <cell r="L157" t="str">
            <v>STURGEON</v>
          </cell>
          <cell r="M157">
            <v>2.0648148143664002E-2</v>
          </cell>
          <cell r="P157">
            <v>29.733333326876163</v>
          </cell>
          <cell r="R157" t="str">
            <v>Onboard in-route failure</v>
          </cell>
          <cell r="S157">
            <v>0</v>
          </cell>
          <cell r="T157" t="str">
            <v>Southbound</v>
          </cell>
          <cell r="U157">
            <v>0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https://search-rtdc-monitor-bjffxe2xuh6vdkpspy63sjmuny.us-east-1.es.amazonaws.com/_plugin/kibana/#/discover/Steve-Slow-Train-Analysis-(2080s-and-2083s)?_g=(refreshInterval:(display:Off,section:0,value:0),time:(from:'2016-08-18 23:16:58-0600',mode:absolute,to:'2016-08-19 02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57" t="str">
            <v>N</v>
          </cell>
          <cell r="X157">
            <v>1</v>
          </cell>
          <cell r="Y157">
            <v>4.9700000000000001E-2</v>
          </cell>
          <cell r="Z157">
            <v>23.328399999999998</v>
          </cell>
          <cell r="AA157">
            <v>23.278699999999997</v>
          </cell>
          <cell r="AB157" t="e">
            <v>#N/A</v>
          </cell>
          <cell r="AC157" t="e">
            <v>#N/A</v>
          </cell>
          <cell r="AD157" t="str">
            <v>0244-18</v>
          </cell>
          <cell r="AE157" t="str">
            <v>aws s3 cp s3://rtdc.mdm.uploadarchive/RTDC4008/2016-08-19/ "%USERPROFILE%\AppData\Local\Temp\OnboardLogs"\RTDC4008\2016-08-19 --recursive &amp; "%USERPROFILE%\Documents\GitHub\mrs-test-scripts\Headless Mode &amp; Sideloading\WalkAndUnGZ.bat" "%USERPROFILE%\AppData\Local\Temp\OnboardLogs"\RTDC4008\2016-08-19 &amp; aws s3 cp s3://rtdc.mdm.uploadarchive/RTDC4008/2016-08-20/ "%USERPROFILE%\AppData\Local\Temp\OnboardLogs"\RTDC4008\2016-08-20 --recursive &amp; "%USERPROFILE%\Documents\GitHub\mrs-test-scripts\Headless Mode &amp; Sideloading\WalkAndUnGZ.bat" "%USERPROFILE%\AppData\Local\Temp\OnboardLogs"\RTDC4008\2016-08-20</v>
          </cell>
        </row>
        <row r="158">
          <cell r="A158" t="str">
            <v>800-18</v>
          </cell>
          <cell r="B158">
            <v>4019</v>
          </cell>
          <cell r="C158" t="str">
            <v>DE.1.0.7.0</v>
          </cell>
          <cell r="D158" t="str">
            <v>300:58634</v>
          </cell>
          <cell r="E158">
            <v>42600.212453703702</v>
          </cell>
          <cell r="F158">
            <v>42600.213333333333</v>
          </cell>
          <cell r="G158">
            <v>1</v>
          </cell>
          <cell r="H158" t="str">
            <v>204:796</v>
          </cell>
          <cell r="I158">
            <v>42600.225462962961</v>
          </cell>
          <cell r="J158">
            <v>0</v>
          </cell>
          <cell r="K158" t="str">
            <v>4019/4020</v>
          </cell>
          <cell r="L158" t="str">
            <v>YORK</v>
          </cell>
          <cell r="M158">
            <v>1.2129629627452232E-2</v>
          </cell>
          <cell r="N158">
            <v>17.466666663531214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https://search-rtdc-monitor-bjffxe2xuh6vdkpspy63sjmuny.us-east-1.es.amazonaws.com/_plugin/kibana/#/discover/Steve-Slow-Train-Analysis-(2080s-and-2083s)?_g=(refreshInterval:(display:Off,section:0,value:0),time:(from:'2016-08-18 04:05:56-0600',mode:absolute,to:'2016-08-18 06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8" t="str">
            <v>N</v>
          </cell>
          <cell r="X158">
            <v>556</v>
          </cell>
          <cell r="Y158">
            <v>5.8634000000000004</v>
          </cell>
          <cell r="Z158">
            <v>7.9600000000000004E-2</v>
          </cell>
          <cell r="AA158">
            <v>5.7838000000000003</v>
          </cell>
          <cell r="AB158" t="e">
            <v>#N/A</v>
          </cell>
          <cell r="AC158" t="e">
            <v>#N/A</v>
          </cell>
          <cell r="AD158" t="str">
            <v>0800-18</v>
          </cell>
          <cell r="AE158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59">
          <cell r="A159" t="str">
            <v>801-18</v>
          </cell>
          <cell r="B159">
            <v>4020</v>
          </cell>
          <cell r="C159" t="str">
            <v>DE.1.0.7.0</v>
          </cell>
          <cell r="D159" t="str">
            <v>204:1062</v>
          </cell>
          <cell r="E159">
            <v>42600.227025462962</v>
          </cell>
          <cell r="F159">
            <v>42600.22797453704</v>
          </cell>
          <cell r="G159">
            <v>1</v>
          </cell>
          <cell r="H159" t="str">
            <v>300:58943</v>
          </cell>
          <cell r="I159">
            <v>42600.254618055558</v>
          </cell>
          <cell r="J159">
            <v>0</v>
          </cell>
          <cell r="K159" t="str">
            <v>4019/4020</v>
          </cell>
          <cell r="L159" t="str">
            <v>YORK</v>
          </cell>
          <cell r="M159">
            <v>2.6643518518540077E-2</v>
          </cell>
          <cell r="N159">
            <v>38.366666666697711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https://search-rtdc-monitor-bjffxe2xuh6vdkpspy63sjmuny.us-east-1.es.amazonaws.com/_plugin/kibana/#/discover/Steve-Slow-Train-Analysis-(2080s-and-2083s)?_g=(refreshInterval:(display:Off,section:0,value:0),time:(from:'2016-08-18 04:26:55-0600',mode:absolute,to:'2016-08-18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9" t="str">
            <v>N</v>
          </cell>
          <cell r="X159">
            <v>1</v>
          </cell>
          <cell r="Y159">
            <v>0.1062</v>
          </cell>
          <cell r="Z159">
            <v>5.8943000000000003</v>
          </cell>
          <cell r="AA159">
            <v>5.7881</v>
          </cell>
          <cell r="AB159" t="e">
            <v>#N/A</v>
          </cell>
          <cell r="AC159" t="e">
            <v>#N/A</v>
          </cell>
          <cell r="AD159" t="str">
            <v>0801-18</v>
          </cell>
          <cell r="AE159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0">
          <cell r="A160" t="str">
            <v>802-18</v>
          </cell>
          <cell r="B160">
            <v>4019</v>
          </cell>
          <cell r="C160" t="str">
            <v>DE.1.0.7.0</v>
          </cell>
          <cell r="D160" t="str">
            <v>300:58630</v>
          </cell>
          <cell r="E160">
            <v>42600.255520833336</v>
          </cell>
          <cell r="F160">
            <v>42600.256307870368</v>
          </cell>
          <cell r="G160">
            <v>1</v>
          </cell>
          <cell r="H160" t="str">
            <v>204:764</v>
          </cell>
          <cell r="I160">
            <v>42600.267488425925</v>
          </cell>
          <cell r="J160">
            <v>0</v>
          </cell>
          <cell r="K160" t="str">
            <v>4019/4020</v>
          </cell>
          <cell r="L160" t="str">
            <v>YORK</v>
          </cell>
          <cell r="M160">
            <v>1.1180555557075422E-2</v>
          </cell>
          <cell r="N160">
            <v>16.100000002188608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https://search-rtdc-monitor-bjffxe2xuh6vdkpspy63sjmuny.us-east-1.es.amazonaws.com/_plugin/kibana/#/discover/Steve-Slow-Train-Analysis-(2080s-and-2083s)?_g=(refreshInterval:(display:Off,section:0,value:0),time:(from:'2016-08-18 05:07:57-0600',mode:absolute,to:'2016-08-18 07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0" t="str">
            <v>N</v>
          </cell>
          <cell r="X160">
            <v>1</v>
          </cell>
          <cell r="Y160">
            <v>5.8630000000000004</v>
          </cell>
          <cell r="Z160">
            <v>7.6399999999999996E-2</v>
          </cell>
          <cell r="AA160">
            <v>5.7866000000000009</v>
          </cell>
          <cell r="AB160" t="e">
            <v>#N/A</v>
          </cell>
          <cell r="AC160" t="e">
            <v>#N/A</v>
          </cell>
          <cell r="AD160" t="str">
            <v>0802-18</v>
          </cell>
          <cell r="AE160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1">
          <cell r="A161" t="str">
            <v>803-18</v>
          </cell>
          <cell r="B161">
            <v>4002</v>
          </cell>
          <cell r="C161" t="str">
            <v>DE.1.0.7.0</v>
          </cell>
          <cell r="D161" t="str">
            <v>204:399</v>
          </cell>
          <cell r="E161">
            <v>42600.254374999997</v>
          </cell>
          <cell r="F161">
            <v>42600.25577546296</v>
          </cell>
          <cell r="G161">
            <v>2</v>
          </cell>
          <cell r="H161" t="str">
            <v>300:58975</v>
          </cell>
          <cell r="I161">
            <v>42600.275150462963</v>
          </cell>
          <cell r="J161">
            <v>0</v>
          </cell>
          <cell r="K161" t="str">
            <v>4001/4002</v>
          </cell>
          <cell r="L161" t="str">
            <v>SWANSON</v>
          </cell>
          <cell r="M161">
            <v>1.937500000349246E-2</v>
          </cell>
          <cell r="N161">
            <v>27.900000005029142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https://search-rtdc-monitor-bjffxe2xuh6vdkpspy63sjmuny.us-east-1.es.amazonaws.com/_plugin/kibana/#/discover/Steve-Slow-Train-Analysis-(2080s-and-2083s)?_g=(refreshInterval:(display:Off,section:0,value:0),time:(from:'2016-08-18 05:06:18-0600',mode:absolute,to:'2016-08-18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1" t="str">
            <v>N</v>
          </cell>
          <cell r="X161">
            <v>1</v>
          </cell>
          <cell r="Y161">
            <v>3.9899999999999998E-2</v>
          </cell>
          <cell r="Z161">
            <v>5.8975</v>
          </cell>
          <cell r="AA161">
            <v>5.8575999999999997</v>
          </cell>
          <cell r="AB161" t="e">
            <v>#N/A</v>
          </cell>
          <cell r="AC161" t="e">
            <v>#N/A</v>
          </cell>
          <cell r="AD161" t="str">
            <v>0803-18</v>
          </cell>
          <cell r="AE16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62">
          <cell r="A162" t="str">
            <v>804-18</v>
          </cell>
          <cell r="B162">
            <v>4001</v>
          </cell>
          <cell r="C162" t="str">
            <v>DE.1.0.7.0</v>
          </cell>
          <cell r="D162" t="str">
            <v>300:58666</v>
          </cell>
          <cell r="E162">
            <v>42600.276828703703</v>
          </cell>
          <cell r="F162">
            <v>42600.278252314813</v>
          </cell>
          <cell r="G162">
            <v>2</v>
          </cell>
          <cell r="H162" t="str">
            <v>204:656</v>
          </cell>
          <cell r="I162">
            <v>42600.288981481484</v>
          </cell>
          <cell r="J162">
            <v>0</v>
          </cell>
          <cell r="K162" t="str">
            <v>4001/4002</v>
          </cell>
          <cell r="L162" t="str">
            <v>SWANSON</v>
          </cell>
          <cell r="M162">
            <v>1.0729166671808343E-2</v>
          </cell>
          <cell r="N162">
            <v>15.450000007404014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https://search-rtdc-monitor-bjffxe2xuh6vdkpspy63sjmuny.us-east-1.es.amazonaws.com/_plugin/kibana/#/discover/Steve-Slow-Train-Analysis-(2080s-and-2083s)?_g=(refreshInterval:(display:Off,section:0,value:0),time:(from:'2016-08-18 05:38:38-0600',mode:absolute,to:'2016-08-18 07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2" t="str">
            <v>N</v>
          </cell>
          <cell r="X162">
            <v>1</v>
          </cell>
          <cell r="Y162">
            <v>5.8666</v>
          </cell>
          <cell r="Z162">
            <v>6.5600000000000006E-2</v>
          </cell>
          <cell r="AA162">
            <v>5.8010000000000002</v>
          </cell>
          <cell r="AB162" t="e">
            <v>#N/A</v>
          </cell>
          <cell r="AC162" t="e">
            <v>#N/A</v>
          </cell>
          <cell r="AD162" t="str">
            <v>0804-18</v>
          </cell>
          <cell r="AE16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63">
          <cell r="A163" t="str">
            <v>805-18</v>
          </cell>
          <cell r="B163">
            <v>4020</v>
          </cell>
          <cell r="C163" t="str">
            <v>DE.1.0.7.0</v>
          </cell>
          <cell r="D163" t="str">
            <v>204:1069</v>
          </cell>
          <cell r="E163">
            <v>42600.269108796296</v>
          </cell>
          <cell r="F163">
            <v>42600.270127314812</v>
          </cell>
          <cell r="G163">
            <v>1</v>
          </cell>
          <cell r="H163" t="str">
            <v>300:58954</v>
          </cell>
          <cell r="I163">
            <v>42600.296990740739</v>
          </cell>
          <cell r="J163">
            <v>0</v>
          </cell>
          <cell r="K163" t="str">
            <v>4019/4020</v>
          </cell>
          <cell r="L163" t="str">
            <v>YORK</v>
          </cell>
          <cell r="M163">
            <v>2.6863425926421769E-2</v>
          </cell>
          <cell r="N163">
            <v>38.683333334047347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https://search-rtdc-monitor-bjffxe2xuh6vdkpspy63sjmuny.us-east-1.es.amazonaws.com/_plugin/kibana/#/discover/Steve-Slow-Train-Analysis-(2080s-and-2083s)?_g=(refreshInterval:(display:Off,section:0,value:0),time:(from:'2016-08-18 05:27:31-0600',mode:absolute,to:'2016-08-18 08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63" t="str">
            <v>N</v>
          </cell>
          <cell r="X163">
            <v>1</v>
          </cell>
          <cell r="Y163">
            <v>0.1069</v>
          </cell>
          <cell r="Z163">
            <v>5.8954000000000004</v>
          </cell>
          <cell r="AA163">
            <v>5.7885000000000009</v>
          </cell>
          <cell r="AB163" t="e">
            <v>#N/A</v>
          </cell>
          <cell r="AC163" t="e">
            <v>#N/A</v>
          </cell>
          <cell r="AD163" t="str">
            <v>0805-18</v>
          </cell>
          <cell r="AE163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4">
          <cell r="A164" t="str">
            <v>806-18</v>
          </cell>
          <cell r="B164">
            <v>4019</v>
          </cell>
          <cell r="C164" t="str">
            <v>DE.1.0.7.0</v>
          </cell>
          <cell r="D164" t="str">
            <v>300:58643</v>
          </cell>
          <cell r="E164">
            <v>42600.298136574071</v>
          </cell>
          <cell r="F164">
            <v>42600.299618055556</v>
          </cell>
          <cell r="G164">
            <v>2</v>
          </cell>
          <cell r="H164" t="str">
            <v>204:734</v>
          </cell>
          <cell r="I164">
            <v>42600.309884259259</v>
          </cell>
          <cell r="J164">
            <v>0</v>
          </cell>
          <cell r="K164" t="str">
            <v>4019/4020</v>
          </cell>
          <cell r="L164" t="str">
            <v>YORK</v>
          </cell>
          <cell r="M164">
            <v>1.0266203702485655E-2</v>
          </cell>
          <cell r="N164">
            <v>14.783333331579342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https://search-rtdc-monitor-bjffxe2xuh6vdkpspy63sjmuny.us-east-1.es.amazonaws.com/_plugin/kibana/#/discover/Steve-Slow-Train-Analysis-(2080s-and-2083s)?_g=(refreshInterval:(display:Off,section:0,value:0),time:(from:'2016-08-18 06:09:19-0600',mode:absolute,to:'2016-08-18 08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4" t="str">
            <v>N</v>
          </cell>
          <cell r="X164">
            <v>1</v>
          </cell>
          <cell r="Y164">
            <v>5.8643000000000001</v>
          </cell>
          <cell r="Z164">
            <v>7.3400000000000007E-2</v>
          </cell>
          <cell r="AA164">
            <v>5.7908999999999997</v>
          </cell>
          <cell r="AB164" t="e">
            <v>#N/A</v>
          </cell>
          <cell r="AC164" t="e">
            <v>#N/A</v>
          </cell>
          <cell r="AD164" t="str">
            <v>0806-18</v>
          </cell>
          <cell r="AE16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5">
          <cell r="A165" t="str">
            <v>807-18</v>
          </cell>
          <cell r="B165">
            <v>4002</v>
          </cell>
          <cell r="C165" t="str">
            <v>DE.1.0.7.0</v>
          </cell>
          <cell r="D165" t="str">
            <v>204:955</v>
          </cell>
          <cell r="E165">
            <v>42600.30296296296</v>
          </cell>
          <cell r="F165">
            <v>42600.304039351853</v>
          </cell>
          <cell r="G165">
            <v>1</v>
          </cell>
          <cell r="H165" t="str">
            <v>300:58911</v>
          </cell>
          <cell r="I165">
            <v>42600.316516203704</v>
          </cell>
          <cell r="J165">
            <v>0</v>
          </cell>
          <cell r="K165" t="str">
            <v>4001/4002</v>
          </cell>
          <cell r="L165" t="str">
            <v>GEBRETEKLE</v>
          </cell>
          <cell r="M165">
            <v>1.247685185080627E-2</v>
          </cell>
          <cell r="N165">
            <v>17.966666665161029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https://search-rtdc-monitor-bjffxe2xuh6vdkpspy63sjmuny.us-east-1.es.amazonaws.com/_plugin/kibana/#/discover/Steve-Slow-Train-Analysis-(2080s-and-2083s)?_g=(refreshInterval:(display:Off,section:0,value:0),time:(from:'2016-08-18 06:16:16-0600',mode:absolute,to:'2016-08-18 08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5" t="str">
            <v>N</v>
          </cell>
          <cell r="X165">
            <v>1</v>
          </cell>
          <cell r="Y165">
            <v>9.5500000000000002E-2</v>
          </cell>
          <cell r="Z165">
            <v>5.8910999999999998</v>
          </cell>
          <cell r="AA165">
            <v>5.7955999999999994</v>
          </cell>
          <cell r="AB165" t="e">
            <v>#N/A</v>
          </cell>
          <cell r="AC165" t="e">
            <v>#N/A</v>
          </cell>
          <cell r="AD165" t="str">
            <v>0807-18</v>
          </cell>
          <cell r="AE16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66">
          <cell r="A166" t="str">
            <v>808-18</v>
          </cell>
          <cell r="B166">
            <v>4001</v>
          </cell>
          <cell r="C166" t="str">
            <v>DE.1.0.7.0</v>
          </cell>
          <cell r="D166" t="str">
            <v>300:58594</v>
          </cell>
          <cell r="E166">
            <v>42600.318078703705</v>
          </cell>
          <cell r="F166">
            <v>42600.319108796299</v>
          </cell>
          <cell r="G166">
            <v>1</v>
          </cell>
          <cell r="H166" t="str">
            <v>204:715</v>
          </cell>
          <cell r="I166">
            <v>42600.330335648148</v>
          </cell>
          <cell r="J166">
            <v>0</v>
          </cell>
          <cell r="K166" t="str">
            <v>4001/4002</v>
          </cell>
          <cell r="L166" t="str">
            <v>GEBRETEKLE</v>
          </cell>
          <cell r="M166">
            <v>1.1226851849642117E-2</v>
          </cell>
          <cell r="N166">
            <v>16.166666663484648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https://search-rtdc-monitor-bjffxe2xuh6vdkpspy63sjmuny.us-east-1.es.amazonaws.com/_plugin/kibana/#/discover/Steve-Slow-Train-Analysis-(2080s-and-2083s)?_g=(refreshInterval:(display:Off,section:0,value:0),time:(from:'2016-08-18 06:38:02-0600',mode:absolute,to:'2016-08-18 08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6" t="str">
            <v>N</v>
          </cell>
          <cell r="X166">
            <v>1</v>
          </cell>
          <cell r="Y166">
            <v>5.8593999999999999</v>
          </cell>
          <cell r="Z166">
            <v>7.1499999999999994E-2</v>
          </cell>
          <cell r="AA166">
            <v>5.7878999999999996</v>
          </cell>
          <cell r="AB166" t="e">
            <v>#N/A</v>
          </cell>
          <cell r="AC166" t="e">
            <v>#N/A</v>
          </cell>
          <cell r="AD166" t="str">
            <v>0808-18</v>
          </cell>
          <cell r="AE16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67">
          <cell r="A167" t="str">
            <v>809-18</v>
          </cell>
          <cell r="B167">
            <v>4020</v>
          </cell>
          <cell r="C167" t="str">
            <v>DE.1.0.7.0</v>
          </cell>
          <cell r="D167" t="str">
            <v>204:1025</v>
          </cell>
          <cell r="E167">
            <v>42600.314212962963</v>
          </cell>
          <cell r="F167">
            <v>42600.315578703703</v>
          </cell>
          <cell r="G167">
            <v>1</v>
          </cell>
          <cell r="H167" t="str">
            <v>300:58950</v>
          </cell>
          <cell r="I167">
            <v>42600.336168981485</v>
          </cell>
          <cell r="J167">
            <v>0</v>
          </cell>
          <cell r="K167" t="str">
            <v>4019/4020</v>
          </cell>
          <cell r="L167" t="str">
            <v>YORK</v>
          </cell>
          <cell r="M167">
            <v>2.0590277781593613E-2</v>
          </cell>
          <cell r="N167">
            <v>29.650000005494803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https://search-rtdc-monitor-bjffxe2xuh6vdkpspy63sjmuny.us-east-1.es.amazonaws.com/_plugin/kibana/#/discover/Steve-Slow-Train-Analysis-(2080s-and-2083s)?_g=(refreshInterval:(display:Off,section:0,value:0),time:(from:'2016-08-18 06:32:28-0600',mode:absolute,to:'2016-08-18 09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67" t="str">
            <v>N</v>
          </cell>
          <cell r="X167">
            <v>1</v>
          </cell>
          <cell r="Y167">
            <v>0.10249999999999999</v>
          </cell>
          <cell r="Z167">
            <v>5.8949999999999996</v>
          </cell>
          <cell r="AA167">
            <v>5.7924999999999995</v>
          </cell>
          <cell r="AB167" t="e">
            <v>#N/A</v>
          </cell>
          <cell r="AC167" t="e">
            <v>#N/A</v>
          </cell>
          <cell r="AD167" t="str">
            <v>0809-18</v>
          </cell>
          <cell r="AE167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68">
          <cell r="A168" t="str">
            <v>810-18</v>
          </cell>
          <cell r="B168">
            <v>4019</v>
          </cell>
          <cell r="C168" t="str">
            <v>DE.1.0.7.0</v>
          </cell>
          <cell r="D168" t="str">
            <v>300:58628</v>
          </cell>
          <cell r="E168">
            <v>42600.336967592593</v>
          </cell>
          <cell r="F168">
            <v>42600.337789351855</v>
          </cell>
          <cell r="G168">
            <v>1</v>
          </cell>
          <cell r="H168" t="str">
            <v>204:824</v>
          </cell>
          <cell r="I168">
            <v>42600.350393518522</v>
          </cell>
          <cell r="J168">
            <v>0</v>
          </cell>
          <cell r="K168" t="str">
            <v>4019/4020</v>
          </cell>
          <cell r="L168" t="str">
            <v>YORK</v>
          </cell>
          <cell r="M168">
            <v>1.2604166666278616E-2</v>
          </cell>
          <cell r="N168">
            <v>18.149999999441206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https://search-rtdc-monitor-bjffxe2xuh6vdkpspy63sjmuny.us-east-1.es.amazonaws.com/_plugin/kibana/#/discover/Steve-Slow-Train-Analysis-(2080s-and-2083s)?_g=(refreshInterval:(display:Off,section:0,value:0),time:(from:'2016-08-18 07:05:14-0600',mode:absolute,to:'2016-08-18 09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68" t="str">
            <v>N</v>
          </cell>
          <cell r="X168">
            <v>1</v>
          </cell>
          <cell r="Y168">
            <v>5.8628</v>
          </cell>
          <cell r="Z168">
            <v>8.2400000000000001E-2</v>
          </cell>
          <cell r="AA168">
            <v>5.7804000000000002</v>
          </cell>
          <cell r="AB168" t="e">
            <v>#N/A</v>
          </cell>
          <cell r="AC168" t="e">
            <v>#N/A</v>
          </cell>
          <cell r="AD168" t="str">
            <v>0810-18</v>
          </cell>
          <cell r="AE168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69">
          <cell r="A169" t="str">
            <v>811-18</v>
          </cell>
          <cell r="B169">
            <v>4002</v>
          </cell>
          <cell r="C169" t="str">
            <v>DE.1.0.7.0</v>
          </cell>
          <cell r="D169" t="str">
            <v>204:1000</v>
          </cell>
          <cell r="E169">
            <v>42600.345486111109</v>
          </cell>
          <cell r="F169">
            <v>42600.346412037034</v>
          </cell>
          <cell r="G169">
            <v>1</v>
          </cell>
          <cell r="H169" t="str">
            <v>300:58897</v>
          </cell>
          <cell r="I169">
            <v>42600.357916666668</v>
          </cell>
          <cell r="J169">
            <v>0</v>
          </cell>
          <cell r="K169" t="str">
            <v>4001/4002</v>
          </cell>
          <cell r="L169" t="str">
            <v>GEBRETEKLE</v>
          </cell>
          <cell r="M169">
            <v>1.1504629634146113E-2</v>
          </cell>
          <cell r="N169">
            <v>16.566666673170403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https://search-rtdc-monitor-bjffxe2xuh6vdkpspy63sjmuny.us-east-1.es.amazonaws.com/_plugin/kibana/#/discover/Steve-Slow-Train-Analysis-(2080s-and-2083s)?_g=(refreshInterval:(display:Off,section:0,value:0),time:(from:'2016-08-18 07:17:30-0600',mode:absolute,to:'2016-08-18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69" t="str">
            <v>N</v>
          </cell>
          <cell r="X169">
            <v>1</v>
          </cell>
          <cell r="Y169">
            <v>0.1</v>
          </cell>
          <cell r="Z169">
            <v>5.8897000000000004</v>
          </cell>
          <cell r="AA169">
            <v>5.7897000000000007</v>
          </cell>
          <cell r="AB169" t="e">
            <v>#N/A</v>
          </cell>
          <cell r="AC169" t="e">
            <v>#N/A</v>
          </cell>
          <cell r="AD169" t="str">
            <v>0811-18</v>
          </cell>
          <cell r="AE16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0">
          <cell r="A170" t="str">
            <v>812-18</v>
          </cell>
          <cell r="B170">
            <v>4001</v>
          </cell>
          <cell r="C170" t="str">
            <v>DE.1.0.7.0</v>
          </cell>
          <cell r="D170" t="str">
            <v>300:58572</v>
          </cell>
          <cell r="E170">
            <v>42600.358877314815</v>
          </cell>
          <cell r="F170">
            <v>42600.359826388885</v>
          </cell>
          <cell r="G170">
            <v>1</v>
          </cell>
          <cell r="H170" t="str">
            <v>204:682</v>
          </cell>
          <cell r="I170">
            <v>42600.373668981483</v>
          </cell>
          <cell r="J170">
            <v>0</v>
          </cell>
          <cell r="K170" t="str">
            <v>4001/4002</v>
          </cell>
          <cell r="L170" t="str">
            <v>GEBRETEKLE</v>
          </cell>
          <cell r="M170">
            <v>1.3842592597939074E-2</v>
          </cell>
          <cell r="N170">
            <v>19.933333341032267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https://search-rtdc-monitor-bjffxe2xuh6vdkpspy63sjmuny.us-east-1.es.amazonaws.com/_plugin/kibana/#/discover/Steve-Slow-Train-Analysis-(2080s-and-2083s)?_g=(refreshInterval:(display:Off,section:0,value:0),time:(from:'2016-08-18 07:36:47-0600',mode:absolute,to:'2016-08-18 09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0" t="str">
            <v>N</v>
          </cell>
          <cell r="X170">
            <v>1</v>
          </cell>
          <cell r="Y170">
            <v>5.8571999999999997</v>
          </cell>
          <cell r="Z170">
            <v>6.8199999999999997E-2</v>
          </cell>
          <cell r="AA170">
            <v>5.7889999999999997</v>
          </cell>
          <cell r="AB170" t="e">
            <v>#N/A</v>
          </cell>
          <cell r="AC170" t="e">
            <v>#N/A</v>
          </cell>
          <cell r="AD170" t="str">
            <v>0812-18</v>
          </cell>
          <cell r="AE17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1">
          <cell r="A171" t="str">
            <v>813-18</v>
          </cell>
          <cell r="B171">
            <v>4002</v>
          </cell>
          <cell r="C171" t="str">
            <v>DE.1.0.7.0</v>
          </cell>
          <cell r="D171" t="str">
            <v>204:983</v>
          </cell>
          <cell r="E171">
            <v>42600.38853009259</v>
          </cell>
          <cell r="F171">
            <v>42600.389687499999</v>
          </cell>
          <cell r="G171">
            <v>1</v>
          </cell>
          <cell r="H171" t="str">
            <v>300:58888</v>
          </cell>
          <cell r="I171">
            <v>42600.399421296293</v>
          </cell>
          <cell r="J171">
            <v>0</v>
          </cell>
          <cell r="K171" t="str">
            <v>4001/4002</v>
          </cell>
          <cell r="L171" t="str">
            <v>GEBRETEKLE</v>
          </cell>
          <cell r="M171">
            <v>9.7337962943129241E-3</v>
          </cell>
          <cell r="N171">
            <v>14.016666663810611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https://search-rtdc-monitor-bjffxe2xuh6vdkpspy63sjmuny.us-east-1.es.amazonaws.com/_plugin/kibana/#/discover/Steve-Slow-Train-Analysis-(2080s-and-2083s)?_g=(refreshInterval:(display:Off,section:0,value:0),time:(from:'2016-08-18 08:19:29-0600',mode:absolute,to:'2016-08-18 10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1" t="str">
            <v>N</v>
          </cell>
          <cell r="X171">
            <v>1</v>
          </cell>
          <cell r="Y171">
            <v>9.8299999999999998E-2</v>
          </cell>
          <cell r="Z171">
            <v>5.8887999999999998</v>
          </cell>
          <cell r="AA171">
            <v>5.7904999999999998</v>
          </cell>
          <cell r="AB171" t="e">
            <v>#N/A</v>
          </cell>
          <cell r="AC171" t="e">
            <v>#N/A</v>
          </cell>
          <cell r="AD171" t="str">
            <v>0813-18</v>
          </cell>
          <cell r="AE17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2">
          <cell r="A172" t="str">
            <v>814-18</v>
          </cell>
          <cell r="B172">
            <v>4001</v>
          </cell>
          <cell r="C172" t="str">
            <v>DE.1.0.7.0</v>
          </cell>
          <cell r="D172" t="str">
            <v>300:58572</v>
          </cell>
          <cell r="E172">
            <v>42600.40121527778</v>
          </cell>
          <cell r="F172">
            <v>42600.402777777781</v>
          </cell>
          <cell r="G172">
            <v>2</v>
          </cell>
          <cell r="H172" t="str">
            <v>204:698</v>
          </cell>
          <cell r="I172">
            <v>42600.415625000001</v>
          </cell>
          <cell r="J172">
            <v>0</v>
          </cell>
          <cell r="K172" t="str">
            <v>4001/4002</v>
          </cell>
          <cell r="L172" t="str">
            <v>GEBRETEKLE</v>
          </cell>
          <cell r="M172">
            <v>1.2847222220443655E-2</v>
          </cell>
          <cell r="N172">
            <v>18.499999997438863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https://search-rtdc-monitor-bjffxe2xuh6vdkpspy63sjmuny.us-east-1.es.amazonaws.com/_plugin/kibana/#/discover/Steve-Slow-Train-Analysis-(2080s-and-2083s)?_g=(refreshInterval:(display:Off,section:0,value:0),time:(from:'2016-08-18 08:37:45-0600',mode:absolute,to:'2016-08-18 10:58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2" t="str">
            <v>N</v>
          </cell>
          <cell r="X172">
            <v>1</v>
          </cell>
          <cell r="Y172">
            <v>5.8571999999999997</v>
          </cell>
          <cell r="Z172">
            <v>6.9800000000000001E-2</v>
          </cell>
          <cell r="AA172">
            <v>5.7873999999999999</v>
          </cell>
          <cell r="AB172" t="e">
            <v>#N/A</v>
          </cell>
          <cell r="AC172" t="e">
            <v>#N/A</v>
          </cell>
          <cell r="AD172" t="str">
            <v>0814-18</v>
          </cell>
          <cell r="AE17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3">
          <cell r="A173" t="str">
            <v>815-18</v>
          </cell>
          <cell r="B173">
            <v>4002</v>
          </cell>
          <cell r="C173" t="str">
            <v>DE.1.0.7.0</v>
          </cell>
          <cell r="D173" t="str">
            <v>204:972</v>
          </cell>
          <cell r="E173">
            <v>42600.428622685184</v>
          </cell>
          <cell r="F173">
            <v>42600.429571759261</v>
          </cell>
          <cell r="G173">
            <v>1</v>
          </cell>
          <cell r="H173" t="str">
            <v>300:58965</v>
          </cell>
          <cell r="I173">
            <v>42600.440879629627</v>
          </cell>
          <cell r="J173">
            <v>0</v>
          </cell>
          <cell r="K173" t="str">
            <v>4001/4002</v>
          </cell>
          <cell r="L173" t="str">
            <v>GEBRETEKLE</v>
          </cell>
          <cell r="M173">
            <v>1.130787036527181E-2</v>
          </cell>
          <cell r="N173">
            <v>16.283333325991407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https://search-rtdc-monitor-bjffxe2xuh6vdkpspy63sjmuny.us-east-1.es.amazonaws.com/_plugin/kibana/#/discover/Steve-Slow-Train-Analysis-(2080s-and-2083s)?_g=(refreshInterval:(display:Off,section:0,value:0),time:(from:'2016-08-18 09:17:13-0600',mode:absolute,to:'2016-08-18 11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3" t="str">
            <v>N</v>
          </cell>
          <cell r="X173">
            <v>1</v>
          </cell>
          <cell r="Y173">
            <v>9.7199999999999995E-2</v>
          </cell>
          <cell r="Z173">
            <v>5.8964999999999996</v>
          </cell>
          <cell r="AA173">
            <v>5.7992999999999997</v>
          </cell>
          <cell r="AB173" t="e">
            <v>#N/A</v>
          </cell>
          <cell r="AC173" t="e">
            <v>#N/A</v>
          </cell>
          <cell r="AD173" t="str">
            <v>0815-18</v>
          </cell>
          <cell r="AE17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4">
          <cell r="A174" t="str">
            <v>816-18</v>
          </cell>
          <cell r="B174">
            <v>4001</v>
          </cell>
          <cell r="C174" t="str">
            <v>DE.1.0.7.0</v>
          </cell>
          <cell r="D174" t="str">
            <v>300:58653</v>
          </cell>
          <cell r="E174">
            <v>42600.44189814815</v>
          </cell>
          <cell r="F174">
            <v>42600.444108796299</v>
          </cell>
          <cell r="G174">
            <v>3</v>
          </cell>
          <cell r="H174" t="str">
            <v>204:684</v>
          </cell>
          <cell r="I174">
            <v>42600.454861111109</v>
          </cell>
          <cell r="J174">
            <v>0</v>
          </cell>
          <cell r="K174" t="str">
            <v>4001/4002</v>
          </cell>
          <cell r="L174" t="str">
            <v>GEBRETEKLE</v>
          </cell>
          <cell r="M174">
            <v>1.0752314810815733E-2</v>
          </cell>
          <cell r="N174">
            <v>15.483333327574655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https://search-rtdc-monitor-bjffxe2xuh6vdkpspy63sjmuny.us-east-1.es.amazonaws.com/_plugin/kibana/#/discover/Steve-Slow-Train-Analysis-(2080s-and-2083s)?_g=(refreshInterval:(display:Off,section:0,value:0),time:(from:'2016-08-18 09:36:20-0600',mode:absolute,to:'2016-08-18 11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4" t="str">
            <v>N</v>
          </cell>
          <cell r="X174">
            <v>1</v>
          </cell>
          <cell r="Y174">
            <v>5.8653000000000004</v>
          </cell>
          <cell r="Z174">
            <v>6.8400000000000002E-2</v>
          </cell>
          <cell r="AA174">
            <v>5.7969000000000008</v>
          </cell>
          <cell r="AB174" t="e">
            <v>#N/A</v>
          </cell>
          <cell r="AC174" t="e">
            <v>#N/A</v>
          </cell>
          <cell r="AD174" t="str">
            <v>0816-18</v>
          </cell>
          <cell r="AE174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5">
          <cell r="A175" t="str">
            <v>817-18</v>
          </cell>
          <cell r="B175">
            <v>4002</v>
          </cell>
          <cell r="C175" t="str">
            <v>DE.1.0.7.0</v>
          </cell>
          <cell r="D175" t="str">
            <v>204:992</v>
          </cell>
          <cell r="E175">
            <v>42600.471956018519</v>
          </cell>
          <cell r="F175">
            <v>42600.473379629628</v>
          </cell>
          <cell r="G175">
            <v>2</v>
          </cell>
          <cell r="H175" t="str">
            <v>300:59014</v>
          </cell>
          <cell r="I175">
            <v>42600.484953703701</v>
          </cell>
          <cell r="J175">
            <v>0</v>
          </cell>
          <cell r="K175" t="str">
            <v>4001/4002</v>
          </cell>
          <cell r="L175" t="str">
            <v>HAITHCOX</v>
          </cell>
          <cell r="M175">
            <v>1.1574074072996154E-2</v>
          </cell>
          <cell r="N175">
            <v>16.666666665114462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https://search-rtdc-monitor-bjffxe2xuh6vdkpspy63sjmuny.us-east-1.es.amazonaws.com/_plugin/kibana/#/discover/Steve-Slow-Train-Analysis-(2080s-and-2083s)?_g=(refreshInterval:(display:Off,section:0,value:0),time:(from:'2016-08-18 10:19:37-0600',mode:absolute,to:'2016-08-18 12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5" t="str">
            <v>N</v>
          </cell>
          <cell r="X175">
            <v>1</v>
          </cell>
          <cell r="Y175">
            <v>9.9199999999999997E-2</v>
          </cell>
          <cell r="Z175">
            <v>5.9013999999999998</v>
          </cell>
          <cell r="AA175">
            <v>5.8022</v>
          </cell>
          <cell r="AB175" t="e">
            <v>#N/A</v>
          </cell>
          <cell r="AC175" t="e">
            <v>#N/A</v>
          </cell>
          <cell r="AD175" t="str">
            <v>0817-18</v>
          </cell>
          <cell r="AE17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6">
          <cell r="A176" t="str">
            <v>818-18</v>
          </cell>
          <cell r="B176">
            <v>4001</v>
          </cell>
          <cell r="C176" t="str">
            <v>DE.1.0.7.0</v>
          </cell>
          <cell r="D176" t="str">
            <v>300:58696</v>
          </cell>
          <cell r="E176">
            <v>42600.486504629633</v>
          </cell>
          <cell r="F176">
            <v>42600.487696759257</v>
          </cell>
          <cell r="G176">
            <v>1</v>
          </cell>
          <cell r="H176" t="str">
            <v>204:713</v>
          </cell>
          <cell r="I176">
            <v>42600.498391203706</v>
          </cell>
          <cell r="J176">
            <v>0</v>
          </cell>
          <cell r="K176" t="str">
            <v>4001/4002</v>
          </cell>
          <cell r="L176" t="str">
            <v>HAITHCOX</v>
          </cell>
          <cell r="M176">
            <v>1.0694444448745344E-2</v>
          </cell>
          <cell r="N176">
            <v>15.400000006193295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https://search-rtdc-monitor-bjffxe2xuh6vdkpspy63sjmuny.us-east-1.es.amazonaws.com/_plugin/kibana/#/discover/Steve-Slow-Train-Analysis-(2080s-and-2083s)?_g=(refreshInterval:(display:Off,section:0,value:0),time:(from:'2016-08-18 10:40:34-0600',mode:absolute,to:'2016-08-18 12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6" t="str">
            <v>N</v>
          </cell>
          <cell r="X176">
            <v>1</v>
          </cell>
          <cell r="Y176">
            <v>5.8696000000000002</v>
          </cell>
          <cell r="Z176">
            <v>7.1300000000000002E-2</v>
          </cell>
          <cell r="AA176">
            <v>5.7983000000000002</v>
          </cell>
          <cell r="AB176" t="e">
            <v>#N/A</v>
          </cell>
          <cell r="AC176" t="e">
            <v>#N/A</v>
          </cell>
          <cell r="AD176" t="str">
            <v>0818-18</v>
          </cell>
          <cell r="AE17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7">
          <cell r="A177" t="str">
            <v>819-18</v>
          </cell>
          <cell r="B177">
            <v>4002</v>
          </cell>
          <cell r="C177" t="str">
            <v>DE.1.0.7.0</v>
          </cell>
          <cell r="D177" t="str">
            <v>204:1007</v>
          </cell>
          <cell r="E177">
            <v>42600.511932870373</v>
          </cell>
          <cell r="F177">
            <v>42600.51321759259</v>
          </cell>
          <cell r="G177">
            <v>1</v>
          </cell>
          <cell r="H177" t="str">
            <v>300:58952</v>
          </cell>
          <cell r="I177">
            <v>42600.524363425924</v>
          </cell>
          <cell r="J177">
            <v>0</v>
          </cell>
          <cell r="K177" t="str">
            <v>4001/4002</v>
          </cell>
          <cell r="L177" t="str">
            <v>GEBRETEKLE</v>
          </cell>
          <cell r="M177">
            <v>1.1145833334012423E-2</v>
          </cell>
          <cell r="N177">
            <v>16.050000000977889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https://search-rtdc-monitor-bjffxe2xuh6vdkpspy63sjmuny.us-east-1.es.amazonaws.com/_plugin/kibana/#/discover/Steve-Slow-Train-Analysis-(2080s-and-2083s)?_g=(refreshInterval:(display:Off,section:0,value:0),time:(from:'2016-08-18 11:17:11-0600',mode:absolute,to:'2016-08-18 13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7" t="str">
            <v>N</v>
          </cell>
          <cell r="X177">
            <v>1</v>
          </cell>
          <cell r="Y177">
            <v>0.1007</v>
          </cell>
          <cell r="Z177">
            <v>5.8952</v>
          </cell>
          <cell r="AA177">
            <v>5.7945000000000002</v>
          </cell>
          <cell r="AB177" t="e">
            <v>#N/A</v>
          </cell>
          <cell r="AC177" t="e">
            <v>#N/A</v>
          </cell>
          <cell r="AD177" t="str">
            <v>0819-18</v>
          </cell>
          <cell r="AE177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78">
          <cell r="A178" t="str">
            <v>820-18</v>
          </cell>
          <cell r="B178">
            <v>4001</v>
          </cell>
          <cell r="C178" t="str">
            <v>DE.1.0.7.0</v>
          </cell>
          <cell r="D178" t="str">
            <v>300:58653</v>
          </cell>
          <cell r="E178">
            <v>42600.52584490741</v>
          </cell>
          <cell r="F178">
            <v>42600.526886574073</v>
          </cell>
          <cell r="G178">
            <v>1</v>
          </cell>
          <cell r="H178" t="str">
            <v>204:705</v>
          </cell>
          <cell r="I178">
            <v>42600.538321759261</v>
          </cell>
          <cell r="J178">
            <v>0</v>
          </cell>
          <cell r="K178" t="str">
            <v>4001/4002</v>
          </cell>
          <cell r="L178" t="str">
            <v>GEBRETEKLE</v>
          </cell>
          <cell r="M178">
            <v>1.1435185188020114E-2</v>
          </cell>
          <cell r="N178">
            <v>16.466666670748964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https://search-rtdc-monitor-bjffxe2xuh6vdkpspy63sjmuny.us-east-1.es.amazonaws.com/_plugin/kibana/#/discover/Steve-Slow-Train-Analysis-(2080s-and-2083s)?_g=(refreshInterval:(display:Off,section:0,value:0),time:(from:'2016-08-18 11:37:13-0600',mode:absolute,to:'2016-08-18 13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78" t="str">
            <v>N</v>
          </cell>
          <cell r="X178">
            <v>1</v>
          </cell>
          <cell r="Y178">
            <v>5.8653000000000004</v>
          </cell>
          <cell r="Z178">
            <v>7.0499999999999993E-2</v>
          </cell>
          <cell r="AA178">
            <v>5.7948000000000004</v>
          </cell>
          <cell r="AB178" t="e">
            <v>#N/A</v>
          </cell>
          <cell r="AC178" t="e">
            <v>#N/A</v>
          </cell>
          <cell r="AD178" t="str">
            <v>0820-18</v>
          </cell>
          <cell r="AE17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79">
          <cell r="A179" t="str">
            <v>821-18</v>
          </cell>
          <cell r="B179">
            <v>4002</v>
          </cell>
          <cell r="C179" t="str">
            <v>DE.1.0.7.0</v>
          </cell>
          <cell r="D179" t="str">
            <v>204:988</v>
          </cell>
          <cell r="E179">
            <v>42600.546898148146</v>
          </cell>
          <cell r="F179">
            <v>42600.54791666667</v>
          </cell>
          <cell r="G179">
            <v>1</v>
          </cell>
          <cell r="H179" t="str">
            <v>300:58992</v>
          </cell>
          <cell r="I179">
            <v>42600.566516203704</v>
          </cell>
          <cell r="J179">
            <v>0</v>
          </cell>
          <cell r="K179" t="str">
            <v>4001/4002</v>
          </cell>
          <cell r="L179" t="str">
            <v>HELVIE</v>
          </cell>
          <cell r="M179">
            <v>1.8599537033878732E-2</v>
          </cell>
          <cell r="N179">
            <v>26.783333328785375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https://search-rtdc-monitor-bjffxe2xuh6vdkpspy63sjmuny.us-east-1.es.amazonaws.com/_plugin/kibana/#/discover/Steve-Slow-Train-Analysis-(2080s-and-2083s)?_g=(refreshInterval:(display:Off,section:0,value:0),time:(from:'2016-08-18 12:07:32-0600',mode:absolute,to:'2016-08-18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79" t="str">
            <v>N</v>
          </cell>
          <cell r="X179">
            <v>1</v>
          </cell>
          <cell r="Y179">
            <v>9.8799999999999999E-2</v>
          </cell>
          <cell r="Z179">
            <v>5.8992000000000004</v>
          </cell>
          <cell r="AA179">
            <v>5.8004000000000007</v>
          </cell>
          <cell r="AB179" t="e">
            <v>#N/A</v>
          </cell>
          <cell r="AC179" t="e">
            <v>#N/A</v>
          </cell>
          <cell r="AD179" t="str">
            <v>0821-18</v>
          </cell>
          <cell r="AE17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0">
          <cell r="A180" t="str">
            <v>822-18</v>
          </cell>
          <cell r="B180">
            <v>4001</v>
          </cell>
          <cell r="C180" t="str">
            <v>DE.1.0.7.0</v>
          </cell>
          <cell r="D180" t="str">
            <v>300:58677</v>
          </cell>
          <cell r="E180">
            <v>42600.567916666667</v>
          </cell>
          <cell r="F180">
            <v>42600.56931712963</v>
          </cell>
          <cell r="G180">
            <v>2</v>
          </cell>
          <cell r="H180" t="str">
            <v>204:836</v>
          </cell>
          <cell r="I180">
            <v>42600.579988425925</v>
          </cell>
          <cell r="J180">
            <v>0</v>
          </cell>
          <cell r="K180" t="str">
            <v>4001/4002</v>
          </cell>
          <cell r="L180" t="str">
            <v>HELVIE</v>
          </cell>
          <cell r="M180">
            <v>1.0671296295186039E-2</v>
          </cell>
          <cell r="N180">
            <v>15.366666665067896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https://search-rtdc-monitor-bjffxe2xuh6vdkpspy63sjmuny.us-east-1.es.amazonaws.com/_plugin/kibana/#/discover/Steve-Slow-Train-Analysis-(2080s-and-2083s)?_g=(refreshInterval:(display:Off,section:0,value:0),time:(from:'2016-08-18 12:37:48-0600',mode:absolute,to:'2016-08-18 14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0" t="str">
            <v>N</v>
          </cell>
          <cell r="X180">
            <v>1</v>
          </cell>
          <cell r="Y180">
            <v>5.8677000000000001</v>
          </cell>
          <cell r="Z180">
            <v>8.3599999999999994E-2</v>
          </cell>
          <cell r="AA180">
            <v>5.7841000000000005</v>
          </cell>
          <cell r="AB180" t="e">
            <v>#N/A</v>
          </cell>
          <cell r="AC180" t="e">
            <v>#N/A</v>
          </cell>
          <cell r="AD180" t="str">
            <v>0822-18</v>
          </cell>
          <cell r="AE18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1">
          <cell r="A181" t="str">
            <v>823-18</v>
          </cell>
          <cell r="B181">
            <v>4002</v>
          </cell>
          <cell r="C181" t="str">
            <v>DE.1.0.7.0</v>
          </cell>
          <cell r="D181" t="str">
            <v>204:1130</v>
          </cell>
          <cell r="E181">
            <v>42600.594826388886</v>
          </cell>
          <cell r="F181">
            <v>42600.59579861111</v>
          </cell>
          <cell r="G181">
            <v>1</v>
          </cell>
          <cell r="H181" t="str">
            <v>300:58980</v>
          </cell>
          <cell r="I181">
            <v>42600.607708333337</v>
          </cell>
          <cell r="J181">
            <v>0</v>
          </cell>
          <cell r="K181" t="str">
            <v>4001/4002</v>
          </cell>
          <cell r="L181" t="str">
            <v>HELVIE</v>
          </cell>
          <cell r="M181">
            <v>1.1909722226846498E-2</v>
          </cell>
          <cell r="N181">
            <v>17.150000006658956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https://search-rtdc-monitor-bjffxe2xuh6vdkpspy63sjmuny.us-east-1.es.amazonaws.com/_plugin/kibana/#/discover/Steve-Slow-Train-Analysis-(2080s-and-2083s)?_g=(refreshInterval:(display:Off,section:0,value:0),time:(from:'2016-08-18 13:16:33-0600',mode:absolute,to:'2016-08-18 15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1" t="str">
            <v>N</v>
          </cell>
          <cell r="X181">
            <v>1</v>
          </cell>
          <cell r="Y181">
            <v>0.113</v>
          </cell>
          <cell r="Z181">
            <v>5.8979999999999997</v>
          </cell>
          <cell r="AA181">
            <v>5.7849999999999993</v>
          </cell>
          <cell r="AB181" t="e">
            <v>#N/A</v>
          </cell>
          <cell r="AC181" t="e">
            <v>#N/A</v>
          </cell>
          <cell r="AD181" t="str">
            <v>0823-18</v>
          </cell>
          <cell r="AE18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2">
          <cell r="A182" t="str">
            <v>824-18</v>
          </cell>
          <cell r="B182">
            <v>4001</v>
          </cell>
          <cell r="C182" t="str">
            <v>DE.1.0.7.0</v>
          </cell>
          <cell r="D182" t="str">
            <v>300:58662</v>
          </cell>
          <cell r="E182">
            <v>42600.608807870369</v>
          </cell>
          <cell r="F182">
            <v>42600.609953703701</v>
          </cell>
          <cell r="G182">
            <v>1</v>
          </cell>
          <cell r="H182" t="str">
            <v>204:757</v>
          </cell>
          <cell r="I182">
            <v>42600.621377314812</v>
          </cell>
          <cell r="J182">
            <v>0</v>
          </cell>
          <cell r="K182" t="str">
            <v>4001/4002</v>
          </cell>
          <cell r="L182" t="str">
            <v>HELVIE</v>
          </cell>
          <cell r="M182">
            <v>1.1423611111240461E-2</v>
          </cell>
          <cell r="N182">
            <v>16.450000000186265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https://search-rtdc-monitor-bjffxe2xuh6vdkpspy63sjmuny.us-east-1.es.amazonaws.com/_plugin/kibana/#/discover/Steve-Slow-Train-Analysis-(2080s-and-2083s)?_g=(refreshInterval:(display:Off,section:0,value:0),time:(from:'2016-08-18 13:36:41-0600',mode:absolute,to:'2016-08-18 15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2" t="str">
            <v>N</v>
          </cell>
          <cell r="X182">
            <v>1</v>
          </cell>
          <cell r="Y182">
            <v>5.8662000000000001</v>
          </cell>
          <cell r="Z182">
            <v>7.5700000000000003E-2</v>
          </cell>
          <cell r="AA182">
            <v>5.7904999999999998</v>
          </cell>
          <cell r="AB182" t="e">
            <v>#N/A</v>
          </cell>
          <cell r="AC182" t="e">
            <v>#N/A</v>
          </cell>
          <cell r="AD182" t="str">
            <v>0824-18</v>
          </cell>
          <cell r="AE18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3">
          <cell r="A183" t="str">
            <v>825-18</v>
          </cell>
          <cell r="B183">
            <v>4002</v>
          </cell>
          <cell r="C183" t="str">
            <v>DE.1.0.7.0</v>
          </cell>
          <cell r="D183" t="str">
            <v>204:1028</v>
          </cell>
          <cell r="E183">
            <v>42600.629826388889</v>
          </cell>
          <cell r="F183">
            <v>42600.63077546296</v>
          </cell>
          <cell r="G183">
            <v>1</v>
          </cell>
          <cell r="H183" t="str">
            <v>300:58984</v>
          </cell>
          <cell r="I183">
            <v>42600.650509259256</v>
          </cell>
          <cell r="J183">
            <v>0</v>
          </cell>
          <cell r="K183" t="str">
            <v>4001/4002</v>
          </cell>
          <cell r="L183" t="str">
            <v>HELVIE</v>
          </cell>
          <cell r="M183">
            <v>1.9733796296350192E-2</v>
          </cell>
          <cell r="N183">
            <v>28.416666666744277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https://search-rtdc-monitor-bjffxe2xuh6vdkpspy63sjmuny.us-east-1.es.amazonaws.com/_plugin/kibana/#/discover/Steve-Slow-Train-Analysis-(2080s-and-2083s)?_g=(refreshInterval:(display:Off,section:0,value:0),time:(from:'2016-08-18 14:06:57-0600',mode:absolute,to:'2016-08-18 16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3" t="str">
            <v>N</v>
          </cell>
          <cell r="X183">
            <v>1</v>
          </cell>
          <cell r="Y183">
            <v>0.1028</v>
          </cell>
          <cell r="Z183">
            <v>5.8983999999999996</v>
          </cell>
          <cell r="AA183">
            <v>5.7955999999999994</v>
          </cell>
          <cell r="AB183" t="e">
            <v>#N/A</v>
          </cell>
          <cell r="AC183" t="e">
            <v>#N/A</v>
          </cell>
          <cell r="AD183" t="str">
            <v>0825-18</v>
          </cell>
          <cell r="AE18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4">
          <cell r="A184" t="str">
            <v>826-18</v>
          </cell>
          <cell r="B184">
            <v>4001</v>
          </cell>
          <cell r="C184" t="str">
            <v>DE.1.0.7.0</v>
          </cell>
          <cell r="D184" t="str">
            <v>300:58677</v>
          </cell>
          <cell r="E184">
            <v>42600.652233796296</v>
          </cell>
          <cell r="F184">
            <v>42600.653090277781</v>
          </cell>
          <cell r="G184">
            <v>1</v>
          </cell>
          <cell r="H184" t="str">
            <v>204:764</v>
          </cell>
          <cell r="I184">
            <v>42600.664027777777</v>
          </cell>
          <cell r="J184">
            <v>0</v>
          </cell>
          <cell r="K184" t="str">
            <v>4001/4002</v>
          </cell>
          <cell r="L184" t="str">
            <v>HELVIE</v>
          </cell>
          <cell r="M184">
            <v>1.0937499995634425E-2</v>
          </cell>
          <cell r="N184">
            <v>15.749999993713573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https://search-rtdc-monitor-bjffxe2xuh6vdkpspy63sjmuny.us-east-1.es.amazonaws.com/_plugin/kibana/#/discover/Steve-Slow-Train-Analysis-(2080s-and-2083s)?_g=(refreshInterval:(display:Off,section:0,value:0),time:(from:'2016-08-18 14:39:13-0600',mode:absolute,to:'2016-08-18 16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4" t="str">
            <v>N</v>
          </cell>
          <cell r="X184">
            <v>1</v>
          </cell>
          <cell r="Y184">
            <v>5.8677000000000001</v>
          </cell>
          <cell r="Z184">
            <v>7.6399999999999996E-2</v>
          </cell>
          <cell r="AA184">
            <v>5.7913000000000006</v>
          </cell>
          <cell r="AB184" t="e">
            <v>#N/A</v>
          </cell>
          <cell r="AC184" t="e">
            <v>#N/A</v>
          </cell>
          <cell r="AD184" t="str">
            <v>0826-18</v>
          </cell>
          <cell r="AE184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5">
          <cell r="A185" t="str">
            <v>827-18</v>
          </cell>
          <cell r="B185">
            <v>4020</v>
          </cell>
          <cell r="C185" t="str">
            <v>DE.1.0.7.0</v>
          </cell>
          <cell r="D185" t="str">
            <v>204:941</v>
          </cell>
          <cell r="E185">
            <v>42600.656377314815</v>
          </cell>
          <cell r="F185">
            <v>42600.657372685186</v>
          </cell>
          <cell r="G185">
            <v>1</v>
          </cell>
          <cell r="H185" t="str">
            <v>300:58914</v>
          </cell>
          <cell r="I185">
            <v>42600.670856481483</v>
          </cell>
          <cell r="J185">
            <v>0</v>
          </cell>
          <cell r="K185" t="str">
            <v>4019/4020</v>
          </cell>
          <cell r="L185" t="str">
            <v>ISHMAEL</v>
          </cell>
          <cell r="M185">
            <v>1.3483796297805384E-2</v>
          </cell>
          <cell r="N185">
            <v>19.416666668839753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https://search-rtdc-monitor-bjffxe2xuh6vdkpspy63sjmuny.us-east-1.es.amazonaws.com/_plugin/kibana/#/discover/Steve-Slow-Train-Analysis-(2080s-and-2083s)?_g=(refreshInterval:(display:Off,section:0,value:0),time:(from:'2016-08-18 14:45:11-0600',mode:absolute,to:'2016-08-18 17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85" t="str">
            <v>N</v>
          </cell>
          <cell r="X185">
            <v>1</v>
          </cell>
          <cell r="Y185">
            <v>9.4100000000000003E-2</v>
          </cell>
          <cell r="Z185">
            <v>5.8914</v>
          </cell>
          <cell r="AA185">
            <v>5.7972999999999999</v>
          </cell>
          <cell r="AB185" t="e">
            <v>#N/A</v>
          </cell>
          <cell r="AC185" t="e">
            <v>#N/A</v>
          </cell>
          <cell r="AD185" t="str">
            <v>0827-18</v>
          </cell>
          <cell r="AE185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86">
          <cell r="A186" t="str">
            <v>828-18</v>
          </cell>
          <cell r="B186">
            <v>4019</v>
          </cell>
          <cell r="C186" t="str">
            <v>DE.1.0.7.0</v>
          </cell>
          <cell r="D186" t="str">
            <v>300:58596</v>
          </cell>
          <cell r="E186">
            <v>42600.671759259261</v>
          </cell>
          <cell r="F186">
            <v>42600.672569444447</v>
          </cell>
          <cell r="G186">
            <v>1</v>
          </cell>
          <cell r="H186" t="str">
            <v>204:703</v>
          </cell>
          <cell r="I186">
            <v>42600.685532407406</v>
          </cell>
          <cell r="J186">
            <v>0</v>
          </cell>
          <cell r="K186" t="str">
            <v>4019/4020</v>
          </cell>
          <cell r="L186" t="str">
            <v>ISHMAEL</v>
          </cell>
          <cell r="M186">
            <v>1.2962962959136348E-2</v>
          </cell>
          <cell r="N186">
            <v>18.666666661156341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https://search-rtdc-monitor-bjffxe2xuh6vdkpspy63sjmuny.us-east-1.es.amazonaws.com/_plugin/kibana/#/discover/Steve-Slow-Train-Analysis-(2080s-and-2083s)?_g=(refreshInterval:(display:Off,section:0,value:0),time:(from:'2016-08-18 15:07:20-0600',mode:absolute,to:'2016-08-18 17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7.0300000000000001E-2</v>
          </cell>
          <cell r="AA186">
            <v>5.7893000000000008</v>
          </cell>
          <cell r="AB186" t="e">
            <v>#N/A</v>
          </cell>
          <cell r="AC186" t="e">
            <v>#N/A</v>
          </cell>
          <cell r="AD186" t="str">
            <v>0828-18</v>
          </cell>
          <cell r="AE186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87">
          <cell r="A187" t="str">
            <v>829-18</v>
          </cell>
          <cell r="B187">
            <v>4002</v>
          </cell>
          <cell r="C187" t="str">
            <v>DE.1.0.7.0</v>
          </cell>
          <cell r="D187" t="str">
            <v>204:1044</v>
          </cell>
          <cell r="E187">
            <v>42600.671273148146</v>
          </cell>
          <cell r="F187">
            <v>42600.672175925924</v>
          </cell>
          <cell r="G187">
            <v>1</v>
          </cell>
          <cell r="H187" t="str">
            <v>300:58975</v>
          </cell>
          <cell r="I187">
            <v>42600.694490740738</v>
          </cell>
          <cell r="J187">
            <v>0</v>
          </cell>
          <cell r="K187" t="str">
            <v>4001/4002</v>
          </cell>
          <cell r="L187" t="str">
            <v>HELVIE</v>
          </cell>
          <cell r="M187">
            <v>2.2314814814308193E-2</v>
          </cell>
          <cell r="N187">
            <v>32.133333332603797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https://search-rtdc-monitor-bjffxe2xuh6vdkpspy63sjmuny.us-east-1.es.amazonaws.com/_plugin/kibana/#/discover/Steve-Slow-Train-Analysis-(2080s-and-2083s)?_g=(refreshInterval:(display:Off,section:0,value:0),time:(from:'2016-08-18 15:06:38-0600',mode:absolute,to:'2016-08-18 17:40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87" t="str">
            <v>N</v>
          </cell>
          <cell r="X187">
            <v>1</v>
          </cell>
          <cell r="Y187">
            <v>0.10440000000000001</v>
          </cell>
          <cell r="Z187">
            <v>5.8975</v>
          </cell>
          <cell r="AA187">
            <v>5.7930999999999999</v>
          </cell>
          <cell r="AB187" t="e">
            <v>#N/A</v>
          </cell>
          <cell r="AC187" t="e">
            <v>#N/A</v>
          </cell>
          <cell r="AD187" t="str">
            <v>0829-18</v>
          </cell>
          <cell r="AE187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88">
          <cell r="A188" t="str">
            <v>830-18</v>
          </cell>
          <cell r="B188">
            <v>4001</v>
          </cell>
          <cell r="C188" t="str">
            <v>DE.1.0.7.0</v>
          </cell>
          <cell r="D188" t="str">
            <v>300:58653</v>
          </cell>
          <cell r="E188">
            <v>42600.695891203701</v>
          </cell>
          <cell r="F188">
            <v>42600.696875000001</v>
          </cell>
          <cell r="G188">
            <v>1</v>
          </cell>
          <cell r="H188" t="str">
            <v>204:769</v>
          </cell>
          <cell r="I188">
            <v>42600.707627314812</v>
          </cell>
          <cell r="J188">
            <v>0</v>
          </cell>
          <cell r="K188" t="str">
            <v>4001/4002</v>
          </cell>
          <cell r="L188" t="str">
            <v>HELVIE</v>
          </cell>
          <cell r="M188">
            <v>1.0752314810815733E-2</v>
          </cell>
          <cell r="N188">
            <v>15.483333327574655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https://search-rtdc-monitor-bjffxe2xuh6vdkpspy63sjmuny.us-east-1.es.amazonaws.com/_plugin/kibana/#/discover/Steve-Slow-Train-Analysis-(2080s-and-2083s)?_g=(refreshInterval:(display:Off,section:0,value:0),time:(from:'2016-08-18 15:42:05-0600',mode:absolute,to:'2016-08-18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8" t="str">
            <v>N</v>
          </cell>
          <cell r="X188">
            <v>1</v>
          </cell>
          <cell r="Y188">
            <v>5.8653000000000004</v>
          </cell>
          <cell r="Z188">
            <v>7.6899999999999996E-2</v>
          </cell>
          <cell r="AA188">
            <v>5.7884000000000002</v>
          </cell>
          <cell r="AB188" t="e">
            <v>#N/A</v>
          </cell>
          <cell r="AC188" t="e">
            <v>#N/A</v>
          </cell>
          <cell r="AD188" t="str">
            <v>0830-18</v>
          </cell>
          <cell r="AE18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89">
          <cell r="A189" t="str">
            <v>831-18</v>
          </cell>
          <cell r="B189">
            <v>4020</v>
          </cell>
          <cell r="C189" t="str">
            <v>DE.1.0.7.0</v>
          </cell>
          <cell r="D189" t="str">
            <v>204:981</v>
          </cell>
          <cell r="E189">
            <v>42600.696168981478</v>
          </cell>
          <cell r="F189">
            <v>42600.696932870371</v>
          </cell>
          <cell r="G189">
            <v>1</v>
          </cell>
          <cell r="H189" t="str">
            <v>300:58912</v>
          </cell>
          <cell r="I189">
            <v>42600.714247685188</v>
          </cell>
          <cell r="J189">
            <v>0</v>
          </cell>
          <cell r="K189" t="str">
            <v>4019/4020</v>
          </cell>
          <cell r="L189" t="str">
            <v>ISHMAEL</v>
          </cell>
          <cell r="M189">
            <v>1.7314814816927537E-2</v>
          </cell>
          <cell r="N189">
            <v>24.933333336375654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https://search-rtdc-monitor-bjffxe2xuh6vdkpspy63sjmuny.us-east-1.es.amazonaws.com/_plugin/kibana/#/discover/Steve-Slow-Train-Analysis-(2080s-and-2083s)?_g=(refreshInterval:(display:Off,section:0,value:0),time:(from:'2016-08-18 15:42:29-0600',mode:absolute,to:'2016-08-18 18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89" t="str">
            <v>N</v>
          </cell>
          <cell r="X189">
            <v>1</v>
          </cell>
          <cell r="Y189">
            <v>9.8100000000000007E-2</v>
          </cell>
          <cell r="Z189">
            <v>5.8912000000000004</v>
          </cell>
          <cell r="AA189">
            <v>5.7931000000000008</v>
          </cell>
          <cell r="AB189" t="e">
            <v>#N/A</v>
          </cell>
          <cell r="AC189" t="e">
            <v>#N/A</v>
          </cell>
          <cell r="AD189" t="str">
            <v>0831-18</v>
          </cell>
          <cell r="AE189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0">
          <cell r="A190" t="str">
            <v>832-18</v>
          </cell>
          <cell r="B190">
            <v>4019</v>
          </cell>
          <cell r="C190" t="str">
            <v>DE.1.0.7.0</v>
          </cell>
          <cell r="D190" t="str">
            <v>300:58591</v>
          </cell>
          <cell r="E190">
            <v>42600.715127314812</v>
          </cell>
          <cell r="F190">
            <v>42600.715914351851</v>
          </cell>
          <cell r="G190">
            <v>1</v>
          </cell>
          <cell r="H190" t="str">
            <v>204:740</v>
          </cell>
          <cell r="I190">
            <v>42600.725787037038</v>
          </cell>
          <cell r="J190">
            <v>0</v>
          </cell>
          <cell r="K190" t="str">
            <v>4019/4020</v>
          </cell>
          <cell r="L190" t="str">
            <v>ISHMAEL</v>
          </cell>
          <cell r="M190">
            <v>9.8726851865649223E-3</v>
          </cell>
          <cell r="N190">
            <v>14.216666668653488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https://search-rtdc-monitor-bjffxe2xuh6vdkpspy63sjmuny.us-east-1.es.amazonaws.com/_plugin/kibana/#/discover/Steve-Slow-Train-Analysis-(2080s-and-2083s)?_g=(refreshInterval:(display:Off,section:0,value:0),time:(from:'2016-08-18 16:09:47-0600',mode:absolute,to:'2016-08-18 18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90" t="str">
            <v>N</v>
          </cell>
          <cell r="X190">
            <v>1</v>
          </cell>
          <cell r="Y190">
            <v>5.8590999999999998</v>
          </cell>
          <cell r="Z190">
            <v>7.3999999999999996E-2</v>
          </cell>
          <cell r="AA190">
            <v>5.7850999999999999</v>
          </cell>
          <cell r="AB190" t="e">
            <v>#N/A</v>
          </cell>
          <cell r="AC190" t="e">
            <v>#N/A</v>
          </cell>
          <cell r="AD190" t="str">
            <v>0832-18</v>
          </cell>
          <cell r="AE190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91">
          <cell r="A191" t="str">
            <v>833-18</v>
          </cell>
          <cell r="B191">
            <v>4002</v>
          </cell>
          <cell r="C191" t="str">
            <v>DE.1.0.7.0</v>
          </cell>
          <cell r="D191" t="str">
            <v>204:1067</v>
          </cell>
          <cell r="E191">
            <v>42600.716435185182</v>
          </cell>
          <cell r="F191">
            <v>42600.717465277776</v>
          </cell>
          <cell r="G191">
            <v>1</v>
          </cell>
          <cell r="H191" t="str">
            <v>300:58971</v>
          </cell>
          <cell r="I191">
            <v>42600.73337962963</v>
          </cell>
          <cell r="J191">
            <v>0</v>
          </cell>
          <cell r="K191" t="str">
            <v>4001/4002</v>
          </cell>
          <cell r="L191" t="str">
            <v>HELVIE</v>
          </cell>
          <cell r="M191">
            <v>1.5914351854007691E-2</v>
          </cell>
          <cell r="N191">
            <v>22.916666669771075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https://search-rtdc-monitor-bjffxe2xuh6vdkpspy63sjmuny.us-east-1.es.amazonaws.com/_plugin/kibana/#/discover/Steve-Slow-Train-Analysis-(2080s-and-2083s)?_g=(refreshInterval:(display:Off,section:0,value:0),time:(from:'2016-08-18 16:11:40-0600',mode:absolute,to:'2016-08-18 18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1" t="str">
            <v>N</v>
          </cell>
          <cell r="X191">
            <v>1</v>
          </cell>
          <cell r="Y191">
            <v>0.1067</v>
          </cell>
          <cell r="Z191">
            <v>5.8971</v>
          </cell>
          <cell r="AA191">
            <v>5.7904</v>
          </cell>
          <cell r="AB191" t="e">
            <v>#N/A</v>
          </cell>
          <cell r="AC191" t="e">
            <v>#N/A</v>
          </cell>
          <cell r="AD191" t="str">
            <v>0833-18</v>
          </cell>
          <cell r="AE19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92">
          <cell r="A192" t="str">
            <v>834-18</v>
          </cell>
          <cell r="B192">
            <v>4001</v>
          </cell>
          <cell r="C192" t="str">
            <v>DE.1.0.7.0</v>
          </cell>
          <cell r="D192" t="str">
            <v>300:58656</v>
          </cell>
          <cell r="E192">
            <v>42600.734803240739</v>
          </cell>
          <cell r="F192">
            <v>42600.736030092594</v>
          </cell>
          <cell r="G192">
            <v>1</v>
          </cell>
          <cell r="H192" t="str">
            <v>204:761</v>
          </cell>
          <cell r="I192">
            <v>42600.748217592591</v>
          </cell>
          <cell r="J192">
            <v>0</v>
          </cell>
          <cell r="K192" t="str">
            <v>4001/4002</v>
          </cell>
          <cell r="L192" t="str">
            <v>HELVIE</v>
          </cell>
          <cell r="M192">
            <v>1.2187499996798579E-2</v>
          </cell>
          <cell r="N192">
            <v>17.549999995389953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https://search-rtdc-monitor-bjffxe2xuh6vdkpspy63sjmuny.us-east-1.es.amazonaws.com/_plugin/kibana/#/discover/Steve-Slow-Train-Analysis-(2080s-and-2083s)?_g=(refreshInterval:(display:Off,section:0,value:0),time:(from:'2016-08-18 16:38:07-0600',mode:absolute,to:'2016-08-18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2" t="str">
            <v>N</v>
          </cell>
          <cell r="X192">
            <v>1</v>
          </cell>
          <cell r="Y192">
            <v>5.8655999999999997</v>
          </cell>
          <cell r="Z192">
            <v>7.6100000000000001E-2</v>
          </cell>
          <cell r="AA192">
            <v>5.7894999999999994</v>
          </cell>
          <cell r="AB192" t="e">
            <v>#N/A</v>
          </cell>
          <cell r="AC192" t="e">
            <v>#N/A</v>
          </cell>
          <cell r="AD192" t="str">
            <v>0834-18</v>
          </cell>
          <cell r="AE19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3">
          <cell r="A193" t="str">
            <v>835-18</v>
          </cell>
          <cell r="B193">
            <v>4020</v>
          </cell>
          <cell r="C193" t="str">
            <v>DE.1.0.7.0</v>
          </cell>
          <cell r="D193" t="str">
            <v>204:1028</v>
          </cell>
          <cell r="E193">
            <v>42600.737384259257</v>
          </cell>
          <cell r="F193">
            <v>42600.738356481481</v>
          </cell>
          <cell r="G193">
            <v>1</v>
          </cell>
          <cell r="H193" t="str">
            <v>300:58920</v>
          </cell>
          <cell r="I193">
            <v>42600.753784722219</v>
          </cell>
          <cell r="J193">
            <v>0</v>
          </cell>
          <cell r="K193" t="str">
            <v>4019/4020</v>
          </cell>
          <cell r="L193" t="str">
            <v>ISHMAEL</v>
          </cell>
          <cell r="M193">
            <v>1.5428240738401655E-2</v>
          </cell>
          <cell r="N193">
            <v>22.216666663298383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https://search-rtdc-monitor-bjffxe2xuh6vdkpspy63sjmuny.us-east-1.es.amazonaws.com/_plugin/kibana/#/discover/Steve-Slow-Train-Analysis-(2080s-and-2083s)?_g=(refreshInterval:(display:Off,section:0,value:0),time:(from:'2016-08-18 16:41:50-0600',mode:absolute,to:'2016-08-18 19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3" t="str">
            <v>N</v>
          </cell>
          <cell r="X193">
            <v>1</v>
          </cell>
          <cell r="Y193">
            <v>0.1028</v>
          </cell>
          <cell r="Z193">
            <v>5.8920000000000003</v>
          </cell>
          <cell r="AA193">
            <v>5.7892000000000001</v>
          </cell>
          <cell r="AB193" t="e">
            <v>#N/A</v>
          </cell>
          <cell r="AC193" t="e">
            <v>#N/A</v>
          </cell>
          <cell r="AD193" t="str">
            <v>0835-18</v>
          </cell>
          <cell r="AE193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4">
          <cell r="A194" t="str">
            <v>836-18</v>
          </cell>
          <cell r="B194">
            <v>4019</v>
          </cell>
          <cell r="C194" t="str">
            <v>DE.1.0.7.0</v>
          </cell>
          <cell r="D194" t="str">
            <v>300:58608</v>
          </cell>
          <cell r="E194">
            <v>42600.754756944443</v>
          </cell>
          <cell r="F194">
            <v>42600.75545138889</v>
          </cell>
          <cell r="G194">
            <v>0</v>
          </cell>
          <cell r="H194" t="str">
            <v>204:691</v>
          </cell>
          <cell r="I194">
            <v>42600.76798611111</v>
          </cell>
          <cell r="J194">
            <v>0</v>
          </cell>
          <cell r="K194" t="str">
            <v>4019/4020</v>
          </cell>
          <cell r="L194" t="str">
            <v>ISHMAEL</v>
          </cell>
          <cell r="M194">
            <v>1.2534722220152617E-2</v>
          </cell>
          <cell r="N194">
            <v>18.049999997019768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https://search-rtdc-monitor-bjffxe2xuh6vdkpspy63sjmuny.us-east-1.es.amazonaws.com/_plugin/kibana/#/discover/Steve-Slow-Train-Analysis-(2080s-and-2083s)?_g=(refreshInterval:(display:Off,section:0,value:0),time:(from:'2016-08-18 17:06:51-0600',mode:absolute,to:'2016-08-18 19:25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94" t="str">
            <v>N</v>
          </cell>
          <cell r="X194">
            <v>1</v>
          </cell>
          <cell r="Y194">
            <v>5.8608000000000002</v>
          </cell>
          <cell r="Z194">
            <v>6.9099999999999995E-2</v>
          </cell>
          <cell r="AA194">
            <v>5.7917000000000005</v>
          </cell>
          <cell r="AB194" t="e">
            <v>#N/A</v>
          </cell>
          <cell r="AC194" t="e">
            <v>#N/A</v>
          </cell>
          <cell r="AD194" t="str">
            <v>0836-18</v>
          </cell>
          <cell r="AE19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195">
          <cell r="A195" t="str">
            <v>837-18</v>
          </cell>
          <cell r="B195">
            <v>4002</v>
          </cell>
          <cell r="C195" t="str">
            <v>DE.1.0.7.0</v>
          </cell>
          <cell r="D195" t="str">
            <v>204:1030</v>
          </cell>
          <cell r="E195">
            <v>42600.761099537034</v>
          </cell>
          <cell r="F195">
            <v>42600.761886574073</v>
          </cell>
          <cell r="G195">
            <v>1</v>
          </cell>
          <cell r="H195" t="str">
            <v>300:58971</v>
          </cell>
          <cell r="I195">
            <v>42600.774895833332</v>
          </cell>
          <cell r="J195">
            <v>0</v>
          </cell>
          <cell r="K195" t="str">
            <v>4001/4002</v>
          </cell>
          <cell r="L195" t="str">
            <v>HELVIE</v>
          </cell>
          <cell r="M195">
            <v>1.3009259258979E-2</v>
          </cell>
          <cell r="N195">
            <v>18.73333333292976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https://search-rtdc-monitor-bjffxe2xuh6vdkpspy63sjmuny.us-east-1.es.amazonaws.com/_plugin/kibana/#/discover/Steve-Slow-Train-Analysis-(2080s-and-2083s)?_g=(refreshInterval:(display:Off,section:0,value:0),time:(from:'2016-08-18 17:15:59-0600',mode:absolute,to:'2016-08-18 19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5" t="str">
            <v>N</v>
          </cell>
          <cell r="X195">
            <v>1</v>
          </cell>
          <cell r="Y195">
            <v>0.10299999999999999</v>
          </cell>
          <cell r="Z195">
            <v>5.8971</v>
          </cell>
          <cell r="AA195">
            <v>5.7941000000000003</v>
          </cell>
          <cell r="AB195" t="e">
            <v>#N/A</v>
          </cell>
          <cell r="AC195" t="e">
            <v>#N/A</v>
          </cell>
          <cell r="AD195" t="str">
            <v>0837-18</v>
          </cell>
          <cell r="AE195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196">
          <cell r="A196" t="str">
            <v>838-18</v>
          </cell>
          <cell r="B196">
            <v>4001</v>
          </cell>
          <cell r="C196" t="str">
            <v>DE.1.0.7.0</v>
          </cell>
          <cell r="D196" t="str">
            <v>300:58656</v>
          </cell>
          <cell r="E196">
            <v>42600.776655092595</v>
          </cell>
          <cell r="F196">
            <v>42600.777499999997</v>
          </cell>
          <cell r="G196">
            <v>1</v>
          </cell>
          <cell r="H196" t="str">
            <v>204:745</v>
          </cell>
          <cell r="I196">
            <v>42600.788668981484</v>
          </cell>
          <cell r="J196">
            <v>0</v>
          </cell>
          <cell r="K196" t="str">
            <v>4001/4002</v>
          </cell>
          <cell r="L196" t="str">
            <v>HELVIE</v>
          </cell>
          <cell r="M196">
            <v>1.1168981487571727E-2</v>
          </cell>
          <cell r="N196">
            <v>16.083333342103288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https://search-rtdc-monitor-bjffxe2xuh6vdkpspy63sjmuny.us-east-1.es.amazonaws.com/_plugin/kibana/#/discover/Steve-Slow-Train-Analysis-(2080s-and-2083s)?_g=(refreshInterval:(display:Off,section:0,value:0),time:(from:'2016-08-18 17:38:23-0600',mode:absolute,to:'2016-08-18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6" t="str">
            <v>N</v>
          </cell>
          <cell r="X196">
            <v>1</v>
          </cell>
          <cell r="Y196">
            <v>5.8655999999999997</v>
          </cell>
          <cell r="Z196">
            <v>7.4499999999999997E-2</v>
          </cell>
          <cell r="AA196">
            <v>5.7911000000000001</v>
          </cell>
          <cell r="AB196" t="e">
            <v>#N/A</v>
          </cell>
          <cell r="AC196" t="e">
            <v>#N/A</v>
          </cell>
          <cell r="AD196" t="str">
            <v>0838-18</v>
          </cell>
          <cell r="AE19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7">
          <cell r="A197" t="str">
            <v>839-18</v>
          </cell>
          <cell r="B197">
            <v>4020</v>
          </cell>
          <cell r="C197" t="str">
            <v>DE.1.0.7.0</v>
          </cell>
          <cell r="D197" t="str">
            <v>204:981</v>
          </cell>
          <cell r="E197">
            <v>42600.780231481483</v>
          </cell>
          <cell r="F197">
            <v>42600.781122685185</v>
          </cell>
          <cell r="G197">
            <v>1</v>
          </cell>
          <cell r="H197" t="str">
            <v>300:58903</v>
          </cell>
          <cell r="I197">
            <v>42600.795370370368</v>
          </cell>
          <cell r="J197">
            <v>0</v>
          </cell>
          <cell r="K197" t="str">
            <v>4019/4020</v>
          </cell>
          <cell r="L197" t="str">
            <v>ISHMAEL</v>
          </cell>
          <cell r="M197">
            <v>1.4247685183363501E-2</v>
          </cell>
          <cell r="N197">
            <v>20.516666664043441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https://search-rtdc-monitor-bjffxe2xuh6vdkpspy63sjmuny.us-east-1.es.amazonaws.com/_plugin/kibana/#/discover/Steve-Slow-Train-Analysis-(2080s-and-2083s)?_g=(refreshInterval:(display:Off,section:0,value:0),time:(from:'2016-08-18 17:43:32-0600',mode:absolute,to:'2016-08-18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7" t="str">
            <v>N</v>
          </cell>
          <cell r="X197">
            <v>1</v>
          </cell>
          <cell r="Y197">
            <v>9.8100000000000007E-2</v>
          </cell>
          <cell r="Z197">
            <v>5.8902999999999999</v>
          </cell>
          <cell r="AA197">
            <v>5.7922000000000002</v>
          </cell>
          <cell r="AB197" t="e">
            <v>#N/A</v>
          </cell>
          <cell r="AC197" t="e">
            <v>#N/A</v>
          </cell>
          <cell r="AD197" t="str">
            <v>0839-18</v>
          </cell>
          <cell r="AE197" t="str">
            <v>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 &amp; aws s3 cp s3://rtdc.mdm.uploadarchive/RTDC4020/2016-08-19/ "%USERPROFILE%\AppData\Local\Temp\OnboardLogs"\RTDC4020\2016-08-19 --recursive &amp; "%USERPROFILE%\Documents\GitHub\mrs-test-scripts\Headless Mode &amp; Sideloading\WalkAndUnGZ.bat" "%USERPROFILE%\AppData\Local\Temp\OnboardLogs"\RTDC4020\2016-08-19</v>
          </cell>
        </row>
        <row r="198">
          <cell r="A198" t="str">
            <v>840-18</v>
          </cell>
          <cell r="B198">
            <v>4001</v>
          </cell>
          <cell r="C198" t="str">
            <v>DE.1.0.7.0</v>
          </cell>
          <cell r="D198" t="str">
            <v>300:58655</v>
          </cell>
          <cell r="E198">
            <v>42600.81759259259</v>
          </cell>
          <cell r="F198">
            <v>42600.818472222221</v>
          </cell>
          <cell r="G198">
            <v>1</v>
          </cell>
          <cell r="H198" t="str">
            <v>204:733</v>
          </cell>
          <cell r="I198">
            <v>42600.830300925925</v>
          </cell>
          <cell r="J198">
            <v>0</v>
          </cell>
          <cell r="K198" t="str">
            <v>4001/4002</v>
          </cell>
          <cell r="L198" t="str">
            <v>HELVIE</v>
          </cell>
          <cell r="M198">
            <v>1.1828703703940846E-2</v>
          </cell>
          <cell r="N198">
            <v>17.033333333674818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https://search-rtdc-monitor-bjffxe2xuh6vdkpspy63sjmuny.us-east-1.es.amazonaws.com/_plugin/kibana/#/discover/Steve-Slow-Train-Analysis-(2080s-and-2083s)?_g=(refreshInterval:(display:Off,section:0,value:0),time:(from:'2016-08-18 18:37:20-0600',mode:absolute,to:'2016-08-18 20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98" t="str">
            <v>N</v>
          </cell>
          <cell r="X198">
            <v>1</v>
          </cell>
          <cell r="Y198">
            <v>5.8654999999999999</v>
          </cell>
          <cell r="Z198">
            <v>7.3300000000000004E-2</v>
          </cell>
          <cell r="AA198">
            <v>5.7922000000000002</v>
          </cell>
          <cell r="AB198" t="e">
            <v>#N/A</v>
          </cell>
          <cell r="AC198" t="e">
            <v>#N/A</v>
          </cell>
          <cell r="AD198" t="str">
            <v>0840-18</v>
          </cell>
          <cell r="AE198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199">
          <cell r="A199" t="str">
            <v>841-18</v>
          </cell>
          <cell r="B199">
            <v>4002</v>
          </cell>
          <cell r="C199" t="str">
            <v>DE.1.0.7.0</v>
          </cell>
          <cell r="D199" t="str">
            <v>204:1037</v>
          </cell>
          <cell r="E199">
            <v>42600.798587962963</v>
          </cell>
          <cell r="F199">
            <v>42600.799722222226</v>
          </cell>
          <cell r="G199">
            <v>1</v>
          </cell>
          <cell r="H199" t="str">
            <v>300:58969</v>
          </cell>
          <cell r="I199">
            <v>42600.816631944443</v>
          </cell>
          <cell r="J199">
            <v>0</v>
          </cell>
          <cell r="K199" t="str">
            <v>4001/4002</v>
          </cell>
          <cell r="L199" t="str">
            <v>HELVIE</v>
          </cell>
          <cell r="M199">
            <v>1.6909722216951195E-2</v>
          </cell>
          <cell r="N199">
            <v>24.349999992409721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https://search-rtdc-monitor-bjffxe2xuh6vdkpspy63sjmuny.us-east-1.es.amazonaws.com/_plugin/kibana/#/discover/Steve-Slow-Train-Analysis-(2080s-and-2083s)?_g=(refreshInterval:(display:Off,section:0,value:0),time:(from:'2016-08-18 18:09:58-0600',mode:absolute,to:'2016-08-18 20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9" t="str">
            <v>N</v>
          </cell>
          <cell r="X199">
            <v>1</v>
          </cell>
          <cell r="Y199">
            <v>0.1037</v>
          </cell>
          <cell r="Z199">
            <v>5.8968999999999996</v>
          </cell>
          <cell r="AA199">
            <v>5.7931999999999997</v>
          </cell>
          <cell r="AB199" t="e">
            <v>#N/A</v>
          </cell>
          <cell r="AC199" t="e">
            <v>#N/A</v>
          </cell>
          <cell r="AD199" t="str">
            <v>0841-18</v>
          </cell>
          <cell r="AE199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0">
          <cell r="A200" t="str">
            <v>842-18</v>
          </cell>
          <cell r="B200">
            <v>4001</v>
          </cell>
          <cell r="C200" t="str">
            <v>DE.1.0.7.0</v>
          </cell>
          <cell r="D200" t="str">
            <v>300:58653</v>
          </cell>
          <cell r="E200">
            <v>42600.859699074077</v>
          </cell>
          <cell r="F200">
            <v>42600.860625000001</v>
          </cell>
          <cell r="G200">
            <v>1</v>
          </cell>
          <cell r="H200" t="str">
            <v>204:755</v>
          </cell>
          <cell r="I200">
            <v>42600.872581018521</v>
          </cell>
          <cell r="J200">
            <v>0</v>
          </cell>
          <cell r="K200" t="str">
            <v>4001/4002</v>
          </cell>
          <cell r="L200" t="str">
            <v>HELVIE</v>
          </cell>
          <cell r="M200">
            <v>1.1956018519413192E-2</v>
          </cell>
          <cell r="N200">
            <v>17.216666667954996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https://search-rtdc-monitor-bjffxe2xuh6vdkpspy63sjmuny.us-east-1.es.amazonaws.com/_plugin/kibana/#/discover/Steve-Slow-Train-Analysis-(2080s-and-2083s)?_g=(refreshInterval:(display:Off,section:0,value:0),time:(from:'2016-08-18 19:37:58-0600',mode:absolute,to:'2016-08-18 21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0" t="str">
            <v>N</v>
          </cell>
          <cell r="X200">
            <v>1</v>
          </cell>
          <cell r="Y200">
            <v>5.8653000000000004</v>
          </cell>
          <cell r="Z200">
            <v>7.5499999999999998E-2</v>
          </cell>
          <cell r="AA200">
            <v>5.7898000000000005</v>
          </cell>
          <cell r="AB200" t="e">
            <v>#N/A</v>
          </cell>
          <cell r="AC200" t="e">
            <v>#N/A</v>
          </cell>
          <cell r="AD200" t="str">
            <v>0842-18</v>
          </cell>
          <cell r="AE200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01">
          <cell r="A201" t="str">
            <v>843-18</v>
          </cell>
          <cell r="B201">
            <v>4002</v>
          </cell>
          <cell r="C201" t="str">
            <v>DE.1.0.7.0</v>
          </cell>
          <cell r="D201" t="str">
            <v>204:1034</v>
          </cell>
          <cell r="E201">
            <v>42600.840752314813</v>
          </cell>
          <cell r="F201">
            <v>42600.841678240744</v>
          </cell>
          <cell r="G201">
            <v>1</v>
          </cell>
          <cell r="H201" t="str">
            <v>300:58975</v>
          </cell>
          <cell r="I201">
            <v>42600.858530092592</v>
          </cell>
          <cell r="J201">
            <v>0</v>
          </cell>
          <cell r="K201" t="str">
            <v>4001/4002</v>
          </cell>
          <cell r="L201" t="str">
            <v>HELVIE</v>
          </cell>
          <cell r="M201">
            <v>1.6851851847604848E-2</v>
          </cell>
          <cell r="N201">
            <v>24.266666660550982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https://search-rtdc-monitor-bjffxe2xuh6vdkpspy63sjmuny.us-east-1.es.amazonaws.com/_plugin/kibana/#/discover/Steve-Slow-Train-Analysis-(2080s-and-2083s)?_g=(refreshInterval:(display:Off,section:0,value:0),time:(from:'2016-08-18 19:10:41-0600',mode:absolute,to:'2016-08-18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1" t="str">
            <v>N</v>
          </cell>
          <cell r="X201">
            <v>1</v>
          </cell>
          <cell r="Y201">
            <v>0.10340000000000001</v>
          </cell>
          <cell r="Z201">
            <v>5.8975</v>
          </cell>
          <cell r="AA201">
            <v>5.7941000000000003</v>
          </cell>
          <cell r="AB201" t="e">
            <v>#N/A</v>
          </cell>
          <cell r="AC201" t="e">
            <v>#N/A</v>
          </cell>
          <cell r="AD201" t="str">
            <v>0843-18</v>
          </cell>
          <cell r="AE201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2">
          <cell r="A202" t="str">
            <v>844-18</v>
          </cell>
          <cell r="B202">
            <v>4001</v>
          </cell>
          <cell r="C202" t="str">
            <v>DE.1.0.7.0</v>
          </cell>
          <cell r="D202" t="str">
            <v>300:58596</v>
          </cell>
          <cell r="E202">
            <v>42600.901435185187</v>
          </cell>
          <cell r="F202">
            <v>42600.902719907404</v>
          </cell>
          <cell r="G202">
            <v>1</v>
          </cell>
          <cell r="H202" t="str">
            <v>204:701</v>
          </cell>
          <cell r="I202">
            <v>42600.913888888892</v>
          </cell>
          <cell r="J202">
            <v>0</v>
          </cell>
          <cell r="K202" t="str">
            <v>4001/4002</v>
          </cell>
          <cell r="L202" t="str">
            <v>ISHMAEL</v>
          </cell>
          <cell r="M202">
            <v>1.1168981487571727E-2</v>
          </cell>
          <cell r="N202">
            <v>16.083333342103288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https://search-rtdc-monitor-bjffxe2xuh6vdkpspy63sjmuny.us-east-1.es.amazonaws.com/_plugin/kibana/#/discover/Steve-Slow-Train-Analysis-(2080s-and-2083s)?_g=(refreshInterval:(display:Off,section:0,value:0),time:(from:'2016-08-18 20:38:04-0600',mode:absolute,to:'2016-08-18 22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02" t="str">
            <v>N</v>
          </cell>
          <cell r="X202">
            <v>1</v>
          </cell>
          <cell r="Y202">
            <v>5.8596000000000004</v>
          </cell>
          <cell r="Z202">
            <v>7.0099999999999996E-2</v>
          </cell>
          <cell r="AA202">
            <v>5.7895000000000003</v>
          </cell>
          <cell r="AB202" t="e">
            <v>#N/A</v>
          </cell>
          <cell r="AC202" t="e">
            <v>#N/A</v>
          </cell>
          <cell r="AD202" t="str">
            <v>0844-18</v>
          </cell>
          <cell r="AE202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03">
          <cell r="A203" t="str">
            <v>845-18</v>
          </cell>
          <cell r="B203">
            <v>4002</v>
          </cell>
          <cell r="C203" t="str">
            <v>DE.1.0.7.0</v>
          </cell>
          <cell r="D203" t="str">
            <v>204:1053</v>
          </cell>
          <cell r="E203">
            <v>42600.878229166665</v>
          </cell>
          <cell r="F203">
            <v>42600.880162037036</v>
          </cell>
          <cell r="G203">
            <v>2</v>
          </cell>
          <cell r="H203" t="str">
            <v>300:58918</v>
          </cell>
          <cell r="I203">
            <v>42600.900659722225</v>
          </cell>
          <cell r="J203">
            <v>0</v>
          </cell>
          <cell r="K203" t="str">
            <v>4001/4002</v>
          </cell>
          <cell r="L203" t="str">
            <v>ISHMAEL</v>
          </cell>
          <cell r="M203">
            <v>2.0497685189184267E-2</v>
          </cell>
          <cell r="N203">
            <v>29.516666672425345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https://search-rtdc-monitor-bjffxe2xuh6vdkpspy63sjmuny.us-east-1.es.amazonaws.com/_plugin/kibana/#/discover/Steve-Slow-Train-Analysis-(2080s-and-2083s)?_g=(refreshInterval:(display:Off,section:0,value:0),time:(from:'2016-08-18 20:04:39-0600',mode:absolute,to:'2016-08-18 22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N</v>
          </cell>
          <cell r="X203">
            <v>1</v>
          </cell>
          <cell r="Y203">
            <v>0.1053</v>
          </cell>
          <cell r="Z203">
            <v>5.8917999999999999</v>
          </cell>
          <cell r="AA203">
            <v>5.7865000000000002</v>
          </cell>
          <cell r="AB203" t="e">
            <v>#N/A</v>
          </cell>
          <cell r="AC203" t="e">
            <v>#N/A</v>
          </cell>
          <cell r="AD203" t="str">
            <v>0845-18</v>
          </cell>
          <cell r="AE203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4">
          <cell r="A204" t="str">
            <v>847-18</v>
          </cell>
          <cell r="B204">
            <v>4002</v>
          </cell>
          <cell r="C204" t="str">
            <v>DE.1.0.7.0</v>
          </cell>
          <cell r="D204" t="str">
            <v>204:972</v>
          </cell>
          <cell r="E204">
            <v>42600.926481481481</v>
          </cell>
          <cell r="F204">
            <v>42600.927372685182</v>
          </cell>
          <cell r="G204">
            <v>1</v>
          </cell>
          <cell r="H204" t="str">
            <v>300:58907</v>
          </cell>
          <cell r="I204">
            <v>42600.941099537034</v>
          </cell>
          <cell r="J204">
            <v>0</v>
          </cell>
          <cell r="K204" t="str">
            <v>4001/4002</v>
          </cell>
          <cell r="L204" t="str">
            <v>ISHMAEL</v>
          </cell>
          <cell r="M204">
            <v>1.3726851851970423E-2</v>
          </cell>
          <cell r="N204">
            <v>19.766666666837409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https://search-rtdc-monitor-bjffxe2xuh6vdkpspy63sjmuny.us-east-1.es.amazonaws.com/_plugin/kibana/#/discover/Steve-Slow-Train-Analysis-(2080s-and-2083s)?_g=(refreshInterval:(display:Off,section:0,value:0),time:(from:'2016-08-18 21:14:08-0600',mode:absolute,to:'2016-08-18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4" t="str">
            <v>N</v>
          </cell>
          <cell r="X204">
            <v>2</v>
          </cell>
          <cell r="Y204">
            <v>9.7199999999999995E-2</v>
          </cell>
          <cell r="Z204">
            <v>5.8906999999999998</v>
          </cell>
          <cell r="AA204">
            <v>5.7934999999999999</v>
          </cell>
          <cell r="AB204" t="e">
            <v>#N/A</v>
          </cell>
          <cell r="AC204" t="e">
            <v>#N/A</v>
          </cell>
          <cell r="AD204" t="str">
            <v>0847-18</v>
          </cell>
          <cell r="AE204" t="str">
            <v>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 &amp; aws s3 cp s3://rtdc.mdm.uploadarchive/RTDC4002/2016-08-19/ "%USERPROFILE%\AppData\Local\Temp\OnboardLogs"\RTDC4002\2016-08-19 --recursive &amp; "%USERPROFILE%\Documents\GitHub\mrs-test-scripts\Headless Mode &amp; Sideloading\WalkAndUnGZ.bat" "%USERPROFILE%\AppData\Local\Temp\OnboardLogs"\RTDC4002\2016-08-19</v>
          </cell>
        </row>
        <row r="205">
          <cell r="A205" t="str">
            <v>302-18</v>
          </cell>
          <cell r="B205">
            <v>4037</v>
          </cell>
          <cell r="C205" t="str">
            <v>DE.1.0.7.0</v>
          </cell>
          <cell r="D205" t="str">
            <v>300:22546</v>
          </cell>
          <cell r="E205">
            <v>42600.120370370372</v>
          </cell>
          <cell r="F205">
            <v>42600.121631944443</v>
          </cell>
          <cell r="G205">
            <v>1</v>
          </cell>
          <cell r="H205" t="str">
            <v>204:123</v>
          </cell>
          <cell r="I205">
            <v>42600.12877314815</v>
          </cell>
          <cell r="J205">
            <v>0</v>
          </cell>
          <cell r="K205" t="str">
            <v>4037/4038</v>
          </cell>
          <cell r="L205" t="str">
            <v>MAELZER</v>
          </cell>
          <cell r="M205">
            <v>7.1412037068512291E-3</v>
          </cell>
          <cell r="N205">
            <v>10.28333333786577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https://search-rtdc-monitor-bjffxe2xuh6vdkpspy63sjmuny.us-east-1.es.amazonaws.com/_plugin/kibana/#/discover/Steve-Slow-Train-Analysis-(2080s-and-2083s)?_g=(refreshInterval:(display:Off,section:0,value:0),time:(from:'2016-08-18 01:53:20-0600',mode:absolute,to:'2016-08-18 04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5" t="str">
            <v>Y</v>
          </cell>
          <cell r="X205">
            <v>-545</v>
          </cell>
          <cell r="Y205">
            <v>2.2545999999999999</v>
          </cell>
          <cell r="Z205">
            <v>1.23E-2</v>
          </cell>
          <cell r="AA205">
            <v>2.2422999999999997</v>
          </cell>
          <cell r="AB205" t="e">
            <v>#N/A</v>
          </cell>
          <cell r="AC205" t="e">
            <v>#N/A</v>
          </cell>
          <cell r="AD205" t="str">
            <v>0302-18</v>
          </cell>
          <cell r="AE205" t="str">
            <v>aws s3 cp s3://rtdc.mdm.uploadarchive/RTDC4037/2016-08-18/ "%USERPROFILE%\AppData\Local\Temp\OnboardLogs"\RTDC4037\2016-08-18 --recursive &amp; "%USERPROFILE%\Documents\GitHub\mrs-test-scripts\Headless Mode &amp; Sideloading\WalkAndUnGZ.bat" "%USERPROFILE%\AppData\Local\Temp\OnboardLogs"\RTDC4037\2016-08-18 &amp; aws s3 cp s3://rtdc.mdm.uploadarchive/RTDC4037/2016-08-19/ "%USERPROFILE%\AppData\Local\Temp\OnboardLogs"\RTDC4037\2016-08-19 --recursive &amp; "%USERPROFILE%\Documents\GitHub\mrs-test-scripts\Headless Mode &amp; Sideloading\WalkAndUnGZ.bat" "%USERPROFILE%\AppData\Local\Temp\OnboardLogs"\RTDC4037\2016-08-19</v>
          </cell>
        </row>
        <row r="206">
          <cell r="A206" t="str">
            <v>303-18</v>
          </cell>
          <cell r="B206">
            <v>4009</v>
          </cell>
          <cell r="C206" t="str">
            <v>DE.1.0.7.0</v>
          </cell>
          <cell r="D206" t="str">
            <v>204:460</v>
          </cell>
          <cell r="E206">
            <v>42600.777916666666</v>
          </cell>
          <cell r="F206">
            <v>42600.778622685182</v>
          </cell>
          <cell r="G206">
            <v>1</v>
          </cell>
          <cell r="H206" t="str">
            <v>300:23301</v>
          </cell>
          <cell r="I206">
            <v>42600.78497685185</v>
          </cell>
          <cell r="J206">
            <v>0</v>
          </cell>
          <cell r="K206" t="str">
            <v>4009/4010</v>
          </cell>
          <cell r="L206" t="str">
            <v>NEWELL</v>
          </cell>
          <cell r="M206">
            <v>6.3541666677338071E-3</v>
          </cell>
          <cell r="N206">
            <v>9.1500000015366822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https://search-rtdc-monitor-bjffxe2xuh6vdkpspy63sjmuny.us-east-1.es.amazonaws.com/_plugin/kibana/#/discover/Steve-Slow-Train-Analysis-(2080s-and-2083s)?_g=(refreshInterval:(display:Off,section:0,value:0),time:(from:'2016-08-18 17:40:12-0600',mode:absolute,to:'2016-08-18 19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06" t="str">
            <v>Y</v>
          </cell>
          <cell r="X206">
            <v>1</v>
          </cell>
          <cell r="Y206">
            <v>4.5999999999999999E-2</v>
          </cell>
          <cell r="Z206">
            <v>2.3300999999999998</v>
          </cell>
          <cell r="AA206">
            <v>2.2841</v>
          </cell>
          <cell r="AB206" t="e">
            <v>#N/A</v>
          </cell>
          <cell r="AC206" t="e">
            <v>#N/A</v>
          </cell>
          <cell r="AD206" t="str">
            <v>0303-18</v>
          </cell>
          <cell r="AE206" t="str">
    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    </cell>
        </row>
        <row r="207">
          <cell r="A207" t="str">
            <v>304-18</v>
          </cell>
          <cell r="B207">
            <v>4043</v>
          </cell>
          <cell r="C207" t="str">
            <v>DE.1.0.7.0</v>
          </cell>
          <cell r="D207" t="str">
            <v>300:22049</v>
          </cell>
          <cell r="E207">
            <v>42600.145497685182</v>
          </cell>
          <cell r="F207">
            <v>42600.146666666667</v>
          </cell>
          <cell r="G207">
            <v>1</v>
          </cell>
          <cell r="H207" t="str">
            <v>204:158</v>
          </cell>
          <cell r="I207">
            <v>42600.153958333336</v>
          </cell>
          <cell r="J207">
            <v>0</v>
          </cell>
          <cell r="K207" t="str">
            <v>4043/4044</v>
          </cell>
          <cell r="L207" t="str">
            <v>SPECTOR</v>
          </cell>
          <cell r="M207">
            <v>7.291666668606922E-3</v>
          </cell>
          <cell r="N207">
            <v>10.500000002793968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https://search-rtdc-monitor-bjffxe2xuh6vdkpspy63sjmuny.us-east-1.es.amazonaws.com/_plugin/kibana/#/discover/Steve-Slow-Train-Analysis-(2080s-and-2083s)?_g=(refreshInterval:(display:Off,section:0,value:0),time:(from:'2016-08-18 02:29:31-0600',mode:absolute,to:'2016-08-18 04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7" t="str">
            <v>Y</v>
          </cell>
          <cell r="X207">
            <v>1</v>
          </cell>
          <cell r="Y207">
            <v>2.2048999999999999</v>
          </cell>
          <cell r="Z207">
            <v>1.5800000000000002E-2</v>
          </cell>
          <cell r="AA207">
            <v>2.1890999999999998</v>
          </cell>
          <cell r="AB207" t="e">
            <v>#N/A</v>
          </cell>
          <cell r="AC207" t="e">
            <v>#N/A</v>
          </cell>
          <cell r="AD207" t="str">
            <v>0304-18</v>
          </cell>
          <cell r="AE207" t="str">
            <v>aws s3 cp s3://rtdc.mdm.uploadarchive/RTDC4043/2016-08-18/ "%USERPROFILE%\AppData\Local\Temp\OnboardLogs"\RTDC4043\2016-08-18 --recursive &amp; "%USERPROFILE%\Documents\GitHub\mrs-test-scripts\Headless Mode &amp; Sideloading\WalkAndUnGZ.bat" "%USERPROFILE%\AppData\Local\Temp\OnboardLogs"\RTDC4043\2016-08-18 &amp; aws s3 cp s3://rtdc.mdm.uploadarchive/RTDC4043/2016-08-19/ "%USERPROFILE%\AppData\Local\Temp\OnboardLogs"\RTDC4043\2016-08-19 --recursive &amp; "%USERPROFILE%\Documents\GitHub\mrs-test-scripts\Headless Mode &amp; Sideloading\WalkAndUnGZ.bat" "%USERPROFILE%\AppData\Local\Temp\OnboardLogs"\RTDC4043\2016-08-19</v>
          </cell>
        </row>
        <row r="208">
          <cell r="A208" t="str">
            <v>307-18</v>
          </cell>
          <cell r="B208">
            <v>4044</v>
          </cell>
          <cell r="C208" t="str">
            <v>DE.1.0.7.0</v>
          </cell>
          <cell r="D208" t="str">
            <v>204:440</v>
          </cell>
          <cell r="E208">
            <v>42600.8203125</v>
          </cell>
          <cell r="F208">
            <v>42600.821400462963</v>
          </cell>
          <cell r="G208">
            <v>1</v>
          </cell>
          <cell r="H208" t="str">
            <v>300:23301</v>
          </cell>
          <cell r="I208">
            <v>42600.828043981484</v>
          </cell>
          <cell r="J208">
            <v>0</v>
          </cell>
          <cell r="K208" t="str">
            <v>4043/4044</v>
          </cell>
          <cell r="L208" t="str">
            <v>DE LA ROSA</v>
          </cell>
          <cell r="M208">
            <v>6.6435185217414983E-3</v>
          </cell>
          <cell r="N208">
            <v>9.5666666713077575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https://search-rtdc-monitor-bjffxe2xuh6vdkpspy63sjmuny.us-east-1.es.amazonaws.com/_plugin/kibana/#/discover/Steve-Slow-Train-Analysis-(2080s-and-2083s)?_g=(refreshInterval:(display:Off,section:0,value:0),time:(from:'2016-08-18 18:41:15-0600',mode:absolute,to:'2016-08-18 20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8" t="str">
            <v>Y</v>
          </cell>
          <cell r="X208">
            <v>3</v>
          </cell>
          <cell r="Y208">
            <v>4.3999999999999997E-2</v>
          </cell>
          <cell r="Z208">
            <v>2.3300999999999998</v>
          </cell>
          <cell r="AA208">
            <v>2.2860999999999998</v>
          </cell>
          <cell r="AB208" t="e">
            <v>#N/A</v>
          </cell>
          <cell r="AC208" t="e">
            <v>#N/A</v>
          </cell>
          <cell r="AD208" t="str">
            <v>0307-18</v>
          </cell>
          <cell r="AE208" t="str">
    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    </cell>
        </row>
        <row r="209">
          <cell r="A209" t="str">
            <v>309-18</v>
          </cell>
          <cell r="B209">
            <v>4025</v>
          </cell>
          <cell r="C209" t="str">
            <v>DE.1.0.7.0</v>
          </cell>
          <cell r="D209" t="str">
            <v>204:475</v>
          </cell>
          <cell r="E209">
            <v>42601.029768518521</v>
          </cell>
          <cell r="F209">
            <v>42601.03052083333</v>
          </cell>
          <cell r="G209">
            <v>1</v>
          </cell>
          <cell r="H209" t="str">
            <v>300:23108</v>
          </cell>
          <cell r="I209">
            <v>42601.037094907406</v>
          </cell>
          <cell r="J209">
            <v>0</v>
          </cell>
          <cell r="K209" t="str">
            <v>4025/4026</v>
          </cell>
          <cell r="L209" t="str">
            <v>GOLIGHTLY</v>
          </cell>
          <cell r="M209">
            <v>6.5740740756154992E-3</v>
          </cell>
          <cell r="N209">
            <v>9.4666666688863188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https://search-rtdc-monitor-bjffxe2xuh6vdkpspy63sjmuny.us-east-1.es.amazonaws.com/_plugin/kibana/#/discover/Steve-Slow-Train-Analysis-(2080s-and-2083s)?_g=(refreshInterval:(display:Off,section:0,value:0),time:(from:'2016-08-18 23:42:52-0600',mode:absolute,to:'2016-08-19 01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9" t="str">
            <v>Y</v>
          </cell>
          <cell r="X209">
            <v>2</v>
          </cell>
          <cell r="Y209">
            <v>4.7500000000000001E-2</v>
          </cell>
          <cell r="Z209">
            <v>2.3108</v>
          </cell>
          <cell r="AA209">
            <v>2.2633000000000001</v>
          </cell>
          <cell r="AB209" t="e">
            <v>#N/A</v>
          </cell>
          <cell r="AC209" t="e">
            <v>#N/A</v>
          </cell>
          <cell r="AD209" t="str">
            <v>0309-18</v>
          </cell>
          <cell r="AE209" t="str">
            <v>aws s3 cp s3://rtdc.mdm.uploadarchive/RTDC4025/2016-08-19/ "%USERPROFILE%\AppData\Local\Temp\OnboardLogs"\RTDC4025\2016-08-19 --recursive &amp; "%USERPROFILE%\Documents\GitHub\mrs-test-scripts\Headless Mode &amp; Sideloading\WalkAndUnGZ.bat" "%USERPROFILE%\AppData\Local\Temp\OnboardLogs"\RTDC4025\2016-08-19 &amp; aws s3 cp s3://rtdc.mdm.uploadarchive/RTDC4025/2016-08-20/ "%USERPROFILE%\AppData\Local\Temp\OnboardLogs"\RTDC4025\2016-08-20 --recursive &amp; "%USERPROFILE%\Documents\GitHub\mrs-test-scripts\Headless Mode &amp; Sideloading\WalkAndUnGZ.bat" "%USERPROFILE%\AppData\Local\Temp\OnboardLogs"\RTDC4025\2016-08-20</v>
          </cell>
        </row>
        <row r="210">
          <cell r="A210" t="str">
            <v>311-18</v>
          </cell>
          <cell r="B210">
            <v>4029</v>
          </cell>
          <cell r="C210" t="str">
            <v>DE.1.0.7.0</v>
          </cell>
          <cell r="D210" t="str">
            <v>204:467</v>
          </cell>
          <cell r="E210">
            <v>42601.051145833335</v>
          </cell>
          <cell r="F210">
            <v>42601.052094907405</v>
          </cell>
          <cell r="G210">
            <v>1</v>
          </cell>
          <cell r="H210" t="str">
            <v>300:23308</v>
          </cell>
          <cell r="I210">
            <v>42601.058877314812</v>
          </cell>
          <cell r="J210">
            <v>0</v>
          </cell>
          <cell r="K210" t="str">
            <v>4029/4030</v>
          </cell>
          <cell r="L210" t="str">
            <v>DE LA ROSA</v>
          </cell>
          <cell r="M210">
            <v>6.7824074067175388E-3</v>
          </cell>
          <cell r="N210">
            <v>9.7666666656732559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https://search-rtdc-monitor-bjffxe2xuh6vdkpspy63sjmuny.us-east-1.es.amazonaws.com/_plugin/kibana/#/discover/Steve-Slow-Train-Analysis-(2080s-and-2083s)?_g=(refreshInterval:(display:Off,section:0,value:0),time:(from:'2016-08-19 00:13:39-0600',mode:absolute,to:'2016-08-19 02:24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10" t="str">
            <v>Y</v>
          </cell>
          <cell r="X210">
            <v>2</v>
          </cell>
          <cell r="Y210">
            <v>4.6699999999999998E-2</v>
          </cell>
          <cell r="Z210">
            <v>2.3308</v>
          </cell>
          <cell r="AA210">
            <v>2.2841</v>
          </cell>
          <cell r="AB210" t="e">
            <v>#N/A</v>
          </cell>
          <cell r="AC210" t="e">
            <v>#N/A</v>
          </cell>
          <cell r="AD210" t="str">
            <v>0311-18</v>
          </cell>
          <cell r="AE210" t="str">
            <v>aws s3 cp s3://rtdc.mdm.uploadarchive/RTDC4029/2016-08-19/ "%USERPROFILE%\AppData\Local\Temp\OnboardLogs"\RTDC4029\2016-08-19 --recursive &amp; "%USERPROFILE%\Documents\GitHub\mrs-test-scripts\Headless Mode &amp; Sideloading\WalkAndUnGZ.bat" "%USERPROFILE%\AppData\Local\Temp\OnboardLogs"\RTDC4029\2016-08-19 &amp; aws s3 cp s3://rtdc.mdm.uploadarchive/RTDC4029/2016-08-20/ "%USERPROFILE%\AppData\Local\Temp\OnboardLogs"\RTDC4029\2016-08-20 --recursive &amp; "%USERPROFILE%\Documents\GitHub\mrs-test-scripts\Headless Mode &amp; Sideloading\WalkAndUnGZ.bat" "%USERPROFILE%\AppData\Local\Temp\OnboardLogs"\RTDC4029\2016-08-20</v>
          </cell>
        </row>
        <row r="211">
          <cell r="A211" t="str">
            <v>313-17</v>
          </cell>
          <cell r="B211">
            <v>4016</v>
          </cell>
          <cell r="C211" t="str">
            <v>DE.1.0.7.0</v>
          </cell>
          <cell r="D211" t="str">
            <v>204:450</v>
          </cell>
          <cell r="E211">
            <v>42600.077650462961</v>
          </cell>
          <cell r="F211">
            <v>42600.078553240739</v>
          </cell>
          <cell r="G211">
            <v>1</v>
          </cell>
          <cell r="H211" t="str">
            <v>300:23301</v>
          </cell>
          <cell r="I211">
            <v>42600.086145833331</v>
          </cell>
          <cell r="J211">
            <v>0</v>
          </cell>
          <cell r="K211" t="str">
            <v>4015/4016</v>
          </cell>
          <cell r="L211" t="str">
            <v>LEVIN</v>
          </cell>
          <cell r="M211">
            <v>7.5925925921183079E-3</v>
          </cell>
          <cell r="N211">
            <v>10.933333332650363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1" t="str">
            <v>Y</v>
          </cell>
          <cell r="X211">
            <v>2</v>
          </cell>
          <cell r="Y211">
            <v>4.4999999999999998E-2</v>
          </cell>
          <cell r="Z211">
            <v>2.3300999999999998</v>
          </cell>
          <cell r="AA211">
            <v>2.2850999999999999</v>
          </cell>
          <cell r="AB211" t="e">
            <v>#N/A</v>
          </cell>
          <cell r="AC211" t="e">
            <v>#N/A</v>
          </cell>
          <cell r="AD211" t="str">
            <v>0313-17</v>
          </cell>
          <cell r="AE211" t="str">
    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    </cell>
        </row>
        <row r="212">
          <cell r="A212" t="str">
            <v>313-18</v>
          </cell>
          <cell r="B212">
            <v>4027</v>
          </cell>
          <cell r="C212" t="str">
            <v>DE.1.0.7.0</v>
          </cell>
          <cell r="D212" t="str">
            <v>204:462</v>
          </cell>
          <cell r="E212">
            <v>42601.069768518515</v>
          </cell>
          <cell r="F212">
            <v>42601.071203703701</v>
          </cell>
          <cell r="G212">
            <v>2</v>
          </cell>
          <cell r="H212" t="str">
            <v>300:22240</v>
          </cell>
          <cell r="I212">
            <v>42601.078136574077</v>
          </cell>
          <cell r="J212">
            <v>0</v>
          </cell>
          <cell r="K212" t="str">
            <v>4027/4028</v>
          </cell>
          <cell r="L212" t="str">
            <v>OUN</v>
          </cell>
          <cell r="M212">
            <v>6.9328703757491894E-3</v>
          </cell>
          <cell r="N212">
            <v>9.9833333410788327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https://search-rtdc-monitor-bjffxe2xuh6vdkpspy63sjmuny.us-east-1.es.amazonaws.com/_plugin/kibana/#/discover/Steve-Slow-Train-Analysis-(2080s-and-2083s)?_g=(refreshInterval:(display:Off,section:0,value:0),time:(from:'2016-08-19 00:40:28-0600',mode:absolute,to:'2016-08-19 02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12" t="str">
            <v>Y</v>
          </cell>
          <cell r="X212">
            <v>0</v>
          </cell>
          <cell r="Y212">
            <v>4.6199999999999998E-2</v>
          </cell>
          <cell r="Z212">
            <v>2.2240000000000002</v>
          </cell>
          <cell r="AA212">
            <v>2.1778000000000004</v>
          </cell>
          <cell r="AB212" t="e">
            <v>#N/A</v>
          </cell>
          <cell r="AC212" t="e">
            <v>#N/A</v>
          </cell>
          <cell r="AD212" t="str">
            <v>0313-18</v>
          </cell>
          <cell r="AE212" t="str">
            <v>aws s3 cp s3://rtdc.mdm.uploadarchive/RTDC4027/2016-08-19/ "%USERPROFILE%\AppData\Local\Temp\OnboardLogs"\RTDC4027\2016-08-19 --recursive &amp; "%USERPROFILE%\Documents\GitHub\mrs-test-scripts\Headless Mode &amp; Sideloading\WalkAndUnGZ.bat" "%USERPROFILE%\AppData\Local\Temp\OnboardLogs"\RTDC4027\2016-08-19 &amp; aws s3 cp s3://rtdc.mdm.uploadarchive/RTDC4027/2016-08-20/ "%USERPROFILE%\AppData\Local\Temp\OnboardLogs"\RTDC4027\2016-08-20 --recursive &amp; "%USERPROFILE%\Documents\GitHub\mrs-test-scripts\Headless Mode &amp; Sideloading\WalkAndUnGZ.bat" "%USERPROFILE%\AppData\Local\Temp\OnboardLogs"\RTDC4027\2016-08-20</v>
          </cell>
        </row>
        <row r="213">
          <cell r="A213" t="str">
            <v>315-18</v>
          </cell>
          <cell r="B213">
            <v>4007</v>
          </cell>
          <cell r="C213" t="str">
            <v>DE.1.0.7.0</v>
          </cell>
          <cell r="D213" t="str">
            <v>204:462</v>
          </cell>
          <cell r="E213">
            <v>42601.095358796294</v>
          </cell>
          <cell r="F213">
            <v>42601.097349537034</v>
          </cell>
          <cell r="G213">
            <v>2</v>
          </cell>
          <cell r="H213" t="str">
            <v>300:22644</v>
          </cell>
          <cell r="I213">
            <v>42601.104305555556</v>
          </cell>
          <cell r="J213">
            <v>0</v>
          </cell>
          <cell r="K213" t="str">
            <v>4007/4008</v>
          </cell>
          <cell r="L213" t="str">
            <v>STURGEON</v>
          </cell>
          <cell r="M213">
            <v>6.9560185220325366E-3</v>
          </cell>
          <cell r="N213">
            <v>10.016666671726853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https://search-rtdc-monitor-bjffxe2xuh6vdkpspy63sjmuny.us-east-1.es.amazonaws.com/_plugin/kibana/#/discover/Steve-Slow-Train-Analysis-(2080s-and-2083s)?_g=(refreshInterval:(display:Off,section:0,value:0),time:(from:'2016-08-19 01:17:19-0600',mode:absolute,to:'2016-08-19 03:30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3" t="str">
            <v>Y</v>
          </cell>
          <cell r="X213">
            <v>2</v>
          </cell>
          <cell r="Y213">
            <v>4.6199999999999998E-2</v>
          </cell>
          <cell r="Z213">
            <v>2.2644000000000002</v>
          </cell>
          <cell r="AA213">
            <v>2.2182000000000004</v>
          </cell>
          <cell r="AB213" t="e">
            <v>#N/A</v>
          </cell>
          <cell r="AC213" t="e">
            <v>#N/A</v>
          </cell>
          <cell r="AD213" t="str">
            <v>0315-18</v>
          </cell>
          <cell r="AE213" t="str">
            <v>aws s3 cp s3://rtdc.mdm.uploadarchive/RTDC4007/2016-08-19/ "%USERPROFILE%\AppData\Local\Temp\OnboardLogs"\RTDC4007\2016-08-19 --recursive &amp; "%USERPROFILE%\Documents\GitHub\mrs-test-scripts\Headless Mode &amp; Sideloading\WalkAndUnGZ.bat" "%USERPROFILE%\AppData\Local\Temp\OnboardLogs"\RTDC4007\2016-08-19 &amp; aws s3 cp s3://rtdc.mdm.uploadarchive/RTDC4007/2016-08-20/ "%USERPROFILE%\AppData\Local\Temp\OnboardLogs"\RTDC4007\2016-08-20 --recursive &amp; "%USERPROFILE%\Documents\GitHub\mrs-test-scripts\Headless Mode &amp; Sideloading\WalkAndUnGZ.bat" "%USERPROFILE%\AppData\Local\Temp\OnboardLogs"\RTDC4007\2016-08-20</v>
          </cell>
        </row>
        <row r="214">
          <cell r="A214" t="str">
            <v>904-18</v>
          </cell>
          <cell r="B214">
            <v>4019</v>
          </cell>
          <cell r="C214" t="str">
            <v>DE.1.0.7.0</v>
          </cell>
          <cell r="D214" t="str">
            <v>300:23525</v>
          </cell>
          <cell r="E214">
            <v>42600.635567129626</v>
          </cell>
          <cell r="F214">
            <v>42600.645416666666</v>
          </cell>
          <cell r="G214">
            <v>14</v>
          </cell>
          <cell r="H214" t="str">
            <v>204:650</v>
          </cell>
          <cell r="I214">
            <v>42600.650451388887</v>
          </cell>
          <cell r="J214">
            <v>0</v>
          </cell>
          <cell r="K214" t="str">
            <v>4019/4020</v>
          </cell>
          <cell r="L214" t="str">
            <v>ISHMAEL</v>
          </cell>
          <cell r="M214">
            <v>5.0347222204436548E-3</v>
          </cell>
          <cell r="N214">
            <v>7.2499999974388629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https://search-rtdc-monitor-bjffxe2xuh6vdkpspy63sjmuny.us-east-1.es.amazonaws.com/_plugin/kibana/#/discover/Steve-Slow-Train-Analysis-(2080s-and-2083s)?_g=(refreshInterval:(display:Off,section:0,value:0),time:(from:'2016-08-18 14:15:13-0600',mode:absolute,to:'2016-08-18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14" t="str">
            <v>Y</v>
          </cell>
          <cell r="X214">
            <v>589</v>
          </cell>
          <cell r="Y214">
            <v>2.3525</v>
          </cell>
          <cell r="Z214">
            <v>6.5000000000000002E-2</v>
          </cell>
          <cell r="AA214">
            <v>2.2875000000000001</v>
          </cell>
          <cell r="AB214" t="e">
            <v>#N/A</v>
          </cell>
          <cell r="AC214" t="e">
            <v>#N/A</v>
          </cell>
          <cell r="AD214" t="str">
            <v>0904-18</v>
          </cell>
          <cell r="AE214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215">
          <cell r="A215" t="str">
            <v>906-18</v>
          </cell>
          <cell r="B215">
            <v>4019</v>
          </cell>
          <cell r="C215" t="str">
            <v>DE.1.0.7.0</v>
          </cell>
          <cell r="D215" t="str">
            <v>300:58585</v>
          </cell>
          <cell r="E215">
            <v>42600.796435185184</v>
          </cell>
          <cell r="F215">
            <v>42600.797256944446</v>
          </cell>
          <cell r="G215">
            <v>1</v>
          </cell>
          <cell r="H215" t="str">
            <v>300:28788</v>
          </cell>
          <cell r="I215">
            <v>42600.80201388889</v>
          </cell>
          <cell r="J215">
            <v>0</v>
          </cell>
          <cell r="K215" t="str">
            <v>4019/4020</v>
          </cell>
          <cell r="L215" t="str">
            <v>ISHMAEL</v>
          </cell>
          <cell r="M215">
            <v>4.756944443215616E-3</v>
          </cell>
          <cell r="N215">
            <v>6.8499999982304871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https://search-rtdc-monitor-bjffxe2xuh6vdkpspy63sjmuny.us-east-1.es.amazonaws.com/_plugin/kibana/#/discover/Steve-Slow-Train-Analysis-(2080s-and-2083s)?_g=(refreshInterval:(display:Off,section:0,value:0),time:(from:'2016-08-18 18:06:52-0600',mode:absolute,to:'2016-08-18 20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15" t="str">
            <v>Y</v>
          </cell>
          <cell r="X215">
            <v>2</v>
          </cell>
          <cell r="Y215">
            <v>5.8585000000000003</v>
          </cell>
          <cell r="Z215">
            <v>2.8788</v>
          </cell>
          <cell r="AA215">
            <v>2.9797000000000002</v>
          </cell>
          <cell r="AB215" t="e">
            <v>#N/A</v>
          </cell>
          <cell r="AC215" t="e">
            <v>#N/A</v>
          </cell>
          <cell r="AD215" t="str">
            <v>0906-18</v>
          </cell>
          <cell r="AE215" t="str">
            <v>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 &amp; aws s3 cp s3://rtdc.mdm.uploadarchive/RTDC4019/2016-08-19/ "%USERPROFILE%\AppData\Local\Temp\OnboardLogs"\RTDC4019\2016-08-19 --recursive &amp; "%USERPROFILE%\Documents\GitHub\mrs-test-scripts\Headless Mode &amp; Sideloading\WalkAndUnGZ.bat" "%USERPROFILE%\AppData\Local\Temp\OnboardLogs"\RTDC4019\2016-08-19</v>
          </cell>
        </row>
        <row r="216">
          <cell r="A216" t="str">
            <v>908-18</v>
          </cell>
          <cell r="B216">
            <v>4001</v>
          </cell>
          <cell r="C216" t="str">
            <v>DE.1.0.7.0</v>
          </cell>
          <cell r="D216" t="str">
            <v>300:58583</v>
          </cell>
          <cell r="E216">
            <v>42600.942002314812</v>
          </cell>
          <cell r="F216">
            <v>42600.942696759259</v>
          </cell>
          <cell r="G216">
            <v>1</v>
          </cell>
          <cell r="H216" t="str">
            <v>300:21613</v>
          </cell>
          <cell r="I216">
            <v>42600.947650462964</v>
          </cell>
          <cell r="J216">
            <v>0</v>
          </cell>
          <cell r="K216" t="str">
            <v>4001/4002</v>
          </cell>
          <cell r="L216" t="str">
            <v>ISHMAEL</v>
          </cell>
          <cell r="M216">
            <v>4.9537037048139609E-3</v>
          </cell>
          <cell r="N216">
            <v>7.1333333349321038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https://search-rtdc-monitor-bjffxe2xuh6vdkpspy63sjmuny.us-east-1.es.amazonaws.com/_plugin/kibana/#/discover/Steve-Slow-Train-Analysis-(2080s-and-2083s)?_g=(refreshInterval:(display:Off,section:0,value:0),time:(from:'2016-08-18 21:36:29-0600',mode:absolute,to:'2016-08-18 23:44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16" t="str">
            <v>Y</v>
          </cell>
          <cell r="X216">
            <v>2</v>
          </cell>
          <cell r="Y216">
            <v>5.8582999999999998</v>
          </cell>
          <cell r="Z216">
            <v>2.1613000000000002</v>
          </cell>
          <cell r="AA216">
            <v>3.6969999999999996</v>
          </cell>
          <cell r="AB216" t="e">
            <v>#N/A</v>
          </cell>
          <cell r="AC216" t="e">
            <v>#N/A</v>
          </cell>
          <cell r="AD216" t="str">
            <v>0908-18</v>
          </cell>
          <cell r="AE216" t="str">
            <v>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 &amp; aws s3 cp s3://rtdc.mdm.uploadarchive/RTDC4001/2016-08-19/ "%USERPROFILE%\AppData\Local\Temp\OnboardLogs"\RTDC4001\2016-08-19 --recursive &amp; "%USERPROFILE%\Documents\GitHub\mrs-test-scripts\Headless Mode &amp; Sideloading\WalkAndUnGZ.bat" "%USERPROFILE%\AppData\Local\Temp\OnboardLogs"\RTDC4001\2016-08-19</v>
          </cell>
        </row>
        <row r="217">
          <cell r="A217" t="str">
            <v>52-18</v>
          </cell>
          <cell r="B217">
            <v>4013</v>
          </cell>
          <cell r="C217" t="str">
            <v>DE.1.0.7.0</v>
          </cell>
          <cell r="D217" t="str">
            <v>300:22074</v>
          </cell>
          <cell r="E217">
            <v>42600.746990740743</v>
          </cell>
          <cell r="F217">
            <v>42600.753275462965</v>
          </cell>
          <cell r="G217">
            <v>9</v>
          </cell>
          <cell r="H217" t="str">
            <v>204:148</v>
          </cell>
          <cell r="I217">
            <v>42600.759988425925</v>
          </cell>
          <cell r="J217">
            <v>0</v>
          </cell>
          <cell r="K217" t="str">
            <v>4013/4014</v>
          </cell>
          <cell r="L217" t="str">
            <v>STURGEON</v>
          </cell>
          <cell r="M217">
            <v>6.7129629605915397E-3</v>
          </cell>
          <cell r="N217">
            <v>9.6666666632518172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https://search-rtdc-monitor-bjffxe2xuh6vdkpspy63sjmuny.us-east-1.es.amazonaws.com/_plugin/kibana/#/discover/Steve-Slow-Train-Analysis-(2080s-and-2083s)?_g=(refreshInterval:(display:Off,section:0,value:0),time:(from:'2016-08-18 16:55:40-0600',mode:absolute,to:'2016-08-18 19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17" t="str">
            <v>Y</v>
          </cell>
          <cell r="X217" t="e">
            <v>#VALUE!</v>
          </cell>
          <cell r="Y217">
            <v>2.2073999999999998</v>
          </cell>
          <cell r="Z217">
            <v>1.4800000000000001E-2</v>
          </cell>
          <cell r="AA217">
            <v>2.1925999999999997</v>
          </cell>
          <cell r="AB217" t="e">
            <v>#N/A</v>
          </cell>
          <cell r="AC217" t="e">
            <v>#N/A</v>
          </cell>
          <cell r="AD217" t="str">
            <v>52-18</v>
          </cell>
          <cell r="AE217" t="str">
    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    </cell>
        </row>
        <row r="218">
          <cell r="A218" t="str">
            <v>67-18</v>
          </cell>
          <cell r="B218">
            <v>4042</v>
          </cell>
          <cell r="C218" t="str">
            <v>DE.1.0.7.0</v>
          </cell>
          <cell r="D218" t="str">
            <v>204:1486</v>
          </cell>
          <cell r="E218">
            <v>42600.785555555558</v>
          </cell>
          <cell r="F218">
            <v>42600.786504629628</v>
          </cell>
          <cell r="G218">
            <v>1</v>
          </cell>
          <cell r="H218" t="str">
            <v>300:23299</v>
          </cell>
          <cell r="I218">
            <v>42600.794502314813</v>
          </cell>
          <cell r="J218">
            <v>0</v>
          </cell>
          <cell r="K218" t="str">
            <v>4041/4042</v>
          </cell>
          <cell r="L218" t="str">
            <v>MOSES</v>
          </cell>
          <cell r="M218">
            <v>7.9976851848186925E-3</v>
          </cell>
          <cell r="N218">
            <v>11.516666666138917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https://search-rtdc-monitor-bjffxe2xuh6vdkpspy63sjmuny.us-east-1.es.amazonaws.com/_plugin/kibana/#/discover/Steve-Slow-Train-Analysis-(2080s-and-2083s)?_g=(refreshInterval:(display:Off,section:0,value:0),time:(from:'2016-08-18 17:51:12-0600',mode:absolute,to:'2016-08-18 20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18" t="str">
            <v>Y</v>
          </cell>
          <cell r="X218" t="e">
            <v>#VALUE!</v>
          </cell>
          <cell r="Y218">
            <v>0.14860000000000001</v>
          </cell>
          <cell r="Z218">
            <v>2.3298999999999999</v>
          </cell>
          <cell r="AA218">
            <v>2.1812999999999998</v>
          </cell>
          <cell r="AB218" t="e">
            <v>#N/A</v>
          </cell>
          <cell r="AC218" t="e">
            <v>#N/A</v>
          </cell>
          <cell r="AD218" t="str">
            <v>67-18</v>
          </cell>
          <cell r="AE218" t="str">
            <v>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 &amp; aws s3 cp s3://rtdc.mdm.uploadarchive/RTDC4042/2016-08-19/ "%USERPROFILE%\AppData\Local\Temp\OnboardLogs"\RTDC4042\2016-08-19 --recursive &amp; "%USERPROFILE%\Documents\GitHub\mrs-test-scripts\Headless Mode &amp; Sideloading\WalkAndUnGZ.bat" "%USERPROFILE%\AppData\Local\Temp\OnboardLogs"\RTDC4042\2016-08-19</v>
          </cell>
        </row>
      </sheetData>
      <sheetData sheetId="1" refreshError="1"/>
      <sheetData sheetId="2" refreshError="1"/>
      <sheetData sheetId="3">
        <row r="1">
          <cell r="C1" t="str">
            <v>242-17</v>
          </cell>
          <cell r="D1">
            <v>1300000</v>
          </cell>
          <cell r="E1" t="str">
            <v>LEVIN</v>
          </cell>
        </row>
        <row r="2">
          <cell r="C2" t="str">
            <v>309-17</v>
          </cell>
          <cell r="D2">
            <v>1480000</v>
          </cell>
          <cell r="E2" t="str">
            <v>STURGEON</v>
          </cell>
        </row>
        <row r="3">
          <cell r="C3" t="str">
            <v>311-17</v>
          </cell>
          <cell r="D3">
            <v>2100000</v>
          </cell>
          <cell r="E3" t="str">
            <v>ISHMAEL</v>
          </cell>
        </row>
        <row r="4">
          <cell r="C4" t="str">
            <v>244-17</v>
          </cell>
          <cell r="D4">
            <v>1780000</v>
          </cell>
          <cell r="E4" t="str">
            <v>DE LA ROSA</v>
          </cell>
        </row>
        <row r="5">
          <cell r="C5" t="str">
            <v>313-17</v>
          </cell>
          <cell r="D5">
            <v>1300000</v>
          </cell>
          <cell r="E5" t="str">
            <v>LEVIN</v>
          </cell>
        </row>
        <row r="6">
          <cell r="C6" t="str">
            <v>302-18</v>
          </cell>
          <cell r="D6">
            <v>2010000</v>
          </cell>
          <cell r="E6" t="str">
            <v>MAELZER</v>
          </cell>
        </row>
        <row r="7">
          <cell r="C7" t="str">
            <v>101-18</v>
          </cell>
          <cell r="D7">
            <v>2010000</v>
          </cell>
          <cell r="E7" t="str">
            <v>MAELZER</v>
          </cell>
        </row>
        <row r="8">
          <cell r="C8" t="str">
            <v>304-18</v>
          </cell>
          <cell r="D8">
            <v>1090000</v>
          </cell>
          <cell r="E8" t="str">
            <v>SPECTOR</v>
          </cell>
        </row>
        <row r="9">
          <cell r="C9" t="str">
            <v>103-18</v>
          </cell>
          <cell r="D9">
            <v>1090000</v>
          </cell>
          <cell r="E9" t="str">
            <v>SPECTOR</v>
          </cell>
        </row>
        <row r="10">
          <cell r="C10" t="str">
            <v>102-18</v>
          </cell>
          <cell r="D10">
            <v>2010000</v>
          </cell>
          <cell r="E10" t="str">
            <v>MAELZER</v>
          </cell>
        </row>
        <row r="11">
          <cell r="C11" t="str">
            <v>105-18</v>
          </cell>
          <cell r="D11">
            <v>1310000</v>
          </cell>
          <cell r="E11" t="str">
            <v>MALAVE</v>
          </cell>
        </row>
        <row r="12">
          <cell r="C12" t="str">
            <v>107-18</v>
          </cell>
          <cell r="D12">
            <v>1760000</v>
          </cell>
          <cell r="E12" t="str">
            <v>STRICKLAND</v>
          </cell>
        </row>
        <row r="13">
          <cell r="C13" t="str">
            <v>109-18</v>
          </cell>
          <cell r="D13">
            <v>900000</v>
          </cell>
          <cell r="E13" t="str">
            <v>ROCHA</v>
          </cell>
        </row>
        <row r="14">
          <cell r="C14" t="str">
            <v>104-18</v>
          </cell>
          <cell r="D14">
            <v>1090000</v>
          </cell>
          <cell r="E14" t="str">
            <v>SPECTOR</v>
          </cell>
        </row>
        <row r="15">
          <cell r="C15" t="str">
            <v>111-18</v>
          </cell>
          <cell r="D15">
            <v>1110000</v>
          </cell>
          <cell r="E15" t="str">
            <v>STARKS</v>
          </cell>
        </row>
        <row r="16">
          <cell r="C16" t="str">
            <v>800-18</v>
          </cell>
          <cell r="D16">
            <v>1830000</v>
          </cell>
          <cell r="E16" t="str">
            <v>YORK</v>
          </cell>
        </row>
        <row r="17">
          <cell r="C17" t="str">
            <v>106-18</v>
          </cell>
          <cell r="D17">
            <v>1310000</v>
          </cell>
          <cell r="E17" t="str">
            <v>MALAVE</v>
          </cell>
        </row>
        <row r="18">
          <cell r="C18" t="str">
            <v>106-18</v>
          </cell>
          <cell r="D18">
            <v>1310000</v>
          </cell>
          <cell r="E18" t="str">
            <v>MALAVE</v>
          </cell>
        </row>
        <row r="19">
          <cell r="C19" t="str">
            <v>113-18</v>
          </cell>
          <cell r="D19">
            <v>2010000</v>
          </cell>
          <cell r="E19" t="str">
            <v>MAELZER</v>
          </cell>
        </row>
        <row r="20">
          <cell r="C20" t="str">
            <v>111-18</v>
          </cell>
          <cell r="D20">
            <v>1110000</v>
          </cell>
          <cell r="E20" t="str">
            <v>STARKS</v>
          </cell>
        </row>
        <row r="21">
          <cell r="C21" t="str">
            <v>108-18</v>
          </cell>
          <cell r="D21">
            <v>1760000</v>
          </cell>
          <cell r="E21" t="str">
            <v>STRICKLAND</v>
          </cell>
        </row>
        <row r="22">
          <cell r="C22" t="str">
            <v>115-18</v>
          </cell>
          <cell r="D22">
            <v>1190000</v>
          </cell>
          <cell r="E22" t="str">
            <v>BRANNON</v>
          </cell>
        </row>
        <row r="23">
          <cell r="C23" t="str">
            <v>801-18</v>
          </cell>
          <cell r="D23">
            <v>1830000</v>
          </cell>
          <cell r="E23" t="str">
            <v>YORK</v>
          </cell>
        </row>
        <row r="24">
          <cell r="C24" t="str">
            <v>117-18</v>
          </cell>
          <cell r="D24">
            <v>1090000</v>
          </cell>
          <cell r="E24" t="str">
            <v>SPECTOR</v>
          </cell>
        </row>
        <row r="25">
          <cell r="C25" t="str">
            <v>110-18</v>
          </cell>
          <cell r="D25">
            <v>900000</v>
          </cell>
          <cell r="E25" t="str">
            <v>ROCHA</v>
          </cell>
        </row>
        <row r="26">
          <cell r="C26" t="str">
            <v>112-18</v>
          </cell>
          <cell r="D26">
            <v>1110000</v>
          </cell>
          <cell r="E26" t="str">
            <v>STARKS</v>
          </cell>
        </row>
        <row r="27">
          <cell r="C27" t="str">
            <v>119-18</v>
          </cell>
          <cell r="D27">
            <v>1310000</v>
          </cell>
          <cell r="E27" t="str">
            <v>MALAVE</v>
          </cell>
        </row>
        <row r="28">
          <cell r="C28" t="str">
            <v>114-18</v>
          </cell>
          <cell r="D28">
            <v>2010000</v>
          </cell>
          <cell r="E28" t="str">
            <v>MAELZER</v>
          </cell>
        </row>
        <row r="29">
          <cell r="C29" t="str">
            <v>803-18</v>
          </cell>
          <cell r="D29">
            <v>2150000</v>
          </cell>
          <cell r="E29" t="str">
            <v>SWANSON</v>
          </cell>
        </row>
        <row r="30">
          <cell r="C30" t="str">
            <v>803-18</v>
          </cell>
          <cell r="D30">
            <v>2150000</v>
          </cell>
          <cell r="E30" t="str">
            <v>SWANSON</v>
          </cell>
        </row>
        <row r="31">
          <cell r="C31" t="str">
            <v>802-18</v>
          </cell>
          <cell r="D31">
            <v>1830000</v>
          </cell>
          <cell r="E31" t="str">
            <v>YORK</v>
          </cell>
        </row>
        <row r="32">
          <cell r="C32" t="str">
            <v>121-18</v>
          </cell>
          <cell r="D32">
            <v>1760000</v>
          </cell>
          <cell r="E32" t="str">
            <v>STRICKLAND</v>
          </cell>
        </row>
        <row r="33">
          <cell r="C33" t="str">
            <v>116-18</v>
          </cell>
          <cell r="D33">
            <v>1190000</v>
          </cell>
          <cell r="E33" t="str">
            <v>BRANNON</v>
          </cell>
        </row>
        <row r="34">
          <cell r="C34" t="str">
            <v>805-18</v>
          </cell>
          <cell r="D34">
            <v>1830000</v>
          </cell>
          <cell r="E34" t="str">
            <v>YORK</v>
          </cell>
        </row>
        <row r="35">
          <cell r="C35" t="str">
            <v>123-18</v>
          </cell>
          <cell r="D35">
            <v>900000</v>
          </cell>
          <cell r="E35" t="str">
            <v>ROCHA</v>
          </cell>
        </row>
        <row r="36">
          <cell r="C36" t="str">
            <v>118-18</v>
          </cell>
          <cell r="D36">
            <v>1090000</v>
          </cell>
          <cell r="E36" t="str">
            <v>SPECTOR</v>
          </cell>
        </row>
        <row r="37">
          <cell r="C37" t="str">
            <v>804-18</v>
          </cell>
          <cell r="D37">
            <v>2150000</v>
          </cell>
          <cell r="E37" t="str">
            <v>SWANSON</v>
          </cell>
        </row>
        <row r="38">
          <cell r="C38" t="str">
            <v>125-18</v>
          </cell>
          <cell r="D38">
            <v>1110000</v>
          </cell>
          <cell r="E38" t="str">
            <v>STARKS</v>
          </cell>
        </row>
        <row r="39">
          <cell r="C39" t="str">
            <v>120-18</v>
          </cell>
          <cell r="D39">
            <v>1310000</v>
          </cell>
          <cell r="E39" t="str">
            <v>MALAVE</v>
          </cell>
        </row>
        <row r="40">
          <cell r="C40" t="str">
            <v>127-18</v>
          </cell>
          <cell r="D40">
            <v>2010000</v>
          </cell>
          <cell r="E40" t="str">
            <v>MAELZER</v>
          </cell>
        </row>
        <row r="41">
          <cell r="C41" t="str">
            <v>122-18</v>
          </cell>
          <cell r="D41">
            <v>1760000</v>
          </cell>
          <cell r="E41" t="str">
            <v>STRICKLAND</v>
          </cell>
        </row>
        <row r="42">
          <cell r="C42" t="str">
            <v>806-18</v>
          </cell>
          <cell r="D42">
            <v>1830000</v>
          </cell>
          <cell r="E42" t="str">
            <v>YORK</v>
          </cell>
        </row>
        <row r="43">
          <cell r="C43" t="str">
            <v>129-18</v>
          </cell>
          <cell r="D43">
            <v>1190000</v>
          </cell>
          <cell r="E43" t="str">
            <v>BRANNON</v>
          </cell>
        </row>
        <row r="44">
          <cell r="C44" t="str">
            <v>807-18</v>
          </cell>
          <cell r="D44">
            <v>1100000</v>
          </cell>
          <cell r="E44" t="str">
            <v>GEBRETEKLE</v>
          </cell>
        </row>
        <row r="45">
          <cell r="C45" t="str">
            <v>124-18</v>
          </cell>
          <cell r="D45">
            <v>900000</v>
          </cell>
          <cell r="E45" t="str">
            <v>ROCHA</v>
          </cell>
        </row>
        <row r="46">
          <cell r="C46" t="str">
            <v>131-18</v>
          </cell>
          <cell r="D46">
            <v>1090000</v>
          </cell>
          <cell r="E46" t="str">
            <v>SPECTOR</v>
          </cell>
        </row>
        <row r="47">
          <cell r="C47" t="str">
            <v>810-18</v>
          </cell>
          <cell r="D47">
            <v>1830000</v>
          </cell>
          <cell r="E47" t="str">
            <v>YORK</v>
          </cell>
        </row>
        <row r="48">
          <cell r="C48" t="str">
            <v>809-18</v>
          </cell>
          <cell r="D48">
            <v>1830000</v>
          </cell>
          <cell r="E48" t="str">
            <v>YORK</v>
          </cell>
        </row>
        <row r="49">
          <cell r="C49" t="str">
            <v>808-18</v>
          </cell>
          <cell r="D49">
            <v>1100000</v>
          </cell>
          <cell r="E49" t="str">
            <v>GEBRETEKLE</v>
          </cell>
        </row>
        <row r="50">
          <cell r="C50" t="str">
            <v>126-18</v>
          </cell>
          <cell r="D50">
            <v>1110000</v>
          </cell>
          <cell r="E50" t="str">
            <v>STARKS</v>
          </cell>
        </row>
        <row r="51">
          <cell r="C51" t="str">
            <v>128-18</v>
          </cell>
          <cell r="D51">
            <v>2010000</v>
          </cell>
          <cell r="E51" t="str">
            <v>MAELZER</v>
          </cell>
        </row>
        <row r="52">
          <cell r="C52" t="str">
            <v>133-18</v>
          </cell>
          <cell r="D52">
            <v>2150000</v>
          </cell>
          <cell r="E52" t="str">
            <v>SWANSON</v>
          </cell>
        </row>
        <row r="53">
          <cell r="C53" t="str">
            <v>135-18</v>
          </cell>
          <cell r="D53">
            <v>1760000</v>
          </cell>
          <cell r="E53" t="str">
            <v>STRICKLAND</v>
          </cell>
        </row>
        <row r="54">
          <cell r="C54" t="str">
            <v>130-18</v>
          </cell>
          <cell r="D54">
            <v>1190000</v>
          </cell>
          <cell r="E54" t="str">
            <v>BRANNON</v>
          </cell>
        </row>
        <row r="55">
          <cell r="C55" t="str">
            <v>810-18</v>
          </cell>
          <cell r="D55">
            <v>1830000</v>
          </cell>
          <cell r="E55" t="str">
            <v>YORK</v>
          </cell>
        </row>
        <row r="56">
          <cell r="C56" t="str">
            <v>137-18</v>
          </cell>
          <cell r="D56">
            <v>900000</v>
          </cell>
          <cell r="E56" t="str">
            <v>ROCHA</v>
          </cell>
        </row>
        <row r="57">
          <cell r="C57" t="str">
            <v>811-18</v>
          </cell>
          <cell r="D57">
            <v>1100000</v>
          </cell>
          <cell r="E57" t="str">
            <v>GEBRETEKLE</v>
          </cell>
        </row>
        <row r="58">
          <cell r="C58" t="str">
            <v>132-18</v>
          </cell>
          <cell r="D58">
            <v>1090000</v>
          </cell>
          <cell r="E58" t="str">
            <v>SPECTOR</v>
          </cell>
        </row>
        <row r="59">
          <cell r="C59" t="str">
            <v>139-18</v>
          </cell>
          <cell r="D59">
            <v>1110000</v>
          </cell>
          <cell r="E59" t="str">
            <v>STARKS</v>
          </cell>
        </row>
        <row r="60">
          <cell r="C60" t="str">
            <v>134-18</v>
          </cell>
          <cell r="D60">
            <v>2150000</v>
          </cell>
          <cell r="E60" t="str">
            <v>SWANSON</v>
          </cell>
        </row>
        <row r="61">
          <cell r="C61" t="str">
            <v>812-18</v>
          </cell>
          <cell r="D61">
            <v>1100000</v>
          </cell>
          <cell r="E61" t="str">
            <v>GEBRETEKLE</v>
          </cell>
        </row>
        <row r="62">
          <cell r="C62" t="str">
            <v>141-18</v>
          </cell>
          <cell r="D62">
            <v>2010000</v>
          </cell>
          <cell r="E62" t="str">
            <v>MAELZER</v>
          </cell>
        </row>
        <row r="63">
          <cell r="C63" t="str">
            <v>136-18</v>
          </cell>
          <cell r="D63">
            <v>1760000</v>
          </cell>
          <cell r="E63" t="str">
            <v>STRICKLAND</v>
          </cell>
        </row>
        <row r="64">
          <cell r="C64" t="str">
            <v>143-18</v>
          </cell>
          <cell r="D64">
            <v>1190000</v>
          </cell>
          <cell r="E64" t="str">
            <v>BRANNON</v>
          </cell>
        </row>
        <row r="65">
          <cell r="C65" t="str">
            <v>138-18</v>
          </cell>
          <cell r="D65">
            <v>900000</v>
          </cell>
          <cell r="E65" t="str">
            <v>ROCHA</v>
          </cell>
        </row>
        <row r="66">
          <cell r="C66" t="str">
            <v>145-18</v>
          </cell>
          <cell r="D66">
            <v>1090000</v>
          </cell>
          <cell r="E66" t="str">
            <v>SPECTOR</v>
          </cell>
        </row>
        <row r="67">
          <cell r="C67" t="str">
            <v>813-18</v>
          </cell>
          <cell r="D67">
            <v>1100000</v>
          </cell>
          <cell r="E67" t="str">
            <v>GEBRETEKLE</v>
          </cell>
        </row>
        <row r="68">
          <cell r="C68" t="str">
            <v>140-18</v>
          </cell>
          <cell r="D68">
            <v>1110000</v>
          </cell>
          <cell r="E68" t="str">
            <v>STARKS</v>
          </cell>
        </row>
        <row r="69">
          <cell r="C69" t="str">
            <v>147-18</v>
          </cell>
          <cell r="D69">
            <v>1310000</v>
          </cell>
          <cell r="E69" t="str">
            <v>MALAVE</v>
          </cell>
        </row>
        <row r="70">
          <cell r="C70" t="str">
            <v>142-18</v>
          </cell>
          <cell r="D70">
            <v>2010000</v>
          </cell>
          <cell r="E70" t="str">
            <v>MAELZER</v>
          </cell>
        </row>
        <row r="71">
          <cell r="C71" t="str">
            <v>814-18</v>
          </cell>
          <cell r="D71">
            <v>1100000</v>
          </cell>
          <cell r="E71" t="str">
            <v>GEBRETEKLE</v>
          </cell>
        </row>
        <row r="72">
          <cell r="C72" t="str">
            <v>150-18</v>
          </cell>
          <cell r="D72">
            <v>1760000</v>
          </cell>
          <cell r="E72" t="str">
            <v>STRICKLAND</v>
          </cell>
        </row>
        <row r="73">
          <cell r="C73" t="str">
            <v>149-18</v>
          </cell>
          <cell r="D73">
            <v>1760000</v>
          </cell>
          <cell r="E73" t="str">
            <v>STRICKLAND</v>
          </cell>
        </row>
        <row r="74">
          <cell r="C74" t="str">
            <v>144-18</v>
          </cell>
          <cell r="D74">
            <v>1190000</v>
          </cell>
          <cell r="E74" t="str">
            <v>BRANNON</v>
          </cell>
        </row>
        <row r="75">
          <cell r="C75" t="str">
            <v>151-18</v>
          </cell>
          <cell r="D75">
            <v>900000</v>
          </cell>
          <cell r="E75" t="str">
            <v>ROCHA</v>
          </cell>
        </row>
        <row r="76">
          <cell r="C76" t="str">
            <v>146-18</v>
          </cell>
          <cell r="D76">
            <v>1090000</v>
          </cell>
          <cell r="E76" t="str">
            <v>SPECTOR</v>
          </cell>
        </row>
        <row r="77">
          <cell r="C77" t="str">
            <v>153-18</v>
          </cell>
          <cell r="D77">
            <v>1110000</v>
          </cell>
          <cell r="E77" t="str">
            <v>STARKS</v>
          </cell>
        </row>
        <row r="78">
          <cell r="C78" t="str">
            <v>815-18</v>
          </cell>
          <cell r="D78">
            <v>1100000</v>
          </cell>
          <cell r="E78" t="str">
            <v>GEBRETEKLE</v>
          </cell>
        </row>
        <row r="79">
          <cell r="C79" t="str">
            <v>148-18</v>
          </cell>
          <cell r="D79">
            <v>1310000</v>
          </cell>
          <cell r="E79" t="str">
            <v>MALAVE</v>
          </cell>
        </row>
        <row r="80">
          <cell r="C80" t="str">
            <v>155-18</v>
          </cell>
          <cell r="D80">
            <v>1830000</v>
          </cell>
          <cell r="E80" t="str">
            <v>YORK</v>
          </cell>
        </row>
        <row r="81">
          <cell r="C81" t="str">
            <v>150-18</v>
          </cell>
          <cell r="D81">
            <v>1760000</v>
          </cell>
          <cell r="E81" t="str">
            <v>STRICKLAND</v>
          </cell>
        </row>
        <row r="82">
          <cell r="C82" t="str">
            <v>816-18</v>
          </cell>
          <cell r="D82">
            <v>1100000</v>
          </cell>
          <cell r="E82" t="str">
            <v>GEBRETEKLE</v>
          </cell>
        </row>
        <row r="83">
          <cell r="C83" t="str">
            <v>157-18</v>
          </cell>
          <cell r="D83">
            <v>1240000</v>
          </cell>
          <cell r="E83" t="str">
            <v>GRASTON</v>
          </cell>
        </row>
        <row r="84">
          <cell r="C84" t="str">
            <v>152-18</v>
          </cell>
          <cell r="D84">
            <v>900000</v>
          </cell>
          <cell r="E84" t="str">
            <v>ROCHA</v>
          </cell>
        </row>
        <row r="85">
          <cell r="C85" t="str">
            <v>159-18</v>
          </cell>
          <cell r="D85">
            <v>940000</v>
          </cell>
          <cell r="E85" t="str">
            <v>BONDS</v>
          </cell>
        </row>
        <row r="86">
          <cell r="C86" t="str">
            <v>156-18</v>
          </cell>
          <cell r="D86">
            <v>1830000</v>
          </cell>
          <cell r="E86" t="str">
            <v>YORK</v>
          </cell>
        </row>
        <row r="87">
          <cell r="C87" t="str">
            <v>154-18</v>
          </cell>
          <cell r="D87">
            <v>1110000</v>
          </cell>
          <cell r="E87" t="str">
            <v>STARKS</v>
          </cell>
        </row>
        <row r="88">
          <cell r="C88" t="str">
            <v>161-18</v>
          </cell>
          <cell r="D88">
            <v>1360000</v>
          </cell>
          <cell r="E88" t="str">
            <v>SANTIZO</v>
          </cell>
        </row>
        <row r="89">
          <cell r="C89" t="str">
            <v>817-18</v>
          </cell>
          <cell r="D89">
            <v>2090000</v>
          </cell>
          <cell r="E89" t="str">
            <v>HAITHCOX</v>
          </cell>
        </row>
        <row r="90">
          <cell r="C90" t="str">
            <v>161-18</v>
          </cell>
          <cell r="D90">
            <v>1360000</v>
          </cell>
          <cell r="E90" t="str">
            <v>SANTIZO</v>
          </cell>
        </row>
        <row r="91">
          <cell r="C91" t="str">
            <v>158-18</v>
          </cell>
          <cell r="D91">
            <v>1240000</v>
          </cell>
          <cell r="E91" t="str">
            <v>GRASTON</v>
          </cell>
        </row>
        <row r="92">
          <cell r="C92" t="str">
            <v>163-18</v>
          </cell>
          <cell r="D92">
            <v>2040000</v>
          </cell>
          <cell r="E92" t="str">
            <v>MOSES</v>
          </cell>
        </row>
        <row r="93">
          <cell r="C93" t="str">
            <v>156-18</v>
          </cell>
          <cell r="D93">
            <v>1830000</v>
          </cell>
          <cell r="E93" t="str">
            <v>YORK</v>
          </cell>
        </row>
        <row r="94">
          <cell r="C94" t="str">
            <v>165-18</v>
          </cell>
          <cell r="D94">
            <v>1810000</v>
          </cell>
          <cell r="E94" t="str">
            <v>NEWELL</v>
          </cell>
        </row>
        <row r="95">
          <cell r="C95" t="str">
            <v>818-18</v>
          </cell>
          <cell r="D95">
            <v>2090000</v>
          </cell>
          <cell r="E95" t="str">
            <v>HAITHCOX</v>
          </cell>
        </row>
        <row r="96">
          <cell r="C96" t="str">
            <v>160-18</v>
          </cell>
          <cell r="D96">
            <v>940000</v>
          </cell>
          <cell r="E96" t="str">
            <v>BONDS</v>
          </cell>
        </row>
        <row r="97">
          <cell r="C97" t="str">
            <v>162-18</v>
          </cell>
          <cell r="D97">
            <v>1360000</v>
          </cell>
          <cell r="E97" t="str">
            <v>SANTIZO</v>
          </cell>
        </row>
        <row r="98">
          <cell r="C98" t="str">
            <v>167-18</v>
          </cell>
          <cell r="D98">
            <v>2000000</v>
          </cell>
          <cell r="E98" t="str">
            <v>STAMBAUGH</v>
          </cell>
        </row>
        <row r="99">
          <cell r="C99" t="str">
            <v>169-18</v>
          </cell>
          <cell r="D99">
            <v>2150000</v>
          </cell>
          <cell r="E99" t="str">
            <v>SWANSON</v>
          </cell>
        </row>
        <row r="100">
          <cell r="C100" t="str">
            <v>819-18</v>
          </cell>
          <cell r="D100">
            <v>1100000</v>
          </cell>
          <cell r="E100" t="str">
            <v>GEBRETEKLE</v>
          </cell>
        </row>
        <row r="101">
          <cell r="C101" t="str">
            <v>164-18</v>
          </cell>
          <cell r="D101">
            <v>2040000</v>
          </cell>
          <cell r="E101" t="str">
            <v>MOSES</v>
          </cell>
        </row>
        <row r="102">
          <cell r="C102" t="str">
            <v>166-18</v>
          </cell>
          <cell r="D102">
            <v>1810000</v>
          </cell>
          <cell r="E102" t="str">
            <v>NEWELL</v>
          </cell>
        </row>
        <row r="103">
          <cell r="C103" t="str">
            <v>171-18</v>
          </cell>
          <cell r="D103">
            <v>1240000</v>
          </cell>
          <cell r="E103" t="str">
            <v>GRASTON</v>
          </cell>
        </row>
        <row r="104">
          <cell r="C104" t="str">
            <v>820-18</v>
          </cell>
          <cell r="D104">
            <v>1100000</v>
          </cell>
          <cell r="E104" t="str">
            <v>GEBRETEKLE</v>
          </cell>
        </row>
        <row r="105">
          <cell r="C105" t="str">
            <v>173-18</v>
          </cell>
          <cell r="D105">
            <v>940000</v>
          </cell>
          <cell r="E105" t="str">
            <v>BONDS</v>
          </cell>
        </row>
        <row r="106">
          <cell r="C106" t="str">
            <v>175-18</v>
          </cell>
          <cell r="D106">
            <v>1360000</v>
          </cell>
          <cell r="E106" t="str">
            <v>SANTIZO</v>
          </cell>
        </row>
        <row r="107">
          <cell r="C107" t="str">
            <v>168-18</v>
          </cell>
          <cell r="D107">
            <v>2000000</v>
          </cell>
          <cell r="E107" t="str">
            <v>STAMBAUGH</v>
          </cell>
        </row>
        <row r="108">
          <cell r="C108" t="str">
            <v>170-18</v>
          </cell>
          <cell r="D108">
            <v>2150000</v>
          </cell>
          <cell r="E108" t="str">
            <v>SWANSON</v>
          </cell>
        </row>
        <row r="109">
          <cell r="C109" t="str">
            <v>821-18</v>
          </cell>
          <cell r="D109">
            <v>1540000</v>
          </cell>
          <cell r="E109" t="str">
            <v>HELVIE</v>
          </cell>
        </row>
        <row r="110">
          <cell r="C110" t="str">
            <v>177-18</v>
          </cell>
          <cell r="D110">
            <v>2040000</v>
          </cell>
          <cell r="E110" t="str">
            <v>MOSES</v>
          </cell>
        </row>
        <row r="111">
          <cell r="C111" t="str">
            <v>172-18</v>
          </cell>
          <cell r="D111">
            <v>1240000</v>
          </cell>
          <cell r="E111" t="str">
            <v>GRASTON</v>
          </cell>
        </row>
        <row r="112">
          <cell r="C112" t="str">
            <v>179-18</v>
          </cell>
          <cell r="D112">
            <v>1810000</v>
          </cell>
          <cell r="E112" t="str">
            <v>NEWELL</v>
          </cell>
        </row>
        <row r="113">
          <cell r="C113" t="str">
            <v>174-18</v>
          </cell>
          <cell r="D113">
            <v>940000</v>
          </cell>
          <cell r="E113" t="str">
            <v>BONDS</v>
          </cell>
        </row>
        <row r="114">
          <cell r="C114" t="str">
            <v>822-18</v>
          </cell>
          <cell r="D114">
            <v>1540000</v>
          </cell>
          <cell r="E114" t="str">
            <v>HELVIE</v>
          </cell>
        </row>
        <row r="115">
          <cell r="C115" t="str">
            <v>181-18</v>
          </cell>
          <cell r="D115">
            <v>2000000</v>
          </cell>
          <cell r="E115" t="str">
            <v>STAMBAUGH</v>
          </cell>
        </row>
        <row r="116">
          <cell r="C116" t="str">
            <v>176-18</v>
          </cell>
          <cell r="D116">
            <v>1360000</v>
          </cell>
          <cell r="E116" t="str">
            <v>SANTIZO</v>
          </cell>
        </row>
        <row r="117">
          <cell r="C117" t="str">
            <v>183-18</v>
          </cell>
          <cell r="D117">
            <v>2090000</v>
          </cell>
          <cell r="E117" t="str">
            <v>HAITHCOX</v>
          </cell>
        </row>
        <row r="118">
          <cell r="C118" t="str">
            <v>178-18</v>
          </cell>
          <cell r="D118">
            <v>2040000</v>
          </cell>
          <cell r="E118" t="str">
            <v>MOSES</v>
          </cell>
        </row>
        <row r="119">
          <cell r="C119" t="str">
            <v>180-18</v>
          </cell>
          <cell r="D119">
            <v>1810000</v>
          </cell>
          <cell r="E119" t="str">
            <v>NEWELL</v>
          </cell>
        </row>
        <row r="120">
          <cell r="C120" t="str">
            <v>185-18</v>
          </cell>
          <cell r="D120">
            <v>1240000</v>
          </cell>
          <cell r="E120" t="str">
            <v>GRASTON</v>
          </cell>
        </row>
        <row r="121">
          <cell r="C121" t="str">
            <v>823-18</v>
          </cell>
          <cell r="D121">
            <v>1540000</v>
          </cell>
          <cell r="E121" t="str">
            <v>HELVIE</v>
          </cell>
        </row>
        <row r="122">
          <cell r="C122" t="str">
            <v>187-18</v>
          </cell>
          <cell r="D122">
            <v>940000</v>
          </cell>
          <cell r="E122" t="str">
            <v>BONDS</v>
          </cell>
        </row>
        <row r="123">
          <cell r="C123" t="str">
            <v>824-18</v>
          </cell>
          <cell r="D123">
            <v>1540000</v>
          </cell>
          <cell r="E123" t="str">
            <v>HELVIE</v>
          </cell>
        </row>
        <row r="124">
          <cell r="C124" t="str">
            <v>182-18</v>
          </cell>
          <cell r="D124">
            <v>2000000</v>
          </cell>
          <cell r="E124" t="str">
            <v>STAMBAUGH</v>
          </cell>
        </row>
        <row r="125">
          <cell r="C125" t="str">
            <v>189-18</v>
          </cell>
          <cell r="D125">
            <v>1360000</v>
          </cell>
          <cell r="E125" t="str">
            <v>SANTIZO</v>
          </cell>
        </row>
        <row r="126">
          <cell r="C126" t="str">
            <v>184-18</v>
          </cell>
          <cell r="D126">
            <v>2090000</v>
          </cell>
          <cell r="E126" t="str">
            <v>HAITHCOX</v>
          </cell>
        </row>
        <row r="127">
          <cell r="C127" t="str">
            <v>191-18</v>
          </cell>
          <cell r="D127">
            <v>2040000</v>
          </cell>
          <cell r="E127" t="str">
            <v>MOSES</v>
          </cell>
        </row>
        <row r="128">
          <cell r="C128" t="str">
            <v>186-18</v>
          </cell>
          <cell r="D128">
            <v>1240000</v>
          </cell>
          <cell r="E128" t="str">
            <v>GRASTON</v>
          </cell>
        </row>
        <row r="129">
          <cell r="C129" t="str">
            <v>825-18</v>
          </cell>
          <cell r="D129">
            <v>1540000</v>
          </cell>
          <cell r="E129" t="str">
            <v>HELVIE</v>
          </cell>
        </row>
        <row r="130">
          <cell r="C130" t="str">
            <v>193-18</v>
          </cell>
          <cell r="D130">
            <v>1810000</v>
          </cell>
          <cell r="E130" t="str">
            <v>NEWELL</v>
          </cell>
        </row>
        <row r="131">
          <cell r="C131" t="str">
            <v>904-18</v>
          </cell>
          <cell r="D131">
            <v>2100000</v>
          </cell>
          <cell r="E131" t="str">
            <v>ISHMAEL</v>
          </cell>
        </row>
        <row r="132">
          <cell r="C132" t="str">
            <v>188-18</v>
          </cell>
          <cell r="D132">
            <v>940000</v>
          </cell>
          <cell r="E132" t="str">
            <v>BONDS</v>
          </cell>
        </row>
        <row r="133">
          <cell r="C133" t="str">
            <v>195-18</v>
          </cell>
          <cell r="D133">
            <v>2000000</v>
          </cell>
          <cell r="E133" t="str">
            <v>STAMBAUGH</v>
          </cell>
        </row>
        <row r="134">
          <cell r="C134" t="str">
            <v>190-18</v>
          </cell>
          <cell r="D134">
            <v>1360000</v>
          </cell>
          <cell r="E134" t="str">
            <v>SANTIZO</v>
          </cell>
        </row>
        <row r="135">
          <cell r="C135" t="str">
            <v>826-18</v>
          </cell>
          <cell r="D135">
            <v>1540000</v>
          </cell>
          <cell r="E135" t="str">
            <v>HELVIE</v>
          </cell>
        </row>
        <row r="136">
          <cell r="C136" t="str">
            <v>197-18</v>
          </cell>
          <cell r="D136">
            <v>2090000</v>
          </cell>
          <cell r="E136" t="str">
            <v>HAITHCOX</v>
          </cell>
        </row>
        <row r="137">
          <cell r="C137" t="str">
            <v>827-18</v>
          </cell>
          <cell r="D137">
            <v>2100000</v>
          </cell>
          <cell r="E137" t="str">
            <v>ISHMAEL</v>
          </cell>
        </row>
        <row r="138">
          <cell r="C138" t="str">
            <v>192-18</v>
          </cell>
          <cell r="D138">
            <v>2040000</v>
          </cell>
          <cell r="E138" t="str">
            <v>MOSES</v>
          </cell>
        </row>
        <row r="139">
          <cell r="C139" t="str">
            <v>199-18</v>
          </cell>
          <cell r="D139">
            <v>1240000</v>
          </cell>
          <cell r="E139" t="str">
            <v>GRASTON</v>
          </cell>
        </row>
        <row r="140">
          <cell r="C140" t="str">
            <v>194-18</v>
          </cell>
          <cell r="D140">
            <v>1810000</v>
          </cell>
          <cell r="E140" t="str">
            <v>NEWELL</v>
          </cell>
        </row>
        <row r="141">
          <cell r="C141" t="str">
            <v>829-18</v>
          </cell>
          <cell r="D141">
            <v>1540000</v>
          </cell>
          <cell r="E141" t="str">
            <v>HELVIE</v>
          </cell>
        </row>
        <row r="142">
          <cell r="C142" t="str">
            <v>828-18</v>
          </cell>
          <cell r="D142">
            <v>2100000</v>
          </cell>
          <cell r="E142" t="str">
            <v>ISHMAEL</v>
          </cell>
        </row>
        <row r="143">
          <cell r="C143" t="str">
            <v>201-18</v>
          </cell>
          <cell r="D143">
            <v>940000</v>
          </cell>
          <cell r="E143" t="str">
            <v>BONDS</v>
          </cell>
        </row>
        <row r="144">
          <cell r="C144" t="str">
            <v>196-18</v>
          </cell>
          <cell r="D144">
            <v>2000000</v>
          </cell>
          <cell r="E144" t="str">
            <v>STAMBAUGH</v>
          </cell>
        </row>
        <row r="145">
          <cell r="C145" t="str">
            <v>203-18</v>
          </cell>
          <cell r="D145">
            <v>1360000</v>
          </cell>
          <cell r="E145" t="str">
            <v>SANTIZO</v>
          </cell>
        </row>
        <row r="146">
          <cell r="C146" t="str">
            <v>205-18</v>
          </cell>
          <cell r="D146">
            <v>2040000</v>
          </cell>
          <cell r="E146" t="str">
            <v>MOSES</v>
          </cell>
        </row>
        <row r="147">
          <cell r="C147" t="str">
            <v>198-18</v>
          </cell>
          <cell r="D147">
            <v>2090000</v>
          </cell>
          <cell r="E147" t="str">
            <v>HAITHCOX</v>
          </cell>
        </row>
        <row r="148">
          <cell r="C148" t="str">
            <v>830-18</v>
          </cell>
          <cell r="D148">
            <v>1540000</v>
          </cell>
          <cell r="E148" t="str">
            <v>HELVIE</v>
          </cell>
        </row>
        <row r="149">
          <cell r="C149" t="str">
            <v>831-18</v>
          </cell>
          <cell r="D149">
            <v>2100000</v>
          </cell>
          <cell r="E149" t="str">
            <v>ISHMAEL</v>
          </cell>
        </row>
        <row r="150">
          <cell r="C150" t="str">
            <v>200-18</v>
          </cell>
          <cell r="D150">
            <v>1240000</v>
          </cell>
          <cell r="E150" t="str">
            <v>GRASTON</v>
          </cell>
        </row>
        <row r="151">
          <cell r="C151" t="str">
            <v>207-18</v>
          </cell>
          <cell r="D151">
            <v>1810000</v>
          </cell>
          <cell r="E151" t="str">
            <v>NEWELL</v>
          </cell>
        </row>
        <row r="152">
          <cell r="C152" t="str">
            <v>202-18</v>
          </cell>
          <cell r="D152">
            <v>940000</v>
          </cell>
          <cell r="E152" t="str">
            <v>BONDS</v>
          </cell>
        </row>
        <row r="153">
          <cell r="C153" t="str">
            <v>832-18</v>
          </cell>
          <cell r="D153">
            <v>2100000</v>
          </cell>
          <cell r="E153" t="str">
            <v>ISHMAEL</v>
          </cell>
        </row>
        <row r="154">
          <cell r="C154" t="str">
            <v>209-18</v>
          </cell>
          <cell r="D154">
            <v>730000</v>
          </cell>
          <cell r="E154" t="str">
            <v>HOMIK</v>
          </cell>
        </row>
        <row r="155">
          <cell r="C155" t="str">
            <v>833-18</v>
          </cell>
          <cell r="D155">
            <v>1540000</v>
          </cell>
          <cell r="E155" t="str">
            <v>HELVIE</v>
          </cell>
        </row>
        <row r="156">
          <cell r="C156" t="str">
            <v>204-18</v>
          </cell>
          <cell r="D156">
            <v>1360000</v>
          </cell>
          <cell r="E156" t="str">
            <v>SANTIZO</v>
          </cell>
        </row>
        <row r="157">
          <cell r="C157" t="str">
            <v>204-18</v>
          </cell>
          <cell r="D157">
            <v>1360000</v>
          </cell>
          <cell r="E157" t="str">
            <v>SANTIZO</v>
          </cell>
        </row>
        <row r="158">
          <cell r="C158" t="str">
            <v>211-18</v>
          </cell>
          <cell r="D158">
            <v>2000000</v>
          </cell>
          <cell r="E158" t="str">
            <v>STAMBAUGH</v>
          </cell>
        </row>
        <row r="159">
          <cell r="C159" t="str">
            <v>206-18</v>
          </cell>
          <cell r="D159">
            <v>2040000</v>
          </cell>
          <cell r="E159" t="str">
            <v>MOSES</v>
          </cell>
        </row>
        <row r="160">
          <cell r="C160" t="str">
            <v>834-18</v>
          </cell>
          <cell r="D160">
            <v>1540000</v>
          </cell>
          <cell r="E160" t="str">
            <v>HELVIE</v>
          </cell>
        </row>
        <row r="161">
          <cell r="C161" t="str">
            <v>208-18</v>
          </cell>
          <cell r="D161">
            <v>1810000</v>
          </cell>
          <cell r="E161" t="str">
            <v>NEWELL</v>
          </cell>
        </row>
        <row r="162">
          <cell r="C162" t="str">
            <v>835-18</v>
          </cell>
          <cell r="D162">
            <v>2100000</v>
          </cell>
          <cell r="E162" t="str">
            <v>ISHMAEL</v>
          </cell>
        </row>
        <row r="163">
          <cell r="C163" t="str">
            <v>213-18</v>
          </cell>
          <cell r="D163">
            <v>1240000</v>
          </cell>
          <cell r="E163" t="str">
            <v>GRASTON</v>
          </cell>
        </row>
        <row r="164">
          <cell r="C164" t="str">
            <v>215-18</v>
          </cell>
          <cell r="D164">
            <v>1780000</v>
          </cell>
          <cell r="E164" t="str">
            <v>DE LA ROSA</v>
          </cell>
        </row>
        <row r="165">
          <cell r="C165" t="str">
            <v>52-18</v>
          </cell>
          <cell r="D165">
            <v>1480000</v>
          </cell>
          <cell r="E165" t="str">
            <v>STURGEON</v>
          </cell>
        </row>
        <row r="166">
          <cell r="C166" t="str">
            <v>210-18</v>
          </cell>
          <cell r="D166">
            <v>730000</v>
          </cell>
          <cell r="E166" t="str">
            <v>HOMIK</v>
          </cell>
        </row>
        <row r="167">
          <cell r="C167" t="str">
            <v>836-18</v>
          </cell>
          <cell r="D167">
            <v>2100000</v>
          </cell>
          <cell r="E167" t="str">
            <v>ISHMAEL</v>
          </cell>
        </row>
        <row r="168">
          <cell r="C168" t="str">
            <v>217-18</v>
          </cell>
          <cell r="D168">
            <v>1300000</v>
          </cell>
          <cell r="E168" t="str">
            <v>LEVIN</v>
          </cell>
        </row>
        <row r="169">
          <cell r="C169" t="str">
            <v>837-18</v>
          </cell>
          <cell r="D169">
            <v>1540000</v>
          </cell>
          <cell r="E169" t="str">
            <v>HELVIE</v>
          </cell>
        </row>
        <row r="170">
          <cell r="C170" t="str">
            <v>212-18</v>
          </cell>
          <cell r="D170">
            <v>2000000</v>
          </cell>
          <cell r="E170" t="str">
            <v>STAMBAUGH</v>
          </cell>
        </row>
        <row r="171">
          <cell r="C171" t="str">
            <v>219-18</v>
          </cell>
          <cell r="D171">
            <v>1480000</v>
          </cell>
          <cell r="E171" t="str">
            <v>STURGEON</v>
          </cell>
        </row>
        <row r="172">
          <cell r="C172" t="str">
            <v>214-18</v>
          </cell>
          <cell r="D172">
            <v>1780000</v>
          </cell>
          <cell r="E172" t="str">
            <v>DE LA ROSA</v>
          </cell>
        </row>
        <row r="173">
          <cell r="C173" t="str">
            <v>838-18</v>
          </cell>
          <cell r="D173">
            <v>1540000</v>
          </cell>
          <cell r="E173" t="str">
            <v>HELVIE</v>
          </cell>
        </row>
        <row r="174">
          <cell r="C174" t="str">
            <v>303-18</v>
          </cell>
          <cell r="D174">
            <v>1810000</v>
          </cell>
          <cell r="E174" t="str">
            <v>NEWELL</v>
          </cell>
        </row>
        <row r="175">
          <cell r="C175" t="str">
            <v>839-18</v>
          </cell>
          <cell r="D175">
            <v>2100000</v>
          </cell>
          <cell r="E175" t="str">
            <v>ISHMAEL</v>
          </cell>
        </row>
        <row r="176">
          <cell r="C176" t="str">
            <v>216-18</v>
          </cell>
          <cell r="D176">
            <v>940000</v>
          </cell>
          <cell r="E176" t="str">
            <v>BONDS</v>
          </cell>
        </row>
        <row r="177">
          <cell r="C177" t="str">
            <v>67-18</v>
          </cell>
          <cell r="D177">
            <v>2040000</v>
          </cell>
          <cell r="E177" t="str">
            <v>MOSES</v>
          </cell>
        </row>
        <row r="178">
          <cell r="C178" t="str">
            <v>221-18</v>
          </cell>
          <cell r="D178">
            <v>730000</v>
          </cell>
          <cell r="E178" t="str">
            <v>HOMIK</v>
          </cell>
        </row>
        <row r="179">
          <cell r="C179" t="str">
            <v>218-18</v>
          </cell>
          <cell r="D179">
            <v>1300000</v>
          </cell>
          <cell r="E179" t="str">
            <v>LEVIN</v>
          </cell>
        </row>
        <row r="180">
          <cell r="C180" t="str">
            <v>906-18</v>
          </cell>
          <cell r="D180">
            <v>2100000</v>
          </cell>
          <cell r="E180" t="str">
            <v>ISHMAEL</v>
          </cell>
        </row>
        <row r="181">
          <cell r="C181" t="str">
            <v>305-18</v>
          </cell>
          <cell r="D181">
            <v>2000000</v>
          </cell>
          <cell r="E181" t="str">
            <v>STAMBAUGH</v>
          </cell>
        </row>
        <row r="182">
          <cell r="C182" t="str">
            <v>841-18</v>
          </cell>
          <cell r="D182">
            <v>1540000</v>
          </cell>
          <cell r="E182" t="str">
            <v>HELVIE</v>
          </cell>
        </row>
        <row r="183">
          <cell r="C183" t="str">
            <v>220-18</v>
          </cell>
          <cell r="D183">
            <v>1480000</v>
          </cell>
          <cell r="E183" t="str">
            <v>STURGEON</v>
          </cell>
        </row>
        <row r="184">
          <cell r="C184" t="str">
            <v>223-18</v>
          </cell>
          <cell r="D184">
            <v>1780000</v>
          </cell>
          <cell r="E184" t="str">
            <v>DE LA ROSA</v>
          </cell>
        </row>
        <row r="185">
          <cell r="C185" t="str">
            <v>840-18</v>
          </cell>
          <cell r="D185">
            <v>1540000</v>
          </cell>
          <cell r="E185" t="str">
            <v>HELVIE</v>
          </cell>
        </row>
        <row r="186">
          <cell r="C186" t="str">
            <v>307-18</v>
          </cell>
          <cell r="D186">
            <v>1780000</v>
          </cell>
          <cell r="E186" t="str">
            <v>DE LA ROSA</v>
          </cell>
        </row>
        <row r="187">
          <cell r="C187" t="str">
            <v>222-18</v>
          </cell>
          <cell r="D187">
            <v>730000</v>
          </cell>
          <cell r="E187" t="str">
            <v>HOMIK</v>
          </cell>
        </row>
        <row r="188">
          <cell r="C188" t="str">
            <v>225-18</v>
          </cell>
          <cell r="D188">
            <v>2110000</v>
          </cell>
          <cell r="E188" t="str">
            <v>OUN</v>
          </cell>
        </row>
        <row r="189">
          <cell r="C189" t="str">
            <v>843-18</v>
          </cell>
          <cell r="D189">
            <v>1540000</v>
          </cell>
          <cell r="E189" t="str">
            <v>HELVIE</v>
          </cell>
        </row>
        <row r="190">
          <cell r="C190" t="str">
            <v>224-18</v>
          </cell>
          <cell r="D190">
            <v>1780000</v>
          </cell>
          <cell r="E190" t="str">
            <v>DE LA ROSA</v>
          </cell>
        </row>
        <row r="191">
          <cell r="C191" t="str">
            <v>227-18</v>
          </cell>
          <cell r="D191">
            <v>1480000</v>
          </cell>
          <cell r="E191" t="str">
            <v>STURGEON</v>
          </cell>
        </row>
        <row r="192">
          <cell r="C192" t="str">
            <v>842-18</v>
          </cell>
          <cell r="D192">
            <v>1540000</v>
          </cell>
          <cell r="E192" t="str">
            <v>HELVIE</v>
          </cell>
        </row>
        <row r="193">
          <cell r="C193" t="str">
            <v>229-18</v>
          </cell>
          <cell r="D193">
            <v>730000</v>
          </cell>
          <cell r="E193" t="str">
            <v>HOMIK</v>
          </cell>
        </row>
        <row r="194">
          <cell r="C194" t="str">
            <v>226-18</v>
          </cell>
          <cell r="D194">
            <v>2110000</v>
          </cell>
          <cell r="E194" t="str">
            <v>OUN</v>
          </cell>
        </row>
        <row r="195">
          <cell r="C195" t="str">
            <v>845-18</v>
          </cell>
          <cell r="D195">
            <v>2100000</v>
          </cell>
          <cell r="E195" t="str">
            <v>ISHMAEL</v>
          </cell>
        </row>
        <row r="196">
          <cell r="C196" t="str">
            <v>228-18</v>
          </cell>
          <cell r="D196">
            <v>1480000</v>
          </cell>
          <cell r="E196" t="str">
            <v>STURGEON</v>
          </cell>
        </row>
        <row r="197">
          <cell r="C197" t="str">
            <v>231-18</v>
          </cell>
          <cell r="D197">
            <v>1780000</v>
          </cell>
          <cell r="E197" t="str">
            <v>DE LA ROSA</v>
          </cell>
        </row>
        <row r="198">
          <cell r="C198" t="str">
            <v>844-18</v>
          </cell>
          <cell r="D198">
            <v>2100000</v>
          </cell>
          <cell r="E198" t="str">
            <v>ISHMAEL</v>
          </cell>
        </row>
        <row r="199">
          <cell r="C199" t="str">
            <v>230-18</v>
          </cell>
          <cell r="D199">
            <v>730000</v>
          </cell>
          <cell r="E199" t="str">
            <v>HOMIK</v>
          </cell>
        </row>
        <row r="200">
          <cell r="C200" t="str">
            <v>233-18</v>
          </cell>
          <cell r="D200">
            <v>2110000</v>
          </cell>
          <cell r="E200" t="str">
            <v>OUN</v>
          </cell>
        </row>
        <row r="201">
          <cell r="C201" t="str">
            <v>847-18</v>
          </cell>
          <cell r="D201">
            <v>2100000</v>
          </cell>
          <cell r="E201" t="str">
            <v>ISHMAEL</v>
          </cell>
        </row>
        <row r="202">
          <cell r="C202" t="str">
            <v>232-18</v>
          </cell>
          <cell r="D202">
            <v>1780000</v>
          </cell>
          <cell r="E202" t="str">
            <v>DE LA ROSA</v>
          </cell>
        </row>
        <row r="203">
          <cell r="C203" t="str">
            <v>235-18</v>
          </cell>
          <cell r="D203">
            <v>1480000</v>
          </cell>
          <cell r="E203" t="str">
            <v>STURGEON</v>
          </cell>
        </row>
        <row r="204">
          <cell r="C204" t="str">
            <v>908-18</v>
          </cell>
          <cell r="D204">
            <v>2100000</v>
          </cell>
          <cell r="E204" t="str">
            <v>ISHMAEL</v>
          </cell>
        </row>
        <row r="205">
          <cell r="C205" t="str">
            <v>237-18</v>
          </cell>
          <cell r="D205">
            <v>1410000</v>
          </cell>
          <cell r="E205" t="str">
            <v>GOLIGHTLY</v>
          </cell>
        </row>
        <row r="206">
          <cell r="C206" t="str">
            <v>234-18</v>
          </cell>
          <cell r="D206">
            <v>2110000</v>
          </cell>
          <cell r="E206" t="str">
            <v>OUN</v>
          </cell>
        </row>
        <row r="207">
          <cell r="C207" t="str">
            <v>236-18</v>
          </cell>
          <cell r="D207">
            <v>1480000</v>
          </cell>
          <cell r="E207" t="str">
            <v>STURGEON</v>
          </cell>
        </row>
        <row r="208">
          <cell r="C208" t="str">
            <v>239-18</v>
          </cell>
          <cell r="D208">
            <v>1780000</v>
          </cell>
          <cell r="E208" t="str">
            <v>DE LA ROSA</v>
          </cell>
        </row>
        <row r="209">
          <cell r="C209" t="str">
            <v>238-18</v>
          </cell>
          <cell r="D209">
            <v>1410000</v>
          </cell>
          <cell r="E209" t="str">
            <v>GOLIGHTLY</v>
          </cell>
        </row>
        <row r="210">
          <cell r="C210" t="str">
            <v>241-18</v>
          </cell>
          <cell r="D210">
            <v>1300000</v>
          </cell>
          <cell r="E210" t="str">
            <v>LEVIN</v>
          </cell>
        </row>
        <row r="211">
          <cell r="C211" t="str">
            <v>241-18</v>
          </cell>
          <cell r="D211">
            <v>1300000</v>
          </cell>
          <cell r="E211" t="str">
            <v>LEVIN</v>
          </cell>
        </row>
        <row r="212">
          <cell r="C212" t="str">
            <v>243-18</v>
          </cell>
          <cell r="D212">
            <v>1480000</v>
          </cell>
          <cell r="E212" t="str">
            <v>STURGEON</v>
          </cell>
        </row>
        <row r="213">
          <cell r="C213" t="str">
            <v>240-18</v>
          </cell>
          <cell r="D213">
            <v>1780000</v>
          </cell>
          <cell r="E213" t="str">
            <v>DE LA ROSA</v>
          </cell>
        </row>
        <row r="214">
          <cell r="C214" t="str">
            <v>309-18</v>
          </cell>
          <cell r="D214">
            <v>1410000</v>
          </cell>
          <cell r="E214" t="str">
            <v>GOLIGHTLY</v>
          </cell>
        </row>
        <row r="215">
          <cell r="C215" t="str">
            <v>309-18</v>
          </cell>
          <cell r="D215">
            <v>1410000</v>
          </cell>
          <cell r="E215" t="str">
            <v>GOLIGHTLY</v>
          </cell>
        </row>
        <row r="216">
          <cell r="C216" t="str">
            <v>242-18</v>
          </cell>
          <cell r="D216">
            <v>2110000</v>
          </cell>
          <cell r="E216" t="str">
            <v>OUN</v>
          </cell>
        </row>
        <row r="217">
          <cell r="C217" t="str">
            <v>311-18</v>
          </cell>
          <cell r="D217">
            <v>1780000</v>
          </cell>
          <cell r="E217" t="str">
            <v>DE LA ROSA</v>
          </cell>
        </row>
        <row r="218">
          <cell r="C218" t="str">
            <v>244-18</v>
          </cell>
          <cell r="D218">
            <v>1480000</v>
          </cell>
          <cell r="E218" t="str">
            <v>STURGEON</v>
          </cell>
        </row>
        <row r="219">
          <cell r="C219" t="str">
            <v>313-18</v>
          </cell>
          <cell r="D219">
            <v>2110000</v>
          </cell>
          <cell r="E219" t="str">
            <v>OUN</v>
          </cell>
        </row>
        <row r="220">
          <cell r="C220" t="str">
            <v>313-18</v>
          </cell>
          <cell r="D220">
            <v>2110000</v>
          </cell>
          <cell r="E220" t="str">
            <v>OUN</v>
          </cell>
        </row>
        <row r="221">
          <cell r="C221" t="str">
            <v>313-18</v>
          </cell>
          <cell r="D221">
            <v>2110000</v>
          </cell>
          <cell r="E221" t="str">
            <v>OUN</v>
          </cell>
        </row>
        <row r="222">
          <cell r="C222" t="str">
            <v>315-18</v>
          </cell>
          <cell r="D222">
            <v>1480000</v>
          </cell>
          <cell r="E222" t="str">
            <v>STURGEON</v>
          </cell>
        </row>
        <row r="224">
          <cell r="C224" t="str">
            <v>241-16</v>
          </cell>
          <cell r="D224">
            <v>2100000</v>
          </cell>
          <cell r="E224" t="str">
            <v>ISHMAEL</v>
          </cell>
        </row>
        <row r="225">
          <cell r="C225" t="str">
            <v>240-16</v>
          </cell>
          <cell r="D225">
            <v>1740000</v>
          </cell>
          <cell r="E225" t="str">
            <v>STORY</v>
          </cell>
        </row>
        <row r="226">
          <cell r="C226" t="str">
            <v>243-16</v>
          </cell>
          <cell r="D226">
            <v>1800000</v>
          </cell>
          <cell r="E226" t="str">
            <v>CHANDLER</v>
          </cell>
        </row>
        <row r="227">
          <cell r="C227" t="str">
            <v>244-16</v>
          </cell>
          <cell r="D227">
            <v>1800000</v>
          </cell>
          <cell r="E227" t="str">
            <v>CHANDLER</v>
          </cell>
        </row>
        <row r="228">
          <cell r="C228" t="str">
            <v>313-16</v>
          </cell>
          <cell r="D228">
            <v>2100000</v>
          </cell>
          <cell r="E228" t="str">
            <v>ISHMAEL</v>
          </cell>
        </row>
        <row r="229">
          <cell r="C229" t="str">
            <v>244-16</v>
          </cell>
          <cell r="D229">
            <v>1800000</v>
          </cell>
          <cell r="E229" t="str">
            <v>CHANDLER</v>
          </cell>
        </row>
        <row r="230">
          <cell r="C230" t="str">
            <v>315-16</v>
          </cell>
          <cell r="D230">
            <v>1800000</v>
          </cell>
          <cell r="E230" t="str">
            <v>CHANDLE</v>
          </cell>
        </row>
        <row r="231">
          <cell r="C231" t="str">
            <v>230-12</v>
          </cell>
          <cell r="D231">
            <v>1300000</v>
          </cell>
          <cell r="E231" t="str">
            <v>LEVIN</v>
          </cell>
        </row>
        <row r="232">
          <cell r="C232" t="str">
            <v>64-12</v>
          </cell>
          <cell r="D232">
            <v>730000</v>
          </cell>
          <cell r="E232" t="str">
            <v>HOMIK</v>
          </cell>
        </row>
        <row r="233">
          <cell r="C233" t="str">
            <v>64-12</v>
          </cell>
          <cell r="D233">
            <v>730000</v>
          </cell>
          <cell r="E233" t="str">
            <v>HOMIK</v>
          </cell>
        </row>
        <row r="234">
          <cell r="C234" t="str">
            <v>908-12</v>
          </cell>
          <cell r="D234">
            <v>1460000</v>
          </cell>
          <cell r="E234" t="str">
            <v>NELSON</v>
          </cell>
        </row>
        <row r="235">
          <cell r="C235" t="str">
            <v>908-12</v>
          </cell>
          <cell r="D235">
            <v>1460000</v>
          </cell>
          <cell r="E235" t="str">
            <v>NELSON</v>
          </cell>
        </row>
        <row r="236">
          <cell r="C236" t="str">
            <v>234-12</v>
          </cell>
          <cell r="D236">
            <v>2000000</v>
          </cell>
          <cell r="E236" t="str">
            <v>STAMBAUGH</v>
          </cell>
        </row>
        <row r="237">
          <cell r="C237" t="str">
            <v>237-12</v>
          </cell>
          <cell r="D237">
            <v>1300000</v>
          </cell>
          <cell r="E237" t="str">
            <v>LEVIN</v>
          </cell>
        </row>
        <row r="238">
          <cell r="C238" t="str">
            <v>239-12</v>
          </cell>
          <cell r="D238">
            <v>1230000</v>
          </cell>
          <cell r="E238" t="str">
            <v>YANAI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8"/>
  <sheetViews>
    <sheetView workbookViewId="0"/>
  </sheetViews>
  <sheetFormatPr defaultRowHeight="15" x14ac:dyDescent="0.25"/>
  <sheetData>
    <row r="1" spans="1:1" x14ac:dyDescent="0.25">
      <c r="A1" t="s">
        <v>79</v>
      </c>
    </row>
    <row r="2" spans="1:1" x14ac:dyDescent="0.25">
      <c r="A2" t="s">
        <v>80</v>
      </c>
    </row>
    <row r="3" spans="1:1" x14ac:dyDescent="0.25">
      <c r="A3" t="s">
        <v>81</v>
      </c>
    </row>
    <row r="4" spans="1:1" x14ac:dyDescent="0.25">
      <c r="A4" t="s">
        <v>82</v>
      </c>
    </row>
    <row r="5" spans="1:1" x14ac:dyDescent="0.25">
      <c r="A5" t="s">
        <v>83</v>
      </c>
    </row>
    <row r="6" spans="1:1" x14ac:dyDescent="0.25">
      <c r="A6" t="s">
        <v>84</v>
      </c>
    </row>
    <row r="7" spans="1:1" x14ac:dyDescent="0.25">
      <c r="A7" t="s">
        <v>85</v>
      </c>
    </row>
    <row r="8" spans="1:1" x14ac:dyDescent="0.25">
      <c r="A8" t="s">
        <v>86</v>
      </c>
    </row>
    <row r="9" spans="1:1" x14ac:dyDescent="0.25">
      <c r="A9" t="s">
        <v>87</v>
      </c>
    </row>
    <row r="10" spans="1:1" x14ac:dyDescent="0.25">
      <c r="A10" t="s">
        <v>88</v>
      </c>
    </row>
    <row r="11" spans="1:1" x14ac:dyDescent="0.25">
      <c r="A11" t="s">
        <v>89</v>
      </c>
    </row>
    <row r="12" spans="1:1" x14ac:dyDescent="0.25">
      <c r="A12" t="s">
        <v>90</v>
      </c>
    </row>
    <row r="13" spans="1:1" x14ac:dyDescent="0.25">
      <c r="A13" t="s">
        <v>91</v>
      </c>
    </row>
    <row r="14" spans="1:1" x14ac:dyDescent="0.25">
      <c r="A14" t="s">
        <v>92</v>
      </c>
    </row>
    <row r="15" spans="1:1" x14ac:dyDescent="0.25">
      <c r="A15" t="s">
        <v>93</v>
      </c>
    </row>
    <row r="16" spans="1:1" x14ac:dyDescent="0.25">
      <c r="A16" t="s">
        <v>94</v>
      </c>
    </row>
    <row r="17" spans="1:1" x14ac:dyDescent="0.25">
      <c r="A17" t="s">
        <v>95</v>
      </c>
    </row>
    <row r="18" spans="1:1" x14ac:dyDescent="0.25">
      <c r="A18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9"/>
  <sheetViews>
    <sheetView workbookViewId="0">
      <selection activeCell="A34" sqref="A34"/>
    </sheetView>
  </sheetViews>
  <sheetFormatPr defaultRowHeight="15" x14ac:dyDescent="0.25"/>
  <cols>
    <col min="1" max="1" width="15.28515625" bestFit="1" customWidth="1"/>
    <col min="2" max="2" width="13.5703125" bestFit="1" customWidth="1"/>
  </cols>
  <sheetData>
    <row r="1" spans="1:2" x14ac:dyDescent="0.25">
      <c r="A1" s="31" t="s">
        <v>195</v>
      </c>
      <c r="B1" s="31" t="s">
        <v>194</v>
      </c>
    </row>
    <row r="2" spans="1:2" x14ac:dyDescent="0.25">
      <c r="A2" s="33">
        <v>1.8602000000000001</v>
      </c>
      <c r="B2" s="32" t="s">
        <v>176</v>
      </c>
    </row>
    <row r="3" spans="1:2" x14ac:dyDescent="0.25">
      <c r="A3" s="33">
        <v>1.9340999999999999</v>
      </c>
      <c r="B3" s="32" t="s">
        <v>176</v>
      </c>
    </row>
    <row r="4" spans="1:2" x14ac:dyDescent="0.25">
      <c r="A4" s="33">
        <v>2.7052</v>
      </c>
      <c r="B4" s="32" t="s">
        <v>193</v>
      </c>
    </row>
    <row r="5" spans="1:2" x14ac:dyDescent="0.25">
      <c r="A5" s="33">
        <v>2.7349999999999999</v>
      </c>
      <c r="B5" s="32" t="s">
        <v>193</v>
      </c>
    </row>
    <row r="6" spans="1:2" x14ac:dyDescent="0.25">
      <c r="A6" s="33">
        <v>3.0830000000000002</v>
      </c>
      <c r="B6" s="32" t="s">
        <v>181</v>
      </c>
    </row>
    <row r="7" spans="1:2" x14ac:dyDescent="0.25">
      <c r="A7" s="33">
        <v>3.097</v>
      </c>
      <c r="B7" s="32" t="s">
        <v>181</v>
      </c>
    </row>
    <row r="8" spans="1:2" x14ac:dyDescent="0.25">
      <c r="A8" s="33">
        <v>3.3136999999999999</v>
      </c>
      <c r="B8" s="32" t="s">
        <v>191</v>
      </c>
    </row>
    <row r="9" spans="1:2" x14ac:dyDescent="0.25">
      <c r="A9" s="33">
        <v>3.3256999999999999</v>
      </c>
      <c r="B9" s="32" t="s">
        <v>191</v>
      </c>
    </row>
    <row r="10" spans="1:2" x14ac:dyDescent="0.25">
      <c r="A10" s="33">
        <v>3.6642000000000001</v>
      </c>
      <c r="B10" s="32" t="s">
        <v>182</v>
      </c>
    </row>
    <row r="11" spans="1:2" x14ac:dyDescent="0.25">
      <c r="A11" s="33">
        <v>3.7462</v>
      </c>
      <c r="B11" s="32" t="s">
        <v>182</v>
      </c>
    </row>
    <row r="12" spans="1:2" x14ac:dyDescent="0.25">
      <c r="A12" s="33">
        <v>4.2778999999999998</v>
      </c>
      <c r="B12" s="32" t="s">
        <v>183</v>
      </c>
    </row>
    <row r="13" spans="1:2" x14ac:dyDescent="0.25">
      <c r="A13" s="33">
        <v>4.2961</v>
      </c>
      <c r="B13" s="32" t="s">
        <v>183</v>
      </c>
    </row>
    <row r="14" spans="1:2" x14ac:dyDescent="0.25">
      <c r="A14" s="33">
        <v>4.7865000000000002</v>
      </c>
      <c r="B14" s="32" t="s">
        <v>185</v>
      </c>
    </row>
    <row r="15" spans="1:2" x14ac:dyDescent="0.25">
      <c r="A15" s="33">
        <v>4.8048000000000002</v>
      </c>
      <c r="B15" s="32" t="s">
        <v>185</v>
      </c>
    </row>
    <row r="16" spans="1:2" x14ac:dyDescent="0.25">
      <c r="A16" s="33">
        <v>5.3155000000000001</v>
      </c>
      <c r="B16" s="32" t="s">
        <v>186</v>
      </c>
    </row>
    <row r="17" spans="1:2" x14ac:dyDescent="0.25">
      <c r="A17" s="33">
        <v>5.3277000000000001</v>
      </c>
      <c r="B17" s="32" t="s">
        <v>186</v>
      </c>
    </row>
    <row r="18" spans="1:2" x14ac:dyDescent="0.25">
      <c r="A18" s="33">
        <v>5.8117000000000001</v>
      </c>
      <c r="B18" s="32" t="s">
        <v>190</v>
      </c>
    </row>
    <row r="19" spans="1:2" x14ac:dyDescent="0.25">
      <c r="A19" s="33">
        <v>5.8300999999999998</v>
      </c>
      <c r="B19" s="32" t="s">
        <v>190</v>
      </c>
    </row>
    <row r="20" spans="1:2" x14ac:dyDescent="0.25">
      <c r="A20" s="33">
        <v>5.8783000000000003</v>
      </c>
      <c r="B20" s="32" t="s">
        <v>187</v>
      </c>
    </row>
    <row r="21" spans="1:2" x14ac:dyDescent="0.25">
      <c r="A21" s="33">
        <v>5.8903999999999996</v>
      </c>
      <c r="B21" s="32" t="s">
        <v>187</v>
      </c>
    </row>
    <row r="22" spans="1:2" x14ac:dyDescent="0.25">
      <c r="A22" s="33">
        <v>6.3068999999999997</v>
      </c>
      <c r="B22" s="32" t="s">
        <v>192</v>
      </c>
    </row>
    <row r="23" spans="1:2" x14ac:dyDescent="0.25">
      <c r="A23" s="33">
        <v>6.3308999999999997</v>
      </c>
      <c r="B23" s="32" t="s">
        <v>192</v>
      </c>
    </row>
    <row r="24" spans="1:2" x14ac:dyDescent="0.25">
      <c r="A24" s="33">
        <v>6.4004000000000003</v>
      </c>
      <c r="B24" s="32" t="s">
        <v>179</v>
      </c>
    </row>
    <row r="25" spans="1:2" x14ac:dyDescent="0.25">
      <c r="A25" s="33">
        <v>6.4954999999999998</v>
      </c>
      <c r="B25" s="32" t="s">
        <v>179</v>
      </c>
    </row>
    <row r="26" spans="1:2" x14ac:dyDescent="0.25">
      <c r="A26" s="33">
        <v>7.8349000000000002</v>
      </c>
      <c r="B26" s="32" t="s">
        <v>184</v>
      </c>
    </row>
    <row r="27" spans="1:2" x14ac:dyDescent="0.25">
      <c r="A27" s="33">
        <v>7.8468999999999998</v>
      </c>
      <c r="B27" s="32" t="s">
        <v>184</v>
      </c>
    </row>
    <row r="28" spans="1:2" x14ac:dyDescent="0.25">
      <c r="A28" s="33">
        <v>8.6212</v>
      </c>
      <c r="B28" s="32" t="s">
        <v>188</v>
      </c>
    </row>
    <row r="29" spans="1:2" x14ac:dyDescent="0.25">
      <c r="A29" s="33">
        <v>8.6386000000000003</v>
      </c>
      <c r="B29" s="32" t="s">
        <v>188</v>
      </c>
    </row>
    <row r="30" spans="1:2" x14ac:dyDescent="0.25">
      <c r="A30" s="33">
        <v>10.38</v>
      </c>
      <c r="B30" s="32" t="s">
        <v>189</v>
      </c>
    </row>
    <row r="31" spans="1:2" x14ac:dyDescent="0.25">
      <c r="A31" s="33">
        <v>10.392099999999999</v>
      </c>
      <c r="B31" s="32" t="s">
        <v>189</v>
      </c>
    </row>
    <row r="32" spans="1:2" x14ac:dyDescent="0.25">
      <c r="A32" s="33">
        <v>10.8954</v>
      </c>
      <c r="B32" s="32" t="s">
        <v>180</v>
      </c>
    </row>
    <row r="33" spans="1:2" x14ac:dyDescent="0.25">
      <c r="A33" s="33">
        <v>10.913500000000001</v>
      </c>
      <c r="B33" s="32" t="s">
        <v>180</v>
      </c>
    </row>
    <row r="34" spans="1:2" x14ac:dyDescent="0.25">
      <c r="A34" s="33">
        <v>12.7562</v>
      </c>
      <c r="B34" s="32" t="s">
        <v>177</v>
      </c>
    </row>
    <row r="35" spans="1:2" x14ac:dyDescent="0.25">
      <c r="A35" s="33">
        <v>12.772399999999999</v>
      </c>
      <c r="B35" s="32" t="s">
        <v>177</v>
      </c>
    </row>
    <row r="36" spans="1:2" x14ac:dyDescent="0.25">
      <c r="A36" s="33">
        <v>12.8462</v>
      </c>
      <c r="B36" s="32" t="s">
        <v>177</v>
      </c>
    </row>
    <row r="37" spans="1:2" x14ac:dyDescent="0.25">
      <c r="A37" s="33">
        <v>12.8462</v>
      </c>
      <c r="B37" s="32" t="s">
        <v>177</v>
      </c>
    </row>
    <row r="38" spans="1:2" x14ac:dyDescent="0.25">
      <c r="A38" s="33">
        <v>15.38</v>
      </c>
      <c r="B38" s="32" t="s">
        <v>178</v>
      </c>
    </row>
    <row r="39" spans="1:2" x14ac:dyDescent="0.25">
      <c r="A39" s="33">
        <v>15.4612</v>
      </c>
      <c r="B39" s="32" t="s">
        <v>178</v>
      </c>
    </row>
  </sheetData>
  <sortState ref="A2:B39">
    <sortCondition ref="A2: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theme="1"/>
  </sheetPr>
  <dimension ref="A1:W747"/>
  <sheetViews>
    <sheetView tabSelected="1" zoomScale="85" zoomScaleNormal="85" workbookViewId="0">
      <selection activeCell="M9" sqref="M9"/>
    </sheetView>
  </sheetViews>
  <sheetFormatPr defaultRowHeight="15" x14ac:dyDescent="0.25"/>
  <cols>
    <col min="1" max="1" width="18.28515625" style="3" bestFit="1" customWidth="1"/>
    <col min="2" max="2" width="17" style="3" bestFit="1" customWidth="1"/>
    <col min="3" max="3" width="13.140625" style="3" customWidth="1"/>
    <col min="4" max="4" width="25.140625" style="3" bestFit="1" customWidth="1"/>
    <col min="5" max="5" width="30.5703125" style="3" bestFit="1" customWidth="1"/>
    <col min="6" max="6" width="11.140625" style="3" customWidth="1"/>
    <col min="7" max="7" width="16.85546875" style="3" customWidth="1"/>
    <col min="8" max="8" width="17.28515625" style="3" customWidth="1"/>
    <col min="9" max="9" width="23.85546875" style="3" hidden="1" customWidth="1"/>
    <col min="10" max="10" width="14" style="3" customWidth="1"/>
    <col min="11" max="11" width="17.28515625" style="3" customWidth="1"/>
    <col min="12" max="13" width="9.140625" style="3"/>
    <col min="14" max="14" width="46" style="3" customWidth="1"/>
    <col min="15" max="15" width="5.7109375" style="3" customWidth="1"/>
    <col min="16" max="16" width="9.7109375" style="21" bestFit="1" customWidth="1"/>
    <col min="17" max="17" width="9.7109375" style="15" customWidth="1"/>
    <col min="18" max="18" width="25.5703125" customWidth="1"/>
  </cols>
  <sheetData>
    <row r="1" spans="1:22" ht="75" x14ac:dyDescent="0.25">
      <c r="A1" s="7" t="s">
        <v>50</v>
      </c>
      <c r="B1" s="4" t="s">
        <v>38</v>
      </c>
      <c r="C1" s="4" t="s">
        <v>39</v>
      </c>
      <c r="D1" s="4" t="s">
        <v>40</v>
      </c>
      <c r="E1" s="4" t="s">
        <v>41</v>
      </c>
      <c r="F1" s="4" t="s">
        <v>42</v>
      </c>
      <c r="G1" s="4" t="s">
        <v>43</v>
      </c>
      <c r="H1" s="4" t="s">
        <v>44</v>
      </c>
      <c r="I1" s="4" t="s">
        <v>45</v>
      </c>
      <c r="J1" s="4" t="s">
        <v>46</v>
      </c>
      <c r="K1" s="4" t="s">
        <v>47</v>
      </c>
      <c r="L1" s="4" t="s">
        <v>48</v>
      </c>
      <c r="M1" s="4" t="s">
        <v>49</v>
      </c>
      <c r="N1" s="4" t="s">
        <v>0</v>
      </c>
      <c r="O1" s="4" t="s">
        <v>53</v>
      </c>
      <c r="P1" s="20" t="s">
        <v>52</v>
      </c>
      <c r="Q1" s="22"/>
    </row>
    <row r="2" spans="1:22" hidden="1" x14ac:dyDescent="0.25">
      <c r="A2" s="8">
        <v>42587.474942129629</v>
      </c>
      <c r="B2" s="3" t="s">
        <v>19</v>
      </c>
      <c r="C2" s="3" t="s">
        <v>110</v>
      </c>
      <c r="D2" s="3" t="s">
        <v>3</v>
      </c>
      <c r="E2" s="3" t="s">
        <v>6</v>
      </c>
      <c r="F2" s="2">
        <v>300</v>
      </c>
      <c r="G2" s="2">
        <v>383</v>
      </c>
      <c r="H2" s="2">
        <v>31514</v>
      </c>
      <c r="I2" s="3" t="s">
        <v>7</v>
      </c>
      <c r="J2" s="2">
        <v>33137</v>
      </c>
      <c r="K2" s="3" t="s">
        <v>8</v>
      </c>
      <c r="L2" s="23" t="str">
        <f>VLOOKUP(C2,'[6]Trips&amp;Operators'!$C$1:$E$9999,3,0)</f>
        <v>MAYBERRY</v>
      </c>
      <c r="M2" s="6" t="s">
        <v>9</v>
      </c>
      <c r="N2" s="5" t="s">
        <v>58</v>
      </c>
      <c r="P2" s="27" t="str">
        <f>VLOOKUP(C2,'[6]Train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Q2" s="25" t="e">
        <f>VLOOKUP(C2,'[2]Train Runs'!$A$13:$AE$686,22,0)</f>
        <v>#N/A</v>
      </c>
      <c r="R2" s="26" t="s">
        <v>197</v>
      </c>
      <c r="S2" s="6" t="str">
        <f t="shared" ref="S2:S13" si="0">MID(B2,13,4)</f>
        <v>4020</v>
      </c>
      <c r="T2" s="8">
        <f t="shared" ref="T2:T33" si="1">A2+6/24</f>
        <v>42587.724942129629</v>
      </c>
      <c r="U2" s="9" t="str">
        <f t="shared" ref="U2:U33" si="2">IF(VALUE(LEFT(IF(LEN(C2)=6,"0"&amp;C2,C2),2))&lt;=2,"EC",IF(OR(VALUE(LEFT(IF(LEN(C2)=6,"0"&amp;C2,C2),2))=8,VALUE(LEFT(IF(LEN(C2)=6,"0"&amp;C2,C2),2))=18),"NW","GL"))</f>
        <v>EC</v>
      </c>
      <c r="V2" s="9" t="str">
        <f t="shared" ref="V2:V33" si="3">IF(AND(E2="TRACK WARRANT AUTHORITY",G2&lt;10),"OMIT","KEEP")</f>
        <v>KEEP</v>
      </c>
    </row>
    <row r="3" spans="1:22" hidden="1" x14ac:dyDescent="0.25">
      <c r="A3" s="8">
        <v>42587.96402777778</v>
      </c>
      <c r="B3" s="3" t="s">
        <v>22</v>
      </c>
      <c r="C3" s="3" t="s">
        <v>107</v>
      </c>
      <c r="D3" s="3" t="s">
        <v>11</v>
      </c>
      <c r="E3" s="3" t="s">
        <v>6</v>
      </c>
      <c r="F3" s="2">
        <v>0</v>
      </c>
      <c r="G3" s="2">
        <v>379</v>
      </c>
      <c r="H3" s="2">
        <v>33163</v>
      </c>
      <c r="I3" s="3" t="s">
        <v>7</v>
      </c>
      <c r="J3" s="2">
        <v>33137</v>
      </c>
      <c r="K3" s="3" t="s">
        <v>8</v>
      </c>
      <c r="L3" s="23" t="str">
        <f>VLOOKUP(C3,'[6]Trips&amp;Operators'!$C$1:$E$9999,3,0)</f>
        <v>LEVIN</v>
      </c>
      <c r="M3" s="6" t="s">
        <v>9</v>
      </c>
      <c r="N3" s="5" t="s">
        <v>58</v>
      </c>
      <c r="P3" s="27" t="str">
        <f>VLOOKUP(C3,'[6]Train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3" s="25" t="e">
        <f>VLOOKUP(C3,'[2]Train Runs'!$A$13:$AE$686,22,0)</f>
        <v>#N/A</v>
      </c>
      <c r="R3" s="26" t="s">
        <v>198</v>
      </c>
      <c r="S3" s="6" t="str">
        <f t="shared" si="0"/>
        <v>4044</v>
      </c>
      <c r="T3" s="8">
        <f t="shared" si="1"/>
        <v>42588.21402777778</v>
      </c>
      <c r="U3" s="9" t="str">
        <f t="shared" si="2"/>
        <v>EC</v>
      </c>
      <c r="V3" s="9" t="str">
        <f t="shared" si="3"/>
        <v>KEEP</v>
      </c>
    </row>
    <row r="4" spans="1:22" hidden="1" x14ac:dyDescent="0.25">
      <c r="A4" s="8">
        <v>42587.984872685185</v>
      </c>
      <c r="B4" s="3" t="s">
        <v>36</v>
      </c>
      <c r="C4" s="3" t="s">
        <v>108</v>
      </c>
      <c r="D4" s="3" t="s">
        <v>3</v>
      </c>
      <c r="E4" s="3" t="s">
        <v>6</v>
      </c>
      <c r="F4" s="2">
        <v>0</v>
      </c>
      <c r="G4" s="2">
        <v>282</v>
      </c>
      <c r="H4" s="2">
        <v>33052</v>
      </c>
      <c r="I4" s="3" t="s">
        <v>7</v>
      </c>
      <c r="J4" s="2">
        <v>33137</v>
      </c>
      <c r="K4" s="3" t="s">
        <v>109</v>
      </c>
      <c r="L4" s="23" t="str">
        <f>VLOOKUP(C4,'[6]Trips&amp;Operators'!$C$1:$E$9999,3,0)</f>
        <v>HAITHCOX</v>
      </c>
      <c r="M4" s="6" t="s">
        <v>9</v>
      </c>
      <c r="N4" s="5" t="s">
        <v>58</v>
      </c>
      <c r="P4" s="27" t="str">
        <f>VLOOKUP(C4,'[6]Train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Q4" s="25" t="e">
        <f>VLOOKUP(C4,'[2]Train Runs'!$A$13:$AE$686,22,0)</f>
        <v>#N/A</v>
      </c>
      <c r="R4" s="26" t="s">
        <v>199</v>
      </c>
      <c r="S4" s="6" t="str">
        <f t="shared" si="0"/>
        <v>4009</v>
      </c>
      <c r="T4" s="8">
        <f t="shared" si="1"/>
        <v>42588.234872685185</v>
      </c>
      <c r="U4" s="9" t="str">
        <f t="shared" si="2"/>
        <v>EC</v>
      </c>
      <c r="V4" s="9" t="str">
        <f t="shared" si="3"/>
        <v>KEEP</v>
      </c>
    </row>
    <row r="5" spans="1:22" hidden="1" x14ac:dyDescent="0.25">
      <c r="A5" s="8">
        <v>42588.193402777775</v>
      </c>
      <c r="B5" s="3" t="s">
        <v>24</v>
      </c>
      <c r="C5" s="3" t="s">
        <v>60</v>
      </c>
      <c r="D5" s="3" t="s">
        <v>11</v>
      </c>
      <c r="E5" s="3" t="s">
        <v>6</v>
      </c>
      <c r="F5" s="2">
        <v>0</v>
      </c>
      <c r="G5" s="2">
        <v>315</v>
      </c>
      <c r="H5" s="2">
        <v>33139</v>
      </c>
      <c r="I5" s="3" t="s">
        <v>7</v>
      </c>
      <c r="J5" s="2">
        <v>33137</v>
      </c>
      <c r="K5" s="3" t="s">
        <v>8</v>
      </c>
      <c r="L5" s="23" t="str">
        <f>VLOOKUP(C5,'[7]Trips&amp;Operators'!$C$1:$E$9999,3,0)</f>
        <v>DAVIS</v>
      </c>
      <c r="M5" s="6" t="s">
        <v>9</v>
      </c>
      <c r="N5" s="5" t="s">
        <v>58</v>
      </c>
      <c r="P5" s="27" t="str">
        <f>VLOOKUP(C5,'[7]Train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Q5" s="25" t="e">
        <f>VLOOKUP(C5,'[2]Train Runs'!$A$13:$AE$686,22,0)</f>
        <v>#N/A</v>
      </c>
      <c r="R5" s="26" t="s">
        <v>200</v>
      </c>
      <c r="S5" s="6" t="str">
        <f t="shared" si="0"/>
        <v>4025</v>
      </c>
      <c r="T5" s="8">
        <f t="shared" si="1"/>
        <v>42588.443402777775</v>
      </c>
      <c r="U5" s="9" t="str">
        <f t="shared" si="2"/>
        <v>EC</v>
      </c>
      <c r="V5" s="9" t="str">
        <f t="shared" si="3"/>
        <v>KEEP</v>
      </c>
    </row>
    <row r="6" spans="1:22" hidden="1" x14ac:dyDescent="0.25">
      <c r="A6" s="8">
        <v>42588.245289351849</v>
      </c>
      <c r="B6" s="3" t="s">
        <v>15</v>
      </c>
      <c r="C6" s="3" t="s">
        <v>112</v>
      </c>
      <c r="D6" s="3" t="s">
        <v>3</v>
      </c>
      <c r="E6" s="3" t="s">
        <v>6</v>
      </c>
      <c r="F6" s="2">
        <v>0</v>
      </c>
      <c r="G6" s="2">
        <v>229</v>
      </c>
      <c r="H6" s="2">
        <v>33101</v>
      </c>
      <c r="I6" s="3" t="s">
        <v>7</v>
      </c>
      <c r="J6" s="2">
        <v>33137</v>
      </c>
      <c r="K6" s="3" t="s">
        <v>8</v>
      </c>
      <c r="L6" s="23" t="str">
        <f>VLOOKUP(C6,'[7]Trips&amp;Operators'!$C$1:$E$9999,3,0)</f>
        <v>SANTIZO</v>
      </c>
      <c r="M6" s="6" t="s">
        <v>9</v>
      </c>
      <c r="N6" s="5" t="s">
        <v>58</v>
      </c>
      <c r="P6" s="27" t="str">
        <f>VLOOKUP(C6,'[7]Train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6" s="25" t="e">
        <f>VLOOKUP(C6,'[2]Train Runs'!$A$13:$AE$686,22,0)</f>
        <v>#N/A</v>
      </c>
      <c r="R6" s="26" t="s">
        <v>201</v>
      </c>
      <c r="S6" s="6" t="str">
        <f t="shared" si="0"/>
        <v>4027</v>
      </c>
      <c r="T6" s="8">
        <f t="shared" si="1"/>
        <v>42588.495289351849</v>
      </c>
      <c r="U6" s="9" t="str">
        <f t="shared" si="2"/>
        <v>EC</v>
      </c>
      <c r="V6" s="9" t="str">
        <f t="shared" si="3"/>
        <v>KEEP</v>
      </c>
    </row>
    <row r="7" spans="1:22" hidden="1" x14ac:dyDescent="0.25">
      <c r="A7" s="8">
        <v>42588.537222222221</v>
      </c>
      <c r="B7" s="3" t="s">
        <v>15</v>
      </c>
      <c r="C7" s="3" t="s">
        <v>70</v>
      </c>
      <c r="D7" s="3" t="s">
        <v>11</v>
      </c>
      <c r="E7" s="3" t="s">
        <v>6</v>
      </c>
      <c r="F7" s="2">
        <v>0</v>
      </c>
      <c r="G7" s="2">
        <v>258</v>
      </c>
      <c r="H7" s="2">
        <v>33143</v>
      </c>
      <c r="I7" s="3" t="s">
        <v>7</v>
      </c>
      <c r="J7" s="2">
        <v>33137</v>
      </c>
      <c r="K7" s="3" t="s">
        <v>8</v>
      </c>
      <c r="L7" s="23" t="str">
        <f>VLOOKUP(C7,'[7]Trips&amp;Operators'!$C$1:$E$9999,3,0)</f>
        <v>STEWART</v>
      </c>
      <c r="M7" s="6" t="s">
        <v>9</v>
      </c>
      <c r="N7" s="5" t="s">
        <v>58</v>
      </c>
      <c r="P7" s="27" t="str">
        <f>VLOOKUP(C7,'[7]Train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Q7" s="25" t="e">
        <f>VLOOKUP(C7,'[2]Train Runs'!$A$13:$AE$686,22,0)</f>
        <v>#N/A</v>
      </c>
      <c r="R7" s="26" t="s">
        <v>202</v>
      </c>
      <c r="S7" s="6" t="str">
        <f t="shared" si="0"/>
        <v>4027</v>
      </c>
      <c r="T7" s="8">
        <f t="shared" si="1"/>
        <v>42588.787222222221</v>
      </c>
      <c r="U7" s="9" t="str">
        <f t="shared" si="2"/>
        <v>EC</v>
      </c>
      <c r="V7" s="9" t="str">
        <f t="shared" si="3"/>
        <v>KEEP</v>
      </c>
    </row>
    <row r="8" spans="1:22" hidden="1" x14ac:dyDescent="0.25">
      <c r="A8" s="8">
        <v>42589.370532407411</v>
      </c>
      <c r="B8" s="3" t="s">
        <v>18</v>
      </c>
      <c r="C8" s="3" t="s">
        <v>114</v>
      </c>
      <c r="D8" s="3" t="s">
        <v>3</v>
      </c>
      <c r="E8" s="3" t="s">
        <v>6</v>
      </c>
      <c r="F8" s="2">
        <v>0</v>
      </c>
      <c r="G8" s="2">
        <v>334</v>
      </c>
      <c r="H8" s="2">
        <v>33105</v>
      </c>
      <c r="I8" s="3" t="s">
        <v>7</v>
      </c>
      <c r="J8" s="2">
        <v>33137</v>
      </c>
      <c r="K8" s="3" t="s">
        <v>8</v>
      </c>
      <c r="L8" s="23" t="str">
        <f>VLOOKUP(C8,'[8]Trips&amp;Operators'!$C$1:$E$9999,3,0)</f>
        <v>STORY</v>
      </c>
      <c r="M8" s="6" t="s">
        <v>9</v>
      </c>
      <c r="N8" s="5" t="s">
        <v>58</v>
      </c>
      <c r="P8" s="27" t="str">
        <f>VLOOKUP(C8,'[8]Train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Q8" s="25" t="e">
        <f>VLOOKUP(C8,'[2]Train Runs'!$A$13:$AE$686,22,0)</f>
        <v>#N/A</v>
      </c>
      <c r="R8" s="26" t="s">
        <v>203</v>
      </c>
      <c r="S8" s="6" t="str">
        <f t="shared" si="0"/>
        <v>4007</v>
      </c>
      <c r="T8" s="8">
        <f t="shared" si="1"/>
        <v>42589.620532407411</v>
      </c>
      <c r="U8" s="9" t="str">
        <f t="shared" si="2"/>
        <v>EC</v>
      </c>
      <c r="V8" s="9" t="str">
        <f t="shared" si="3"/>
        <v>KEEP</v>
      </c>
    </row>
    <row r="9" spans="1:22" hidden="1" x14ac:dyDescent="0.25">
      <c r="A9" s="8">
        <v>42591.683159722219</v>
      </c>
      <c r="B9" s="3" t="s">
        <v>16</v>
      </c>
      <c r="C9" s="3" t="s">
        <v>120</v>
      </c>
      <c r="D9" s="3" t="s">
        <v>11</v>
      </c>
      <c r="E9" s="3" t="s">
        <v>6</v>
      </c>
      <c r="F9" s="2">
        <v>0</v>
      </c>
      <c r="G9" s="2">
        <v>306</v>
      </c>
      <c r="H9" s="2">
        <v>33146</v>
      </c>
      <c r="I9" s="3" t="s">
        <v>7</v>
      </c>
      <c r="J9" s="2">
        <v>33137</v>
      </c>
      <c r="K9" s="3" t="s">
        <v>8</v>
      </c>
      <c r="L9" s="23" t="str">
        <f>VLOOKUP(C9,'[10]Trips&amp;Operators'!$C$1:$E$9999,3,0)</f>
        <v>BARTLETT</v>
      </c>
      <c r="M9" s="30" t="s">
        <v>9</v>
      </c>
      <c r="N9" s="5" t="s">
        <v>58</v>
      </c>
      <c r="P9" s="27" t="str">
        <f>VLOOKUP(C9,'[10]Train Runs'!$A$13:$AE$520,31,0)</f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Q9" s="25" t="e">
        <f>VLOOKUP(C9,'[2]Train Runs'!$A$13:$AE$686,22,0)</f>
        <v>#N/A</v>
      </c>
      <c r="R9" s="26" t="s">
        <v>204</v>
      </c>
      <c r="S9" s="6" t="str">
        <f t="shared" si="0"/>
        <v>4016</v>
      </c>
      <c r="T9" s="8">
        <f t="shared" si="1"/>
        <v>42591.933159722219</v>
      </c>
      <c r="U9" s="9" t="str">
        <f t="shared" si="2"/>
        <v>EC</v>
      </c>
      <c r="V9" s="9" t="str">
        <f t="shared" si="3"/>
        <v>KEEP</v>
      </c>
    </row>
    <row r="10" spans="1:22" hidden="1" x14ac:dyDescent="0.25">
      <c r="A10" s="8">
        <v>42591.705138888887</v>
      </c>
      <c r="B10" s="3" t="s">
        <v>32</v>
      </c>
      <c r="C10" s="3" t="s">
        <v>121</v>
      </c>
      <c r="D10" s="3" t="s">
        <v>3</v>
      </c>
      <c r="E10" s="3" t="s">
        <v>6</v>
      </c>
      <c r="F10" s="2">
        <v>0</v>
      </c>
      <c r="G10" s="2">
        <v>309</v>
      </c>
      <c r="H10" s="2">
        <v>33075</v>
      </c>
      <c r="I10" s="3" t="s">
        <v>7</v>
      </c>
      <c r="J10" s="2">
        <v>33137</v>
      </c>
      <c r="K10" s="3" t="s">
        <v>8</v>
      </c>
      <c r="L10" s="23" t="str">
        <f>VLOOKUP(C10,'[10]Trips&amp;Operators'!$C$1:$E$9999,3,0)</f>
        <v>HELVIE</v>
      </c>
      <c r="M10" s="30" t="s">
        <v>9</v>
      </c>
      <c r="N10" s="5" t="s">
        <v>58</v>
      </c>
      <c r="P10" s="27" t="str">
        <f>VLOOKUP(C10,'[10]Train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10" s="25" t="e">
        <f>VLOOKUP(C10,'[2]Train Runs'!$A$13:$AE$686,22,0)</f>
        <v>#N/A</v>
      </c>
      <c r="R10" s="26" t="s">
        <v>205</v>
      </c>
      <c r="S10" s="6" t="str">
        <f t="shared" si="0"/>
        <v>4031</v>
      </c>
      <c r="T10" s="8">
        <f t="shared" si="1"/>
        <v>42591.955138888887</v>
      </c>
      <c r="U10" s="9" t="str">
        <f t="shared" si="2"/>
        <v>EC</v>
      </c>
      <c r="V10" s="9" t="str">
        <f t="shared" si="3"/>
        <v>KEEP</v>
      </c>
    </row>
    <row r="11" spans="1:22" hidden="1" x14ac:dyDescent="0.25">
      <c r="A11" s="8">
        <v>42592.308055555557</v>
      </c>
      <c r="B11" s="3" t="s">
        <v>16</v>
      </c>
      <c r="C11" s="3" t="s">
        <v>125</v>
      </c>
      <c r="D11" s="3" t="s">
        <v>11</v>
      </c>
      <c r="E11" s="3" t="s">
        <v>6</v>
      </c>
      <c r="F11" s="2">
        <v>0</v>
      </c>
      <c r="G11" s="2">
        <v>270</v>
      </c>
      <c r="H11" s="2">
        <v>33155</v>
      </c>
      <c r="I11" s="3" t="s">
        <v>7</v>
      </c>
      <c r="J11" s="2">
        <v>33137</v>
      </c>
      <c r="K11" s="3" t="s">
        <v>8</v>
      </c>
      <c r="L11" s="23" t="str">
        <f>VLOOKUP(C11,'[11]Trips&amp;Operators'!$C$1:$E$9999,3,0)</f>
        <v>BRANNON</v>
      </c>
      <c r="M11" s="30" t="s">
        <v>9</v>
      </c>
      <c r="N11" s="5" t="s">
        <v>58</v>
      </c>
      <c r="P11" s="27" t="str">
        <f>VLOOKUP(C11,'[11]Train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Q11" s="25" t="e">
        <f>VLOOKUP(C11,'[2]Train Runs'!$A$13:$AE$686,22,0)</f>
        <v>#N/A</v>
      </c>
      <c r="R11" s="26" t="s">
        <v>206</v>
      </c>
      <c r="S11" s="6" t="str">
        <f t="shared" si="0"/>
        <v>4016</v>
      </c>
      <c r="T11" s="8">
        <f t="shared" si="1"/>
        <v>42592.558055555557</v>
      </c>
      <c r="U11" s="9" t="str">
        <f t="shared" si="2"/>
        <v>EC</v>
      </c>
      <c r="V11" s="9" t="str">
        <f t="shared" si="3"/>
        <v>KEEP</v>
      </c>
    </row>
    <row r="12" spans="1:22" hidden="1" x14ac:dyDescent="0.25">
      <c r="A12" s="8">
        <v>42593.391979166663</v>
      </c>
      <c r="B12" s="3" t="s">
        <v>26</v>
      </c>
      <c r="C12" s="3" t="s">
        <v>129</v>
      </c>
      <c r="D12" s="3" t="s">
        <v>11</v>
      </c>
      <c r="E12" s="3" t="s">
        <v>6</v>
      </c>
      <c r="F12" s="2">
        <v>0</v>
      </c>
      <c r="G12" s="2">
        <v>339</v>
      </c>
      <c r="H12" s="2">
        <v>33175</v>
      </c>
      <c r="I12" s="3" t="s">
        <v>7</v>
      </c>
      <c r="J12" s="2">
        <v>33137</v>
      </c>
      <c r="K12" s="3" t="s">
        <v>8</v>
      </c>
      <c r="L12" s="23" t="str">
        <f>VLOOKUP(C12,'[12]Trips&amp;Operators'!$C$1:$E$9999,3,0)</f>
        <v>STARKS</v>
      </c>
      <c r="M12" s="30" t="s">
        <v>9</v>
      </c>
      <c r="N12" s="5" t="s">
        <v>58</v>
      </c>
      <c r="P12" s="27" t="str">
        <f>VLOOKUP(C12,'[12]Train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12" s="25" t="e">
        <f>VLOOKUP(C12,'[2]Train Runs'!$A$13:$AE$686,22,0)</f>
        <v>#N/A</v>
      </c>
      <c r="R12" s="26" t="s">
        <v>207</v>
      </c>
      <c r="S12" s="6" t="str">
        <f t="shared" si="0"/>
        <v>4014</v>
      </c>
      <c r="T12" s="8">
        <f t="shared" si="1"/>
        <v>42593.641979166663</v>
      </c>
      <c r="U12" s="9" t="str">
        <f t="shared" si="2"/>
        <v>EC</v>
      </c>
      <c r="V12" s="9" t="str">
        <f t="shared" si="3"/>
        <v>KEEP</v>
      </c>
    </row>
    <row r="13" spans="1:22" hidden="1" x14ac:dyDescent="0.25">
      <c r="A13" s="8">
        <v>42593.403634259259</v>
      </c>
      <c r="B13" s="3" t="s">
        <v>24</v>
      </c>
      <c r="C13" s="3" t="s">
        <v>130</v>
      </c>
      <c r="D13" s="3" t="s">
        <v>11</v>
      </c>
      <c r="E13" s="3" t="s">
        <v>6</v>
      </c>
      <c r="F13" s="2">
        <v>0</v>
      </c>
      <c r="G13" s="2">
        <v>358</v>
      </c>
      <c r="H13" s="2">
        <v>33154</v>
      </c>
      <c r="I13" s="3" t="s">
        <v>7</v>
      </c>
      <c r="J13" s="2">
        <v>33137</v>
      </c>
      <c r="K13" s="3" t="s">
        <v>8</v>
      </c>
      <c r="L13" s="23" t="str">
        <f>VLOOKUP(C13,'[12]Trips&amp;Operators'!$C$1:$E$9999,3,0)</f>
        <v>MALAVE</v>
      </c>
      <c r="M13" s="30" t="s">
        <v>9</v>
      </c>
      <c r="N13" s="5" t="s">
        <v>58</v>
      </c>
      <c r="P13" s="27" t="str">
        <f>VLOOKUP(C13,'[12]Train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13" s="25" t="e">
        <f>VLOOKUP(C13,'[2]Train Runs'!$A$13:$AE$686,22,0)</f>
        <v>#N/A</v>
      </c>
      <c r="R13" s="26" t="s">
        <v>208</v>
      </c>
      <c r="S13" s="6" t="str">
        <f t="shared" si="0"/>
        <v>4025</v>
      </c>
      <c r="T13" s="8">
        <f t="shared" si="1"/>
        <v>42593.653634259259</v>
      </c>
      <c r="U13" s="9" t="str">
        <f t="shared" si="2"/>
        <v>EC</v>
      </c>
      <c r="V13" s="9" t="str">
        <f t="shared" si="3"/>
        <v>KEEP</v>
      </c>
    </row>
    <row r="14" spans="1:22" hidden="1" x14ac:dyDescent="0.25">
      <c r="A14" s="8">
        <v>42595.381261574075</v>
      </c>
      <c r="B14" s="3" t="s">
        <v>5</v>
      </c>
      <c r="C14" s="3" t="s">
        <v>132</v>
      </c>
      <c r="D14" s="3" t="s">
        <v>11</v>
      </c>
      <c r="E14" s="3" t="s">
        <v>6</v>
      </c>
      <c r="F14" s="2">
        <v>0</v>
      </c>
      <c r="G14" s="2">
        <v>338</v>
      </c>
      <c r="H14" s="2">
        <v>33166</v>
      </c>
      <c r="I14" s="3" t="s">
        <v>7</v>
      </c>
      <c r="J14" s="2">
        <v>33137</v>
      </c>
      <c r="K14" s="3" t="s">
        <v>8</v>
      </c>
      <c r="L14" s="23" t="str">
        <f>VLOOKUP(C14,'[13]Trips&amp;Operators'!$C$1:$E$9999,3,0)</f>
        <v>STORY</v>
      </c>
      <c r="M14" s="30" t="s">
        <v>9</v>
      </c>
      <c r="N14" s="5" t="s">
        <v>58</v>
      </c>
      <c r="P14" s="27" t="s">
        <v>156</v>
      </c>
      <c r="Q14" s="28" t="s">
        <v>157</v>
      </c>
      <c r="R14" s="29" t="s">
        <v>158</v>
      </c>
      <c r="S14" s="6" t="s">
        <v>159</v>
      </c>
      <c r="T14" s="8">
        <f t="shared" si="1"/>
        <v>42595.631261574075</v>
      </c>
      <c r="U14" s="9" t="str">
        <f t="shared" si="2"/>
        <v>EC</v>
      </c>
      <c r="V14" s="9" t="str">
        <f t="shared" si="3"/>
        <v>KEEP</v>
      </c>
    </row>
    <row r="15" spans="1:22" hidden="1" x14ac:dyDescent="0.25">
      <c r="A15" s="8">
        <v>42595.527303240742</v>
      </c>
      <c r="B15" s="3" t="s">
        <v>5</v>
      </c>
      <c r="C15" s="3" t="s">
        <v>37</v>
      </c>
      <c r="D15" s="3" t="s">
        <v>3</v>
      </c>
      <c r="E15" s="3" t="s">
        <v>6</v>
      </c>
      <c r="F15" s="2">
        <v>0</v>
      </c>
      <c r="G15" s="2">
        <v>347</v>
      </c>
      <c r="H15" s="2">
        <v>33077</v>
      </c>
      <c r="I15" s="3" t="s">
        <v>7</v>
      </c>
      <c r="J15" s="2">
        <v>33137</v>
      </c>
      <c r="K15" s="3" t="s">
        <v>8</v>
      </c>
      <c r="L15" s="23" t="str">
        <f>VLOOKUP(C15,'[13]Trips&amp;Operators'!$C$1:$E$9999,3,0)</f>
        <v>WEBSTER</v>
      </c>
      <c r="M15" s="30" t="s">
        <v>9</v>
      </c>
      <c r="N15" s="5" t="s">
        <v>58</v>
      </c>
      <c r="P15" s="27" t="s">
        <v>156</v>
      </c>
      <c r="Q15" s="28" t="s">
        <v>160</v>
      </c>
      <c r="R15" s="29" t="s">
        <v>161</v>
      </c>
      <c r="S15" s="6" t="s">
        <v>159</v>
      </c>
      <c r="T15" s="8">
        <f t="shared" si="1"/>
        <v>42595.777303240742</v>
      </c>
      <c r="U15" s="9" t="str">
        <f t="shared" si="2"/>
        <v>EC</v>
      </c>
      <c r="V15" s="9" t="str">
        <f t="shared" si="3"/>
        <v>KEEP</v>
      </c>
    </row>
    <row r="16" spans="1:22" hidden="1" x14ac:dyDescent="0.25">
      <c r="A16" s="8">
        <v>42595.756527777776</v>
      </c>
      <c r="B16" s="3" t="s">
        <v>34</v>
      </c>
      <c r="C16" s="3" t="s">
        <v>133</v>
      </c>
      <c r="D16" s="3" t="s">
        <v>3</v>
      </c>
      <c r="E16" s="3" t="s">
        <v>6</v>
      </c>
      <c r="F16" s="2">
        <v>0</v>
      </c>
      <c r="G16" s="2">
        <v>406</v>
      </c>
      <c r="H16" s="2">
        <v>33111</v>
      </c>
      <c r="I16" s="3" t="s">
        <v>7</v>
      </c>
      <c r="J16" s="2">
        <v>33137</v>
      </c>
      <c r="K16" s="3" t="s">
        <v>8</v>
      </c>
      <c r="L16" s="23" t="str">
        <f>VLOOKUP(C16,'[13]Trips&amp;Operators'!$C$1:$E$9999,3,0)</f>
        <v>WEBSTER</v>
      </c>
      <c r="M16" s="30" t="s">
        <v>9</v>
      </c>
      <c r="N16" s="5" t="s">
        <v>58</v>
      </c>
      <c r="P16" s="27" t="s">
        <v>166</v>
      </c>
      <c r="Q16" s="28" t="s">
        <v>167</v>
      </c>
      <c r="R16" s="29" t="s">
        <v>168</v>
      </c>
      <c r="S16" s="6" t="s">
        <v>169</v>
      </c>
      <c r="T16" s="8">
        <f t="shared" si="1"/>
        <v>42596.006527777776</v>
      </c>
      <c r="U16" s="9" t="str">
        <f t="shared" si="2"/>
        <v>EC</v>
      </c>
      <c r="V16" s="9" t="str">
        <f t="shared" si="3"/>
        <v>KEEP</v>
      </c>
    </row>
    <row r="17" spans="1:22" hidden="1" x14ac:dyDescent="0.25">
      <c r="A17" s="8">
        <v>42597.570729166669</v>
      </c>
      <c r="B17" s="3" t="s">
        <v>27</v>
      </c>
      <c r="C17" s="3" t="s">
        <v>137</v>
      </c>
      <c r="D17" s="3" t="s">
        <v>3</v>
      </c>
      <c r="E17" s="3" t="s">
        <v>6</v>
      </c>
      <c r="F17" s="2">
        <v>340</v>
      </c>
      <c r="G17" s="2">
        <v>416</v>
      </c>
      <c r="H17" s="2">
        <v>32623</v>
      </c>
      <c r="I17" s="3" t="s">
        <v>7</v>
      </c>
      <c r="J17" s="2">
        <v>33137</v>
      </c>
      <c r="K17" s="3" t="s">
        <v>8</v>
      </c>
      <c r="L17" s="23" t="str">
        <f>VLOOKUP(C17,'[15]Trips&amp;Operators'!$C$1:$E$9999,3,0)</f>
        <v>MAYBERRY</v>
      </c>
      <c r="M17" s="30" t="s">
        <v>9</v>
      </c>
      <c r="N17" s="5" t="s">
        <v>58</v>
      </c>
      <c r="P17" s="27" t="str">
        <f>VLOOKUP(C17,'[15]Train Runs'!$A$13:$AE$9995,31,0)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17" s="25" t="e">
        <f>VLOOKUP(C17,'[2]Train Runs'!$A$13:$AE$686,22,0)</f>
        <v>#N/A</v>
      </c>
      <c r="R17" s="26" t="s">
        <v>209</v>
      </c>
      <c r="S17" s="6" t="str">
        <f t="shared" ref="S17:S30" si="4">MID(B17,13,4)</f>
        <v>4038</v>
      </c>
      <c r="T17" s="8">
        <f t="shared" si="1"/>
        <v>42597.820729166669</v>
      </c>
      <c r="U17" s="9" t="str">
        <f t="shared" si="2"/>
        <v>EC</v>
      </c>
      <c r="V17" s="9" t="str">
        <f t="shared" si="3"/>
        <v>KEEP</v>
      </c>
    </row>
    <row r="18" spans="1:22" hidden="1" x14ac:dyDescent="0.25">
      <c r="A18" s="8">
        <v>42597.683599537035</v>
      </c>
      <c r="B18" s="3" t="s">
        <v>22</v>
      </c>
      <c r="C18" s="3" t="s">
        <v>136</v>
      </c>
      <c r="D18" s="3" t="s">
        <v>3</v>
      </c>
      <c r="E18" s="3" t="s">
        <v>6</v>
      </c>
      <c r="F18" s="2">
        <v>0</v>
      </c>
      <c r="G18" s="2">
        <v>281</v>
      </c>
      <c r="H18" s="2">
        <v>33126</v>
      </c>
      <c r="I18" s="3" t="s">
        <v>7</v>
      </c>
      <c r="J18" s="2">
        <v>33137</v>
      </c>
      <c r="K18" s="3" t="s">
        <v>8</v>
      </c>
      <c r="L18" s="23" t="str">
        <f>VLOOKUP(C18,'[15]Trips&amp;Operators'!$C$1:$E$9999,3,0)</f>
        <v>STEWART</v>
      </c>
      <c r="M18" s="30" t="s">
        <v>9</v>
      </c>
      <c r="N18" s="5" t="s">
        <v>58</v>
      </c>
      <c r="P18" s="27" t="str">
        <f>VLOOKUP(C18,'[15]Train Runs'!$A$13:$AE$9995,31,0)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18" s="25" t="e">
        <f>VLOOKUP(C18,'[3]Train Runs'!$A$13:$AE$686,22,0)</f>
        <v>#N/A</v>
      </c>
      <c r="R18" s="26" t="s">
        <v>210</v>
      </c>
      <c r="S18" s="6" t="str">
        <f t="shared" si="4"/>
        <v>4044</v>
      </c>
      <c r="T18" s="8">
        <f t="shared" si="1"/>
        <v>42597.933599537035</v>
      </c>
      <c r="U18" s="9" t="str">
        <f t="shared" si="2"/>
        <v>EC</v>
      </c>
      <c r="V18" s="9" t="str">
        <f t="shared" si="3"/>
        <v>KEEP</v>
      </c>
    </row>
    <row r="19" spans="1:22" hidden="1" x14ac:dyDescent="0.25">
      <c r="A19" s="8">
        <v>42598.332303240742</v>
      </c>
      <c r="B19" s="3" t="s">
        <v>10</v>
      </c>
      <c r="C19" s="3" t="s">
        <v>145</v>
      </c>
      <c r="D19" s="3" t="s">
        <v>3</v>
      </c>
      <c r="E19" s="3" t="s">
        <v>6</v>
      </c>
      <c r="F19" s="2">
        <v>320</v>
      </c>
      <c r="G19" s="2">
        <v>398</v>
      </c>
      <c r="H19" s="2">
        <v>31729</v>
      </c>
      <c r="I19" s="3" t="s">
        <v>7</v>
      </c>
      <c r="J19" s="2">
        <v>33137</v>
      </c>
      <c r="K19" s="3" t="s">
        <v>8</v>
      </c>
      <c r="L19" s="23" t="str">
        <f>VLOOKUP(C19,'[16]Trips&amp;Operators'!$C$1:$E$9999,3,0)</f>
        <v>BRANNON</v>
      </c>
      <c r="M19" s="30" t="s">
        <v>9</v>
      </c>
      <c r="N19" s="5" t="s">
        <v>58</v>
      </c>
      <c r="P19" s="27" t="str">
        <f>VLOOKUP(C19,'[16]Train Runs'!$A$13:$AE$10002,31,0)</f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Q19" s="25" t="e">
        <f>VLOOKUP(C19,'[3]Train Runs'!$A$13:$AE$686,22,0)</f>
        <v>#N/A</v>
      </c>
      <c r="R19" s="26" t="s">
        <v>211</v>
      </c>
      <c r="S19" s="6" t="str">
        <f t="shared" si="4"/>
        <v>4029</v>
      </c>
      <c r="T19" s="8">
        <f t="shared" si="1"/>
        <v>42598.582303240742</v>
      </c>
      <c r="U19" s="9" t="str">
        <f t="shared" si="2"/>
        <v>EC</v>
      </c>
      <c r="V19" s="9" t="str">
        <f t="shared" si="3"/>
        <v>KEEP</v>
      </c>
    </row>
    <row r="20" spans="1:22" hidden="1" x14ac:dyDescent="0.25">
      <c r="A20" s="8">
        <v>42599.714479166665</v>
      </c>
      <c r="B20" s="3" t="s">
        <v>24</v>
      </c>
      <c r="C20" s="3" t="s">
        <v>77</v>
      </c>
      <c r="D20" s="3" t="s">
        <v>3</v>
      </c>
      <c r="E20" s="3" t="s">
        <v>6</v>
      </c>
      <c r="F20" s="2">
        <v>340</v>
      </c>
      <c r="G20" s="2">
        <v>404</v>
      </c>
      <c r="H20" s="2">
        <v>32631</v>
      </c>
      <c r="I20" s="3" t="s">
        <v>7</v>
      </c>
      <c r="J20" s="2">
        <v>33137</v>
      </c>
      <c r="K20" s="3" t="s">
        <v>8</v>
      </c>
      <c r="L20" s="23" t="str">
        <f>VLOOKUP(C20,'[17]Trips&amp;Operators'!$C$1:$E$9999,3,0)</f>
        <v>STORY</v>
      </c>
      <c r="M20" s="30" t="s">
        <v>9</v>
      </c>
      <c r="N20" s="5" t="s">
        <v>58</v>
      </c>
      <c r="P20" s="27" t="str">
        <f>VLOOKUP(C20,'[17]Train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20" s="28" t="e">
        <f>VLOOKUP(C20,'[4]Train Runs'!$A$13:$AE$683,22,0)</f>
        <v>#N/A</v>
      </c>
      <c r="R20" s="29" t="s">
        <v>212</v>
      </c>
      <c r="S20" s="6" t="str">
        <f t="shared" si="4"/>
        <v>4025</v>
      </c>
      <c r="T20" s="8">
        <f t="shared" si="1"/>
        <v>42599.964479166665</v>
      </c>
      <c r="U20" s="9" t="str">
        <f t="shared" si="2"/>
        <v>EC</v>
      </c>
      <c r="V20" s="9" t="str">
        <f t="shared" si="3"/>
        <v>KEEP</v>
      </c>
    </row>
    <row r="21" spans="1:22" hidden="1" x14ac:dyDescent="0.25">
      <c r="A21" s="8">
        <v>42600.466481481482</v>
      </c>
      <c r="B21" s="3" t="s">
        <v>22</v>
      </c>
      <c r="C21" s="3" t="s">
        <v>78</v>
      </c>
      <c r="D21" s="3" t="s">
        <v>11</v>
      </c>
      <c r="E21" s="3" t="s">
        <v>6</v>
      </c>
      <c r="F21" s="2">
        <v>0</v>
      </c>
      <c r="G21" s="2">
        <v>298</v>
      </c>
      <c r="H21" s="2">
        <v>33156</v>
      </c>
      <c r="I21" s="3" t="s">
        <v>7</v>
      </c>
      <c r="J21" s="2">
        <v>33137</v>
      </c>
      <c r="K21" s="3" t="s">
        <v>8</v>
      </c>
      <c r="L21" s="23" t="str">
        <f>VLOOKUP(C21,'[18]Trips&amp;Operators'!$C$1:$E$9999,3,0)</f>
        <v>BONDS</v>
      </c>
      <c r="M21" s="30" t="s">
        <v>9</v>
      </c>
      <c r="N21" s="5" t="s">
        <v>58</v>
      </c>
      <c r="P21" s="27" t="str">
        <f>VLOOKUP(C21,'[18]Train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21" s="28" t="e">
        <f>VLOOKUP(C21,'[4]Train Runs'!$A$13:$AE$683,22,0)</f>
        <v>#N/A</v>
      </c>
      <c r="R21" s="29" t="s">
        <v>213</v>
      </c>
      <c r="S21" s="6" t="str">
        <f t="shared" si="4"/>
        <v>4044</v>
      </c>
      <c r="T21" s="8">
        <f t="shared" si="1"/>
        <v>42600.716481481482</v>
      </c>
      <c r="U21" s="9" t="str">
        <f t="shared" si="2"/>
        <v>EC</v>
      </c>
      <c r="V21" s="9" t="str">
        <f t="shared" si="3"/>
        <v>KEEP</v>
      </c>
    </row>
    <row r="22" spans="1:22" hidden="1" x14ac:dyDescent="0.25">
      <c r="A22" s="8">
        <v>42600.610011574077</v>
      </c>
      <c r="B22" s="3" t="s">
        <v>22</v>
      </c>
      <c r="C22" s="3" t="s">
        <v>149</v>
      </c>
      <c r="D22" s="3" t="s">
        <v>3</v>
      </c>
      <c r="E22" s="3" t="s">
        <v>6</v>
      </c>
      <c r="F22" s="2">
        <v>0</v>
      </c>
      <c r="G22" s="2">
        <v>270</v>
      </c>
      <c r="H22" s="2">
        <v>33089</v>
      </c>
      <c r="I22" s="3" t="s">
        <v>7</v>
      </c>
      <c r="J22" s="2">
        <v>33137</v>
      </c>
      <c r="K22" s="3" t="s">
        <v>8</v>
      </c>
      <c r="L22" s="23" t="str">
        <f>VLOOKUP(C22,'[18]Trips&amp;Operators'!$C$1:$E$9999,3,0)</f>
        <v>BONDS</v>
      </c>
      <c r="M22" s="30" t="s">
        <v>9</v>
      </c>
      <c r="N22" s="5" t="s">
        <v>58</v>
      </c>
      <c r="P22" s="27" t="str">
        <f>VLOOKUP(C22,'[18]Train Runs'!$A$13:$AE$9997,31,0)</f>
        <v>aws s3 cp s3://rtdc.mdm.uploadarchive/RTDC4044/2016-08-18/ "%USERPROFILE%\AppData\Local\Temp\OnboardLogs"\RTDC4044\2016-08-18 --recursive &amp; "%USERPROFILE%\Documents\GitHub\mrs-test-scripts\Headless Mode &amp; Sideloading\WalkAndUnGZ.bat" "%USERPROFILE%\AppData\Local\Temp\OnboardLogs"\RTDC4044\2016-08-18 &amp; aws s3 cp s3://rtdc.mdm.uploadarchive/RTDC4044/2016-08-19/ "%USERPROFILE%\AppData\Local\Temp\OnboardLogs"\RTDC4044\2016-08-19 --recursive &amp; "%USERPROFILE%\Documents\GitHub\mrs-test-scripts\Headless Mode &amp; Sideloading\WalkAndUnGZ.bat" "%USERPROFILE%\AppData\Local\Temp\OnboardLogs"\RTDC4044\2016-08-19</v>
      </c>
      <c r="Q22" s="28" t="e">
        <f>VLOOKUP(C22,'[4]Train Runs'!$A$13:$AE$683,22,0)</f>
        <v>#N/A</v>
      </c>
      <c r="R22" s="29" t="s">
        <v>214</v>
      </c>
      <c r="S22" s="6" t="str">
        <f t="shared" si="4"/>
        <v>4044</v>
      </c>
      <c r="T22" s="8">
        <f t="shared" si="1"/>
        <v>42600.860011574077</v>
      </c>
      <c r="U22" s="9" t="str">
        <f t="shared" si="2"/>
        <v>EC</v>
      </c>
      <c r="V22" s="9" t="str">
        <f t="shared" si="3"/>
        <v>KEEP</v>
      </c>
    </row>
    <row r="23" spans="1:22" hidden="1" x14ac:dyDescent="0.25">
      <c r="A23" s="8">
        <v>42583.644062500003</v>
      </c>
      <c r="B23" s="3" t="s">
        <v>35</v>
      </c>
      <c r="C23" s="3" t="s">
        <v>97</v>
      </c>
      <c r="D23" s="3" t="s">
        <v>3</v>
      </c>
      <c r="E23" s="3" t="s">
        <v>6</v>
      </c>
      <c r="F23" s="2">
        <v>280</v>
      </c>
      <c r="G23" s="2">
        <v>333</v>
      </c>
      <c r="H23" s="2">
        <v>33633</v>
      </c>
      <c r="I23" s="3" t="s">
        <v>7</v>
      </c>
      <c r="J23" s="2">
        <v>33257</v>
      </c>
      <c r="K23" s="3" t="s">
        <v>4</v>
      </c>
      <c r="L23" s="23" t="str">
        <f>VLOOKUP(C23,'[2]Trips&amp;Operators'!$C$1:$E$9999,3,0)</f>
        <v>STORY</v>
      </c>
      <c r="M23" s="6" t="s">
        <v>9</v>
      </c>
      <c r="N23" s="5" t="s">
        <v>58</v>
      </c>
      <c r="P23" s="24" t="str">
        <f>VLOOKUP(C23,'[2]Train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23" s="25" t="str">
        <f>VLOOKUP(C23,'[2]Train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3" s="26" t="s">
        <v>215</v>
      </c>
      <c r="S23" s="6" t="str">
        <f t="shared" si="4"/>
        <v>4010</v>
      </c>
      <c r="T23" s="8">
        <f t="shared" si="1"/>
        <v>42583.894062500003</v>
      </c>
      <c r="U23" s="9" t="str">
        <f t="shared" si="2"/>
        <v>EC</v>
      </c>
      <c r="V23" s="9" t="str">
        <f t="shared" si="3"/>
        <v>KEEP</v>
      </c>
    </row>
    <row r="24" spans="1:22" hidden="1" x14ac:dyDescent="0.25">
      <c r="A24" s="8">
        <v>42585.715520833335</v>
      </c>
      <c r="B24" s="3" t="s">
        <v>25</v>
      </c>
      <c r="C24" s="3" t="s">
        <v>103</v>
      </c>
      <c r="D24" s="3" t="s">
        <v>3</v>
      </c>
      <c r="E24" s="3" t="s">
        <v>6</v>
      </c>
      <c r="F24" s="2">
        <v>0</v>
      </c>
      <c r="G24" s="2">
        <v>227</v>
      </c>
      <c r="H24" s="2">
        <v>33297</v>
      </c>
      <c r="I24" s="3" t="s">
        <v>7</v>
      </c>
      <c r="J24" s="2">
        <v>33257</v>
      </c>
      <c r="K24" s="3" t="s">
        <v>4</v>
      </c>
      <c r="L24" s="23" t="str">
        <f>VLOOKUP(C24,'[4]Trips&amp;Operators'!$C$1:$E$9999,3,0)</f>
        <v>STORY</v>
      </c>
      <c r="M24" s="6" t="s">
        <v>9</v>
      </c>
      <c r="N24" s="5" t="s">
        <v>58</v>
      </c>
      <c r="P24" s="27" t="str">
        <f>VLOOKUP(C24,'[4]Train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24" s="25" t="e">
        <f>VLOOKUP(C24,'[2]Train Runs'!$A$13:$AE$686,22,0)</f>
        <v>#N/A</v>
      </c>
      <c r="R24" s="26" t="s">
        <v>216</v>
      </c>
      <c r="S24" s="6" t="str">
        <f t="shared" si="4"/>
        <v>4037</v>
      </c>
      <c r="T24" s="8">
        <f t="shared" si="1"/>
        <v>42585.965520833335</v>
      </c>
      <c r="U24" s="9" t="str">
        <f t="shared" si="2"/>
        <v>EC</v>
      </c>
      <c r="V24" s="9" t="str">
        <f t="shared" si="3"/>
        <v>KEEP</v>
      </c>
    </row>
    <row r="25" spans="1:22" hidden="1" x14ac:dyDescent="0.25">
      <c r="A25" s="8">
        <v>42585.792685185188</v>
      </c>
      <c r="B25" s="3" t="s">
        <v>23</v>
      </c>
      <c r="C25" s="3" t="s">
        <v>66</v>
      </c>
      <c r="D25" s="3" t="s">
        <v>3</v>
      </c>
      <c r="E25" s="3" t="s">
        <v>6</v>
      </c>
      <c r="F25" s="2">
        <v>0</v>
      </c>
      <c r="G25" s="2">
        <v>253</v>
      </c>
      <c r="H25" s="2">
        <v>33391</v>
      </c>
      <c r="I25" s="3" t="s">
        <v>7</v>
      </c>
      <c r="J25" s="2">
        <v>33257</v>
      </c>
      <c r="K25" s="3" t="s">
        <v>4</v>
      </c>
      <c r="L25" s="23" t="str">
        <f>VLOOKUP(C25,'[4]Trips&amp;Operators'!$C$1:$E$9999,3,0)</f>
        <v>STORY</v>
      </c>
      <c r="M25" s="6" t="s">
        <v>9</v>
      </c>
      <c r="N25" s="5" t="s">
        <v>58</v>
      </c>
      <c r="P25" s="27" t="str">
        <f>VLOOKUP(C25,'[4]Train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Q25" s="25" t="e">
        <f>VLOOKUP(C25,'[2]Train Runs'!$A$13:$AE$686,22,0)</f>
        <v>#N/A</v>
      </c>
      <c r="R25" s="26" t="s">
        <v>217</v>
      </c>
      <c r="S25" s="6" t="str">
        <f t="shared" si="4"/>
        <v>4017</v>
      </c>
      <c r="T25" s="8">
        <f t="shared" si="1"/>
        <v>42586.042685185188</v>
      </c>
      <c r="U25" s="9" t="str">
        <f t="shared" si="2"/>
        <v>EC</v>
      </c>
      <c r="V25" s="9" t="str">
        <f t="shared" si="3"/>
        <v>KEEP</v>
      </c>
    </row>
    <row r="26" spans="1:22" hidden="1" x14ac:dyDescent="0.25">
      <c r="A26" s="8">
        <v>42586.395300925928</v>
      </c>
      <c r="B26" s="3" t="s">
        <v>13</v>
      </c>
      <c r="C26" s="3" t="s">
        <v>106</v>
      </c>
      <c r="D26" s="3" t="s">
        <v>3</v>
      </c>
      <c r="E26" s="3" t="s">
        <v>6</v>
      </c>
      <c r="F26" s="2">
        <v>230</v>
      </c>
      <c r="G26" s="2">
        <v>288</v>
      </c>
      <c r="H26" s="2">
        <v>33479</v>
      </c>
      <c r="I26" s="3" t="s">
        <v>7</v>
      </c>
      <c r="J26" s="2">
        <v>33257</v>
      </c>
      <c r="K26" s="3" t="s">
        <v>4</v>
      </c>
      <c r="L26" s="23" t="str">
        <f>VLOOKUP(C26,'[5]Trips&amp;Operators'!$C$1:$E$9999,3,0)</f>
        <v>STRICKLAND</v>
      </c>
      <c r="M26" s="6" t="s">
        <v>9</v>
      </c>
      <c r="N26" s="5" t="s">
        <v>58</v>
      </c>
      <c r="P26" s="27" t="str">
        <f>VLOOKUP(C26,'[5]Train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Q26" s="25" t="e">
        <f>VLOOKUP(C26,'[2]Train Runs'!$A$13:$AE$686,22,0)</f>
        <v>#N/A</v>
      </c>
      <c r="R26" s="26" t="s">
        <v>218</v>
      </c>
      <c r="S26" s="6" t="str">
        <f t="shared" si="4"/>
        <v>4008</v>
      </c>
      <c r="T26" s="8">
        <f t="shared" si="1"/>
        <v>42586.645300925928</v>
      </c>
      <c r="U26" s="9" t="str">
        <f t="shared" si="2"/>
        <v>EC</v>
      </c>
      <c r="V26" s="9" t="str">
        <f t="shared" si="3"/>
        <v>KEEP</v>
      </c>
    </row>
    <row r="27" spans="1:22" hidden="1" x14ac:dyDescent="0.25">
      <c r="A27" s="8">
        <v>42586.601631944446</v>
      </c>
      <c r="B27" s="3" t="s">
        <v>33</v>
      </c>
      <c r="C27" s="3" t="s">
        <v>68</v>
      </c>
      <c r="D27" s="3" t="s">
        <v>3</v>
      </c>
      <c r="E27" s="3" t="s">
        <v>6</v>
      </c>
      <c r="F27" s="2">
        <v>0</v>
      </c>
      <c r="G27" s="2">
        <v>265</v>
      </c>
      <c r="H27" s="2">
        <v>33313</v>
      </c>
      <c r="I27" s="3" t="s">
        <v>7</v>
      </c>
      <c r="J27" s="2">
        <v>33257</v>
      </c>
      <c r="K27" s="3" t="s">
        <v>4</v>
      </c>
      <c r="L27" s="23" t="str">
        <f>VLOOKUP(C27,'[5]Trips&amp;Operators'!$C$1:$E$9999,3,0)</f>
        <v>SHOOK</v>
      </c>
      <c r="M27" s="6" t="s">
        <v>9</v>
      </c>
      <c r="N27" s="5" t="s">
        <v>58</v>
      </c>
      <c r="P27" s="27" t="str">
        <f>VLOOKUP(C27,'[5]Train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27" s="25" t="e">
        <f>VLOOKUP(C27,'[2]Train Runs'!$A$13:$AE$686,22,0)</f>
        <v>#N/A</v>
      </c>
      <c r="R27" s="26" t="s">
        <v>219</v>
      </c>
      <c r="S27" s="6" t="str">
        <f t="shared" si="4"/>
        <v>4012</v>
      </c>
      <c r="T27" s="8">
        <f t="shared" si="1"/>
        <v>42586.851631944446</v>
      </c>
      <c r="U27" s="9" t="str">
        <f t="shared" si="2"/>
        <v>EC</v>
      </c>
      <c r="V27" s="9" t="str">
        <f t="shared" si="3"/>
        <v>KEEP</v>
      </c>
    </row>
    <row r="28" spans="1:22" hidden="1" x14ac:dyDescent="0.25">
      <c r="A28" s="8">
        <v>42588.362905092596</v>
      </c>
      <c r="B28" s="3" t="s">
        <v>29</v>
      </c>
      <c r="C28" s="3" t="s">
        <v>113</v>
      </c>
      <c r="D28" s="3" t="s">
        <v>3</v>
      </c>
      <c r="E28" s="3" t="s">
        <v>6</v>
      </c>
      <c r="F28" s="2">
        <v>200</v>
      </c>
      <c r="G28" s="2">
        <v>276</v>
      </c>
      <c r="H28" s="2">
        <v>33437</v>
      </c>
      <c r="I28" s="3" t="s">
        <v>7</v>
      </c>
      <c r="J28" s="2">
        <v>33257</v>
      </c>
      <c r="K28" s="3" t="s">
        <v>4</v>
      </c>
      <c r="L28" s="23" t="str">
        <f>VLOOKUP(C28,'[7]Trips&amp;Operators'!$C$1:$E$9999,3,0)</f>
        <v>STRICKLAND</v>
      </c>
      <c r="M28" s="6" t="s">
        <v>9</v>
      </c>
      <c r="N28" s="5" t="s">
        <v>58</v>
      </c>
      <c r="P28" s="27" t="str">
        <f>VLOOKUP(C28,'[7]Train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Q28" s="25" t="e">
        <f>VLOOKUP(C28,'[2]Train Runs'!$A$13:$AE$686,22,0)</f>
        <v>#N/A</v>
      </c>
      <c r="R28" s="26" t="s">
        <v>220</v>
      </c>
      <c r="S28" s="6" t="str">
        <f t="shared" si="4"/>
        <v>4041</v>
      </c>
      <c r="T28" s="8">
        <f t="shared" si="1"/>
        <v>42588.612905092596</v>
      </c>
      <c r="U28" s="9" t="str">
        <f t="shared" si="2"/>
        <v>EC</v>
      </c>
      <c r="V28" s="9" t="str">
        <f t="shared" si="3"/>
        <v>KEEP</v>
      </c>
    </row>
    <row r="29" spans="1:22" hidden="1" x14ac:dyDescent="0.25">
      <c r="A29" s="8">
        <v>42589.34165509259</v>
      </c>
      <c r="B29" s="3" t="s">
        <v>25</v>
      </c>
      <c r="C29" s="3" t="s">
        <v>115</v>
      </c>
      <c r="D29" s="3" t="s">
        <v>3</v>
      </c>
      <c r="E29" s="3" t="s">
        <v>6</v>
      </c>
      <c r="F29" s="2">
        <v>0</v>
      </c>
      <c r="G29" s="2">
        <v>298</v>
      </c>
      <c r="H29" s="2">
        <v>33385</v>
      </c>
      <c r="I29" s="3" t="s">
        <v>7</v>
      </c>
      <c r="J29" s="2">
        <v>33257</v>
      </c>
      <c r="K29" s="3" t="s">
        <v>4</v>
      </c>
      <c r="L29" s="23" t="str">
        <f>VLOOKUP(C29,'[8]Trips&amp;Operators'!$C$1:$E$9999,3,0)</f>
        <v>STRICKLAND</v>
      </c>
      <c r="M29" s="6" t="s">
        <v>9</v>
      </c>
      <c r="N29" s="5" t="s">
        <v>58</v>
      </c>
      <c r="P29" s="27" t="str">
        <f>VLOOKUP(C29,'[8]Train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Q29" s="25" t="e">
        <f>VLOOKUP(C29,'[2]Train Runs'!$A$13:$AE$686,22,0)</f>
        <v>#N/A</v>
      </c>
      <c r="R29" s="26" t="s">
        <v>221</v>
      </c>
      <c r="S29" s="6" t="str">
        <f t="shared" si="4"/>
        <v>4037</v>
      </c>
      <c r="T29" s="8">
        <f t="shared" si="1"/>
        <v>42589.59165509259</v>
      </c>
      <c r="U29" s="9" t="str">
        <f t="shared" si="2"/>
        <v>EC</v>
      </c>
      <c r="V29" s="9" t="str">
        <f t="shared" si="3"/>
        <v>KEEP</v>
      </c>
    </row>
    <row r="30" spans="1:22" hidden="1" x14ac:dyDescent="0.25">
      <c r="A30" s="8">
        <v>42589.602094907408</v>
      </c>
      <c r="B30" s="3" t="s">
        <v>14</v>
      </c>
      <c r="C30" s="3" t="s">
        <v>116</v>
      </c>
      <c r="D30" s="3" t="s">
        <v>3</v>
      </c>
      <c r="E30" s="3" t="s">
        <v>6</v>
      </c>
      <c r="F30" s="2">
        <v>0</v>
      </c>
      <c r="G30" s="2">
        <v>284</v>
      </c>
      <c r="H30" s="2">
        <v>33485</v>
      </c>
      <c r="I30" s="3" t="s">
        <v>7</v>
      </c>
      <c r="J30" s="2">
        <v>33257</v>
      </c>
      <c r="K30" s="3" t="s">
        <v>4</v>
      </c>
      <c r="L30" s="23" t="str">
        <f>VLOOKUP(C30,'[8]Trips&amp;Operators'!$C$1:$E$9999,3,0)</f>
        <v>BARTLETT</v>
      </c>
      <c r="M30" s="6" t="s">
        <v>9</v>
      </c>
      <c r="N30" s="5" t="s">
        <v>58</v>
      </c>
      <c r="P30" s="27" t="str">
        <f>VLOOKUP(C30,'[8]Train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Q30" s="25" t="e">
        <f>VLOOKUP(C30,'[2]Train Runs'!$A$13:$AE$686,22,0)</f>
        <v>#N/A</v>
      </c>
      <c r="R30" s="26" t="s">
        <v>222</v>
      </c>
      <c r="S30" s="6" t="str">
        <f t="shared" si="4"/>
        <v>4043</v>
      </c>
      <c r="T30" s="8">
        <f t="shared" si="1"/>
        <v>42589.852094907408</v>
      </c>
      <c r="U30" s="9" t="str">
        <f t="shared" si="2"/>
        <v>EC</v>
      </c>
      <c r="V30" s="9" t="str">
        <f t="shared" si="3"/>
        <v>KEEP</v>
      </c>
    </row>
    <row r="31" spans="1:22" hidden="1" x14ac:dyDescent="0.25">
      <c r="A31" s="8">
        <v>42595.340682870374</v>
      </c>
      <c r="B31" s="3" t="s">
        <v>14</v>
      </c>
      <c r="C31" s="3" t="s">
        <v>134</v>
      </c>
      <c r="D31" s="3" t="s">
        <v>3</v>
      </c>
      <c r="E31" s="3" t="s">
        <v>6</v>
      </c>
      <c r="F31" s="2">
        <v>0</v>
      </c>
      <c r="G31" s="2">
        <v>206</v>
      </c>
      <c r="H31" s="2">
        <v>33293</v>
      </c>
      <c r="I31" s="3" t="s">
        <v>7</v>
      </c>
      <c r="J31" s="2">
        <v>33257</v>
      </c>
      <c r="K31" s="3" t="s">
        <v>4</v>
      </c>
      <c r="L31" s="23" t="str">
        <f>VLOOKUP(C31,'[13]Trips&amp;Operators'!$C$1:$E$9999,3,0)</f>
        <v>GEBRETEKLE</v>
      </c>
      <c r="M31" s="30" t="s">
        <v>9</v>
      </c>
      <c r="N31" s="5" t="s">
        <v>58</v>
      </c>
      <c r="P31" s="27" t="s">
        <v>152</v>
      </c>
      <c r="Q31" s="28" t="s">
        <v>153</v>
      </c>
      <c r="R31" s="29" t="s">
        <v>154</v>
      </c>
      <c r="S31" s="6" t="s">
        <v>155</v>
      </c>
      <c r="T31" s="8">
        <f t="shared" si="1"/>
        <v>42595.590682870374</v>
      </c>
      <c r="U31" s="9" t="str">
        <f t="shared" si="2"/>
        <v>EC</v>
      </c>
      <c r="V31" s="9" t="str">
        <f t="shared" si="3"/>
        <v>KEEP</v>
      </c>
    </row>
    <row r="32" spans="1:22" hidden="1" x14ac:dyDescent="0.25">
      <c r="A32" s="8">
        <v>42597.248425925929</v>
      </c>
      <c r="B32" s="3" t="s">
        <v>12</v>
      </c>
      <c r="C32" s="3" t="s">
        <v>138</v>
      </c>
      <c r="D32" s="3" t="s">
        <v>11</v>
      </c>
      <c r="E32" s="3" t="s">
        <v>6</v>
      </c>
      <c r="F32" s="2">
        <v>0</v>
      </c>
      <c r="G32" s="2">
        <v>219</v>
      </c>
      <c r="H32" s="2">
        <v>33235</v>
      </c>
      <c r="I32" s="3" t="s">
        <v>7</v>
      </c>
      <c r="J32" s="2">
        <v>33257</v>
      </c>
      <c r="K32" s="3" t="s">
        <v>4</v>
      </c>
      <c r="L32" s="23" t="str">
        <f>VLOOKUP(C32,'[15]Trips&amp;Operators'!$C$1:$E$9999,3,0)</f>
        <v>SPECTOR</v>
      </c>
      <c r="M32" s="30" t="s">
        <v>9</v>
      </c>
      <c r="N32" s="5" t="s">
        <v>58</v>
      </c>
      <c r="P32" s="27" t="str">
        <f>VLOOKUP(C32,'[15]Train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32" s="25" t="e">
        <f>VLOOKUP(C32,'[2]Train Runs'!$A$13:$AE$686,22,0)</f>
        <v>#N/A</v>
      </c>
      <c r="R32" s="26" t="s">
        <v>223</v>
      </c>
      <c r="S32" s="6" t="str">
        <f t="shared" ref="S32:S61" si="5">MID(B32,13,4)</f>
        <v>4019</v>
      </c>
      <c r="T32" s="8">
        <f t="shared" si="1"/>
        <v>42597.498425925929</v>
      </c>
      <c r="U32" s="9" t="str">
        <f t="shared" si="2"/>
        <v>EC</v>
      </c>
      <c r="V32" s="9" t="str">
        <f t="shared" si="3"/>
        <v>KEEP</v>
      </c>
    </row>
    <row r="33" spans="1:22" hidden="1" x14ac:dyDescent="0.25">
      <c r="A33" s="8">
        <v>42597.299988425926</v>
      </c>
      <c r="B33" s="3" t="s">
        <v>14</v>
      </c>
      <c r="C33" s="3" t="s">
        <v>139</v>
      </c>
      <c r="D33" s="3" t="s">
        <v>3</v>
      </c>
      <c r="E33" s="3" t="s">
        <v>6</v>
      </c>
      <c r="F33" s="2">
        <v>0</v>
      </c>
      <c r="G33" s="2">
        <v>300</v>
      </c>
      <c r="H33" s="2">
        <v>33469</v>
      </c>
      <c r="I33" s="3" t="s">
        <v>7</v>
      </c>
      <c r="J33" s="2">
        <v>33257</v>
      </c>
      <c r="K33" s="3" t="s">
        <v>4</v>
      </c>
      <c r="L33" s="23" t="str">
        <f>VLOOKUP(C33,'[15]Trips&amp;Operators'!$C$1:$E$9999,3,0)</f>
        <v>ACKERMAN</v>
      </c>
      <c r="M33" s="30" t="s">
        <v>9</v>
      </c>
      <c r="N33" s="5" t="s">
        <v>58</v>
      </c>
      <c r="P33" s="27" t="str">
        <f>VLOOKUP(C33,'[15]Train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33" s="25" t="e">
        <f>VLOOKUP(C33,'[2]Train Runs'!$A$13:$AE$686,22,0)</f>
        <v>#N/A</v>
      </c>
      <c r="R33" s="26" t="s">
        <v>224</v>
      </c>
      <c r="S33" s="6" t="str">
        <f t="shared" si="5"/>
        <v>4043</v>
      </c>
      <c r="T33" s="8">
        <f t="shared" si="1"/>
        <v>42597.549988425926</v>
      </c>
      <c r="U33" s="9" t="str">
        <f t="shared" si="2"/>
        <v>EC</v>
      </c>
      <c r="V33" s="9" t="str">
        <f t="shared" si="3"/>
        <v>KEEP</v>
      </c>
    </row>
    <row r="34" spans="1:22" hidden="1" x14ac:dyDescent="0.25">
      <c r="A34" s="8">
        <v>42597.4378125</v>
      </c>
      <c r="B34" s="3" t="s">
        <v>29</v>
      </c>
      <c r="C34" s="3" t="s">
        <v>140</v>
      </c>
      <c r="D34" s="3" t="s">
        <v>11</v>
      </c>
      <c r="E34" s="3" t="s">
        <v>6</v>
      </c>
      <c r="F34" s="2">
        <v>0</v>
      </c>
      <c r="G34" s="2">
        <v>228</v>
      </c>
      <c r="H34" s="2">
        <v>33237</v>
      </c>
      <c r="I34" s="3" t="s">
        <v>7</v>
      </c>
      <c r="J34" s="2">
        <v>33257</v>
      </c>
      <c r="K34" s="3" t="s">
        <v>4</v>
      </c>
      <c r="L34" s="23" t="str">
        <f>VLOOKUP(C34,'[15]Trips&amp;Operators'!$C$1:$E$9999,3,0)</f>
        <v>MALAVE</v>
      </c>
      <c r="M34" s="30" t="s">
        <v>9</v>
      </c>
      <c r="N34" s="5" t="s">
        <v>58</v>
      </c>
      <c r="P34" s="27" t="str">
        <f>VLOOKUP(C34,'[15]Train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34" s="25" t="e">
        <f>VLOOKUP(C34,'[2]Train Runs'!$A$13:$AE$686,22,0)</f>
        <v>#N/A</v>
      </c>
      <c r="R34" s="26" t="s">
        <v>225</v>
      </c>
      <c r="S34" s="6" t="str">
        <f t="shared" si="5"/>
        <v>4041</v>
      </c>
      <c r="T34" s="8">
        <f t="shared" ref="T34:T65" si="6">A34+6/24</f>
        <v>42597.6878125</v>
      </c>
      <c r="U34" s="9" t="str">
        <f t="shared" ref="U34:U65" si="7">IF(VALUE(LEFT(IF(LEN(C34)=6,"0"&amp;C34,C34),2))&lt;=2,"EC",IF(OR(VALUE(LEFT(IF(LEN(C34)=6,"0"&amp;C34,C34),2))=8,VALUE(LEFT(IF(LEN(C34)=6,"0"&amp;C34,C34),2))=18),"NW","GL"))</f>
        <v>EC</v>
      </c>
      <c r="V34" s="9" t="str">
        <f t="shared" ref="V34:V65" si="8">IF(AND(E34="TRACK WARRANT AUTHORITY",G34&lt;10),"OMIT","KEEP")</f>
        <v>KEEP</v>
      </c>
    </row>
    <row r="35" spans="1:22" hidden="1" x14ac:dyDescent="0.25">
      <c r="A35" s="8">
        <v>42597.658773148149</v>
      </c>
      <c r="B35" s="3" t="s">
        <v>29</v>
      </c>
      <c r="C35" s="3" t="s">
        <v>141</v>
      </c>
      <c r="D35" s="3" t="s">
        <v>3</v>
      </c>
      <c r="E35" s="3" t="s">
        <v>6</v>
      </c>
      <c r="F35" s="2">
        <v>0</v>
      </c>
      <c r="G35" s="2">
        <v>178</v>
      </c>
      <c r="H35" s="2">
        <v>33263</v>
      </c>
      <c r="I35" s="3" t="s">
        <v>7</v>
      </c>
      <c r="J35" s="2">
        <v>33257</v>
      </c>
      <c r="K35" s="3" t="s">
        <v>4</v>
      </c>
      <c r="L35" s="23" t="str">
        <f>VLOOKUP(C35,'[15]Trips&amp;Operators'!$C$1:$E$9999,3,0)</f>
        <v>SHOOK</v>
      </c>
      <c r="M35" s="30" t="s">
        <v>9</v>
      </c>
      <c r="N35" s="5" t="s">
        <v>58</v>
      </c>
      <c r="P35" s="27" t="str">
        <f>VLOOKUP(C35,'[15]Train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35" s="25" t="e">
        <f>VLOOKUP(C35,'[3]Train Runs'!$A$13:$AE$686,22,0)</f>
        <v>#N/A</v>
      </c>
      <c r="R35" s="26" t="s">
        <v>226</v>
      </c>
      <c r="S35" s="6" t="str">
        <f t="shared" si="5"/>
        <v>4041</v>
      </c>
      <c r="T35" s="8">
        <f t="shared" si="6"/>
        <v>42597.908773148149</v>
      </c>
      <c r="U35" s="9" t="str">
        <f t="shared" si="7"/>
        <v>EC</v>
      </c>
      <c r="V35" s="9" t="str">
        <f t="shared" si="8"/>
        <v>KEEP</v>
      </c>
    </row>
    <row r="36" spans="1:22" hidden="1" x14ac:dyDescent="0.25">
      <c r="A36" s="8">
        <v>42597.667048611111</v>
      </c>
      <c r="B36" s="3" t="s">
        <v>14</v>
      </c>
      <c r="C36" s="3" t="s">
        <v>51</v>
      </c>
      <c r="D36" s="3" t="s">
        <v>3</v>
      </c>
      <c r="E36" s="3" t="s">
        <v>6</v>
      </c>
      <c r="F36" s="2">
        <v>250</v>
      </c>
      <c r="G36" s="2">
        <v>340</v>
      </c>
      <c r="H36" s="2">
        <v>33609</v>
      </c>
      <c r="I36" s="3" t="s">
        <v>7</v>
      </c>
      <c r="J36" s="2">
        <v>33257</v>
      </c>
      <c r="K36" s="3" t="s">
        <v>4</v>
      </c>
      <c r="L36" s="23" t="str">
        <f>VLOOKUP(C36,'[15]Trips&amp;Operators'!$C$1:$E$9999,3,0)</f>
        <v>STEWART</v>
      </c>
      <c r="M36" s="30" t="s">
        <v>9</v>
      </c>
      <c r="N36" s="5" t="s">
        <v>58</v>
      </c>
      <c r="P36" s="27" t="str">
        <f>VLOOKUP(C36,'[15]Train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36" s="25" t="e">
        <f>VLOOKUP(C36,'[3]Train Runs'!$A$13:$AE$686,22,0)</f>
        <v>#N/A</v>
      </c>
      <c r="R36" s="26" t="s">
        <v>227</v>
      </c>
      <c r="S36" s="6" t="str">
        <f t="shared" si="5"/>
        <v>4043</v>
      </c>
      <c r="T36" s="8">
        <f t="shared" si="6"/>
        <v>42597.917048611111</v>
      </c>
      <c r="U36" s="9" t="str">
        <f t="shared" si="7"/>
        <v>EC</v>
      </c>
      <c r="V36" s="9" t="str">
        <f t="shared" si="8"/>
        <v>KEEP</v>
      </c>
    </row>
    <row r="37" spans="1:22" hidden="1" x14ac:dyDescent="0.25">
      <c r="A37" s="8">
        <v>42584.402916666666</v>
      </c>
      <c r="B37" s="3" t="s">
        <v>33</v>
      </c>
      <c r="C37" s="3" t="s">
        <v>101</v>
      </c>
      <c r="D37" s="3" t="s">
        <v>3</v>
      </c>
      <c r="E37" s="3" t="s">
        <v>6</v>
      </c>
      <c r="F37" s="2">
        <v>0</v>
      </c>
      <c r="G37" s="2">
        <v>411</v>
      </c>
      <c r="H37" s="2">
        <v>38611</v>
      </c>
      <c r="I37" s="3" t="s">
        <v>7</v>
      </c>
      <c r="J37" s="2">
        <v>37462</v>
      </c>
      <c r="K37" s="3" t="s">
        <v>4</v>
      </c>
      <c r="L37" s="23" t="str">
        <f>VLOOKUP(C37,'[3]Trips&amp;Operators'!$C$1:$E$9999,3,0)</f>
        <v>REBOLETTI</v>
      </c>
      <c r="M37" s="6" t="s">
        <v>9</v>
      </c>
      <c r="N37" s="5" t="s">
        <v>58</v>
      </c>
      <c r="P37" s="24" t="str">
        <f>VLOOKUP(C37,'[3]Train Runs'!$A$13:$AE$686,31,0)</f>
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</c>
      <c r="Q37" s="25" t="e">
        <f>VLOOKUP(C37,'[2]Train Runs'!$A$13:$AE$686,22,0)</f>
        <v>#N/A</v>
      </c>
      <c r="R37" s="26" t="s">
        <v>228</v>
      </c>
      <c r="S37" s="6" t="str">
        <f t="shared" si="5"/>
        <v>4012</v>
      </c>
      <c r="T37" s="8">
        <f t="shared" si="6"/>
        <v>42584.652916666666</v>
      </c>
      <c r="U37" s="9" t="str">
        <f t="shared" si="7"/>
        <v>EC</v>
      </c>
      <c r="V37" s="9" t="str">
        <f t="shared" si="8"/>
        <v>KEEP</v>
      </c>
    </row>
    <row r="38" spans="1:22" hidden="1" x14ac:dyDescent="0.25">
      <c r="A38" s="8">
        <v>42586.382337962961</v>
      </c>
      <c r="B38" s="3" t="s">
        <v>33</v>
      </c>
      <c r="C38" s="3" t="s">
        <v>67</v>
      </c>
      <c r="D38" s="3" t="s">
        <v>3</v>
      </c>
      <c r="E38" s="3" t="s">
        <v>6</v>
      </c>
      <c r="F38" s="2">
        <v>0</v>
      </c>
      <c r="G38" s="2">
        <v>463</v>
      </c>
      <c r="H38" s="2">
        <v>38596</v>
      </c>
      <c r="I38" s="3" t="s">
        <v>7</v>
      </c>
      <c r="J38" s="2">
        <v>37462</v>
      </c>
      <c r="K38" s="3" t="s">
        <v>4</v>
      </c>
      <c r="L38" s="23" t="str">
        <f>VLOOKUP(C38,'[5]Trips&amp;Operators'!$C$1:$E$9999,3,0)</f>
        <v>MALAVE</v>
      </c>
      <c r="M38" s="6" t="s">
        <v>9</v>
      </c>
      <c r="N38" s="5" t="s">
        <v>58</v>
      </c>
      <c r="P38" s="27" t="str">
        <f>VLOOKUP(C38,'[5]Train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Q38" s="25" t="e">
        <f>VLOOKUP(C38,'[2]Train Runs'!$A$13:$AE$686,22,0)</f>
        <v>#N/A</v>
      </c>
      <c r="R38" s="26" t="s">
        <v>229</v>
      </c>
      <c r="S38" s="6" t="str">
        <f t="shared" si="5"/>
        <v>4012</v>
      </c>
      <c r="T38" s="8">
        <f t="shared" si="6"/>
        <v>42586.632337962961</v>
      </c>
      <c r="U38" s="9" t="str">
        <f t="shared" si="7"/>
        <v>EC</v>
      </c>
      <c r="V38" s="9" t="str">
        <f t="shared" si="8"/>
        <v>KEEP</v>
      </c>
    </row>
    <row r="39" spans="1:22" hidden="1" x14ac:dyDescent="0.25">
      <c r="A39" s="8">
        <v>42583.341400462959</v>
      </c>
      <c r="B39" s="3" t="s">
        <v>15</v>
      </c>
      <c r="C39" s="3" t="s">
        <v>98</v>
      </c>
      <c r="D39" s="3" t="s">
        <v>11</v>
      </c>
      <c r="E39" s="3" t="s">
        <v>6</v>
      </c>
      <c r="F39" s="2">
        <v>0</v>
      </c>
      <c r="G39" s="2">
        <v>226</v>
      </c>
      <c r="H39" s="2">
        <v>42803</v>
      </c>
      <c r="I39" s="3" t="s">
        <v>7</v>
      </c>
      <c r="J39" s="2">
        <v>42779</v>
      </c>
      <c r="K39" s="3" t="s">
        <v>8</v>
      </c>
      <c r="L39" s="23" t="str">
        <f>VLOOKUP(C39,'[2]Trips&amp;Operators'!$C$1:$E$9999,3,0)</f>
        <v>SPECTOR</v>
      </c>
      <c r="M39" s="6" t="s">
        <v>9</v>
      </c>
      <c r="N39" s="5" t="s">
        <v>58</v>
      </c>
      <c r="P39" s="24" t="str">
        <f>VLOOKUP(C39,'[2]Train Runs'!$A$13:$AE$686,31,0)</f>
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</c>
      <c r="Q39" s="25" t="str">
        <f>VLOOKUP(C39,'[2]Train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9" s="26" t="s">
        <v>230</v>
      </c>
      <c r="S39" s="6" t="str">
        <f t="shared" si="5"/>
        <v>4027</v>
      </c>
      <c r="T39" s="8">
        <f t="shared" si="6"/>
        <v>42583.591400462959</v>
      </c>
      <c r="U39" s="9" t="str">
        <f t="shared" si="7"/>
        <v>EC</v>
      </c>
      <c r="V39" s="9" t="str">
        <f t="shared" si="8"/>
        <v>KEEP</v>
      </c>
    </row>
    <row r="40" spans="1:22" hidden="1" x14ac:dyDescent="0.25">
      <c r="A40" s="8">
        <v>42584.518043981479</v>
      </c>
      <c r="B40" s="3" t="s">
        <v>26</v>
      </c>
      <c r="C40" s="3" t="s">
        <v>64</v>
      </c>
      <c r="D40" s="3" t="s">
        <v>3</v>
      </c>
      <c r="E40" s="3" t="s">
        <v>6</v>
      </c>
      <c r="F40" s="2">
        <v>300</v>
      </c>
      <c r="G40" s="2">
        <v>476</v>
      </c>
      <c r="H40" s="2">
        <v>39904</v>
      </c>
      <c r="I40" s="3" t="s">
        <v>7</v>
      </c>
      <c r="J40" s="2">
        <v>42779</v>
      </c>
      <c r="K40" s="3" t="s">
        <v>8</v>
      </c>
      <c r="L40" s="23" t="str">
        <f>VLOOKUP(C40,'[3]Trips&amp;Operators'!$C$1:$E$9999,3,0)</f>
        <v>MAYBERRY</v>
      </c>
      <c r="M40" s="6" t="s">
        <v>9</v>
      </c>
      <c r="N40" s="5" t="s">
        <v>58</v>
      </c>
      <c r="P40" s="24" t="str">
        <f>VLOOKUP(C40,'[3]Train Runs'!$A$13:$AE$686,31,0)</f>
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</c>
      <c r="Q40" s="25" t="e">
        <f>VLOOKUP(C40,'[2]Train Runs'!$A$13:$AE$686,22,0)</f>
        <v>#N/A</v>
      </c>
      <c r="R40" s="26" t="s">
        <v>231</v>
      </c>
      <c r="S40" s="6" t="str">
        <f t="shared" si="5"/>
        <v>4014</v>
      </c>
      <c r="T40" s="8">
        <f t="shared" si="6"/>
        <v>42584.768043981479</v>
      </c>
      <c r="U40" s="9" t="str">
        <f t="shared" si="7"/>
        <v>EC</v>
      </c>
      <c r="V40" s="9" t="str">
        <f t="shared" si="8"/>
        <v>KEEP</v>
      </c>
    </row>
    <row r="41" spans="1:22" hidden="1" x14ac:dyDescent="0.25">
      <c r="A41" s="8">
        <v>42590.269282407404</v>
      </c>
      <c r="B41" s="3" t="s">
        <v>15</v>
      </c>
      <c r="C41" s="3" t="s">
        <v>71</v>
      </c>
      <c r="D41" s="3" t="s">
        <v>11</v>
      </c>
      <c r="E41" s="3" t="s">
        <v>6</v>
      </c>
      <c r="F41" s="2">
        <v>0</v>
      </c>
      <c r="G41" s="2">
        <v>270</v>
      </c>
      <c r="H41" s="2">
        <v>42812</v>
      </c>
      <c r="I41" s="3" t="s">
        <v>7</v>
      </c>
      <c r="J41" s="2">
        <v>42779</v>
      </c>
      <c r="K41" s="3" t="s">
        <v>8</v>
      </c>
      <c r="L41" s="23" t="str">
        <f>VLOOKUP(C41,'[9]Trips&amp;Operators'!$C$1:$E$9999,3,0)</f>
        <v>SPECTOR</v>
      </c>
      <c r="M41" s="30" t="s">
        <v>9</v>
      </c>
      <c r="N41" s="5" t="s">
        <v>58</v>
      </c>
      <c r="P41" s="27" t="str">
        <f>VLOOKUP(C41,'[9]Train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41" s="25" t="e">
        <f>VLOOKUP(C41,'[2]Train Runs'!$A$13:$AE$686,22,0)</f>
        <v>#N/A</v>
      </c>
      <c r="R41" s="26" t="s">
        <v>232</v>
      </c>
      <c r="S41" s="6" t="str">
        <f t="shared" si="5"/>
        <v>4027</v>
      </c>
      <c r="T41" s="8">
        <f t="shared" si="6"/>
        <v>42590.519282407404</v>
      </c>
      <c r="U41" s="9" t="str">
        <f t="shared" si="7"/>
        <v>EC</v>
      </c>
      <c r="V41" s="9" t="str">
        <f t="shared" si="8"/>
        <v>KEEP</v>
      </c>
    </row>
    <row r="42" spans="1:22" hidden="1" x14ac:dyDescent="0.25">
      <c r="A42" s="8">
        <v>42591.490949074076</v>
      </c>
      <c r="B42" s="3" t="s">
        <v>32</v>
      </c>
      <c r="C42" s="3" t="s">
        <v>122</v>
      </c>
      <c r="D42" s="3" t="s">
        <v>11</v>
      </c>
      <c r="E42" s="3" t="s">
        <v>6</v>
      </c>
      <c r="F42" s="2">
        <v>0</v>
      </c>
      <c r="G42" s="2">
        <v>271</v>
      </c>
      <c r="H42" s="2">
        <v>42804</v>
      </c>
      <c r="I42" s="3" t="s">
        <v>7</v>
      </c>
      <c r="J42" s="2">
        <v>42779</v>
      </c>
      <c r="K42" s="3" t="s">
        <v>8</v>
      </c>
      <c r="L42" s="23" t="str">
        <f>VLOOKUP(C42,'[10]Trips&amp;Operators'!$C$1:$E$9999,3,0)</f>
        <v>HELVIE</v>
      </c>
      <c r="M42" s="30" t="s">
        <v>9</v>
      </c>
      <c r="N42" s="5" t="s">
        <v>58</v>
      </c>
      <c r="P42" s="27" t="str">
        <f>VLOOKUP(C42,'[10]Train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2" s="25" t="e">
        <f>VLOOKUP(C42,'[2]Train Runs'!$A$13:$AE$686,22,0)</f>
        <v>#N/A</v>
      </c>
      <c r="R42" s="26" t="s">
        <v>233</v>
      </c>
      <c r="S42" s="6" t="str">
        <f t="shared" si="5"/>
        <v>4031</v>
      </c>
      <c r="T42" s="8">
        <f t="shared" si="6"/>
        <v>42591.740949074076</v>
      </c>
      <c r="U42" s="9" t="str">
        <f t="shared" si="7"/>
        <v>EC</v>
      </c>
      <c r="V42" s="9" t="str">
        <f t="shared" si="8"/>
        <v>KEEP</v>
      </c>
    </row>
    <row r="43" spans="1:22" hidden="1" x14ac:dyDescent="0.25">
      <c r="A43" s="8">
        <v>42591.563530092593</v>
      </c>
      <c r="B43" s="3" t="s">
        <v>32</v>
      </c>
      <c r="C43" s="3" t="s">
        <v>123</v>
      </c>
      <c r="D43" s="3" t="s">
        <v>3</v>
      </c>
      <c r="E43" s="3" t="s">
        <v>6</v>
      </c>
      <c r="F43" s="2">
        <v>0</v>
      </c>
      <c r="G43" s="2">
        <v>189</v>
      </c>
      <c r="H43" s="2">
        <v>42777</v>
      </c>
      <c r="I43" s="3" t="s">
        <v>7</v>
      </c>
      <c r="J43" s="2">
        <v>42779</v>
      </c>
      <c r="K43" s="3" t="s">
        <v>8</v>
      </c>
      <c r="L43" s="23" t="str">
        <f>VLOOKUP(C43,'[10]Trips&amp;Operators'!$C$1:$E$9999,3,0)</f>
        <v>HELVIE</v>
      </c>
      <c r="M43" s="30" t="s">
        <v>9</v>
      </c>
      <c r="N43" s="5" t="s">
        <v>58</v>
      </c>
      <c r="P43" s="27" t="str">
        <f>VLOOKUP(C43,'[10]Train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Q43" s="25" t="e">
        <f>VLOOKUP(C43,'[2]Train Runs'!$A$13:$AE$686,22,0)</f>
        <v>#N/A</v>
      </c>
      <c r="R43" s="26" t="s">
        <v>234</v>
      </c>
      <c r="S43" s="6" t="str">
        <f t="shared" si="5"/>
        <v>4031</v>
      </c>
      <c r="T43" s="8">
        <f t="shared" si="6"/>
        <v>42591.813530092593</v>
      </c>
      <c r="U43" s="9" t="str">
        <f t="shared" si="7"/>
        <v>EC</v>
      </c>
      <c r="V43" s="9" t="str">
        <f t="shared" si="8"/>
        <v>KEEP</v>
      </c>
    </row>
    <row r="44" spans="1:22" hidden="1" x14ac:dyDescent="0.25">
      <c r="A44" s="8">
        <v>42590.308009259257</v>
      </c>
      <c r="B44" s="3" t="s">
        <v>12</v>
      </c>
      <c r="C44" s="3" t="s">
        <v>117</v>
      </c>
      <c r="D44" s="3" t="s">
        <v>3</v>
      </c>
      <c r="E44" s="3" t="s">
        <v>6</v>
      </c>
      <c r="F44" s="2">
        <v>0</v>
      </c>
      <c r="G44" s="2">
        <v>626</v>
      </c>
      <c r="H44" s="2">
        <v>45638</v>
      </c>
      <c r="I44" s="3" t="s">
        <v>7</v>
      </c>
      <c r="J44" s="2">
        <v>42961</v>
      </c>
      <c r="K44" s="3" t="s">
        <v>4</v>
      </c>
      <c r="L44" s="23" t="str">
        <f>VLOOKUP(C44,'[9]Trips&amp;Operators'!$C$1:$E$9999,3,0)</f>
        <v>GEBRETEKLE</v>
      </c>
      <c r="M44" s="30" t="s">
        <v>9</v>
      </c>
      <c r="N44" s="5" t="s">
        <v>58</v>
      </c>
      <c r="P44" s="27" t="str">
        <f>VLOOKUP(C44,'[9]Train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44" s="25" t="e">
        <f>VLOOKUP(C44,'[2]Train Runs'!$A$13:$AE$686,22,0)</f>
        <v>#N/A</v>
      </c>
      <c r="R44" s="26" t="s">
        <v>235</v>
      </c>
      <c r="S44" s="6" t="str">
        <f t="shared" si="5"/>
        <v>4019</v>
      </c>
      <c r="T44" s="8">
        <f t="shared" si="6"/>
        <v>42590.558009259257</v>
      </c>
      <c r="U44" s="9" t="str">
        <f t="shared" si="7"/>
        <v>EC</v>
      </c>
      <c r="V44" s="9" t="str">
        <f t="shared" si="8"/>
        <v>KEEP</v>
      </c>
    </row>
    <row r="45" spans="1:22" hidden="1" x14ac:dyDescent="0.25">
      <c r="A45" s="8">
        <v>42592.433530092596</v>
      </c>
      <c r="B45" s="3" t="s">
        <v>21</v>
      </c>
      <c r="C45" s="3" t="s">
        <v>126</v>
      </c>
      <c r="D45" s="3" t="s">
        <v>3</v>
      </c>
      <c r="E45" s="3" t="s">
        <v>6</v>
      </c>
      <c r="F45" s="2">
        <v>0</v>
      </c>
      <c r="G45" s="2">
        <v>602</v>
      </c>
      <c r="H45" s="2">
        <v>44518</v>
      </c>
      <c r="I45" s="3" t="s">
        <v>7</v>
      </c>
      <c r="J45" s="2">
        <v>42961</v>
      </c>
      <c r="K45" s="3" t="s">
        <v>4</v>
      </c>
      <c r="L45" s="23" t="str">
        <f>VLOOKUP(C45,'[11]Trips&amp;Operators'!$C$1:$E$9999,3,0)</f>
        <v>BRANNON</v>
      </c>
      <c r="M45" s="30" t="s">
        <v>9</v>
      </c>
      <c r="N45" s="5" t="s">
        <v>58</v>
      </c>
      <c r="P45" s="27" t="str">
        <f>VLOOKUP(C45,'[11]Train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Q45" s="25" t="e">
        <f>VLOOKUP(C45,'[2]Train Runs'!$A$13:$AE$686,22,0)</f>
        <v>#N/A</v>
      </c>
      <c r="R45" s="26" t="s">
        <v>236</v>
      </c>
      <c r="S45" s="6" t="str">
        <f t="shared" si="5"/>
        <v>4015</v>
      </c>
      <c r="T45" s="8">
        <f t="shared" si="6"/>
        <v>42592.683530092596</v>
      </c>
      <c r="U45" s="9" t="str">
        <f t="shared" si="7"/>
        <v>EC</v>
      </c>
      <c r="V45" s="9" t="str">
        <f t="shared" si="8"/>
        <v>KEEP</v>
      </c>
    </row>
    <row r="46" spans="1:22" hidden="1" x14ac:dyDescent="0.25">
      <c r="A46" s="8">
        <v>42593.300057870372</v>
      </c>
      <c r="B46" s="3" t="s">
        <v>28</v>
      </c>
      <c r="C46" s="3" t="s">
        <v>73</v>
      </c>
      <c r="D46" s="3" t="s">
        <v>3</v>
      </c>
      <c r="E46" s="3" t="s">
        <v>6</v>
      </c>
      <c r="F46" s="2">
        <v>620</v>
      </c>
      <c r="G46" s="2">
        <v>806</v>
      </c>
      <c r="H46" s="2">
        <v>46662</v>
      </c>
      <c r="I46" s="3" t="s">
        <v>7</v>
      </c>
      <c r="J46" s="2">
        <v>42961</v>
      </c>
      <c r="K46" s="3" t="s">
        <v>4</v>
      </c>
      <c r="L46" s="23" t="str">
        <f>VLOOKUP(C46,'[12]Trips&amp;Operators'!$C$1:$E$9999,3,0)</f>
        <v>STARKS</v>
      </c>
      <c r="M46" s="30" t="s">
        <v>9</v>
      </c>
      <c r="N46" s="5" t="s">
        <v>58</v>
      </c>
      <c r="P46" s="27" t="str">
        <f>VLOOKUP(C46,'[12]Train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46" s="25" t="e">
        <f>VLOOKUP(C46,'[2]Train Runs'!$A$13:$AE$686,22,0)</f>
        <v>#N/A</v>
      </c>
      <c r="R46" s="26" t="s">
        <v>237</v>
      </c>
      <c r="S46" s="6" t="str">
        <f t="shared" si="5"/>
        <v>4013</v>
      </c>
      <c r="T46" s="8">
        <f t="shared" si="6"/>
        <v>42593.550057870372</v>
      </c>
      <c r="U46" s="9" t="str">
        <f t="shared" si="7"/>
        <v>EC</v>
      </c>
      <c r="V46" s="9" t="str">
        <f t="shared" si="8"/>
        <v>KEEP</v>
      </c>
    </row>
    <row r="47" spans="1:22" hidden="1" x14ac:dyDescent="0.25">
      <c r="A47" s="8">
        <v>42596.870185185187</v>
      </c>
      <c r="B47" s="3" t="s">
        <v>2</v>
      </c>
      <c r="C47" s="3" t="s">
        <v>74</v>
      </c>
      <c r="D47" s="3" t="s">
        <v>3</v>
      </c>
      <c r="E47" s="3" t="s">
        <v>6</v>
      </c>
      <c r="F47" s="2">
        <v>0</v>
      </c>
      <c r="G47" s="2">
        <v>557</v>
      </c>
      <c r="H47" s="2">
        <v>45176</v>
      </c>
      <c r="I47" s="3" t="s">
        <v>7</v>
      </c>
      <c r="J47" s="2">
        <v>42961</v>
      </c>
      <c r="K47" s="3" t="s">
        <v>4</v>
      </c>
      <c r="L47" s="23" t="str">
        <f>VLOOKUP(C47,'[14]Trips&amp;Operators'!$C$1:$E$9999,3,0)</f>
        <v>COOLAHAN</v>
      </c>
      <c r="M47" s="30" t="s">
        <v>9</v>
      </c>
      <c r="N47" s="5" t="s">
        <v>58</v>
      </c>
      <c r="P47" s="27" t="str">
        <f>VLOOKUP(C47,'[14]Train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47" s="25" t="e">
        <f>VLOOKUP(C47,'[2]Train Runs'!$A$13:$AE$686,22,0)</f>
        <v>#N/A</v>
      </c>
      <c r="R47" s="26" t="s">
        <v>238</v>
      </c>
      <c r="S47" s="6" t="str">
        <f t="shared" si="5"/>
        <v>4030</v>
      </c>
      <c r="T47" s="8">
        <f t="shared" si="6"/>
        <v>42597.120185185187</v>
      </c>
      <c r="U47" s="9" t="str">
        <f t="shared" si="7"/>
        <v>EC</v>
      </c>
      <c r="V47" s="9" t="str">
        <f t="shared" si="8"/>
        <v>KEEP</v>
      </c>
    </row>
    <row r="48" spans="1:22" hidden="1" x14ac:dyDescent="0.25">
      <c r="A48" s="8">
        <v>42600.235752314817</v>
      </c>
      <c r="B48" s="3" t="s">
        <v>2</v>
      </c>
      <c r="C48" s="3" t="s">
        <v>57</v>
      </c>
      <c r="D48" s="3" t="s">
        <v>3</v>
      </c>
      <c r="E48" s="3" t="s">
        <v>6</v>
      </c>
      <c r="F48" s="2">
        <v>560</v>
      </c>
      <c r="G48" s="2">
        <v>621</v>
      </c>
      <c r="H48" s="2">
        <v>44404</v>
      </c>
      <c r="I48" s="3" t="s">
        <v>7</v>
      </c>
      <c r="J48" s="2">
        <v>42961</v>
      </c>
      <c r="K48" s="3" t="s">
        <v>4</v>
      </c>
      <c r="L48" s="23" t="str">
        <f>VLOOKUP(C48,'[18]Trips&amp;Operators'!$C$1:$E$9999,3,0)</f>
        <v>MALAVE</v>
      </c>
      <c r="M48" s="30" t="s">
        <v>9</v>
      </c>
      <c r="N48" s="5" t="s">
        <v>58</v>
      </c>
      <c r="P48" s="27" t="str">
        <f>VLOOKUP(C48,'[18]Train Runs'!$A$13:$AE$9997,31,0)</f>
        <v>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 &amp; aws s3 cp s3://rtdc.mdm.uploadarchive/RTDC4030/2016-08-19/ "%USERPROFILE%\AppData\Local\Temp\OnboardLogs"\RTDC4030\2016-08-19 --recursive &amp; "%USERPROFILE%\Documents\GitHub\mrs-test-scripts\Headless Mode &amp; Sideloading\WalkAndUnGZ.bat" "%USERPROFILE%\AppData\Local\Temp\OnboardLogs"\RTDC4030\2016-08-19</v>
      </c>
      <c r="Q48" s="28" t="e">
        <f>VLOOKUP(C48,'[4]Train Runs'!$A$13:$AE$683,22,0)</f>
        <v>#N/A</v>
      </c>
      <c r="R48" s="29" t="s">
        <v>239</v>
      </c>
      <c r="S48" s="6" t="str">
        <f t="shared" si="5"/>
        <v>4030</v>
      </c>
      <c r="T48" s="8">
        <f t="shared" si="6"/>
        <v>42600.485752314817</v>
      </c>
      <c r="U48" s="9" t="str">
        <f t="shared" si="7"/>
        <v>EC</v>
      </c>
      <c r="V48" s="9" t="str">
        <f t="shared" si="8"/>
        <v>KEEP</v>
      </c>
    </row>
    <row r="49" spans="1:22" hidden="1" x14ac:dyDescent="0.25">
      <c r="A49" s="8">
        <v>42593.446053240739</v>
      </c>
      <c r="B49" s="3" t="s">
        <v>28</v>
      </c>
      <c r="C49" s="3" t="s">
        <v>54</v>
      </c>
      <c r="D49" s="3" t="s">
        <v>3</v>
      </c>
      <c r="E49" s="3" t="s">
        <v>6</v>
      </c>
      <c r="F49" s="2">
        <v>0</v>
      </c>
      <c r="G49" s="2">
        <v>444</v>
      </c>
      <c r="H49" s="2">
        <v>48336</v>
      </c>
      <c r="I49" s="3" t="s">
        <v>7</v>
      </c>
      <c r="J49" s="2">
        <v>48048</v>
      </c>
      <c r="K49" s="3" t="s">
        <v>4</v>
      </c>
      <c r="L49" s="23" t="str">
        <f>VLOOKUP(C49,'[12]Trips&amp;Operators'!$C$1:$E$9999,3,0)</f>
        <v>STARKS</v>
      </c>
      <c r="M49" s="30" t="s">
        <v>9</v>
      </c>
      <c r="N49" s="5" t="s">
        <v>58</v>
      </c>
      <c r="P49" s="27" t="str">
        <f>VLOOKUP(C49,'[12]Train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49" s="25" t="e">
        <f>VLOOKUP(C49,'[2]Train Runs'!$A$13:$AE$686,22,0)</f>
        <v>#N/A</v>
      </c>
      <c r="R49" s="26" t="s">
        <v>240</v>
      </c>
      <c r="S49" s="6" t="str">
        <f t="shared" si="5"/>
        <v>4013</v>
      </c>
      <c r="T49" s="8">
        <f t="shared" si="6"/>
        <v>42593.696053240739</v>
      </c>
      <c r="U49" s="9" t="str">
        <f t="shared" si="7"/>
        <v>EC</v>
      </c>
      <c r="V49" s="9" t="str">
        <f t="shared" si="8"/>
        <v>KEEP</v>
      </c>
    </row>
    <row r="50" spans="1:22" hidden="1" x14ac:dyDescent="0.25">
      <c r="A50" s="8">
        <v>42591.988530092596</v>
      </c>
      <c r="B50" s="3" t="s">
        <v>34</v>
      </c>
      <c r="C50" s="3" t="s">
        <v>124</v>
      </c>
      <c r="D50" s="3" t="s">
        <v>11</v>
      </c>
      <c r="E50" s="3" t="s">
        <v>6</v>
      </c>
      <c r="F50" s="2">
        <v>0</v>
      </c>
      <c r="G50" s="2">
        <v>231</v>
      </c>
      <c r="H50" s="2">
        <v>58799</v>
      </c>
      <c r="I50" s="3" t="s">
        <v>7</v>
      </c>
      <c r="J50" s="2">
        <v>58783</v>
      </c>
      <c r="K50" s="3" t="s">
        <v>8</v>
      </c>
      <c r="L50" s="23" t="str">
        <f>VLOOKUP(C50,'[10]Trips&amp;Operators'!$C$1:$E$9999,3,0)</f>
        <v>COOLAHAN</v>
      </c>
      <c r="M50" s="30" t="s">
        <v>9</v>
      </c>
      <c r="N50" s="5" t="s">
        <v>58</v>
      </c>
      <c r="P50" s="27" t="str">
        <f>VLOOKUP(C50,'[10]Train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Q50" s="25" t="e">
        <f>VLOOKUP(C50,'[2]Train Runs'!$A$13:$AE$686,22,0)</f>
        <v>#N/A</v>
      </c>
      <c r="R50" s="26" t="s">
        <v>241</v>
      </c>
      <c r="S50" s="6" t="str">
        <f t="shared" si="5"/>
        <v>4011</v>
      </c>
      <c r="T50" s="8">
        <f t="shared" si="6"/>
        <v>42592.238530092596</v>
      </c>
      <c r="U50" s="9" t="str">
        <f t="shared" si="7"/>
        <v>EC</v>
      </c>
      <c r="V50" s="9" t="str">
        <f t="shared" si="8"/>
        <v>KEEP</v>
      </c>
    </row>
    <row r="51" spans="1:22" hidden="1" x14ac:dyDescent="0.25">
      <c r="A51" s="8">
        <v>42587.581805555557</v>
      </c>
      <c r="B51" s="3" t="s">
        <v>22</v>
      </c>
      <c r="C51" s="3" t="s">
        <v>69</v>
      </c>
      <c r="D51" s="3" t="s">
        <v>3</v>
      </c>
      <c r="E51" s="3" t="s">
        <v>6</v>
      </c>
      <c r="F51" s="2">
        <v>0</v>
      </c>
      <c r="G51" s="2">
        <v>401</v>
      </c>
      <c r="H51" s="2">
        <v>62948</v>
      </c>
      <c r="I51" s="3" t="s">
        <v>7</v>
      </c>
      <c r="J51" s="2">
        <v>63069</v>
      </c>
      <c r="K51" s="3" t="s">
        <v>8</v>
      </c>
      <c r="L51" s="23" t="str">
        <f>VLOOKUP(C51,'[6]Trips&amp;Operators'!$C$1:$E$9999,3,0)</f>
        <v>HELVIE</v>
      </c>
      <c r="M51" s="6" t="s">
        <v>9</v>
      </c>
      <c r="N51" s="5" t="s">
        <v>58</v>
      </c>
      <c r="P51" s="27" t="str">
        <f>VLOOKUP(C51,'[6]Train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Q51" s="25" t="e">
        <f>VLOOKUP(C51,'[2]Train Runs'!$A$13:$AE$686,22,0)</f>
        <v>#N/A</v>
      </c>
      <c r="R51" s="26" t="s">
        <v>242</v>
      </c>
      <c r="S51" s="6" t="str">
        <f t="shared" si="5"/>
        <v>4044</v>
      </c>
      <c r="T51" s="8">
        <f t="shared" si="6"/>
        <v>42587.831805555557</v>
      </c>
      <c r="U51" s="9" t="str">
        <f t="shared" si="7"/>
        <v>EC</v>
      </c>
      <c r="V51" s="9" t="str">
        <f t="shared" si="8"/>
        <v>KEEP</v>
      </c>
    </row>
    <row r="52" spans="1:22" hidden="1" x14ac:dyDescent="0.25">
      <c r="A52" s="8">
        <v>42590.3434837963</v>
      </c>
      <c r="B52" s="3" t="s">
        <v>15</v>
      </c>
      <c r="C52" s="3" t="s">
        <v>118</v>
      </c>
      <c r="D52" s="3" t="s">
        <v>3</v>
      </c>
      <c r="E52" s="3" t="s">
        <v>6</v>
      </c>
      <c r="F52" s="2">
        <v>340</v>
      </c>
      <c r="G52" s="2">
        <v>498</v>
      </c>
      <c r="H52" s="2">
        <v>60915</v>
      </c>
      <c r="I52" s="3" t="s">
        <v>7</v>
      </c>
      <c r="J52" s="2">
        <v>63069</v>
      </c>
      <c r="K52" s="3" t="s">
        <v>8</v>
      </c>
      <c r="L52" s="23" t="str">
        <f>VLOOKUP(C52,'[9]Trips&amp;Operators'!$C$1:$E$9999,3,0)</f>
        <v>SPECTOR</v>
      </c>
      <c r="M52" s="30" t="s">
        <v>9</v>
      </c>
      <c r="N52" s="5" t="s">
        <v>58</v>
      </c>
      <c r="P52" s="27" t="str">
        <f>VLOOKUP(C52,'[9]Train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52" s="25" t="e">
        <f>VLOOKUP(C52,'[2]Train Runs'!$A$13:$AE$686,22,0)</f>
        <v>#N/A</v>
      </c>
      <c r="R52" s="26" t="s">
        <v>243</v>
      </c>
      <c r="S52" s="6" t="str">
        <f t="shared" si="5"/>
        <v>4027</v>
      </c>
      <c r="T52" s="8">
        <f t="shared" si="6"/>
        <v>42590.5934837963</v>
      </c>
      <c r="U52" s="9" t="str">
        <f t="shared" si="7"/>
        <v>EC</v>
      </c>
      <c r="V52" s="9" t="str">
        <f t="shared" si="8"/>
        <v>KEEP</v>
      </c>
    </row>
    <row r="53" spans="1:22" hidden="1" x14ac:dyDescent="0.25">
      <c r="A53" s="8">
        <v>42592.26971064815</v>
      </c>
      <c r="B53" s="3" t="s">
        <v>18</v>
      </c>
      <c r="C53" s="3" t="s">
        <v>127</v>
      </c>
      <c r="D53" s="3" t="s">
        <v>3</v>
      </c>
      <c r="E53" s="3" t="s">
        <v>6</v>
      </c>
      <c r="F53" s="2">
        <v>0</v>
      </c>
      <c r="G53" s="2">
        <v>392</v>
      </c>
      <c r="H53" s="2">
        <v>62512</v>
      </c>
      <c r="I53" s="3" t="s">
        <v>7</v>
      </c>
      <c r="J53" s="2">
        <v>63069</v>
      </c>
      <c r="K53" s="3" t="s">
        <v>8</v>
      </c>
      <c r="L53" s="23" t="str">
        <f>VLOOKUP(C53,'[11]Trips&amp;Operators'!$C$1:$E$9999,3,0)</f>
        <v>SPECTOR</v>
      </c>
      <c r="M53" s="30" t="s">
        <v>9</v>
      </c>
      <c r="N53" s="5" t="s">
        <v>58</v>
      </c>
      <c r="P53" s="27" t="str">
        <f>VLOOKUP(C53,'[11]Train Runs'!$A$13:$AE$462,31,0)</f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Q53" s="25" t="e">
        <f>VLOOKUP(C53,'[2]Train Runs'!$A$13:$AE$686,22,0)</f>
        <v>#N/A</v>
      </c>
      <c r="R53" s="26" t="s">
        <v>244</v>
      </c>
      <c r="S53" s="6" t="str">
        <f t="shared" si="5"/>
        <v>4007</v>
      </c>
      <c r="T53" s="8">
        <f t="shared" si="6"/>
        <v>42592.51971064815</v>
      </c>
      <c r="U53" s="9" t="str">
        <f t="shared" si="7"/>
        <v>EC</v>
      </c>
      <c r="V53" s="9" t="str">
        <f t="shared" si="8"/>
        <v>KEEP</v>
      </c>
    </row>
    <row r="54" spans="1:22" hidden="1" x14ac:dyDescent="0.25">
      <c r="A54" s="8">
        <v>42597.269849537035</v>
      </c>
      <c r="B54" s="3" t="s">
        <v>19</v>
      </c>
      <c r="C54" s="3" t="s">
        <v>142</v>
      </c>
      <c r="D54" s="3" t="s">
        <v>3</v>
      </c>
      <c r="E54" s="3" t="s">
        <v>6</v>
      </c>
      <c r="F54" s="2">
        <v>0</v>
      </c>
      <c r="G54" s="2">
        <v>373</v>
      </c>
      <c r="H54" s="2">
        <v>62259</v>
      </c>
      <c r="I54" s="3" t="s">
        <v>7</v>
      </c>
      <c r="J54" s="2">
        <v>63069</v>
      </c>
      <c r="K54" s="3" t="s">
        <v>8</v>
      </c>
      <c r="L54" s="23" t="str">
        <f>VLOOKUP(C54,'[15]Trips&amp;Operators'!$C$1:$E$9999,3,0)</f>
        <v>SPECTOR</v>
      </c>
      <c r="M54" s="30" t="s">
        <v>9</v>
      </c>
      <c r="N54" s="5" t="s">
        <v>58</v>
      </c>
      <c r="P54" s="27" t="str">
        <f>VLOOKUP(C54,'[15]Train Runs'!$A$13:$AE$9995,31,0)</f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Q54" s="25" t="e">
        <f>VLOOKUP(C54,'[2]Train Runs'!$A$13:$AE$686,22,0)</f>
        <v>#N/A</v>
      </c>
      <c r="R54" s="26" t="s">
        <v>245</v>
      </c>
      <c r="S54" s="6" t="str">
        <f t="shared" si="5"/>
        <v>4020</v>
      </c>
      <c r="T54" s="8">
        <f t="shared" si="6"/>
        <v>42597.519849537035</v>
      </c>
      <c r="U54" s="9" t="str">
        <f t="shared" si="7"/>
        <v>EC</v>
      </c>
      <c r="V54" s="9" t="str">
        <f t="shared" si="8"/>
        <v>KEEP</v>
      </c>
    </row>
    <row r="55" spans="1:22" hidden="1" x14ac:dyDescent="0.25">
      <c r="A55" s="8">
        <v>42583.547824074078</v>
      </c>
      <c r="B55" s="3" t="s">
        <v>28</v>
      </c>
      <c r="C55" s="3" t="s">
        <v>62</v>
      </c>
      <c r="D55" s="3" t="s">
        <v>11</v>
      </c>
      <c r="E55" s="3" t="s">
        <v>6</v>
      </c>
      <c r="F55" s="2">
        <v>200</v>
      </c>
      <c r="G55" s="2">
        <v>251</v>
      </c>
      <c r="H55" s="2">
        <v>63309</v>
      </c>
      <c r="I55" s="3" t="s">
        <v>7</v>
      </c>
      <c r="J55" s="2">
        <v>63309</v>
      </c>
      <c r="K55" s="3" t="s">
        <v>4</v>
      </c>
      <c r="L55" s="23" t="str">
        <f>VLOOKUP(C55,'[2]Trips&amp;Operators'!$C$1:$E$9999,3,0)</f>
        <v>MAYBERRY</v>
      </c>
      <c r="M55" s="6" t="s">
        <v>9</v>
      </c>
      <c r="N55" s="5" t="s">
        <v>58</v>
      </c>
      <c r="P55" s="24" t="str">
        <f>VLOOKUP(C55,'[2]Train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Q55" s="25" t="str">
        <f>VLOOKUP(C55,'[2]Train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5" s="26" t="s">
        <v>246</v>
      </c>
      <c r="S55" s="6" t="str">
        <f t="shared" si="5"/>
        <v>4013</v>
      </c>
      <c r="T55" s="8">
        <f t="shared" si="6"/>
        <v>42583.797824074078</v>
      </c>
      <c r="U55" s="9" t="str">
        <f t="shared" si="7"/>
        <v>EC</v>
      </c>
      <c r="V55" s="9" t="str">
        <f t="shared" si="8"/>
        <v>KEEP</v>
      </c>
    </row>
    <row r="56" spans="1:22" hidden="1" x14ac:dyDescent="0.25">
      <c r="A56" s="8">
        <v>42583.590150462966</v>
      </c>
      <c r="B56" s="3" t="s">
        <v>21</v>
      </c>
      <c r="C56" s="3" t="s">
        <v>100</v>
      </c>
      <c r="D56" s="3" t="s">
        <v>3</v>
      </c>
      <c r="E56" s="3" t="s">
        <v>6</v>
      </c>
      <c r="F56" s="2">
        <v>190</v>
      </c>
      <c r="G56" s="2">
        <v>249</v>
      </c>
      <c r="H56" s="2">
        <v>63365</v>
      </c>
      <c r="I56" s="3" t="s">
        <v>7</v>
      </c>
      <c r="J56" s="2">
        <v>63309</v>
      </c>
      <c r="K56" s="3" t="s">
        <v>4</v>
      </c>
      <c r="L56" s="23" t="str">
        <f>VLOOKUP(C56,'[2]Trips&amp;Operators'!$C$1:$E$9999,3,0)</f>
        <v>STEWART</v>
      </c>
      <c r="M56" s="6" t="s">
        <v>9</v>
      </c>
      <c r="N56" s="5" t="s">
        <v>58</v>
      </c>
      <c r="P56" s="24" t="str">
        <f>VLOOKUP(C56,'[2]Train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56" s="25" t="str">
        <f>VLOOKUP(C56,'[2]Train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56" s="26" t="s">
        <v>247</v>
      </c>
      <c r="S56" s="6" t="str">
        <f t="shared" si="5"/>
        <v>4015</v>
      </c>
      <c r="T56" s="8">
        <f t="shared" si="6"/>
        <v>42583.840150462966</v>
      </c>
      <c r="U56" s="9" t="str">
        <f t="shared" si="7"/>
        <v>EC</v>
      </c>
      <c r="V56" s="9" t="str">
        <f t="shared" si="8"/>
        <v>KEEP</v>
      </c>
    </row>
    <row r="57" spans="1:22" hidden="1" x14ac:dyDescent="0.25">
      <c r="A57" s="8">
        <v>42585.55574074074</v>
      </c>
      <c r="B57" s="3" t="s">
        <v>25</v>
      </c>
      <c r="C57" s="3" t="s">
        <v>104</v>
      </c>
      <c r="D57" s="3" t="s">
        <v>3</v>
      </c>
      <c r="E57" s="3" t="s">
        <v>6</v>
      </c>
      <c r="F57" s="2">
        <v>100</v>
      </c>
      <c r="G57" s="2">
        <v>410</v>
      </c>
      <c r="H57" s="2">
        <v>65682</v>
      </c>
      <c r="I57" s="3" t="s">
        <v>7</v>
      </c>
      <c r="J57" s="2">
        <v>63309</v>
      </c>
      <c r="K57" s="3" t="s">
        <v>4</v>
      </c>
      <c r="L57" s="23" t="str">
        <f>VLOOKUP(C57,'[4]Trips&amp;Operators'!$C$1:$E$9999,3,0)</f>
        <v>STORY</v>
      </c>
      <c r="M57" s="6" t="s">
        <v>9</v>
      </c>
      <c r="N57" s="5" t="s">
        <v>58</v>
      </c>
      <c r="P57" s="27" t="str">
        <f>VLOOKUP(C57,'[4]Train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Q57" s="25" t="e">
        <f>VLOOKUP(C57,'[2]Train Runs'!$A$13:$AE$686,22,0)</f>
        <v>#N/A</v>
      </c>
      <c r="R57" s="26" t="s">
        <v>248</v>
      </c>
      <c r="S57" s="6" t="str">
        <f t="shared" si="5"/>
        <v>4037</v>
      </c>
      <c r="T57" s="8">
        <f t="shared" si="6"/>
        <v>42585.80574074074</v>
      </c>
      <c r="U57" s="9" t="str">
        <f t="shared" si="7"/>
        <v>EC</v>
      </c>
      <c r="V57" s="9" t="str">
        <f t="shared" si="8"/>
        <v>KEEP</v>
      </c>
    </row>
    <row r="58" spans="1:22" hidden="1" x14ac:dyDescent="0.25">
      <c r="A58" s="8">
        <v>42585.757974537039</v>
      </c>
      <c r="B58" s="3" t="s">
        <v>17</v>
      </c>
      <c r="C58" s="3" t="s">
        <v>65</v>
      </c>
      <c r="D58" s="3" t="s">
        <v>3</v>
      </c>
      <c r="E58" s="3" t="s">
        <v>6</v>
      </c>
      <c r="F58" s="2">
        <v>140</v>
      </c>
      <c r="G58" s="2">
        <v>194</v>
      </c>
      <c r="H58" s="2">
        <v>63746</v>
      </c>
      <c r="I58" s="3" t="s">
        <v>7</v>
      </c>
      <c r="J58" s="2">
        <v>63309</v>
      </c>
      <c r="K58" s="3" t="s">
        <v>4</v>
      </c>
      <c r="L58" s="23" t="str">
        <f>VLOOKUP(C58,'[4]Trips&amp;Operators'!$C$1:$E$9999,3,0)</f>
        <v>ARNOLD</v>
      </c>
      <c r="M58" s="6" t="s">
        <v>9</v>
      </c>
      <c r="N58" s="5" t="s">
        <v>58</v>
      </c>
      <c r="P58" s="27" t="str">
        <f>VLOOKUP(C58,'[4]Train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Q58" s="25" t="e">
        <f>VLOOKUP(C58,'[2]Train Runs'!$A$13:$AE$686,22,0)</f>
        <v>#N/A</v>
      </c>
      <c r="R58" s="26" t="s">
        <v>249</v>
      </c>
      <c r="S58" s="6" t="str">
        <f t="shared" si="5"/>
        <v>4039</v>
      </c>
      <c r="T58" s="8">
        <f t="shared" si="6"/>
        <v>42586.007974537039</v>
      </c>
      <c r="U58" s="9" t="str">
        <f t="shared" si="7"/>
        <v>EC</v>
      </c>
      <c r="V58" s="9" t="str">
        <f t="shared" si="8"/>
        <v>KEEP</v>
      </c>
    </row>
    <row r="59" spans="1:22" hidden="1" x14ac:dyDescent="0.25">
      <c r="A59" s="8">
        <v>42591.598703703705</v>
      </c>
      <c r="B59" s="3" t="s">
        <v>30</v>
      </c>
      <c r="C59" s="3" t="s">
        <v>72</v>
      </c>
      <c r="D59" s="3" t="s">
        <v>11</v>
      </c>
      <c r="E59" s="3" t="s">
        <v>6</v>
      </c>
      <c r="F59" s="2">
        <v>0</v>
      </c>
      <c r="G59" s="2">
        <v>90</v>
      </c>
      <c r="H59" s="2">
        <v>63304</v>
      </c>
      <c r="I59" s="3" t="s">
        <v>7</v>
      </c>
      <c r="J59" s="2">
        <v>63309</v>
      </c>
      <c r="K59" s="3" t="s">
        <v>4</v>
      </c>
      <c r="L59" s="23" t="str">
        <f>VLOOKUP(C59,'[10]Trips&amp;Operators'!$C$1:$E$9999,3,0)</f>
        <v>DE LA ROSA</v>
      </c>
      <c r="M59" s="30" t="s">
        <v>9</v>
      </c>
      <c r="N59" s="5" t="s">
        <v>58</v>
      </c>
      <c r="P59" s="27" t="str">
        <f>VLOOKUP(C59,'[10]Train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Q59" s="25" t="e">
        <f>VLOOKUP(C59,'[2]Train Runs'!$A$13:$AE$686,22,0)</f>
        <v>#N/A</v>
      </c>
      <c r="R59" s="26" t="s">
        <v>250</v>
      </c>
      <c r="S59" s="6" t="str">
        <f t="shared" si="5"/>
        <v>4026</v>
      </c>
      <c r="T59" s="8">
        <f t="shared" si="6"/>
        <v>42591.848703703705</v>
      </c>
      <c r="U59" s="9" t="str">
        <f t="shared" si="7"/>
        <v>EC</v>
      </c>
      <c r="V59" s="9" t="str">
        <f t="shared" si="8"/>
        <v>KEEP</v>
      </c>
    </row>
    <row r="60" spans="1:22" hidden="1" x14ac:dyDescent="0.25">
      <c r="A60" s="8">
        <v>42583.803877314815</v>
      </c>
      <c r="B60" s="3" t="s">
        <v>21</v>
      </c>
      <c r="C60" s="3" t="s">
        <v>63</v>
      </c>
      <c r="D60" s="3" t="s">
        <v>3</v>
      </c>
      <c r="E60" s="3" t="s">
        <v>6</v>
      </c>
      <c r="F60" s="2">
        <v>0</v>
      </c>
      <c r="G60" s="2">
        <v>276</v>
      </c>
      <c r="H60" s="2">
        <v>78530</v>
      </c>
      <c r="I60" s="3" t="s">
        <v>7</v>
      </c>
      <c r="J60" s="2">
        <v>78469</v>
      </c>
      <c r="K60" s="3" t="s">
        <v>4</v>
      </c>
      <c r="L60" s="23" t="str">
        <f>VLOOKUP(C60,'[2]Trips&amp;Operators'!$C$1:$E$9999,3,0)</f>
        <v>DE LA ROSA</v>
      </c>
      <c r="M60" s="6" t="s">
        <v>9</v>
      </c>
      <c r="N60" s="5" t="s">
        <v>58</v>
      </c>
      <c r="P60" s="24" t="str">
        <f>VLOOKUP(C60,'[2]Train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60" s="25" t="str">
        <f>VLOOKUP(C60,'[2]Train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0" s="26" t="s">
        <v>251</v>
      </c>
      <c r="S60" s="6" t="str">
        <f t="shared" si="5"/>
        <v>4015</v>
      </c>
      <c r="T60" s="8">
        <f t="shared" si="6"/>
        <v>42584.053877314815</v>
      </c>
      <c r="U60" s="9" t="str">
        <f t="shared" si="7"/>
        <v>EC</v>
      </c>
      <c r="V60" s="9" t="str">
        <f t="shared" si="8"/>
        <v>KEEP</v>
      </c>
    </row>
    <row r="61" spans="1:22" hidden="1" x14ac:dyDescent="0.25">
      <c r="A61" s="8">
        <v>42587.621319444443</v>
      </c>
      <c r="B61" s="3" t="s">
        <v>20</v>
      </c>
      <c r="C61" s="3" t="s">
        <v>111</v>
      </c>
      <c r="D61" s="3" t="s">
        <v>3</v>
      </c>
      <c r="E61" s="3" t="s">
        <v>6</v>
      </c>
      <c r="F61" s="2">
        <v>0</v>
      </c>
      <c r="G61" s="2">
        <v>396</v>
      </c>
      <c r="H61" s="2">
        <v>78624</v>
      </c>
      <c r="I61" s="3" t="s">
        <v>7</v>
      </c>
      <c r="J61" s="2">
        <v>78469</v>
      </c>
      <c r="K61" s="3" t="s">
        <v>4</v>
      </c>
      <c r="L61" s="23" t="str">
        <f>VLOOKUP(C61,'[6]Trips&amp;Operators'!$C$1:$E$9999,3,0)</f>
        <v>MOSES</v>
      </c>
      <c r="M61" s="6" t="s">
        <v>9</v>
      </c>
      <c r="N61" s="5" t="s">
        <v>58</v>
      </c>
      <c r="P61" s="27" t="str">
        <f>VLOOKUP(C61,'[6]Train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Q61" s="25" t="e">
        <f>VLOOKUP(C61,'[2]Train Runs'!$A$13:$AE$686,22,0)</f>
        <v>#N/A</v>
      </c>
      <c r="R61" s="26" t="s">
        <v>252</v>
      </c>
      <c r="S61" s="6" t="str">
        <f t="shared" si="5"/>
        <v>4028</v>
      </c>
      <c r="T61" s="8">
        <f t="shared" si="6"/>
        <v>42587.871319444443</v>
      </c>
      <c r="U61" s="9" t="str">
        <f t="shared" si="7"/>
        <v>EC</v>
      </c>
      <c r="V61" s="9" t="str">
        <f t="shared" si="8"/>
        <v>KEEP</v>
      </c>
    </row>
    <row r="62" spans="1:22" hidden="1" x14ac:dyDescent="0.25">
      <c r="A62" s="8">
        <v>42595.785046296296</v>
      </c>
      <c r="B62" s="3" t="s">
        <v>12</v>
      </c>
      <c r="C62" s="3" t="s">
        <v>135</v>
      </c>
      <c r="D62" s="3" t="s">
        <v>11</v>
      </c>
      <c r="E62" s="3" t="s">
        <v>6</v>
      </c>
      <c r="F62" s="2">
        <v>0</v>
      </c>
      <c r="G62" s="2">
        <v>301</v>
      </c>
      <c r="H62" s="2">
        <v>78459</v>
      </c>
      <c r="I62" s="3" t="s">
        <v>7</v>
      </c>
      <c r="J62" s="2">
        <v>78469</v>
      </c>
      <c r="K62" s="3" t="s">
        <v>4</v>
      </c>
      <c r="L62" s="23" t="str">
        <f>VLOOKUP(C62,'[13]Trips&amp;Operators'!$C$1:$E$9999,3,0)</f>
        <v>MAYBERRY</v>
      </c>
      <c r="M62" s="30" t="s">
        <v>9</v>
      </c>
      <c r="N62" s="5" t="s">
        <v>58</v>
      </c>
      <c r="O62" s="5"/>
      <c r="P62" s="27" t="s">
        <v>162</v>
      </c>
      <c r="Q62" s="28" t="s">
        <v>170</v>
      </c>
      <c r="R62" s="29" t="s">
        <v>171</v>
      </c>
      <c r="S62" s="6" t="s">
        <v>165</v>
      </c>
      <c r="T62" s="8">
        <f t="shared" si="6"/>
        <v>42596.035046296296</v>
      </c>
      <c r="U62" s="9" t="str">
        <f t="shared" si="7"/>
        <v>EC</v>
      </c>
      <c r="V62" s="9" t="str">
        <f t="shared" si="8"/>
        <v>KEEP</v>
      </c>
    </row>
    <row r="63" spans="1:22" hidden="1" x14ac:dyDescent="0.25">
      <c r="A63" s="8">
        <v>42597.90898148148</v>
      </c>
      <c r="B63" s="3" t="s">
        <v>12</v>
      </c>
      <c r="C63" s="3" t="s">
        <v>143</v>
      </c>
      <c r="D63" s="3" t="s">
        <v>3</v>
      </c>
      <c r="E63" s="3" t="s">
        <v>6</v>
      </c>
      <c r="F63" s="2">
        <v>0</v>
      </c>
      <c r="G63" s="2">
        <v>378</v>
      </c>
      <c r="H63" s="2">
        <v>78504</v>
      </c>
      <c r="I63" s="3" t="s">
        <v>7</v>
      </c>
      <c r="J63" s="2">
        <v>78469</v>
      </c>
      <c r="K63" s="3" t="s">
        <v>4</v>
      </c>
      <c r="L63" s="23" t="str">
        <f>VLOOKUP(C63,'[15]Trips&amp;Operators'!$C$1:$E$9999,3,0)</f>
        <v>ISHMAEL</v>
      </c>
      <c r="M63" s="30" t="s">
        <v>9</v>
      </c>
      <c r="N63" s="5" t="s">
        <v>58</v>
      </c>
      <c r="P63" s="27" t="str">
        <f>VLOOKUP(C63,'[15]Train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63" s="25" t="e">
        <f>VLOOKUP(C63,'[3]Train Runs'!$A$13:$AE$686,22,0)</f>
        <v>#N/A</v>
      </c>
      <c r="R63" s="26" t="s">
        <v>253</v>
      </c>
      <c r="S63" s="6" t="str">
        <f t="shared" ref="S63:S71" si="9">MID(B63,13,4)</f>
        <v>4019</v>
      </c>
      <c r="T63" s="8">
        <f t="shared" si="6"/>
        <v>42598.15898148148</v>
      </c>
      <c r="U63" s="9" t="str">
        <f t="shared" si="7"/>
        <v>EC</v>
      </c>
      <c r="V63" s="9" t="str">
        <f t="shared" si="8"/>
        <v>KEEP</v>
      </c>
    </row>
    <row r="64" spans="1:22" hidden="1" x14ac:dyDescent="0.25">
      <c r="A64" s="8">
        <v>42598.523645833331</v>
      </c>
      <c r="B64" s="3" t="s">
        <v>25</v>
      </c>
      <c r="C64" s="3" t="s">
        <v>76</v>
      </c>
      <c r="D64" s="3" t="s">
        <v>3</v>
      </c>
      <c r="E64" s="3" t="s">
        <v>6</v>
      </c>
      <c r="F64" s="2">
        <v>0</v>
      </c>
      <c r="G64" s="2">
        <v>391</v>
      </c>
      <c r="H64" s="2">
        <v>78981</v>
      </c>
      <c r="I64" s="3" t="s">
        <v>7</v>
      </c>
      <c r="J64" s="2">
        <v>78469</v>
      </c>
      <c r="K64" s="3" t="s">
        <v>4</v>
      </c>
      <c r="L64" s="23" t="str">
        <f>VLOOKUP(C64,'[16]Trips&amp;Operators'!$C$1:$E$9999,3,0)</f>
        <v>STEWART</v>
      </c>
      <c r="M64" s="30" t="s">
        <v>9</v>
      </c>
      <c r="N64" s="5" t="s">
        <v>58</v>
      </c>
      <c r="P64" s="27" t="str">
        <f>VLOOKUP(C64,'[16]Train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64" s="25" t="e">
        <f>VLOOKUP(C64,'[3]Train Runs'!$A$13:$AE$686,22,0)</f>
        <v>#N/A</v>
      </c>
      <c r="R64" s="26" t="s">
        <v>254</v>
      </c>
      <c r="S64" s="6" t="str">
        <f t="shared" si="9"/>
        <v>4037</v>
      </c>
      <c r="T64" s="8">
        <f t="shared" si="6"/>
        <v>42598.773645833331</v>
      </c>
      <c r="U64" s="9" t="str">
        <f t="shared" si="7"/>
        <v>EC</v>
      </c>
      <c r="V64" s="9" t="str">
        <f t="shared" si="8"/>
        <v>KEEP</v>
      </c>
    </row>
    <row r="65" spans="1:22" hidden="1" x14ac:dyDescent="0.25">
      <c r="A65" s="8">
        <v>42598.712824074071</v>
      </c>
      <c r="B65" s="3" t="s">
        <v>31</v>
      </c>
      <c r="C65" s="3" t="s">
        <v>146</v>
      </c>
      <c r="D65" s="3" t="s">
        <v>3</v>
      </c>
      <c r="E65" s="3" t="s">
        <v>6</v>
      </c>
      <c r="F65" s="2">
        <v>350</v>
      </c>
      <c r="G65" s="2">
        <v>401</v>
      </c>
      <c r="H65" s="2">
        <v>79272</v>
      </c>
      <c r="I65" s="3" t="s">
        <v>7</v>
      </c>
      <c r="J65" s="2">
        <v>78469</v>
      </c>
      <c r="K65" s="3" t="s">
        <v>4</v>
      </c>
      <c r="L65" s="23" t="str">
        <f>VLOOKUP(C65,'[16]Trips&amp;Operators'!$C$1:$E$9999,3,0)</f>
        <v>MAYBERRY</v>
      </c>
      <c r="M65" s="30" t="s">
        <v>9</v>
      </c>
      <c r="N65" s="5" t="s">
        <v>58</v>
      </c>
      <c r="P65" s="27" t="str">
        <f>VLOOKUP(C65,'[16]Train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65" s="25" t="e">
        <f>VLOOKUP(C65,'[3]Train Runs'!$A$13:$AE$686,22,0)</f>
        <v>#N/A</v>
      </c>
      <c r="R65" s="26" t="s">
        <v>255</v>
      </c>
      <c r="S65" s="6" t="str">
        <f t="shared" si="9"/>
        <v>4032</v>
      </c>
      <c r="T65" s="8">
        <f t="shared" si="6"/>
        <v>42598.962824074071</v>
      </c>
      <c r="U65" s="9" t="str">
        <f t="shared" si="7"/>
        <v>EC</v>
      </c>
      <c r="V65" s="9" t="str">
        <f t="shared" si="8"/>
        <v>KEEP</v>
      </c>
    </row>
    <row r="66" spans="1:22" hidden="1" x14ac:dyDescent="0.25">
      <c r="A66" s="8">
        <v>42599.316805555558</v>
      </c>
      <c r="B66" s="3" t="s">
        <v>35</v>
      </c>
      <c r="C66" s="3" t="s">
        <v>147</v>
      </c>
      <c r="D66" s="3" t="s">
        <v>11</v>
      </c>
      <c r="E66" s="3" t="s">
        <v>6</v>
      </c>
      <c r="F66" s="2">
        <v>0</v>
      </c>
      <c r="G66" s="2">
        <v>424</v>
      </c>
      <c r="H66" s="2">
        <v>78434</v>
      </c>
      <c r="I66" s="3" t="s">
        <v>7</v>
      </c>
      <c r="J66" s="2">
        <v>78469</v>
      </c>
      <c r="K66" s="3" t="s">
        <v>4</v>
      </c>
      <c r="L66" s="23" t="str">
        <f>VLOOKUP(C66,'[17]Trips&amp;Operators'!$C$1:$E$9999,3,0)</f>
        <v>STRICKLAND</v>
      </c>
      <c r="M66" s="30" t="s">
        <v>9</v>
      </c>
      <c r="N66" s="5" t="s">
        <v>58</v>
      </c>
      <c r="P66" s="27" t="str">
        <f>VLOOKUP(C66,'[17]Train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66" s="25" t="e">
        <f>VLOOKUP(C66,'[3]Train Runs'!$A$13:$AE$686,22,0)</f>
        <v>#N/A</v>
      </c>
      <c r="R66" s="26" t="s">
        <v>256</v>
      </c>
      <c r="S66" s="6" t="str">
        <f t="shared" si="9"/>
        <v>4010</v>
      </c>
      <c r="T66" s="8">
        <f t="shared" ref="T66:T86" si="10">A66+6/24</f>
        <v>42599.566805555558</v>
      </c>
      <c r="U66" s="9" t="str">
        <f t="shared" ref="U66:U86" si="11">IF(VALUE(LEFT(IF(LEN(C66)=6,"0"&amp;C66,C66),2))&lt;=2,"EC",IF(OR(VALUE(LEFT(IF(LEN(C66)=6,"0"&amp;C66,C66),2))=8,VALUE(LEFT(IF(LEN(C66)=6,"0"&amp;C66,C66),2))=18),"NW","GL"))</f>
        <v>EC</v>
      </c>
      <c r="V66" s="9" t="str">
        <f t="shared" ref="V66:V86" si="12">IF(AND(E66="TRACK WARRANT AUTHORITY",G66&lt;10),"OMIT","KEEP")</f>
        <v>KEEP</v>
      </c>
    </row>
    <row r="67" spans="1:22" hidden="1" x14ac:dyDescent="0.25">
      <c r="A67" s="8">
        <v>42600.336192129631</v>
      </c>
      <c r="B67" s="3" t="s">
        <v>30</v>
      </c>
      <c r="C67" s="3" t="s">
        <v>150</v>
      </c>
      <c r="D67" s="3" t="s">
        <v>3</v>
      </c>
      <c r="E67" s="3" t="s">
        <v>6</v>
      </c>
      <c r="F67" s="2">
        <v>0</v>
      </c>
      <c r="G67" s="2">
        <v>314</v>
      </c>
      <c r="H67" s="2">
        <v>78834</v>
      </c>
      <c r="I67" s="3" t="s">
        <v>7</v>
      </c>
      <c r="J67" s="2">
        <v>78469</v>
      </c>
      <c r="K67" s="3" t="s">
        <v>4</v>
      </c>
      <c r="L67" s="23" t="str">
        <f>VLOOKUP(C67,'[18]Trips&amp;Operators'!$C$1:$E$9999,3,0)</f>
        <v>STARKS</v>
      </c>
      <c r="M67" s="30" t="s">
        <v>9</v>
      </c>
      <c r="N67" s="5" t="s">
        <v>58</v>
      </c>
      <c r="P67" s="27" t="str">
        <f>VLOOKUP(C67,'[18]Train Runs'!$A$13:$AE$9997,31,0)</f>
        <v>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 &amp; aws s3 cp s3://rtdc.mdm.uploadarchive/RTDC4026/2016-08-19/ "%USERPROFILE%\AppData\Local\Temp\OnboardLogs"\RTDC4026\2016-08-19 --recursive &amp; "%USERPROFILE%\Documents\GitHub\mrs-test-scripts\Headless Mode &amp; Sideloading\WalkAndUnGZ.bat" "%USERPROFILE%\AppData\Local\Temp\OnboardLogs"\RTDC4026\2016-08-19</v>
      </c>
      <c r="Q67" s="28" t="e">
        <f>VLOOKUP(C67,'[4]Train Runs'!$A$13:$AE$683,22,0)</f>
        <v>#N/A</v>
      </c>
      <c r="R67" s="29" t="s">
        <v>257</v>
      </c>
      <c r="S67" s="6" t="str">
        <f t="shared" si="9"/>
        <v>4026</v>
      </c>
      <c r="T67" s="8">
        <f t="shared" si="10"/>
        <v>42600.586192129631</v>
      </c>
      <c r="U67" s="9" t="str">
        <f t="shared" si="11"/>
        <v>EC</v>
      </c>
      <c r="V67" s="9" t="str">
        <f t="shared" si="12"/>
        <v>KEEP</v>
      </c>
    </row>
    <row r="68" spans="1:22" x14ac:dyDescent="0.25">
      <c r="A68" s="8">
        <v>42584.63616898148</v>
      </c>
      <c r="B68" s="3" t="s">
        <v>28</v>
      </c>
      <c r="C68" s="3" t="s">
        <v>102</v>
      </c>
      <c r="D68" s="3" t="s">
        <v>3</v>
      </c>
      <c r="E68" s="3" t="s">
        <v>6</v>
      </c>
      <c r="F68" s="2">
        <v>550</v>
      </c>
      <c r="G68" s="2">
        <v>645</v>
      </c>
      <c r="H68" s="2">
        <v>104395</v>
      </c>
      <c r="I68" s="3" t="s">
        <v>7</v>
      </c>
      <c r="J68" s="2">
        <v>103800</v>
      </c>
      <c r="K68" s="3" t="s">
        <v>4</v>
      </c>
      <c r="L68" s="23" t="str">
        <f>VLOOKUP(C68,'[3]Trips&amp;Operators'!$C$1:$E$9999,3,0)</f>
        <v>OUN</v>
      </c>
      <c r="M68" s="6" t="s">
        <v>9</v>
      </c>
      <c r="N68" s="5" t="s">
        <v>58</v>
      </c>
      <c r="P68" s="24" t="str">
        <f>VLOOKUP(C68,'[3]Train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Q68" s="25" t="e">
        <f>VLOOKUP(C68,'[2]Train Runs'!$A$13:$AE$686,22,0)</f>
        <v>#N/A</v>
      </c>
      <c r="R68" s="26" t="s">
        <v>258</v>
      </c>
      <c r="S68" s="6" t="str">
        <f t="shared" si="9"/>
        <v>4013</v>
      </c>
      <c r="T68" s="8">
        <f t="shared" si="10"/>
        <v>42584.88616898148</v>
      </c>
      <c r="U68" s="9" t="str">
        <f t="shared" si="11"/>
        <v>EC</v>
      </c>
      <c r="V68" s="9" t="str">
        <f t="shared" si="12"/>
        <v>KEEP</v>
      </c>
    </row>
    <row r="69" spans="1:22" x14ac:dyDescent="0.25">
      <c r="A69" s="8">
        <v>42590.241898148146</v>
      </c>
      <c r="B69" s="3" t="s">
        <v>20</v>
      </c>
      <c r="C69" s="3" t="s">
        <v>119</v>
      </c>
      <c r="D69" s="3" t="s">
        <v>3</v>
      </c>
      <c r="E69" s="3" t="s">
        <v>6</v>
      </c>
      <c r="F69" s="2">
        <v>530</v>
      </c>
      <c r="G69" s="2">
        <v>590</v>
      </c>
      <c r="H69" s="2">
        <v>104278</v>
      </c>
      <c r="I69" s="3" t="s">
        <v>7</v>
      </c>
      <c r="J69" s="2">
        <v>103800</v>
      </c>
      <c r="K69" s="3" t="s">
        <v>4</v>
      </c>
      <c r="L69" s="23" t="str">
        <f>VLOOKUP(C69,'[9]Trips&amp;Operators'!$C$1:$E$9999,3,0)</f>
        <v>SPECTOR</v>
      </c>
      <c r="M69" s="30" t="s">
        <v>9</v>
      </c>
      <c r="N69" s="5" t="s">
        <v>58</v>
      </c>
      <c r="P69" s="27" t="str">
        <f>VLOOKUP(C69,'[9]Train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69" s="25" t="e">
        <f>VLOOKUP(C69,'[2]Train Runs'!$A$13:$AE$686,22,0)</f>
        <v>#N/A</v>
      </c>
      <c r="R69" s="26" t="s">
        <v>259</v>
      </c>
      <c r="S69" s="6" t="str">
        <f t="shared" si="9"/>
        <v>4028</v>
      </c>
      <c r="T69" s="8">
        <f t="shared" si="10"/>
        <v>42590.491898148146</v>
      </c>
      <c r="U69" s="9" t="str">
        <f t="shared" si="11"/>
        <v>EC</v>
      </c>
      <c r="V69" s="9" t="str">
        <f t="shared" si="12"/>
        <v>KEEP</v>
      </c>
    </row>
    <row r="70" spans="1:22" x14ac:dyDescent="0.25">
      <c r="A70" s="8">
        <v>42592.751736111109</v>
      </c>
      <c r="B70" s="3" t="s">
        <v>13</v>
      </c>
      <c r="C70" s="3" t="s">
        <v>128</v>
      </c>
      <c r="D70" s="3" t="s">
        <v>3</v>
      </c>
      <c r="E70" s="3" t="s">
        <v>6</v>
      </c>
      <c r="F70" s="2">
        <v>0</v>
      </c>
      <c r="G70" s="2">
        <v>581</v>
      </c>
      <c r="H70" s="2">
        <v>103938</v>
      </c>
      <c r="I70" s="3" t="s">
        <v>7</v>
      </c>
      <c r="J70" s="2">
        <v>103800</v>
      </c>
      <c r="K70" s="3" t="s">
        <v>4</v>
      </c>
      <c r="L70" s="23" t="str">
        <f>VLOOKUP(C70,'[11]Trips&amp;Operators'!$C$1:$E$9999,3,0)</f>
        <v>HELVIE</v>
      </c>
      <c r="M70" s="30" t="s">
        <v>9</v>
      </c>
      <c r="N70" s="5" t="s">
        <v>58</v>
      </c>
      <c r="P70" s="27" t="str">
        <f>VLOOKUP(C70,'[11]Train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Q70" s="25" t="e">
        <f>VLOOKUP(C70,'[2]Train Runs'!$A$13:$AE$686,22,0)</f>
        <v>#N/A</v>
      </c>
      <c r="R70" s="26" t="s">
        <v>260</v>
      </c>
      <c r="S70" s="6" t="str">
        <f t="shared" si="9"/>
        <v>4008</v>
      </c>
      <c r="T70" s="8">
        <f t="shared" si="10"/>
        <v>42593.001736111109</v>
      </c>
      <c r="U70" s="9" t="str">
        <f t="shared" si="11"/>
        <v>EC</v>
      </c>
      <c r="V70" s="9" t="str">
        <f t="shared" si="12"/>
        <v>KEEP</v>
      </c>
    </row>
    <row r="71" spans="1:22" x14ac:dyDescent="0.25">
      <c r="A71" s="8">
        <v>42593.520312499997</v>
      </c>
      <c r="B71" s="3" t="s">
        <v>30</v>
      </c>
      <c r="C71" s="3" t="s">
        <v>131</v>
      </c>
      <c r="D71" s="3" t="s">
        <v>3</v>
      </c>
      <c r="E71" s="3" t="s">
        <v>6</v>
      </c>
      <c r="F71" s="2">
        <v>560</v>
      </c>
      <c r="G71" s="2">
        <v>636</v>
      </c>
      <c r="H71" s="2">
        <v>106188</v>
      </c>
      <c r="I71" s="3" t="s">
        <v>7</v>
      </c>
      <c r="J71" s="2">
        <v>103800</v>
      </c>
      <c r="K71" s="3" t="s">
        <v>4</v>
      </c>
      <c r="L71" s="23" t="str">
        <f>VLOOKUP(C71,'[12]Trips&amp;Operators'!$C$1:$E$9999,3,0)</f>
        <v>SHOOK</v>
      </c>
      <c r="M71" s="30" t="s">
        <v>9</v>
      </c>
      <c r="N71" s="5" t="s">
        <v>58</v>
      </c>
      <c r="P71" s="27" t="str">
        <f>VLOOKUP(C71,'[12]Train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71" s="25" t="e">
        <f>VLOOKUP(C71,'[2]Train Runs'!$A$13:$AE$686,22,0)</f>
        <v>#N/A</v>
      </c>
      <c r="R71" s="26" t="s">
        <v>261</v>
      </c>
      <c r="S71" s="6" t="str">
        <f t="shared" si="9"/>
        <v>4026</v>
      </c>
      <c r="T71" s="8">
        <f t="shared" si="10"/>
        <v>42593.770312499997</v>
      </c>
      <c r="U71" s="9" t="str">
        <f t="shared" si="11"/>
        <v>EC</v>
      </c>
      <c r="V71" s="9" t="str">
        <f t="shared" si="12"/>
        <v>KEEP</v>
      </c>
    </row>
    <row r="72" spans="1:22" x14ac:dyDescent="0.25">
      <c r="A72" s="8">
        <v>42595.635069444441</v>
      </c>
      <c r="B72" s="3" t="s">
        <v>12</v>
      </c>
      <c r="C72" s="3" t="s">
        <v>55</v>
      </c>
      <c r="D72" s="3" t="s">
        <v>3</v>
      </c>
      <c r="E72" s="3" t="s">
        <v>6</v>
      </c>
      <c r="F72" s="2">
        <v>0</v>
      </c>
      <c r="G72" s="2">
        <v>413</v>
      </c>
      <c r="H72" s="2">
        <v>104923</v>
      </c>
      <c r="I72" s="3" t="s">
        <v>7</v>
      </c>
      <c r="J72" s="2">
        <v>103800</v>
      </c>
      <c r="K72" s="3" t="s">
        <v>4</v>
      </c>
      <c r="L72" s="23" t="str">
        <f>VLOOKUP(C72,'[13]Trips&amp;Operators'!$C$1:$E$9999,3,0)</f>
        <v>MAYBERRY</v>
      </c>
      <c r="M72" s="30" t="s">
        <v>9</v>
      </c>
      <c r="N72" s="5" t="s">
        <v>58</v>
      </c>
      <c r="P72" s="27" t="s">
        <v>162</v>
      </c>
      <c r="Q72" s="28" t="s">
        <v>163</v>
      </c>
      <c r="R72" s="29" t="s">
        <v>164</v>
      </c>
      <c r="S72" s="6" t="s">
        <v>165</v>
      </c>
      <c r="T72" s="8">
        <f t="shared" si="10"/>
        <v>42595.885069444441</v>
      </c>
      <c r="U72" s="9" t="str">
        <f t="shared" si="11"/>
        <v>EC</v>
      </c>
      <c r="V72" s="9" t="str">
        <f t="shared" si="12"/>
        <v>KEEP</v>
      </c>
    </row>
    <row r="73" spans="1:22" x14ac:dyDescent="0.25">
      <c r="A73" s="8">
        <v>42597.407939814817</v>
      </c>
      <c r="B73" s="3" t="s">
        <v>31</v>
      </c>
      <c r="C73" s="3" t="s">
        <v>144</v>
      </c>
      <c r="D73" s="3" t="s">
        <v>3</v>
      </c>
      <c r="E73" s="3" t="s">
        <v>6</v>
      </c>
      <c r="F73" s="2">
        <v>0</v>
      </c>
      <c r="G73" s="2">
        <v>51</v>
      </c>
      <c r="H73" s="2">
        <v>104410</v>
      </c>
      <c r="I73" s="3" t="s">
        <v>7</v>
      </c>
      <c r="J73" s="2">
        <v>103800</v>
      </c>
      <c r="K73" s="3" t="s">
        <v>4</v>
      </c>
      <c r="L73" s="23" t="str">
        <f>VLOOKUP(C73,'[15]Trips&amp;Operators'!$C$1:$E$9999,3,0)</f>
        <v>STARKS</v>
      </c>
      <c r="M73" s="30" t="s">
        <v>9</v>
      </c>
      <c r="N73" s="5" t="s">
        <v>58</v>
      </c>
      <c r="P73" s="27" t="str">
        <f>VLOOKUP(C73,'[15]Train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73" s="25" t="e">
        <f>VLOOKUP(C73,'[2]Train Runs'!$A$13:$AE$686,22,0)</f>
        <v>#N/A</v>
      </c>
      <c r="R73" s="26" t="s">
        <v>262</v>
      </c>
      <c r="S73" s="6" t="str">
        <f t="shared" ref="S73:S82" si="13">MID(B73,13,4)</f>
        <v>4032</v>
      </c>
      <c r="T73" s="8">
        <f t="shared" si="10"/>
        <v>42597.657939814817</v>
      </c>
      <c r="U73" s="9" t="str">
        <f t="shared" si="11"/>
        <v>EC</v>
      </c>
      <c r="V73" s="9" t="str">
        <f t="shared" si="12"/>
        <v>KEEP</v>
      </c>
    </row>
    <row r="74" spans="1:22" x14ac:dyDescent="0.25">
      <c r="A74" s="8">
        <v>42597.592835648145</v>
      </c>
      <c r="B74" s="3" t="s">
        <v>14</v>
      </c>
      <c r="C74" s="3" t="s">
        <v>75</v>
      </c>
      <c r="D74" s="3" t="s">
        <v>3</v>
      </c>
      <c r="E74" s="3" t="s">
        <v>6</v>
      </c>
      <c r="F74" s="2">
        <v>410</v>
      </c>
      <c r="G74" s="2">
        <v>465</v>
      </c>
      <c r="H74" s="2">
        <v>104214</v>
      </c>
      <c r="I74" s="3" t="s">
        <v>7</v>
      </c>
      <c r="J74" s="2">
        <v>103800</v>
      </c>
      <c r="K74" s="3" t="s">
        <v>4</v>
      </c>
      <c r="L74" s="23" t="str">
        <f>VLOOKUP(C74,'[15]Trips&amp;Operators'!$C$1:$E$9999,3,0)</f>
        <v>STEWART</v>
      </c>
      <c r="M74" s="30" t="s">
        <v>9</v>
      </c>
      <c r="N74" s="5" t="s">
        <v>58</v>
      </c>
      <c r="P74" s="27" t="str">
        <f>VLOOKUP(C74,'[15]Train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4" s="25" t="e">
        <f>VLOOKUP(C74,'[2]Train Runs'!$A$13:$AE$686,22,0)</f>
        <v>#N/A</v>
      </c>
      <c r="R74" s="26" t="s">
        <v>263</v>
      </c>
      <c r="S74" s="6" t="str">
        <f t="shared" si="13"/>
        <v>4043</v>
      </c>
      <c r="T74" s="8">
        <f t="shared" si="10"/>
        <v>42597.842835648145</v>
      </c>
      <c r="U74" s="9" t="str">
        <f t="shared" si="11"/>
        <v>EC</v>
      </c>
      <c r="V74" s="9" t="str">
        <f t="shared" si="12"/>
        <v>KEEP</v>
      </c>
    </row>
    <row r="75" spans="1:22" x14ac:dyDescent="0.25">
      <c r="A75" s="8">
        <v>42597.657349537039</v>
      </c>
      <c r="B75" s="3" t="s">
        <v>14</v>
      </c>
      <c r="C75" s="3" t="s">
        <v>51</v>
      </c>
      <c r="D75" s="3" t="s">
        <v>3</v>
      </c>
      <c r="E75" s="3" t="s">
        <v>6</v>
      </c>
      <c r="F75" s="2">
        <v>580</v>
      </c>
      <c r="G75" s="2">
        <v>635</v>
      </c>
      <c r="H75" s="2">
        <v>105579</v>
      </c>
      <c r="I75" s="3" t="s">
        <v>7</v>
      </c>
      <c r="J75" s="2">
        <v>103800</v>
      </c>
      <c r="K75" s="3" t="s">
        <v>4</v>
      </c>
      <c r="L75" s="23" t="str">
        <f>VLOOKUP(C75,'[15]Trips&amp;Operators'!$C$1:$E$9999,3,0)</f>
        <v>STEWART</v>
      </c>
      <c r="M75" s="30" t="s">
        <v>9</v>
      </c>
      <c r="N75" s="5" t="s">
        <v>58</v>
      </c>
      <c r="P75" s="27" t="str">
        <f>VLOOKUP(C75,'[15]Train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75" s="25" t="e">
        <f>VLOOKUP(C75,'[3]Train Runs'!$A$13:$AE$686,22,0)</f>
        <v>#N/A</v>
      </c>
      <c r="R75" s="26" t="s">
        <v>264</v>
      </c>
      <c r="S75" s="6" t="str">
        <f t="shared" si="13"/>
        <v>4043</v>
      </c>
      <c r="T75" s="8">
        <f t="shared" si="10"/>
        <v>42597.907349537039</v>
      </c>
      <c r="U75" s="9" t="str">
        <f t="shared" si="11"/>
        <v>EC</v>
      </c>
      <c r="V75" s="9" t="str">
        <f t="shared" si="12"/>
        <v>KEEP</v>
      </c>
    </row>
    <row r="76" spans="1:22" x14ac:dyDescent="0.25">
      <c r="A76" s="8">
        <v>42599.210115740738</v>
      </c>
      <c r="B76" s="3" t="s">
        <v>30</v>
      </c>
      <c r="C76" s="3" t="s">
        <v>56</v>
      </c>
      <c r="D76" s="3" t="s">
        <v>3</v>
      </c>
      <c r="E76" s="3" t="s">
        <v>6</v>
      </c>
      <c r="F76" s="2">
        <v>0</v>
      </c>
      <c r="G76" s="2">
        <v>465</v>
      </c>
      <c r="H76" s="2">
        <v>103936</v>
      </c>
      <c r="I76" s="3" t="s">
        <v>7</v>
      </c>
      <c r="J76" s="2">
        <v>103800</v>
      </c>
      <c r="K76" s="3" t="s">
        <v>4</v>
      </c>
      <c r="L76" s="23" t="str">
        <f>VLOOKUP(C76,'[17]Trips&amp;Operators'!$C$1:$E$9999,3,0)</f>
        <v>ACKERMAN</v>
      </c>
      <c r="M76" s="30" t="s">
        <v>9</v>
      </c>
      <c r="N76" s="5" t="s">
        <v>58</v>
      </c>
      <c r="P76" s="27" t="str">
        <f>VLOOKUP(C76,'[17]Train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76" s="25" t="e">
        <f>VLOOKUP(C76,'[3]Train Runs'!$A$13:$AE$686,22,0)</f>
        <v>#N/A</v>
      </c>
      <c r="R76" s="26" t="s">
        <v>265</v>
      </c>
      <c r="S76" s="6" t="str">
        <f t="shared" si="13"/>
        <v>4026</v>
      </c>
      <c r="T76" s="8">
        <f t="shared" si="10"/>
        <v>42599.460115740738</v>
      </c>
      <c r="U76" s="9" t="str">
        <f t="shared" si="11"/>
        <v>EC</v>
      </c>
      <c r="V76" s="9" t="str">
        <f t="shared" si="12"/>
        <v>KEEP</v>
      </c>
    </row>
    <row r="77" spans="1:22" x14ac:dyDescent="0.25">
      <c r="A77" s="8">
        <v>42599.376898148148</v>
      </c>
      <c r="B77" s="3" t="s">
        <v>23</v>
      </c>
      <c r="C77" s="3" t="s">
        <v>148</v>
      </c>
      <c r="D77" s="3" t="s">
        <v>3</v>
      </c>
      <c r="E77" s="3" t="s">
        <v>6</v>
      </c>
      <c r="F77" s="2">
        <v>0</v>
      </c>
      <c r="G77" s="2">
        <v>578</v>
      </c>
      <c r="H77" s="2">
        <v>103860</v>
      </c>
      <c r="I77" s="3" t="s">
        <v>7</v>
      </c>
      <c r="J77" s="2">
        <v>103800</v>
      </c>
      <c r="K77" s="3" t="s">
        <v>4</v>
      </c>
      <c r="L77" s="23" t="str">
        <f>VLOOKUP(C77,'[17]Trips&amp;Operators'!$C$1:$E$9999,3,0)</f>
        <v>BRANNON</v>
      </c>
      <c r="M77" s="30" t="s">
        <v>9</v>
      </c>
      <c r="N77" s="5" t="s">
        <v>58</v>
      </c>
      <c r="P77" s="27" t="str">
        <f>VLOOKUP(C77,'[17]Train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77" s="25" t="e">
        <f>VLOOKUP(C77,'[3]Train Runs'!$A$13:$AE$686,22,0)</f>
        <v>#N/A</v>
      </c>
      <c r="R77" s="26" t="s">
        <v>266</v>
      </c>
      <c r="S77" s="6" t="str">
        <f t="shared" si="13"/>
        <v>4017</v>
      </c>
      <c r="T77" s="8">
        <f t="shared" si="10"/>
        <v>42599.626898148148</v>
      </c>
      <c r="U77" s="9" t="str">
        <f t="shared" si="11"/>
        <v>EC</v>
      </c>
      <c r="V77" s="9" t="str">
        <f t="shared" si="12"/>
        <v>KEEP</v>
      </c>
    </row>
    <row r="78" spans="1:22" x14ac:dyDescent="0.25">
      <c r="A78" s="8">
        <v>42600.301516203705</v>
      </c>
      <c r="B78" s="3" t="s">
        <v>20</v>
      </c>
      <c r="C78" s="3" t="s">
        <v>151</v>
      </c>
      <c r="D78" s="3" t="s">
        <v>3</v>
      </c>
      <c r="E78" s="3" t="s">
        <v>6</v>
      </c>
      <c r="F78" s="2">
        <v>450</v>
      </c>
      <c r="G78" s="2">
        <v>598</v>
      </c>
      <c r="H78" s="2">
        <v>106876</v>
      </c>
      <c r="I78" s="3" t="s">
        <v>7</v>
      </c>
      <c r="J78" s="2">
        <v>103800</v>
      </c>
      <c r="K78" s="3" t="s">
        <v>4</v>
      </c>
      <c r="L78" s="23" t="str">
        <f>VLOOKUP(C78,'[18]Trips&amp;Operators'!$C$1:$E$9999,3,0)</f>
        <v>MALAVE</v>
      </c>
      <c r="M78" s="30" t="s">
        <v>9</v>
      </c>
      <c r="N78" s="5" t="s">
        <v>58</v>
      </c>
      <c r="P78" s="27" t="str">
        <f>VLOOKUP(C78,'[18]Train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78" s="28" t="e">
        <f>VLOOKUP(C78,'[4]Train Runs'!$A$13:$AE$683,22,0)</f>
        <v>#N/A</v>
      </c>
      <c r="R78" s="29" t="s">
        <v>267</v>
      </c>
      <c r="S78" s="6" t="str">
        <f t="shared" si="13"/>
        <v>4028</v>
      </c>
      <c r="T78" s="8">
        <f t="shared" si="10"/>
        <v>42600.551516203705</v>
      </c>
      <c r="U78" s="9" t="str">
        <f t="shared" si="11"/>
        <v>EC</v>
      </c>
      <c r="V78" s="9" t="str">
        <f t="shared" si="12"/>
        <v>KEEP</v>
      </c>
    </row>
    <row r="79" spans="1:22" x14ac:dyDescent="0.25">
      <c r="A79" s="8">
        <v>42600.30195601852</v>
      </c>
      <c r="B79" s="3" t="s">
        <v>20</v>
      </c>
      <c r="C79" s="3" t="s">
        <v>151</v>
      </c>
      <c r="D79" s="3" t="s">
        <v>3</v>
      </c>
      <c r="E79" s="3" t="s">
        <v>6</v>
      </c>
      <c r="F79" s="2">
        <v>50</v>
      </c>
      <c r="G79" s="2">
        <v>127</v>
      </c>
      <c r="H79" s="2">
        <v>103963</v>
      </c>
      <c r="I79" s="3" t="s">
        <v>7</v>
      </c>
      <c r="J79" s="2">
        <v>103800</v>
      </c>
      <c r="K79" s="3" t="s">
        <v>4</v>
      </c>
      <c r="L79" s="23" t="str">
        <f>VLOOKUP(C79,'[18]Trips&amp;Operators'!$C$1:$E$9999,3,0)</f>
        <v>MALAVE</v>
      </c>
      <c r="M79" s="30" t="s">
        <v>9</v>
      </c>
      <c r="N79" s="5" t="s">
        <v>58</v>
      </c>
      <c r="P79" s="27" t="str">
        <f>VLOOKUP(C79,'[18]Train Runs'!$A$13:$AE$9997,31,0)</f>
        <v>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 &amp; aws s3 cp s3://rtdc.mdm.uploadarchive/RTDC4028/2016-08-19/ "%USERPROFILE%\AppData\Local\Temp\OnboardLogs"\RTDC4028\2016-08-19 --recursive &amp; "%USERPROFILE%\Documents\GitHub\mrs-test-scripts\Headless Mode &amp; Sideloading\WalkAndUnGZ.bat" "%USERPROFILE%\AppData\Local\Temp\OnboardLogs"\RTDC4028\2016-08-19</v>
      </c>
      <c r="Q79" s="28" t="e">
        <f>VLOOKUP(C79,'[4]Train Runs'!$A$13:$AE$683,22,0)</f>
        <v>#N/A</v>
      </c>
      <c r="R79" s="29" t="s">
        <v>267</v>
      </c>
      <c r="S79" s="6" t="str">
        <f t="shared" si="13"/>
        <v>4028</v>
      </c>
      <c r="T79" s="8">
        <f t="shared" si="10"/>
        <v>42600.55195601852</v>
      </c>
      <c r="U79" s="9" t="str">
        <f t="shared" si="11"/>
        <v>EC</v>
      </c>
      <c r="V79" s="9" t="str">
        <f t="shared" si="12"/>
        <v>KEEP</v>
      </c>
    </row>
    <row r="80" spans="1:22" hidden="1" x14ac:dyDescent="0.25">
      <c r="A80" s="8">
        <v>42590.349027777775</v>
      </c>
      <c r="B80" s="3" t="s">
        <v>15</v>
      </c>
      <c r="C80" s="3" t="s">
        <v>118</v>
      </c>
      <c r="D80" s="3" t="s">
        <v>3</v>
      </c>
      <c r="E80" s="3" t="s">
        <v>6</v>
      </c>
      <c r="F80" s="2">
        <v>0</v>
      </c>
      <c r="G80" s="2">
        <v>673</v>
      </c>
      <c r="H80" s="2">
        <v>108199</v>
      </c>
      <c r="I80" s="3" t="s">
        <v>7</v>
      </c>
      <c r="J80" s="2">
        <v>108954</v>
      </c>
      <c r="K80" s="3" t="s">
        <v>8</v>
      </c>
      <c r="L80" s="23" t="str">
        <f>VLOOKUP(C80,'[9]Trips&amp;Operators'!$C$1:$E$9999,3,0)</f>
        <v>SPECTOR</v>
      </c>
      <c r="M80" s="30" t="s">
        <v>9</v>
      </c>
      <c r="N80" s="5" t="s">
        <v>58</v>
      </c>
      <c r="P80" s="27" t="str">
        <f>VLOOKUP(C80,'[9]Train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80" s="25" t="e">
        <f>VLOOKUP(C80,'[2]Train Runs'!$A$13:$AE$686,22,0)</f>
        <v>#N/A</v>
      </c>
      <c r="R80" s="26" t="s">
        <v>243</v>
      </c>
      <c r="S80" s="6" t="str">
        <f t="shared" si="13"/>
        <v>4027</v>
      </c>
      <c r="T80" s="8">
        <f t="shared" si="10"/>
        <v>42590.599027777775</v>
      </c>
      <c r="U80" s="9" t="str">
        <f t="shared" si="11"/>
        <v>EC</v>
      </c>
      <c r="V80" s="9" t="str">
        <f t="shared" si="12"/>
        <v>KEEP</v>
      </c>
    </row>
    <row r="81" spans="1:22" hidden="1" x14ac:dyDescent="0.25">
      <c r="A81" s="8">
        <v>42583.25986111111</v>
      </c>
      <c r="B81" s="3" t="s">
        <v>13</v>
      </c>
      <c r="C81" s="3" t="s">
        <v>61</v>
      </c>
      <c r="D81" s="3" t="s">
        <v>3</v>
      </c>
      <c r="E81" s="3" t="s">
        <v>6</v>
      </c>
      <c r="F81" s="2">
        <v>0</v>
      </c>
      <c r="G81" s="2">
        <v>275</v>
      </c>
      <c r="H81" s="2">
        <v>109148</v>
      </c>
      <c r="I81" s="3" t="s">
        <v>7</v>
      </c>
      <c r="J81" s="2">
        <v>109135</v>
      </c>
      <c r="K81" s="3" t="s">
        <v>4</v>
      </c>
      <c r="L81" s="23" t="str">
        <f>VLOOKUP(C81,'[2]Trips&amp;Operators'!$C$1:$E$9999,3,0)</f>
        <v>STARKS</v>
      </c>
      <c r="M81" s="6" t="s">
        <v>9</v>
      </c>
      <c r="N81" s="5" t="s">
        <v>58</v>
      </c>
      <c r="P81" s="24" t="str">
        <f>VLOOKUP(C81,'[2]Train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Q81" s="25" t="str">
        <f>VLOOKUP(C81,'[2]Train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81" s="26" t="s">
        <v>268</v>
      </c>
      <c r="S81" s="6" t="str">
        <f t="shared" si="13"/>
        <v>4008</v>
      </c>
      <c r="T81" s="8">
        <f t="shared" si="10"/>
        <v>42583.50986111111</v>
      </c>
      <c r="U81" s="9" t="str">
        <f t="shared" si="11"/>
        <v>EC</v>
      </c>
      <c r="V81" s="9" t="str">
        <f t="shared" si="12"/>
        <v>KEEP</v>
      </c>
    </row>
    <row r="82" spans="1:22" hidden="1" x14ac:dyDescent="0.25">
      <c r="A82" s="8">
        <v>42589.752881944441</v>
      </c>
      <c r="B82" s="3" t="s">
        <v>12</v>
      </c>
      <c r="C82" s="3" t="s">
        <v>1</v>
      </c>
      <c r="D82" s="3" t="s">
        <v>3</v>
      </c>
      <c r="E82" s="3" t="s">
        <v>6</v>
      </c>
      <c r="F82" s="2">
        <v>0</v>
      </c>
      <c r="G82" s="2">
        <v>388</v>
      </c>
      <c r="H82" s="2">
        <v>109150</v>
      </c>
      <c r="I82" s="3" t="s">
        <v>7</v>
      </c>
      <c r="J82" s="2">
        <v>109135</v>
      </c>
      <c r="K82" s="3" t="s">
        <v>4</v>
      </c>
      <c r="L82" s="23" t="str">
        <f>VLOOKUP(C82,'[8]Trips&amp;Operators'!$C$1:$E$9999,3,0)</f>
        <v>DE LA ROSA</v>
      </c>
      <c r="M82" s="6" t="s">
        <v>9</v>
      </c>
      <c r="N82" s="5" t="s">
        <v>58</v>
      </c>
      <c r="P82" s="27" t="str">
        <f>VLOOKUP(C82,'[8]Train Runs'!$A$13:$AE$524,31,0)</f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Q82" s="25" t="e">
        <f>VLOOKUP(C82,'[2]Train Runs'!$A$13:$AE$686,22,0)</f>
        <v>#N/A</v>
      </c>
      <c r="R82" s="26" t="s">
        <v>269</v>
      </c>
      <c r="S82" s="6" t="str">
        <f t="shared" si="13"/>
        <v>4019</v>
      </c>
      <c r="T82" s="8">
        <f t="shared" si="10"/>
        <v>42590.002881944441</v>
      </c>
      <c r="U82" s="9" t="str">
        <f t="shared" si="11"/>
        <v>EC</v>
      </c>
      <c r="V82" s="9" t="str">
        <f t="shared" si="12"/>
        <v>KEEP</v>
      </c>
    </row>
    <row r="83" spans="1:22" hidden="1" x14ac:dyDescent="0.25">
      <c r="A83" s="8">
        <v>42595.781087962961</v>
      </c>
      <c r="B83" s="3" t="s">
        <v>12</v>
      </c>
      <c r="C83" s="3" t="s">
        <v>135</v>
      </c>
      <c r="D83" s="3" t="s">
        <v>3</v>
      </c>
      <c r="E83" s="3" t="s">
        <v>6</v>
      </c>
      <c r="F83" s="2">
        <v>0</v>
      </c>
      <c r="G83" s="2">
        <v>330</v>
      </c>
      <c r="H83" s="2">
        <v>109341</v>
      </c>
      <c r="I83" s="3" t="s">
        <v>7</v>
      </c>
      <c r="J83" s="2">
        <v>109135</v>
      </c>
      <c r="K83" s="3" t="s">
        <v>4</v>
      </c>
      <c r="L83" s="23" t="str">
        <f>VLOOKUP(C83,'[13]Trips&amp;Operators'!$C$1:$E$9999,3,0)</f>
        <v>MAYBERRY</v>
      </c>
      <c r="M83" s="30" t="s">
        <v>9</v>
      </c>
      <c r="N83" s="5" t="s">
        <v>58</v>
      </c>
      <c r="P83" s="27" t="s">
        <v>162</v>
      </c>
      <c r="Q83" s="28" t="s">
        <v>170</v>
      </c>
      <c r="R83" s="29" t="s">
        <v>171</v>
      </c>
      <c r="S83" s="6" t="s">
        <v>165</v>
      </c>
      <c r="T83" s="8">
        <f t="shared" si="10"/>
        <v>42596.031087962961</v>
      </c>
      <c r="U83" s="9" t="str">
        <f t="shared" si="11"/>
        <v>EC</v>
      </c>
      <c r="V83" s="9" t="str">
        <f t="shared" si="12"/>
        <v>KEEP</v>
      </c>
    </row>
    <row r="84" spans="1:22" hidden="1" x14ac:dyDescent="0.25">
      <c r="A84" s="8">
        <v>42583.395821759259</v>
      </c>
      <c r="B84" s="3" t="s">
        <v>10</v>
      </c>
      <c r="C84" s="3" t="s">
        <v>99</v>
      </c>
      <c r="D84" s="3" t="s">
        <v>3</v>
      </c>
      <c r="E84" s="3" t="s">
        <v>6</v>
      </c>
      <c r="F84" s="2">
        <v>0</v>
      </c>
      <c r="G84" s="2">
        <v>398</v>
      </c>
      <c r="H84" s="2">
        <v>127055</v>
      </c>
      <c r="I84" s="3" t="s">
        <v>7</v>
      </c>
      <c r="J84" s="2">
        <v>127562</v>
      </c>
      <c r="K84" s="3" t="s">
        <v>8</v>
      </c>
      <c r="L84" s="23" t="str">
        <f>VLOOKUP(C84,'[2]Trips&amp;Operators'!$C$1:$E$9999,3,0)</f>
        <v>MALAVE</v>
      </c>
      <c r="M84" s="6" t="s">
        <v>9</v>
      </c>
      <c r="N84" s="5" t="s">
        <v>58</v>
      </c>
      <c r="P84" s="24" t="str">
        <f>VLOOKUP(C84,'[2]Train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Q84" s="25" t="str">
        <f>VLOOKUP(C84,'[2]Train Runs'!$A$13:$AE$686,22,0)</f>
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84" s="26" t="s">
        <v>270</v>
      </c>
      <c r="S84" s="6" t="str">
        <f>MID(B84,13,4)</f>
        <v>4029</v>
      </c>
      <c r="T84" s="8">
        <f t="shared" si="10"/>
        <v>42583.645821759259</v>
      </c>
      <c r="U84" s="9" t="str">
        <f t="shared" si="11"/>
        <v>EC</v>
      </c>
      <c r="V84" s="9" t="str">
        <f t="shared" si="12"/>
        <v>KEEP</v>
      </c>
    </row>
    <row r="85" spans="1:22" hidden="1" x14ac:dyDescent="0.25">
      <c r="A85" s="8">
        <v>42585.582881944443</v>
      </c>
      <c r="B85" s="3" t="s">
        <v>24</v>
      </c>
      <c r="C85" s="3" t="s">
        <v>105</v>
      </c>
      <c r="D85" s="3" t="s">
        <v>3</v>
      </c>
      <c r="E85" s="3" t="s">
        <v>6</v>
      </c>
      <c r="F85" s="2">
        <v>0</v>
      </c>
      <c r="G85" s="2">
        <v>443</v>
      </c>
      <c r="H85" s="2">
        <v>126730</v>
      </c>
      <c r="I85" s="3" t="s">
        <v>7</v>
      </c>
      <c r="J85" s="2">
        <v>127562</v>
      </c>
      <c r="K85" s="3" t="s">
        <v>8</v>
      </c>
      <c r="L85" s="23" t="str">
        <f>VLOOKUP(C85,'[4]Trips&amp;Operators'!$C$1:$E$9999,3,0)</f>
        <v>REBOLETTI</v>
      </c>
      <c r="M85" s="6" t="s">
        <v>9</v>
      </c>
      <c r="N85" s="5" t="s">
        <v>58</v>
      </c>
      <c r="P85" s="27" t="str">
        <f>VLOOKUP(C85,'[4]Train Runs'!$A$13:$AE$683,31,0)</f>
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</c>
      <c r="Q85" s="25" t="e">
        <f>VLOOKUP(C85,'[2]Train Runs'!$A$13:$AE$686,22,0)</f>
        <v>#N/A</v>
      </c>
      <c r="R85" s="26" t="s">
        <v>271</v>
      </c>
      <c r="S85" s="6" t="str">
        <f>MID(B85,13,4)</f>
        <v>4025</v>
      </c>
      <c r="T85" s="8">
        <f t="shared" si="10"/>
        <v>42585.832881944443</v>
      </c>
      <c r="U85" s="9" t="str">
        <f t="shared" si="11"/>
        <v>EC</v>
      </c>
      <c r="V85" s="9" t="str">
        <f t="shared" si="12"/>
        <v>KEEP</v>
      </c>
    </row>
    <row r="86" spans="1:22" hidden="1" x14ac:dyDescent="0.25">
      <c r="A86" s="8">
        <v>42583.652974537035</v>
      </c>
      <c r="B86" s="3" t="s">
        <v>21</v>
      </c>
      <c r="C86" s="3" t="s">
        <v>59</v>
      </c>
      <c r="D86" s="3" t="s">
        <v>3</v>
      </c>
      <c r="E86" s="3" t="s">
        <v>6</v>
      </c>
      <c r="F86" s="2">
        <v>0</v>
      </c>
      <c r="G86" s="2">
        <v>506</v>
      </c>
      <c r="H86" s="2">
        <v>129562</v>
      </c>
      <c r="I86" s="3" t="s">
        <v>7</v>
      </c>
      <c r="J86" s="2">
        <v>128462</v>
      </c>
      <c r="K86" s="3" t="s">
        <v>4</v>
      </c>
      <c r="L86" s="23" t="str">
        <f>VLOOKUP(C86,'[2]Trips&amp;Operators'!$C$1:$E$9999,3,0)</f>
        <v>STEWART</v>
      </c>
      <c r="M86" s="6" t="s">
        <v>9</v>
      </c>
      <c r="N86" s="5" t="s">
        <v>58</v>
      </c>
      <c r="P86" s="24" t="str">
        <f>VLOOKUP(C86,'[2]Train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Q86" s="25" t="str">
        <f>VLOOKUP(C86,'[2]Train Runs'!$A$13:$AE$686,22,0)</f>
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6" s="26" t="s">
        <v>272</v>
      </c>
      <c r="S86" s="6" t="str">
        <f>MID(B86,13,4)</f>
        <v>4015</v>
      </c>
      <c r="T86" s="8">
        <f t="shared" si="10"/>
        <v>42583.902974537035</v>
      </c>
      <c r="U86" s="9" t="str">
        <f t="shared" si="11"/>
        <v>EC</v>
      </c>
      <c r="V86" s="9" t="str">
        <f t="shared" si="12"/>
        <v>KEEP</v>
      </c>
    </row>
    <row r="87" spans="1:22" hidden="1" x14ac:dyDescent="0.25">
      <c r="A87" s="8"/>
      <c r="B87" s="11"/>
      <c r="E87" s="11"/>
      <c r="F87" s="2"/>
      <c r="G87" s="2"/>
      <c r="H87" s="2"/>
      <c r="I87" s="11"/>
      <c r="J87" s="2"/>
      <c r="L87" s="14"/>
      <c r="M87" s="6"/>
      <c r="N87" s="5"/>
      <c r="O87" s="5" t="str">
        <f t="shared" ref="O87:O150" si="14">RIGHT(C87,2)</f>
        <v/>
      </c>
      <c r="P87" s="21" t="e">
        <f t="shared" ref="P87:P150" si="15">42522+O87+29</f>
        <v>#VALUE!</v>
      </c>
    </row>
    <row r="88" spans="1:22" hidden="1" x14ac:dyDescent="0.25">
      <c r="A88" s="8"/>
      <c r="B88" s="11"/>
      <c r="E88" s="11"/>
      <c r="F88" s="2"/>
      <c r="G88" s="2"/>
      <c r="H88" s="2"/>
      <c r="I88" s="11"/>
      <c r="J88" s="2"/>
      <c r="L88" s="14"/>
      <c r="M88" s="6"/>
      <c r="N88" s="5"/>
      <c r="O88" s="5" t="str">
        <f t="shared" si="14"/>
        <v/>
      </c>
      <c r="P88" s="21" t="e">
        <f t="shared" si="15"/>
        <v>#VALUE!</v>
      </c>
    </row>
    <row r="89" spans="1:22" hidden="1" x14ac:dyDescent="0.25">
      <c r="A89" s="8"/>
      <c r="B89" s="11"/>
      <c r="E89" s="11"/>
      <c r="F89" s="2"/>
      <c r="G89" s="2"/>
      <c r="H89" s="2"/>
      <c r="I89" s="11"/>
      <c r="J89" s="2"/>
      <c r="L89" s="14"/>
      <c r="M89" s="6"/>
      <c r="N89" s="5"/>
      <c r="O89" s="5" t="str">
        <f t="shared" si="14"/>
        <v/>
      </c>
      <c r="P89" s="21" t="e">
        <f t="shared" si="15"/>
        <v>#VALUE!</v>
      </c>
    </row>
    <row r="90" spans="1:22" hidden="1" x14ac:dyDescent="0.25">
      <c r="A90" s="8"/>
      <c r="B90" s="11"/>
      <c r="E90" s="11"/>
      <c r="F90" s="2"/>
      <c r="G90" s="2"/>
      <c r="H90" s="2"/>
      <c r="I90" s="11"/>
      <c r="J90" s="2"/>
      <c r="L90" s="14"/>
      <c r="M90" s="6"/>
      <c r="N90" s="5"/>
      <c r="O90" s="5" t="str">
        <f t="shared" si="14"/>
        <v/>
      </c>
      <c r="P90" s="21" t="e">
        <f t="shared" si="15"/>
        <v>#VALUE!</v>
      </c>
    </row>
    <row r="91" spans="1:22" hidden="1" x14ac:dyDescent="0.25">
      <c r="A91" s="8"/>
      <c r="B91" s="11"/>
      <c r="E91" s="11"/>
      <c r="F91" s="2"/>
      <c r="G91" s="2"/>
      <c r="H91" s="2"/>
      <c r="I91" s="11"/>
      <c r="J91" s="2"/>
      <c r="L91" s="14"/>
      <c r="M91" s="6"/>
      <c r="N91" s="5"/>
      <c r="O91" s="5" t="str">
        <f t="shared" si="14"/>
        <v/>
      </c>
      <c r="P91" s="21" t="e">
        <f t="shared" si="15"/>
        <v>#VALUE!</v>
      </c>
    </row>
    <row r="92" spans="1:22" hidden="1" x14ac:dyDescent="0.25">
      <c r="A92" s="8"/>
      <c r="B92" s="11"/>
      <c r="E92" s="11"/>
      <c r="F92" s="2"/>
      <c r="G92" s="2"/>
      <c r="H92" s="2"/>
      <c r="I92" s="11"/>
      <c r="J92" s="2"/>
      <c r="L92" s="14"/>
      <c r="M92" s="6"/>
      <c r="N92" s="5"/>
      <c r="O92" s="5" t="str">
        <f t="shared" si="14"/>
        <v/>
      </c>
      <c r="P92" s="21" t="e">
        <f t="shared" si="15"/>
        <v>#VALUE!</v>
      </c>
    </row>
    <row r="93" spans="1:22" hidden="1" x14ac:dyDescent="0.25">
      <c r="A93" s="8"/>
      <c r="B93" s="11"/>
      <c r="E93" s="11"/>
      <c r="F93" s="2"/>
      <c r="G93" s="2"/>
      <c r="H93" s="2"/>
      <c r="I93" s="11"/>
      <c r="J93" s="2"/>
      <c r="L93" s="14"/>
      <c r="M93" s="6"/>
      <c r="N93" s="5"/>
      <c r="O93" s="5" t="str">
        <f t="shared" si="14"/>
        <v/>
      </c>
      <c r="P93" s="21" t="e">
        <f t="shared" si="15"/>
        <v>#VALUE!</v>
      </c>
    </row>
    <row r="94" spans="1:22" hidden="1" x14ac:dyDescent="0.25">
      <c r="A94" s="8"/>
      <c r="B94" s="11"/>
      <c r="E94" s="11"/>
      <c r="F94" s="2"/>
      <c r="G94" s="2"/>
      <c r="H94" s="2"/>
      <c r="I94" s="11"/>
      <c r="J94" s="2"/>
      <c r="L94" s="14"/>
      <c r="M94" s="6"/>
      <c r="N94" s="5"/>
      <c r="O94" s="5" t="str">
        <f t="shared" si="14"/>
        <v/>
      </c>
      <c r="P94" s="21" t="e">
        <f t="shared" si="15"/>
        <v>#VALUE!</v>
      </c>
    </row>
    <row r="95" spans="1:22" hidden="1" x14ac:dyDescent="0.25">
      <c r="A95" s="8"/>
      <c r="B95" s="11"/>
      <c r="E95" s="11"/>
      <c r="F95" s="2"/>
      <c r="G95" s="2"/>
      <c r="H95" s="2"/>
      <c r="I95" s="11"/>
      <c r="J95" s="2"/>
      <c r="L95" s="14"/>
      <c r="M95" s="6"/>
      <c r="N95" s="5"/>
      <c r="O95" s="5" t="str">
        <f t="shared" si="14"/>
        <v/>
      </c>
      <c r="P95" s="21" t="e">
        <f t="shared" si="15"/>
        <v>#VALUE!</v>
      </c>
    </row>
    <row r="96" spans="1:22" hidden="1" x14ac:dyDescent="0.25">
      <c r="A96" s="8"/>
      <c r="B96" s="11"/>
      <c r="E96" s="11"/>
      <c r="F96" s="2"/>
      <c r="G96" s="2"/>
      <c r="H96" s="2"/>
      <c r="I96" s="11"/>
      <c r="J96" s="2"/>
      <c r="L96" s="14"/>
      <c r="M96" s="6"/>
      <c r="N96" s="5"/>
      <c r="O96" s="5" t="str">
        <f t="shared" si="14"/>
        <v/>
      </c>
      <c r="P96" s="21" t="e">
        <f t="shared" si="15"/>
        <v>#VALUE!</v>
      </c>
    </row>
    <row r="97" spans="1:16" hidden="1" x14ac:dyDescent="0.25">
      <c r="A97" s="8"/>
      <c r="B97" s="11"/>
      <c r="E97" s="11"/>
      <c r="F97" s="2"/>
      <c r="G97" s="2"/>
      <c r="H97" s="2"/>
      <c r="I97" s="11"/>
      <c r="J97" s="2"/>
      <c r="L97" s="14"/>
      <c r="M97" s="6"/>
      <c r="N97" s="5"/>
      <c r="O97" s="5" t="str">
        <f t="shared" si="14"/>
        <v/>
      </c>
      <c r="P97" s="21" t="e">
        <f t="shared" si="15"/>
        <v>#VALUE!</v>
      </c>
    </row>
    <row r="98" spans="1:16" hidden="1" x14ac:dyDescent="0.25">
      <c r="A98" s="8"/>
      <c r="B98" s="11"/>
      <c r="E98" s="11"/>
      <c r="F98" s="2"/>
      <c r="G98" s="2"/>
      <c r="H98" s="2"/>
      <c r="I98" s="11"/>
      <c r="J98" s="2"/>
      <c r="L98" s="14"/>
      <c r="M98" s="6"/>
      <c r="N98" s="5"/>
      <c r="O98" s="5" t="str">
        <f t="shared" si="14"/>
        <v/>
      </c>
      <c r="P98" s="21" t="e">
        <f t="shared" si="15"/>
        <v>#VALUE!</v>
      </c>
    </row>
    <row r="99" spans="1:16" hidden="1" x14ac:dyDescent="0.25">
      <c r="A99" s="8"/>
      <c r="B99" s="11"/>
      <c r="E99" s="11"/>
      <c r="F99" s="2"/>
      <c r="G99" s="2"/>
      <c r="H99" s="2"/>
      <c r="I99" s="11"/>
      <c r="J99" s="2"/>
      <c r="L99" s="14"/>
      <c r="M99" s="6"/>
      <c r="N99" s="5"/>
      <c r="O99" s="5" t="str">
        <f t="shared" si="14"/>
        <v/>
      </c>
      <c r="P99" s="21" t="e">
        <f t="shared" si="15"/>
        <v>#VALUE!</v>
      </c>
    </row>
    <row r="100" spans="1:16" hidden="1" x14ac:dyDescent="0.25">
      <c r="A100" s="8"/>
      <c r="B100" s="11"/>
      <c r="E100" s="11"/>
      <c r="F100" s="2"/>
      <c r="G100" s="2"/>
      <c r="H100" s="2"/>
      <c r="I100" s="11"/>
      <c r="J100" s="2"/>
      <c r="L100" s="14"/>
      <c r="M100" s="6"/>
      <c r="N100" s="5"/>
      <c r="O100" s="5" t="str">
        <f t="shared" si="14"/>
        <v/>
      </c>
      <c r="P100" s="21" t="e">
        <f t="shared" si="15"/>
        <v>#VALUE!</v>
      </c>
    </row>
    <row r="101" spans="1:16" hidden="1" x14ac:dyDescent="0.25">
      <c r="A101" s="8"/>
      <c r="B101" s="11"/>
      <c r="E101" s="11"/>
      <c r="F101" s="2"/>
      <c r="G101" s="2"/>
      <c r="H101" s="2"/>
      <c r="I101" s="11"/>
      <c r="J101" s="2"/>
      <c r="L101" s="14"/>
      <c r="M101" s="6"/>
      <c r="N101" s="5"/>
      <c r="O101" s="5" t="str">
        <f t="shared" si="14"/>
        <v/>
      </c>
      <c r="P101" s="21" t="e">
        <f t="shared" si="15"/>
        <v>#VALUE!</v>
      </c>
    </row>
    <row r="102" spans="1:16" hidden="1" x14ac:dyDescent="0.25">
      <c r="A102" s="8"/>
      <c r="B102" s="11"/>
      <c r="E102" s="11"/>
      <c r="F102" s="2"/>
      <c r="G102" s="2"/>
      <c r="H102" s="2"/>
      <c r="I102" s="11"/>
      <c r="J102" s="2"/>
      <c r="L102" s="14"/>
      <c r="M102" s="6"/>
      <c r="N102" s="5"/>
      <c r="O102" s="5" t="str">
        <f t="shared" si="14"/>
        <v/>
      </c>
      <c r="P102" s="21" t="e">
        <f t="shared" si="15"/>
        <v>#VALUE!</v>
      </c>
    </row>
    <row r="103" spans="1:16" hidden="1" x14ac:dyDescent="0.25">
      <c r="A103" s="8"/>
      <c r="B103" s="11"/>
      <c r="E103" s="11"/>
      <c r="F103" s="2"/>
      <c r="G103" s="2"/>
      <c r="H103" s="2"/>
      <c r="I103" s="11"/>
      <c r="J103" s="2"/>
      <c r="L103" s="14"/>
      <c r="M103" s="6"/>
      <c r="N103" s="5"/>
      <c r="O103" s="5" t="str">
        <f t="shared" si="14"/>
        <v/>
      </c>
      <c r="P103" s="21" t="e">
        <f t="shared" si="15"/>
        <v>#VALUE!</v>
      </c>
    </row>
    <row r="104" spans="1:16" hidden="1" x14ac:dyDescent="0.25">
      <c r="A104" s="8"/>
      <c r="B104" s="11"/>
      <c r="E104" s="11"/>
      <c r="F104" s="2"/>
      <c r="G104" s="2"/>
      <c r="H104" s="2"/>
      <c r="I104" s="11"/>
      <c r="J104" s="2"/>
      <c r="L104" s="14"/>
      <c r="M104" s="6"/>
      <c r="N104" s="5"/>
      <c r="O104" s="5" t="str">
        <f t="shared" si="14"/>
        <v/>
      </c>
      <c r="P104" s="21" t="e">
        <f t="shared" si="15"/>
        <v>#VALUE!</v>
      </c>
    </row>
    <row r="105" spans="1:16" hidden="1" x14ac:dyDescent="0.25">
      <c r="A105" s="8"/>
      <c r="B105" s="11"/>
      <c r="E105" s="11"/>
      <c r="F105" s="2"/>
      <c r="G105" s="2"/>
      <c r="H105" s="2"/>
      <c r="I105" s="11"/>
      <c r="J105" s="2"/>
      <c r="L105" s="14"/>
      <c r="M105" s="6"/>
      <c r="N105" s="5"/>
      <c r="O105" s="5" t="str">
        <f t="shared" si="14"/>
        <v/>
      </c>
      <c r="P105" s="21" t="e">
        <f t="shared" si="15"/>
        <v>#VALUE!</v>
      </c>
    </row>
    <row r="106" spans="1:16" hidden="1" x14ac:dyDescent="0.25">
      <c r="A106" s="8"/>
      <c r="B106" s="11"/>
      <c r="E106" s="11"/>
      <c r="F106" s="2"/>
      <c r="G106" s="2"/>
      <c r="H106" s="2"/>
      <c r="I106" s="11"/>
      <c r="J106" s="2"/>
      <c r="L106" s="14"/>
      <c r="M106" s="6"/>
      <c r="N106" s="5"/>
      <c r="O106" s="5" t="str">
        <f t="shared" si="14"/>
        <v/>
      </c>
      <c r="P106" s="21" t="e">
        <f t="shared" si="15"/>
        <v>#VALUE!</v>
      </c>
    </row>
    <row r="107" spans="1:16" hidden="1" x14ac:dyDescent="0.25">
      <c r="A107" s="8"/>
      <c r="B107" s="11"/>
      <c r="E107" s="11"/>
      <c r="F107" s="2"/>
      <c r="G107" s="2"/>
      <c r="H107" s="2"/>
      <c r="I107" s="11"/>
      <c r="J107" s="2"/>
      <c r="L107" s="14"/>
      <c r="M107" s="6"/>
      <c r="N107" s="5"/>
      <c r="O107" s="5" t="str">
        <f t="shared" si="14"/>
        <v/>
      </c>
      <c r="P107" s="21" t="e">
        <f t="shared" si="15"/>
        <v>#VALUE!</v>
      </c>
    </row>
    <row r="108" spans="1:16" hidden="1" x14ac:dyDescent="0.25">
      <c r="A108" s="8"/>
      <c r="B108" s="11"/>
      <c r="E108" s="11"/>
      <c r="F108" s="2"/>
      <c r="G108" s="2"/>
      <c r="H108" s="2"/>
      <c r="I108" s="11"/>
      <c r="J108" s="2"/>
      <c r="L108" s="14"/>
      <c r="M108" s="6"/>
      <c r="N108" s="5"/>
      <c r="O108" s="5" t="str">
        <f t="shared" si="14"/>
        <v/>
      </c>
      <c r="P108" s="21" t="e">
        <f t="shared" si="15"/>
        <v>#VALUE!</v>
      </c>
    </row>
    <row r="109" spans="1:16" hidden="1" x14ac:dyDescent="0.25">
      <c r="A109" s="8"/>
      <c r="B109" s="11"/>
      <c r="E109" s="11"/>
      <c r="F109" s="2"/>
      <c r="G109" s="2"/>
      <c r="H109" s="2"/>
      <c r="I109" s="11"/>
      <c r="J109" s="2"/>
      <c r="L109" s="14"/>
      <c r="M109" s="6"/>
      <c r="N109" s="5"/>
      <c r="O109" s="5" t="str">
        <f t="shared" si="14"/>
        <v/>
      </c>
      <c r="P109" s="21" t="e">
        <f t="shared" si="15"/>
        <v>#VALUE!</v>
      </c>
    </row>
    <row r="110" spans="1:16" hidden="1" x14ac:dyDescent="0.25">
      <c r="A110" s="8"/>
      <c r="B110" s="11"/>
      <c r="E110" s="11"/>
      <c r="F110" s="2"/>
      <c r="G110" s="2"/>
      <c r="H110" s="2"/>
      <c r="I110" s="11"/>
      <c r="J110" s="2"/>
      <c r="L110" s="14"/>
      <c r="M110" s="6"/>
      <c r="N110" s="5"/>
      <c r="O110" s="5" t="str">
        <f t="shared" si="14"/>
        <v/>
      </c>
      <c r="P110" s="21" t="e">
        <f t="shared" si="15"/>
        <v>#VALUE!</v>
      </c>
    </row>
    <row r="111" spans="1:16" hidden="1" x14ac:dyDescent="0.25">
      <c r="A111" s="8"/>
      <c r="B111" s="11"/>
      <c r="E111" s="11"/>
      <c r="F111" s="2"/>
      <c r="G111" s="2"/>
      <c r="H111" s="2"/>
      <c r="I111" s="11"/>
      <c r="J111" s="2"/>
      <c r="L111" s="14"/>
      <c r="M111" s="6"/>
      <c r="N111" s="5"/>
      <c r="O111" s="5" t="str">
        <f t="shared" si="14"/>
        <v/>
      </c>
      <c r="P111" s="21" t="e">
        <f t="shared" si="15"/>
        <v>#VALUE!</v>
      </c>
    </row>
    <row r="112" spans="1:16" hidden="1" x14ac:dyDescent="0.25">
      <c r="A112" s="8"/>
      <c r="B112" s="11"/>
      <c r="E112" s="11"/>
      <c r="F112" s="2"/>
      <c r="G112" s="2"/>
      <c r="H112" s="2"/>
      <c r="I112" s="11"/>
      <c r="J112" s="2"/>
      <c r="L112" s="14"/>
      <c r="M112" s="6"/>
      <c r="N112" s="5"/>
      <c r="O112" s="5" t="str">
        <f t="shared" si="14"/>
        <v/>
      </c>
      <c r="P112" s="21" t="e">
        <f t="shared" si="15"/>
        <v>#VALUE!</v>
      </c>
    </row>
    <row r="113" spans="1:16" hidden="1" x14ac:dyDescent="0.25">
      <c r="A113" s="8"/>
      <c r="B113" s="11"/>
      <c r="E113" s="11"/>
      <c r="F113" s="2"/>
      <c r="G113" s="2"/>
      <c r="H113" s="2"/>
      <c r="I113" s="11"/>
      <c r="J113" s="2"/>
      <c r="L113" s="14"/>
      <c r="M113" s="6"/>
      <c r="N113" s="5"/>
      <c r="O113" s="5" t="str">
        <f t="shared" si="14"/>
        <v/>
      </c>
      <c r="P113" s="21" t="e">
        <f t="shared" si="15"/>
        <v>#VALUE!</v>
      </c>
    </row>
    <row r="114" spans="1:16" hidden="1" x14ac:dyDescent="0.25">
      <c r="A114" s="8"/>
      <c r="B114" s="11"/>
      <c r="E114" s="11"/>
      <c r="F114" s="2"/>
      <c r="G114" s="2"/>
      <c r="H114" s="2"/>
      <c r="I114" s="11"/>
      <c r="J114" s="2"/>
      <c r="L114" s="14"/>
      <c r="M114" s="6"/>
      <c r="N114" s="5"/>
      <c r="O114" s="5" t="str">
        <f t="shared" si="14"/>
        <v/>
      </c>
      <c r="P114" s="21" t="e">
        <f t="shared" si="15"/>
        <v>#VALUE!</v>
      </c>
    </row>
    <row r="115" spans="1:16" hidden="1" x14ac:dyDescent="0.25">
      <c r="A115" s="8"/>
      <c r="B115" s="11"/>
      <c r="E115" s="11"/>
      <c r="F115" s="2"/>
      <c r="G115" s="2"/>
      <c r="H115" s="2"/>
      <c r="I115" s="11"/>
      <c r="J115" s="2"/>
      <c r="L115" s="14"/>
      <c r="M115" s="6"/>
      <c r="N115" s="5"/>
      <c r="O115" s="5" t="str">
        <f t="shared" si="14"/>
        <v/>
      </c>
      <c r="P115" s="21" t="e">
        <f t="shared" si="15"/>
        <v>#VALUE!</v>
      </c>
    </row>
    <row r="116" spans="1:16" hidden="1" x14ac:dyDescent="0.25">
      <c r="A116" s="8"/>
      <c r="B116" s="11"/>
      <c r="E116" s="11"/>
      <c r="F116" s="2"/>
      <c r="G116" s="2"/>
      <c r="H116" s="2"/>
      <c r="I116" s="11"/>
      <c r="J116" s="2"/>
      <c r="L116" s="14"/>
      <c r="M116" s="6"/>
      <c r="N116" s="5"/>
      <c r="O116" s="5" t="str">
        <f t="shared" si="14"/>
        <v/>
      </c>
      <c r="P116" s="21" t="e">
        <f t="shared" si="15"/>
        <v>#VALUE!</v>
      </c>
    </row>
    <row r="117" spans="1:16" hidden="1" x14ac:dyDescent="0.25">
      <c r="A117" s="8"/>
      <c r="B117" s="11"/>
      <c r="E117" s="11"/>
      <c r="F117" s="2"/>
      <c r="G117" s="2"/>
      <c r="H117" s="2"/>
      <c r="I117" s="11"/>
      <c r="J117" s="2"/>
      <c r="L117" s="14"/>
      <c r="M117" s="6"/>
      <c r="N117" s="5"/>
      <c r="O117" s="5" t="str">
        <f t="shared" si="14"/>
        <v/>
      </c>
      <c r="P117" s="21" t="e">
        <f t="shared" si="15"/>
        <v>#VALUE!</v>
      </c>
    </row>
    <row r="118" spans="1:16" hidden="1" x14ac:dyDescent="0.25">
      <c r="A118" s="8"/>
      <c r="B118" s="11"/>
      <c r="E118" s="11"/>
      <c r="F118" s="2"/>
      <c r="G118" s="2"/>
      <c r="H118" s="2"/>
      <c r="I118" s="11"/>
      <c r="J118" s="2"/>
      <c r="L118" s="14"/>
      <c r="M118" s="6"/>
      <c r="N118" s="5"/>
      <c r="O118" s="5" t="str">
        <f t="shared" si="14"/>
        <v/>
      </c>
      <c r="P118" s="21" t="e">
        <f t="shared" si="15"/>
        <v>#VALUE!</v>
      </c>
    </row>
    <row r="119" spans="1:16" hidden="1" x14ac:dyDescent="0.25">
      <c r="A119" s="8"/>
      <c r="B119" s="11"/>
      <c r="E119" s="11"/>
      <c r="F119" s="2"/>
      <c r="G119" s="2"/>
      <c r="H119" s="2"/>
      <c r="I119" s="11"/>
      <c r="J119" s="2"/>
      <c r="L119" s="14"/>
      <c r="M119" s="6"/>
      <c r="N119" s="5"/>
      <c r="O119" s="5" t="str">
        <f t="shared" si="14"/>
        <v/>
      </c>
      <c r="P119" s="21" t="e">
        <f t="shared" si="15"/>
        <v>#VALUE!</v>
      </c>
    </row>
    <row r="120" spans="1:16" hidden="1" x14ac:dyDescent="0.25">
      <c r="A120" s="8"/>
      <c r="B120" s="11"/>
      <c r="E120" s="11"/>
      <c r="F120" s="2"/>
      <c r="G120" s="2"/>
      <c r="H120" s="2"/>
      <c r="I120" s="11"/>
      <c r="J120" s="2"/>
      <c r="L120" s="14"/>
      <c r="M120" s="6"/>
      <c r="N120" s="5"/>
      <c r="O120" s="5" t="str">
        <f t="shared" si="14"/>
        <v/>
      </c>
      <c r="P120" s="21" t="e">
        <f t="shared" si="15"/>
        <v>#VALUE!</v>
      </c>
    </row>
    <row r="121" spans="1:16" hidden="1" x14ac:dyDescent="0.25">
      <c r="A121" s="8"/>
      <c r="B121" s="11"/>
      <c r="E121" s="11"/>
      <c r="F121" s="2"/>
      <c r="G121" s="2"/>
      <c r="H121" s="2"/>
      <c r="I121" s="11"/>
      <c r="J121" s="2"/>
      <c r="L121" s="14"/>
      <c r="M121" s="6"/>
      <c r="N121" s="5"/>
      <c r="O121" s="5" t="str">
        <f t="shared" si="14"/>
        <v/>
      </c>
      <c r="P121" s="21" t="e">
        <f t="shared" si="15"/>
        <v>#VALUE!</v>
      </c>
    </row>
    <row r="122" spans="1:16" hidden="1" x14ac:dyDescent="0.25">
      <c r="A122" s="8"/>
      <c r="B122" s="11"/>
      <c r="E122" s="11"/>
      <c r="F122" s="2"/>
      <c r="G122" s="2"/>
      <c r="H122" s="2"/>
      <c r="I122" s="11"/>
      <c r="J122" s="2"/>
      <c r="L122" s="14"/>
      <c r="M122" s="6"/>
      <c r="N122" s="5"/>
      <c r="O122" s="5" t="str">
        <f t="shared" si="14"/>
        <v/>
      </c>
      <c r="P122" s="21" t="e">
        <f t="shared" si="15"/>
        <v>#VALUE!</v>
      </c>
    </row>
    <row r="123" spans="1:16" hidden="1" x14ac:dyDescent="0.25">
      <c r="A123" s="8"/>
      <c r="B123" s="11"/>
      <c r="E123" s="11"/>
      <c r="F123" s="2"/>
      <c r="G123" s="2"/>
      <c r="H123" s="2"/>
      <c r="I123" s="11"/>
      <c r="J123" s="2"/>
      <c r="L123" s="14"/>
      <c r="M123" s="6"/>
      <c r="N123" s="5"/>
      <c r="O123" s="5" t="str">
        <f t="shared" si="14"/>
        <v/>
      </c>
      <c r="P123" s="21" t="e">
        <f t="shared" si="15"/>
        <v>#VALUE!</v>
      </c>
    </row>
    <row r="124" spans="1:16" hidden="1" x14ac:dyDescent="0.25">
      <c r="A124" s="8"/>
      <c r="B124" s="11"/>
      <c r="E124" s="11"/>
      <c r="F124" s="2"/>
      <c r="G124" s="2"/>
      <c r="H124" s="2"/>
      <c r="I124" s="11"/>
      <c r="J124" s="2"/>
      <c r="L124" s="14"/>
      <c r="M124" s="6"/>
      <c r="N124" s="5"/>
      <c r="O124" s="5" t="str">
        <f t="shared" si="14"/>
        <v/>
      </c>
      <c r="P124" s="21" t="e">
        <f t="shared" si="15"/>
        <v>#VALUE!</v>
      </c>
    </row>
    <row r="125" spans="1:16" hidden="1" x14ac:dyDescent="0.25">
      <c r="A125" s="8"/>
      <c r="B125" s="11"/>
      <c r="E125" s="11"/>
      <c r="F125" s="2"/>
      <c r="G125" s="2"/>
      <c r="H125" s="2"/>
      <c r="I125" s="11"/>
      <c r="J125" s="2"/>
      <c r="L125" s="14"/>
      <c r="M125" s="6"/>
      <c r="N125" s="5"/>
      <c r="O125" s="5" t="str">
        <f t="shared" si="14"/>
        <v/>
      </c>
      <c r="P125" s="21" t="e">
        <f t="shared" si="15"/>
        <v>#VALUE!</v>
      </c>
    </row>
    <row r="126" spans="1:16" hidden="1" x14ac:dyDescent="0.25">
      <c r="A126" s="8"/>
      <c r="B126" s="11"/>
      <c r="E126" s="11"/>
      <c r="F126" s="2"/>
      <c r="G126" s="2"/>
      <c r="H126" s="2"/>
      <c r="I126" s="11"/>
      <c r="J126" s="2"/>
      <c r="L126" s="14"/>
      <c r="M126" s="6"/>
      <c r="N126" s="5"/>
      <c r="O126" s="5" t="str">
        <f t="shared" si="14"/>
        <v/>
      </c>
      <c r="P126" s="21" t="e">
        <f t="shared" si="15"/>
        <v>#VALUE!</v>
      </c>
    </row>
    <row r="127" spans="1:16" hidden="1" x14ac:dyDescent="0.25">
      <c r="A127" s="8"/>
      <c r="B127" s="11"/>
      <c r="E127" s="11"/>
      <c r="F127" s="2"/>
      <c r="G127" s="2"/>
      <c r="H127" s="2"/>
      <c r="I127" s="11"/>
      <c r="J127" s="2"/>
      <c r="L127" s="14"/>
      <c r="M127" s="6"/>
      <c r="N127" s="5"/>
      <c r="O127" s="5" t="str">
        <f t="shared" si="14"/>
        <v/>
      </c>
      <c r="P127" s="21" t="e">
        <f t="shared" si="15"/>
        <v>#VALUE!</v>
      </c>
    </row>
    <row r="128" spans="1:16" hidden="1" x14ac:dyDescent="0.25">
      <c r="A128" s="8"/>
      <c r="B128" s="11"/>
      <c r="E128" s="11"/>
      <c r="F128" s="2"/>
      <c r="G128" s="2"/>
      <c r="H128" s="2"/>
      <c r="I128" s="11"/>
      <c r="J128" s="2"/>
      <c r="L128" s="14"/>
      <c r="M128" s="6"/>
      <c r="N128" s="5"/>
      <c r="O128" s="5" t="str">
        <f t="shared" si="14"/>
        <v/>
      </c>
      <c r="P128" s="21" t="e">
        <f t="shared" si="15"/>
        <v>#VALUE!</v>
      </c>
    </row>
    <row r="129" spans="1:16" hidden="1" x14ac:dyDescent="0.25">
      <c r="A129" s="8"/>
      <c r="B129" s="11"/>
      <c r="E129" s="11"/>
      <c r="F129" s="2"/>
      <c r="G129" s="2"/>
      <c r="H129" s="2"/>
      <c r="I129" s="11"/>
      <c r="J129" s="2"/>
      <c r="L129" s="14"/>
      <c r="M129" s="6"/>
      <c r="N129" s="5"/>
      <c r="O129" s="5" t="str">
        <f t="shared" si="14"/>
        <v/>
      </c>
      <c r="P129" s="21" t="e">
        <f t="shared" si="15"/>
        <v>#VALUE!</v>
      </c>
    </row>
    <row r="130" spans="1:16" hidden="1" x14ac:dyDescent="0.25">
      <c r="A130" s="8"/>
      <c r="B130" s="11"/>
      <c r="E130" s="11"/>
      <c r="F130" s="2"/>
      <c r="G130" s="2"/>
      <c r="H130" s="2"/>
      <c r="I130" s="11"/>
      <c r="J130" s="2"/>
      <c r="L130" s="14"/>
      <c r="M130" s="6"/>
      <c r="N130" s="5"/>
      <c r="O130" s="5" t="str">
        <f t="shared" si="14"/>
        <v/>
      </c>
      <c r="P130" s="21" t="e">
        <f t="shared" si="15"/>
        <v>#VALUE!</v>
      </c>
    </row>
    <row r="131" spans="1:16" hidden="1" x14ac:dyDescent="0.25">
      <c r="A131" s="8"/>
      <c r="B131" s="11"/>
      <c r="E131" s="11"/>
      <c r="F131" s="2"/>
      <c r="G131" s="2"/>
      <c r="H131" s="2"/>
      <c r="I131" s="11"/>
      <c r="J131" s="2"/>
      <c r="L131" s="14"/>
      <c r="M131" s="6"/>
      <c r="N131" s="5"/>
      <c r="O131" s="5" t="str">
        <f t="shared" si="14"/>
        <v/>
      </c>
      <c r="P131" s="21" t="e">
        <f t="shared" si="15"/>
        <v>#VALUE!</v>
      </c>
    </row>
    <row r="132" spans="1:16" hidden="1" x14ac:dyDescent="0.25">
      <c r="A132" s="8"/>
      <c r="B132" s="11"/>
      <c r="E132" s="11"/>
      <c r="F132" s="2"/>
      <c r="G132" s="2"/>
      <c r="H132" s="2"/>
      <c r="I132" s="11"/>
      <c r="J132" s="2"/>
      <c r="L132" s="14"/>
      <c r="M132" s="6"/>
      <c r="N132" s="5"/>
      <c r="O132" s="5" t="str">
        <f t="shared" si="14"/>
        <v/>
      </c>
      <c r="P132" s="21" t="e">
        <f t="shared" si="15"/>
        <v>#VALUE!</v>
      </c>
    </row>
    <row r="133" spans="1:16" hidden="1" x14ac:dyDescent="0.25">
      <c r="A133" s="8"/>
      <c r="B133" s="11"/>
      <c r="E133" s="11"/>
      <c r="F133" s="2"/>
      <c r="G133" s="2"/>
      <c r="H133" s="2"/>
      <c r="I133" s="11"/>
      <c r="J133" s="2"/>
      <c r="L133" s="14"/>
      <c r="M133" s="6"/>
      <c r="N133" s="5"/>
      <c r="O133" s="5" t="str">
        <f t="shared" si="14"/>
        <v/>
      </c>
      <c r="P133" s="21" t="e">
        <f t="shared" si="15"/>
        <v>#VALUE!</v>
      </c>
    </row>
    <row r="134" spans="1:16" hidden="1" x14ac:dyDescent="0.25">
      <c r="A134" s="8"/>
      <c r="B134" s="11"/>
      <c r="E134" s="11"/>
      <c r="F134" s="2"/>
      <c r="G134" s="2"/>
      <c r="H134" s="2"/>
      <c r="I134" s="11"/>
      <c r="J134" s="2"/>
      <c r="L134" s="14"/>
      <c r="M134" s="6"/>
      <c r="N134" s="5"/>
      <c r="O134" s="5" t="str">
        <f t="shared" si="14"/>
        <v/>
      </c>
      <c r="P134" s="21" t="e">
        <f t="shared" si="15"/>
        <v>#VALUE!</v>
      </c>
    </row>
    <row r="135" spans="1:16" hidden="1" x14ac:dyDescent="0.25">
      <c r="A135" s="8"/>
      <c r="B135" s="11"/>
      <c r="E135" s="11"/>
      <c r="F135" s="2"/>
      <c r="G135" s="2"/>
      <c r="H135" s="2"/>
      <c r="I135" s="11"/>
      <c r="J135" s="2"/>
      <c r="L135" s="14"/>
      <c r="M135" s="6"/>
      <c r="N135" s="5"/>
      <c r="O135" s="5" t="str">
        <f t="shared" si="14"/>
        <v/>
      </c>
      <c r="P135" s="21" t="e">
        <f t="shared" si="15"/>
        <v>#VALUE!</v>
      </c>
    </row>
    <row r="136" spans="1:16" hidden="1" x14ac:dyDescent="0.25">
      <c r="A136" s="8"/>
      <c r="B136" s="11"/>
      <c r="E136" s="11"/>
      <c r="F136" s="2"/>
      <c r="G136" s="2"/>
      <c r="H136" s="2"/>
      <c r="I136" s="11"/>
      <c r="J136" s="2"/>
      <c r="L136" s="14"/>
      <c r="M136" s="6"/>
      <c r="N136" s="5"/>
      <c r="O136" s="5" t="str">
        <f t="shared" si="14"/>
        <v/>
      </c>
      <c r="P136" s="21" t="e">
        <f t="shared" si="15"/>
        <v>#VALUE!</v>
      </c>
    </row>
    <row r="137" spans="1:16" hidden="1" x14ac:dyDescent="0.25">
      <c r="A137" s="8"/>
      <c r="B137" s="11"/>
      <c r="E137" s="11"/>
      <c r="F137" s="2"/>
      <c r="G137" s="2"/>
      <c r="H137" s="2"/>
      <c r="I137" s="11"/>
      <c r="J137" s="2"/>
      <c r="L137" s="14"/>
      <c r="M137" s="6"/>
      <c r="N137" s="5"/>
      <c r="O137" s="5" t="str">
        <f t="shared" si="14"/>
        <v/>
      </c>
      <c r="P137" s="21" t="e">
        <f t="shared" si="15"/>
        <v>#VALUE!</v>
      </c>
    </row>
    <row r="138" spans="1:16" hidden="1" x14ac:dyDescent="0.25">
      <c r="A138" s="8"/>
      <c r="B138" s="11"/>
      <c r="E138" s="11"/>
      <c r="F138" s="2"/>
      <c r="G138" s="2"/>
      <c r="H138" s="2"/>
      <c r="I138" s="11"/>
      <c r="J138" s="2"/>
      <c r="L138" s="14"/>
      <c r="M138" s="6"/>
      <c r="N138" s="5"/>
      <c r="O138" s="5" t="str">
        <f t="shared" si="14"/>
        <v/>
      </c>
      <c r="P138" s="21" t="e">
        <f t="shared" si="15"/>
        <v>#VALUE!</v>
      </c>
    </row>
    <row r="139" spans="1:16" hidden="1" x14ac:dyDescent="0.25">
      <c r="A139" s="8"/>
      <c r="B139" s="11"/>
      <c r="E139" s="11"/>
      <c r="F139" s="2"/>
      <c r="G139" s="2"/>
      <c r="H139" s="2"/>
      <c r="I139" s="11"/>
      <c r="J139" s="2"/>
      <c r="L139" s="14"/>
      <c r="M139" s="6"/>
      <c r="N139" s="5"/>
      <c r="O139" s="5" t="str">
        <f t="shared" si="14"/>
        <v/>
      </c>
      <c r="P139" s="21" t="e">
        <f t="shared" si="15"/>
        <v>#VALUE!</v>
      </c>
    </row>
    <row r="140" spans="1:16" hidden="1" x14ac:dyDescent="0.25">
      <c r="A140" s="8"/>
      <c r="B140" s="11"/>
      <c r="E140" s="11"/>
      <c r="F140" s="2"/>
      <c r="G140" s="2"/>
      <c r="H140" s="2"/>
      <c r="I140" s="11"/>
      <c r="J140" s="2"/>
      <c r="L140" s="14"/>
      <c r="M140" s="6"/>
      <c r="N140" s="5"/>
      <c r="O140" s="5" t="str">
        <f t="shared" si="14"/>
        <v/>
      </c>
      <c r="P140" s="21" t="e">
        <f t="shared" si="15"/>
        <v>#VALUE!</v>
      </c>
    </row>
    <row r="141" spans="1:16" hidden="1" x14ac:dyDescent="0.25">
      <c r="A141" s="8"/>
      <c r="B141" s="11"/>
      <c r="E141" s="11"/>
      <c r="F141" s="2"/>
      <c r="G141" s="2"/>
      <c r="H141" s="2"/>
      <c r="I141" s="11"/>
      <c r="J141" s="2"/>
      <c r="L141" s="14"/>
      <c r="M141" s="6"/>
      <c r="N141" s="5"/>
      <c r="O141" s="5" t="str">
        <f t="shared" si="14"/>
        <v/>
      </c>
      <c r="P141" s="21" t="e">
        <f t="shared" si="15"/>
        <v>#VALUE!</v>
      </c>
    </row>
    <row r="142" spans="1:16" hidden="1" x14ac:dyDescent="0.25">
      <c r="A142" s="8"/>
      <c r="B142" s="11"/>
      <c r="E142" s="11"/>
      <c r="F142" s="2"/>
      <c r="G142" s="2"/>
      <c r="H142" s="2"/>
      <c r="I142" s="11"/>
      <c r="J142" s="2"/>
      <c r="L142" s="14"/>
      <c r="M142" s="6"/>
      <c r="N142" s="5"/>
      <c r="O142" s="5" t="str">
        <f t="shared" si="14"/>
        <v/>
      </c>
      <c r="P142" s="21" t="e">
        <f t="shared" si="15"/>
        <v>#VALUE!</v>
      </c>
    </row>
    <row r="143" spans="1:16" hidden="1" x14ac:dyDescent="0.25">
      <c r="A143" s="8"/>
      <c r="B143" s="11"/>
      <c r="E143" s="11"/>
      <c r="F143" s="2"/>
      <c r="G143" s="2"/>
      <c r="H143" s="2"/>
      <c r="I143" s="11"/>
      <c r="J143" s="2"/>
      <c r="L143" s="14"/>
      <c r="M143" s="6"/>
      <c r="N143" s="5"/>
      <c r="O143" s="5" t="str">
        <f t="shared" si="14"/>
        <v/>
      </c>
      <c r="P143" s="21" t="e">
        <f t="shared" si="15"/>
        <v>#VALUE!</v>
      </c>
    </row>
    <row r="144" spans="1:16" hidden="1" x14ac:dyDescent="0.25">
      <c r="A144" s="8"/>
      <c r="B144" s="11"/>
      <c r="E144" s="11"/>
      <c r="F144" s="2"/>
      <c r="G144" s="2"/>
      <c r="H144" s="2"/>
      <c r="I144" s="11"/>
      <c r="J144" s="2"/>
      <c r="L144" s="14"/>
      <c r="M144" s="6"/>
      <c r="N144" s="5"/>
      <c r="O144" s="5" t="str">
        <f t="shared" si="14"/>
        <v/>
      </c>
      <c r="P144" s="21" t="e">
        <f t="shared" si="15"/>
        <v>#VALUE!</v>
      </c>
    </row>
    <row r="145" spans="1:16" hidden="1" x14ac:dyDescent="0.25">
      <c r="A145" s="8"/>
      <c r="B145" s="11"/>
      <c r="E145" s="11"/>
      <c r="F145" s="2"/>
      <c r="G145" s="2"/>
      <c r="H145" s="2"/>
      <c r="I145" s="11"/>
      <c r="J145" s="2"/>
      <c r="L145" s="14"/>
      <c r="M145" s="6"/>
      <c r="N145" s="5"/>
      <c r="O145" s="5" t="str">
        <f t="shared" si="14"/>
        <v/>
      </c>
      <c r="P145" s="21" t="e">
        <f t="shared" si="15"/>
        <v>#VALUE!</v>
      </c>
    </row>
    <row r="146" spans="1:16" hidden="1" x14ac:dyDescent="0.25">
      <c r="A146" s="8"/>
      <c r="B146" s="11"/>
      <c r="E146" s="11"/>
      <c r="F146" s="2"/>
      <c r="G146" s="2"/>
      <c r="H146" s="2"/>
      <c r="I146" s="11"/>
      <c r="J146" s="2"/>
      <c r="L146" s="14"/>
      <c r="M146" s="6"/>
      <c r="N146" s="5"/>
      <c r="O146" s="5" t="str">
        <f t="shared" si="14"/>
        <v/>
      </c>
      <c r="P146" s="21" t="e">
        <f t="shared" si="15"/>
        <v>#VALUE!</v>
      </c>
    </row>
    <row r="147" spans="1:16" hidden="1" x14ac:dyDescent="0.25">
      <c r="A147" s="8"/>
      <c r="B147" s="11"/>
      <c r="E147" s="11"/>
      <c r="F147" s="2"/>
      <c r="G147" s="2"/>
      <c r="H147" s="2"/>
      <c r="I147" s="11"/>
      <c r="J147" s="2"/>
      <c r="L147" s="14"/>
      <c r="M147" s="6"/>
      <c r="N147" s="5"/>
      <c r="O147" s="5" t="str">
        <f t="shared" si="14"/>
        <v/>
      </c>
      <c r="P147" s="21" t="e">
        <f t="shared" si="15"/>
        <v>#VALUE!</v>
      </c>
    </row>
    <row r="148" spans="1:16" hidden="1" x14ac:dyDescent="0.25">
      <c r="A148" s="8"/>
      <c r="B148" s="11"/>
      <c r="E148" s="11"/>
      <c r="F148" s="2"/>
      <c r="G148" s="2"/>
      <c r="H148" s="2"/>
      <c r="I148" s="11"/>
      <c r="J148" s="2"/>
      <c r="L148" s="14"/>
      <c r="M148" s="6"/>
      <c r="N148" s="5"/>
      <c r="O148" s="5" t="str">
        <f t="shared" si="14"/>
        <v/>
      </c>
      <c r="P148" s="21" t="e">
        <f t="shared" si="15"/>
        <v>#VALUE!</v>
      </c>
    </row>
    <row r="149" spans="1:16" hidden="1" x14ac:dyDescent="0.25">
      <c r="A149" s="8"/>
      <c r="B149" s="11"/>
      <c r="E149" s="11"/>
      <c r="F149" s="2"/>
      <c r="G149" s="2"/>
      <c r="H149" s="2"/>
      <c r="I149" s="11"/>
      <c r="J149" s="2"/>
      <c r="L149" s="14"/>
      <c r="M149" s="6"/>
      <c r="N149" s="5"/>
      <c r="O149" s="5" t="str">
        <f t="shared" si="14"/>
        <v/>
      </c>
      <c r="P149" s="21" t="e">
        <f t="shared" si="15"/>
        <v>#VALUE!</v>
      </c>
    </row>
    <row r="150" spans="1:16" hidden="1" x14ac:dyDescent="0.25">
      <c r="A150" s="8"/>
      <c r="B150" s="11"/>
      <c r="E150" s="11"/>
      <c r="F150" s="2"/>
      <c r="G150" s="2"/>
      <c r="H150" s="2"/>
      <c r="I150" s="11"/>
      <c r="J150" s="2"/>
      <c r="L150" s="14"/>
      <c r="M150" s="6"/>
      <c r="N150" s="5"/>
      <c r="O150" s="5" t="str">
        <f t="shared" si="14"/>
        <v/>
      </c>
      <c r="P150" s="21" t="e">
        <f t="shared" si="15"/>
        <v>#VALUE!</v>
      </c>
    </row>
    <row r="151" spans="1:16" hidden="1" x14ac:dyDescent="0.25">
      <c r="A151" s="8"/>
      <c r="B151" s="11"/>
      <c r="E151" s="11"/>
      <c r="F151" s="2"/>
      <c r="G151" s="2"/>
      <c r="H151" s="2"/>
      <c r="I151" s="11"/>
      <c r="J151" s="2"/>
      <c r="L151" s="14"/>
      <c r="M151" s="6"/>
      <c r="N151" s="5"/>
      <c r="O151" s="5" t="str">
        <f t="shared" ref="O151:O214" si="16">RIGHT(C151,2)</f>
        <v/>
      </c>
      <c r="P151" s="21" t="e">
        <f t="shared" ref="P151:P214" si="17">42522+O151+29</f>
        <v>#VALUE!</v>
      </c>
    </row>
    <row r="152" spans="1:16" hidden="1" x14ac:dyDescent="0.25">
      <c r="A152" s="8"/>
      <c r="B152" s="11"/>
      <c r="E152" s="11"/>
      <c r="F152" s="2"/>
      <c r="G152" s="2"/>
      <c r="H152" s="2"/>
      <c r="I152" s="11"/>
      <c r="J152" s="2"/>
      <c r="L152" s="14"/>
      <c r="M152" s="6"/>
      <c r="N152" s="5"/>
      <c r="O152" s="5" t="str">
        <f t="shared" si="16"/>
        <v/>
      </c>
      <c r="P152" s="21" t="e">
        <f t="shared" si="17"/>
        <v>#VALUE!</v>
      </c>
    </row>
    <row r="153" spans="1:16" hidden="1" x14ac:dyDescent="0.25">
      <c r="A153" s="8"/>
      <c r="B153" s="11"/>
      <c r="E153" s="11"/>
      <c r="F153" s="2"/>
      <c r="G153" s="2"/>
      <c r="H153" s="2"/>
      <c r="I153" s="11"/>
      <c r="J153" s="2"/>
      <c r="L153" s="14"/>
      <c r="M153" s="6"/>
      <c r="N153" s="5"/>
      <c r="O153" s="5" t="str">
        <f t="shared" si="16"/>
        <v/>
      </c>
      <c r="P153" s="21" t="e">
        <f t="shared" si="17"/>
        <v>#VALUE!</v>
      </c>
    </row>
    <row r="154" spans="1:16" hidden="1" x14ac:dyDescent="0.25">
      <c r="A154" s="8"/>
      <c r="B154" s="11"/>
      <c r="E154" s="11"/>
      <c r="F154" s="2"/>
      <c r="G154" s="2"/>
      <c r="H154" s="2"/>
      <c r="I154" s="11"/>
      <c r="J154" s="2"/>
      <c r="L154" s="14"/>
      <c r="M154" s="6"/>
      <c r="N154" s="5"/>
      <c r="O154" s="5" t="str">
        <f t="shared" si="16"/>
        <v/>
      </c>
      <c r="P154" s="21" t="e">
        <f t="shared" si="17"/>
        <v>#VALUE!</v>
      </c>
    </row>
    <row r="155" spans="1:16" hidden="1" x14ac:dyDescent="0.25">
      <c r="A155" s="8"/>
      <c r="B155" s="11"/>
      <c r="E155" s="11"/>
      <c r="F155" s="2"/>
      <c r="G155" s="2"/>
      <c r="H155" s="2"/>
      <c r="I155" s="11"/>
      <c r="J155" s="2"/>
      <c r="L155" s="14"/>
      <c r="M155" s="6"/>
      <c r="N155" s="5"/>
      <c r="O155" s="5" t="str">
        <f t="shared" si="16"/>
        <v/>
      </c>
      <c r="P155" s="21" t="e">
        <f t="shared" si="17"/>
        <v>#VALUE!</v>
      </c>
    </row>
    <row r="156" spans="1:16" hidden="1" x14ac:dyDescent="0.25">
      <c r="A156" s="8"/>
      <c r="B156" s="11"/>
      <c r="E156" s="11"/>
      <c r="F156" s="2"/>
      <c r="G156" s="2"/>
      <c r="H156" s="2"/>
      <c r="I156" s="11"/>
      <c r="J156" s="2"/>
      <c r="L156" s="14"/>
      <c r="M156" s="6"/>
      <c r="N156" s="5"/>
      <c r="O156" s="5" t="str">
        <f t="shared" si="16"/>
        <v/>
      </c>
      <c r="P156" s="21" t="e">
        <f t="shared" si="17"/>
        <v>#VALUE!</v>
      </c>
    </row>
    <row r="157" spans="1:16" hidden="1" x14ac:dyDescent="0.25">
      <c r="A157" s="8"/>
      <c r="B157" s="11"/>
      <c r="E157" s="11"/>
      <c r="F157" s="2"/>
      <c r="G157" s="2"/>
      <c r="H157" s="2"/>
      <c r="I157" s="11"/>
      <c r="J157" s="2"/>
      <c r="L157" s="14"/>
      <c r="M157" s="6"/>
      <c r="N157" s="5"/>
      <c r="O157" s="5" t="str">
        <f t="shared" si="16"/>
        <v/>
      </c>
      <c r="P157" s="21" t="e">
        <f t="shared" si="17"/>
        <v>#VALUE!</v>
      </c>
    </row>
    <row r="158" spans="1:16" hidden="1" x14ac:dyDescent="0.25">
      <c r="A158" s="8"/>
      <c r="B158" s="11"/>
      <c r="E158" s="11"/>
      <c r="F158" s="2"/>
      <c r="G158" s="2"/>
      <c r="H158" s="2"/>
      <c r="I158" s="11"/>
      <c r="J158" s="2"/>
      <c r="L158" s="14"/>
      <c r="M158" s="6"/>
      <c r="N158" s="5"/>
      <c r="O158" s="5" t="str">
        <f t="shared" si="16"/>
        <v/>
      </c>
      <c r="P158" s="21" t="e">
        <f t="shared" si="17"/>
        <v>#VALUE!</v>
      </c>
    </row>
    <row r="159" spans="1:16" hidden="1" x14ac:dyDescent="0.25">
      <c r="A159" s="8"/>
      <c r="B159" s="11"/>
      <c r="E159" s="11"/>
      <c r="F159" s="2"/>
      <c r="G159" s="2"/>
      <c r="H159" s="2"/>
      <c r="I159" s="11"/>
      <c r="J159" s="2"/>
      <c r="L159" s="14"/>
      <c r="M159" s="6"/>
      <c r="N159" s="5"/>
      <c r="O159" s="5" t="str">
        <f t="shared" si="16"/>
        <v/>
      </c>
      <c r="P159" s="21" t="e">
        <f t="shared" si="17"/>
        <v>#VALUE!</v>
      </c>
    </row>
    <row r="160" spans="1:16" hidden="1" x14ac:dyDescent="0.25">
      <c r="A160" s="8"/>
      <c r="B160" s="11"/>
      <c r="E160" s="11"/>
      <c r="F160" s="2"/>
      <c r="G160" s="2"/>
      <c r="H160" s="2"/>
      <c r="I160" s="11"/>
      <c r="J160" s="2"/>
      <c r="L160" s="14"/>
      <c r="M160" s="6"/>
      <c r="N160" s="5"/>
      <c r="O160" s="5" t="str">
        <f t="shared" si="16"/>
        <v/>
      </c>
      <c r="P160" s="21" t="e">
        <f t="shared" si="17"/>
        <v>#VALUE!</v>
      </c>
    </row>
    <row r="161" spans="1:16" hidden="1" x14ac:dyDescent="0.25">
      <c r="A161" s="8"/>
      <c r="B161" s="11"/>
      <c r="E161" s="11"/>
      <c r="F161" s="2"/>
      <c r="G161" s="2"/>
      <c r="H161" s="2"/>
      <c r="I161" s="11"/>
      <c r="J161" s="2"/>
      <c r="L161" s="14"/>
      <c r="M161" s="6"/>
      <c r="N161" s="5"/>
      <c r="O161" s="5" t="str">
        <f t="shared" si="16"/>
        <v/>
      </c>
      <c r="P161" s="21" t="e">
        <f t="shared" si="17"/>
        <v>#VALUE!</v>
      </c>
    </row>
    <row r="162" spans="1:16" hidden="1" x14ac:dyDescent="0.25">
      <c r="A162" s="8"/>
      <c r="B162" s="11"/>
      <c r="E162" s="11"/>
      <c r="F162" s="2"/>
      <c r="G162" s="2"/>
      <c r="H162" s="2"/>
      <c r="I162" s="11"/>
      <c r="J162" s="2"/>
      <c r="L162" s="14"/>
      <c r="M162" s="6"/>
      <c r="N162" s="5"/>
      <c r="O162" s="5" t="str">
        <f t="shared" si="16"/>
        <v/>
      </c>
      <c r="P162" s="21" t="e">
        <f t="shared" si="17"/>
        <v>#VALUE!</v>
      </c>
    </row>
    <row r="163" spans="1:16" hidden="1" x14ac:dyDescent="0.25">
      <c r="A163" s="8"/>
      <c r="B163" s="11"/>
      <c r="E163" s="11"/>
      <c r="F163" s="2"/>
      <c r="G163" s="2"/>
      <c r="H163" s="2"/>
      <c r="I163" s="11"/>
      <c r="J163" s="2"/>
      <c r="L163" s="14"/>
      <c r="M163" s="6"/>
      <c r="N163" s="5"/>
      <c r="O163" s="5" t="str">
        <f t="shared" si="16"/>
        <v/>
      </c>
      <c r="P163" s="21" t="e">
        <f t="shared" si="17"/>
        <v>#VALUE!</v>
      </c>
    </row>
    <row r="164" spans="1:16" hidden="1" x14ac:dyDescent="0.25">
      <c r="A164" s="8"/>
      <c r="B164" s="11"/>
      <c r="E164" s="11"/>
      <c r="F164" s="2"/>
      <c r="G164" s="2"/>
      <c r="H164" s="2"/>
      <c r="I164" s="11"/>
      <c r="J164" s="2"/>
      <c r="L164" s="14"/>
      <c r="M164" s="6"/>
      <c r="N164" s="5"/>
      <c r="O164" s="5" t="str">
        <f t="shared" si="16"/>
        <v/>
      </c>
      <c r="P164" s="21" t="e">
        <f t="shared" si="17"/>
        <v>#VALUE!</v>
      </c>
    </row>
    <row r="165" spans="1:16" hidden="1" x14ac:dyDescent="0.25">
      <c r="A165" s="8"/>
      <c r="B165" s="11"/>
      <c r="E165" s="11"/>
      <c r="F165" s="2"/>
      <c r="G165" s="2"/>
      <c r="H165" s="2"/>
      <c r="I165" s="11"/>
      <c r="J165" s="2"/>
      <c r="L165" s="14"/>
      <c r="M165" s="6"/>
      <c r="N165" s="5"/>
      <c r="O165" s="5" t="str">
        <f t="shared" si="16"/>
        <v/>
      </c>
      <c r="P165" s="21" t="e">
        <f t="shared" si="17"/>
        <v>#VALUE!</v>
      </c>
    </row>
    <row r="166" spans="1:16" hidden="1" x14ac:dyDescent="0.25">
      <c r="A166" s="8"/>
      <c r="B166" s="11"/>
      <c r="E166" s="11"/>
      <c r="F166" s="2"/>
      <c r="G166" s="2"/>
      <c r="H166" s="2"/>
      <c r="I166" s="11"/>
      <c r="J166" s="2"/>
      <c r="L166" s="14"/>
      <c r="M166" s="6"/>
      <c r="N166" s="5"/>
      <c r="O166" s="5" t="str">
        <f t="shared" si="16"/>
        <v/>
      </c>
      <c r="P166" s="21" t="e">
        <f t="shared" si="17"/>
        <v>#VALUE!</v>
      </c>
    </row>
    <row r="167" spans="1:16" hidden="1" x14ac:dyDescent="0.25">
      <c r="A167" s="8"/>
      <c r="B167" s="11"/>
      <c r="E167" s="11"/>
      <c r="F167" s="2"/>
      <c r="G167" s="2"/>
      <c r="H167" s="2"/>
      <c r="I167" s="11"/>
      <c r="J167" s="2"/>
      <c r="L167" s="14"/>
      <c r="M167" s="6"/>
      <c r="N167" s="5"/>
      <c r="O167" s="5" t="str">
        <f t="shared" si="16"/>
        <v/>
      </c>
      <c r="P167" s="21" t="e">
        <f t="shared" si="17"/>
        <v>#VALUE!</v>
      </c>
    </row>
    <row r="168" spans="1:16" hidden="1" x14ac:dyDescent="0.25">
      <c r="A168" s="8"/>
      <c r="B168" s="11"/>
      <c r="E168" s="11"/>
      <c r="F168" s="2"/>
      <c r="G168" s="2"/>
      <c r="H168" s="2"/>
      <c r="I168" s="11"/>
      <c r="J168" s="2"/>
      <c r="L168" s="14"/>
      <c r="M168" s="6"/>
      <c r="N168" s="5"/>
      <c r="O168" s="5" t="str">
        <f t="shared" si="16"/>
        <v/>
      </c>
      <c r="P168" s="21" t="e">
        <f t="shared" si="17"/>
        <v>#VALUE!</v>
      </c>
    </row>
    <row r="169" spans="1:16" hidden="1" x14ac:dyDescent="0.25">
      <c r="A169" s="8"/>
      <c r="B169" s="11"/>
      <c r="E169" s="11"/>
      <c r="F169" s="2"/>
      <c r="G169" s="2"/>
      <c r="H169" s="2"/>
      <c r="I169" s="11"/>
      <c r="J169" s="2"/>
      <c r="L169" s="14"/>
      <c r="M169" s="6"/>
      <c r="N169" s="5"/>
      <c r="O169" s="5" t="str">
        <f t="shared" si="16"/>
        <v/>
      </c>
      <c r="P169" s="21" t="e">
        <f t="shared" si="17"/>
        <v>#VALUE!</v>
      </c>
    </row>
    <row r="170" spans="1:16" hidden="1" x14ac:dyDescent="0.25">
      <c r="A170" s="8"/>
      <c r="B170" s="11"/>
      <c r="E170" s="11"/>
      <c r="F170" s="2"/>
      <c r="G170" s="2"/>
      <c r="H170" s="2"/>
      <c r="I170" s="11"/>
      <c r="J170" s="2"/>
      <c r="L170" s="14"/>
      <c r="M170" s="6"/>
      <c r="N170" s="5"/>
      <c r="O170" s="5" t="str">
        <f t="shared" si="16"/>
        <v/>
      </c>
      <c r="P170" s="21" t="e">
        <f t="shared" si="17"/>
        <v>#VALUE!</v>
      </c>
    </row>
    <row r="171" spans="1:16" hidden="1" x14ac:dyDescent="0.25">
      <c r="A171" s="8"/>
      <c r="B171" s="11"/>
      <c r="E171" s="11"/>
      <c r="F171" s="2"/>
      <c r="G171" s="2"/>
      <c r="H171" s="2"/>
      <c r="I171" s="11"/>
      <c r="J171" s="2"/>
      <c r="L171" s="14"/>
      <c r="M171" s="6"/>
      <c r="N171" s="5"/>
      <c r="O171" s="5" t="str">
        <f t="shared" si="16"/>
        <v/>
      </c>
      <c r="P171" s="21" t="e">
        <f t="shared" si="17"/>
        <v>#VALUE!</v>
      </c>
    </row>
    <row r="172" spans="1:16" hidden="1" x14ac:dyDescent="0.25">
      <c r="A172" s="8"/>
      <c r="B172" s="11"/>
      <c r="E172" s="11"/>
      <c r="F172" s="2"/>
      <c r="G172" s="2"/>
      <c r="H172" s="2"/>
      <c r="I172" s="11"/>
      <c r="J172" s="2"/>
      <c r="L172" s="14"/>
      <c r="M172" s="6"/>
      <c r="N172" s="5"/>
      <c r="O172" s="5" t="str">
        <f t="shared" si="16"/>
        <v/>
      </c>
      <c r="P172" s="21" t="e">
        <f t="shared" si="17"/>
        <v>#VALUE!</v>
      </c>
    </row>
    <row r="173" spans="1:16" hidden="1" x14ac:dyDescent="0.25">
      <c r="A173" s="8"/>
      <c r="B173" s="11"/>
      <c r="E173" s="11"/>
      <c r="F173" s="2"/>
      <c r="G173" s="2"/>
      <c r="H173" s="2"/>
      <c r="I173" s="11"/>
      <c r="J173" s="2"/>
      <c r="L173" s="14"/>
      <c r="M173" s="6"/>
      <c r="N173" s="5"/>
      <c r="O173" s="5" t="str">
        <f t="shared" si="16"/>
        <v/>
      </c>
      <c r="P173" s="21" t="e">
        <f t="shared" si="17"/>
        <v>#VALUE!</v>
      </c>
    </row>
    <row r="174" spans="1:16" hidden="1" x14ac:dyDescent="0.25">
      <c r="A174" s="8"/>
      <c r="B174" s="11"/>
      <c r="E174" s="11"/>
      <c r="F174" s="2"/>
      <c r="G174" s="2"/>
      <c r="H174" s="2"/>
      <c r="I174" s="11"/>
      <c r="J174" s="2"/>
      <c r="L174" s="14"/>
      <c r="M174" s="6"/>
      <c r="N174" s="5"/>
      <c r="O174" s="5" t="str">
        <f t="shared" si="16"/>
        <v/>
      </c>
      <c r="P174" s="21" t="e">
        <f t="shared" si="17"/>
        <v>#VALUE!</v>
      </c>
    </row>
    <row r="175" spans="1:16" hidden="1" x14ac:dyDescent="0.25">
      <c r="A175" s="8"/>
      <c r="B175" s="11"/>
      <c r="E175" s="11"/>
      <c r="F175" s="2"/>
      <c r="G175" s="2"/>
      <c r="H175" s="2"/>
      <c r="I175" s="11"/>
      <c r="J175" s="2"/>
      <c r="L175" s="14"/>
      <c r="M175" s="6"/>
      <c r="N175" s="5"/>
      <c r="O175" s="5" t="str">
        <f t="shared" si="16"/>
        <v/>
      </c>
      <c r="P175" s="21" t="e">
        <f t="shared" si="17"/>
        <v>#VALUE!</v>
      </c>
    </row>
    <row r="176" spans="1:16" hidden="1" x14ac:dyDescent="0.25">
      <c r="A176" s="8"/>
      <c r="B176" s="11"/>
      <c r="E176" s="11"/>
      <c r="F176" s="2"/>
      <c r="G176" s="2"/>
      <c r="H176" s="2"/>
      <c r="I176" s="11"/>
      <c r="J176" s="2"/>
      <c r="L176" s="14"/>
      <c r="M176" s="6"/>
      <c r="N176" s="5"/>
      <c r="O176" s="5" t="str">
        <f t="shared" si="16"/>
        <v/>
      </c>
      <c r="P176" s="21" t="e">
        <f t="shared" si="17"/>
        <v>#VALUE!</v>
      </c>
    </row>
    <row r="177" spans="1:16" hidden="1" x14ac:dyDescent="0.25">
      <c r="A177" s="8"/>
      <c r="B177" s="11"/>
      <c r="E177" s="11"/>
      <c r="F177" s="2"/>
      <c r="G177" s="2"/>
      <c r="H177" s="2"/>
      <c r="I177" s="11"/>
      <c r="J177" s="2"/>
      <c r="L177" s="14"/>
      <c r="M177" s="6"/>
      <c r="N177" s="5"/>
      <c r="O177" s="5" t="str">
        <f t="shared" si="16"/>
        <v/>
      </c>
      <c r="P177" s="21" t="e">
        <f t="shared" si="17"/>
        <v>#VALUE!</v>
      </c>
    </row>
    <row r="178" spans="1:16" hidden="1" x14ac:dyDescent="0.25">
      <c r="A178" s="8"/>
      <c r="B178" s="11"/>
      <c r="E178" s="11"/>
      <c r="F178" s="2"/>
      <c r="G178" s="2"/>
      <c r="H178" s="2"/>
      <c r="I178" s="11"/>
      <c r="J178" s="2"/>
      <c r="L178" s="14"/>
      <c r="M178" s="6"/>
      <c r="N178" s="5"/>
      <c r="O178" s="5" t="str">
        <f t="shared" si="16"/>
        <v/>
      </c>
      <c r="P178" s="21" t="e">
        <f t="shared" si="17"/>
        <v>#VALUE!</v>
      </c>
    </row>
    <row r="179" spans="1:16" hidden="1" x14ac:dyDescent="0.25">
      <c r="A179" s="8"/>
      <c r="B179" s="11"/>
      <c r="E179" s="11"/>
      <c r="F179" s="2"/>
      <c r="G179" s="2"/>
      <c r="H179" s="2"/>
      <c r="I179" s="11"/>
      <c r="J179" s="2"/>
      <c r="L179" s="14"/>
      <c r="M179" s="6"/>
      <c r="N179" s="5"/>
      <c r="O179" s="5" t="str">
        <f t="shared" si="16"/>
        <v/>
      </c>
      <c r="P179" s="21" t="e">
        <f t="shared" si="17"/>
        <v>#VALUE!</v>
      </c>
    </row>
    <row r="180" spans="1:16" hidden="1" x14ac:dyDescent="0.25">
      <c r="A180" s="8"/>
      <c r="B180" s="11"/>
      <c r="E180" s="11"/>
      <c r="F180" s="2"/>
      <c r="G180" s="2"/>
      <c r="H180" s="2"/>
      <c r="I180" s="11"/>
      <c r="J180" s="2"/>
      <c r="L180" s="14"/>
      <c r="M180" s="6"/>
      <c r="N180" s="5"/>
      <c r="O180" s="5" t="str">
        <f t="shared" si="16"/>
        <v/>
      </c>
      <c r="P180" s="21" t="e">
        <f t="shared" si="17"/>
        <v>#VALUE!</v>
      </c>
    </row>
    <row r="181" spans="1:16" hidden="1" x14ac:dyDescent="0.25">
      <c r="A181" s="8"/>
      <c r="B181" s="11"/>
      <c r="E181" s="11"/>
      <c r="F181" s="2"/>
      <c r="G181" s="2"/>
      <c r="H181" s="2"/>
      <c r="I181" s="11"/>
      <c r="J181" s="2"/>
      <c r="L181" s="14"/>
      <c r="M181" s="6"/>
      <c r="N181" s="5"/>
      <c r="O181" s="5" t="str">
        <f t="shared" si="16"/>
        <v/>
      </c>
      <c r="P181" s="21" t="e">
        <f t="shared" si="17"/>
        <v>#VALUE!</v>
      </c>
    </row>
    <row r="182" spans="1:16" hidden="1" x14ac:dyDescent="0.25">
      <c r="A182" s="8"/>
      <c r="B182" s="11"/>
      <c r="E182" s="11"/>
      <c r="F182" s="2"/>
      <c r="G182" s="2"/>
      <c r="H182" s="2"/>
      <c r="I182" s="11"/>
      <c r="J182" s="2"/>
      <c r="L182" s="14"/>
      <c r="M182" s="6"/>
      <c r="N182" s="5"/>
      <c r="O182" s="5" t="str">
        <f t="shared" si="16"/>
        <v/>
      </c>
      <c r="P182" s="21" t="e">
        <f t="shared" si="17"/>
        <v>#VALUE!</v>
      </c>
    </row>
    <row r="183" spans="1:16" hidden="1" x14ac:dyDescent="0.25">
      <c r="A183" s="8"/>
      <c r="B183" s="11"/>
      <c r="E183" s="11"/>
      <c r="F183" s="2"/>
      <c r="G183" s="2"/>
      <c r="H183" s="2"/>
      <c r="I183" s="11"/>
      <c r="J183" s="2"/>
      <c r="L183" s="14"/>
      <c r="M183" s="6"/>
      <c r="N183" s="5"/>
      <c r="O183" s="5" t="str">
        <f t="shared" si="16"/>
        <v/>
      </c>
      <c r="P183" s="21" t="e">
        <f t="shared" si="17"/>
        <v>#VALUE!</v>
      </c>
    </row>
    <row r="184" spans="1:16" hidden="1" x14ac:dyDescent="0.25">
      <c r="A184" s="8"/>
      <c r="B184" s="11"/>
      <c r="E184" s="11"/>
      <c r="F184" s="2"/>
      <c r="G184" s="2"/>
      <c r="H184" s="2"/>
      <c r="I184" s="11"/>
      <c r="J184" s="2"/>
      <c r="L184" s="14"/>
      <c r="M184" s="6"/>
      <c r="N184" s="5"/>
      <c r="O184" s="5" t="str">
        <f t="shared" si="16"/>
        <v/>
      </c>
      <c r="P184" s="21" t="e">
        <f t="shared" si="17"/>
        <v>#VALUE!</v>
      </c>
    </row>
    <row r="185" spans="1:16" hidden="1" x14ac:dyDescent="0.25">
      <c r="A185" s="8"/>
      <c r="B185" s="11"/>
      <c r="E185" s="11"/>
      <c r="F185" s="2"/>
      <c r="G185" s="2"/>
      <c r="H185" s="2"/>
      <c r="I185" s="11"/>
      <c r="J185" s="2"/>
      <c r="L185" s="14"/>
      <c r="M185" s="6"/>
      <c r="N185" s="5"/>
      <c r="O185" s="5" t="str">
        <f t="shared" si="16"/>
        <v/>
      </c>
      <c r="P185" s="21" t="e">
        <f t="shared" si="17"/>
        <v>#VALUE!</v>
      </c>
    </row>
    <row r="186" spans="1:16" hidden="1" x14ac:dyDescent="0.25">
      <c r="A186" s="8"/>
      <c r="B186" s="11"/>
      <c r="E186" s="11"/>
      <c r="F186" s="2"/>
      <c r="G186" s="2"/>
      <c r="H186" s="2"/>
      <c r="I186" s="11"/>
      <c r="J186" s="2"/>
      <c r="L186" s="14"/>
      <c r="M186" s="6"/>
      <c r="N186" s="5"/>
      <c r="O186" s="5" t="str">
        <f t="shared" si="16"/>
        <v/>
      </c>
      <c r="P186" s="21" t="e">
        <f t="shared" si="17"/>
        <v>#VALUE!</v>
      </c>
    </row>
    <row r="187" spans="1:16" hidden="1" x14ac:dyDescent="0.25">
      <c r="A187" s="8"/>
      <c r="B187" s="11"/>
      <c r="E187" s="11"/>
      <c r="F187" s="2"/>
      <c r="G187" s="2"/>
      <c r="H187" s="2"/>
      <c r="I187" s="11"/>
      <c r="J187" s="2"/>
      <c r="L187" s="14"/>
      <c r="M187" s="6"/>
      <c r="N187" s="5"/>
      <c r="O187" s="5" t="str">
        <f t="shared" si="16"/>
        <v/>
      </c>
      <c r="P187" s="21" t="e">
        <f t="shared" si="17"/>
        <v>#VALUE!</v>
      </c>
    </row>
    <row r="188" spans="1:16" hidden="1" x14ac:dyDescent="0.25">
      <c r="A188" s="8"/>
      <c r="B188" s="11"/>
      <c r="E188" s="11"/>
      <c r="F188" s="2"/>
      <c r="G188" s="2"/>
      <c r="H188" s="2"/>
      <c r="I188" s="11"/>
      <c r="J188" s="2"/>
      <c r="L188" s="14"/>
      <c r="M188" s="6"/>
      <c r="N188" s="5"/>
      <c r="O188" s="5" t="str">
        <f t="shared" si="16"/>
        <v/>
      </c>
      <c r="P188" s="21" t="e">
        <f t="shared" si="17"/>
        <v>#VALUE!</v>
      </c>
    </row>
    <row r="189" spans="1:16" hidden="1" x14ac:dyDescent="0.25">
      <c r="A189" s="8"/>
      <c r="B189" s="11"/>
      <c r="E189" s="11"/>
      <c r="F189" s="2"/>
      <c r="G189" s="2"/>
      <c r="H189" s="2"/>
      <c r="I189" s="11"/>
      <c r="J189" s="2"/>
      <c r="L189" s="14"/>
      <c r="M189" s="6"/>
      <c r="N189" s="5"/>
      <c r="O189" s="5" t="str">
        <f t="shared" si="16"/>
        <v/>
      </c>
      <c r="P189" s="21" t="e">
        <f t="shared" si="17"/>
        <v>#VALUE!</v>
      </c>
    </row>
    <row r="190" spans="1:16" hidden="1" x14ac:dyDescent="0.25">
      <c r="A190" s="8"/>
      <c r="B190" s="11"/>
      <c r="E190" s="11"/>
      <c r="F190" s="2"/>
      <c r="G190" s="2"/>
      <c r="H190" s="2"/>
      <c r="I190" s="11"/>
      <c r="J190" s="2"/>
      <c r="L190" s="14"/>
      <c r="M190" s="6"/>
      <c r="N190" s="5"/>
      <c r="O190" s="5" t="str">
        <f t="shared" si="16"/>
        <v/>
      </c>
      <c r="P190" s="21" t="e">
        <f t="shared" si="17"/>
        <v>#VALUE!</v>
      </c>
    </row>
    <row r="191" spans="1:16" hidden="1" x14ac:dyDescent="0.25">
      <c r="A191" s="8"/>
      <c r="B191" s="11"/>
      <c r="E191" s="11"/>
      <c r="F191" s="2"/>
      <c r="G191" s="2"/>
      <c r="H191" s="2"/>
      <c r="I191" s="11"/>
      <c r="J191" s="2"/>
      <c r="L191" s="14"/>
      <c r="M191" s="6"/>
      <c r="N191" s="5"/>
      <c r="O191" s="5" t="str">
        <f t="shared" si="16"/>
        <v/>
      </c>
      <c r="P191" s="21" t="e">
        <f t="shared" si="17"/>
        <v>#VALUE!</v>
      </c>
    </row>
    <row r="192" spans="1:16" hidden="1" x14ac:dyDescent="0.25">
      <c r="A192" s="8"/>
      <c r="B192" s="11"/>
      <c r="E192" s="11"/>
      <c r="F192" s="2"/>
      <c r="G192" s="2"/>
      <c r="H192" s="2"/>
      <c r="I192" s="11"/>
      <c r="J192" s="2"/>
      <c r="L192" s="14"/>
      <c r="M192" s="6"/>
      <c r="N192" s="5"/>
      <c r="O192" s="5" t="str">
        <f t="shared" si="16"/>
        <v/>
      </c>
      <c r="P192" s="21" t="e">
        <f t="shared" si="17"/>
        <v>#VALUE!</v>
      </c>
    </row>
    <row r="193" spans="1:16" hidden="1" x14ac:dyDescent="0.25">
      <c r="A193" s="8"/>
      <c r="B193" s="11"/>
      <c r="E193" s="11"/>
      <c r="F193" s="2"/>
      <c r="G193" s="2"/>
      <c r="H193" s="2"/>
      <c r="I193" s="11"/>
      <c r="J193" s="2"/>
      <c r="L193" s="14"/>
      <c r="M193" s="6"/>
      <c r="N193" s="5"/>
      <c r="O193" s="5" t="str">
        <f t="shared" si="16"/>
        <v/>
      </c>
      <c r="P193" s="21" t="e">
        <f t="shared" si="17"/>
        <v>#VALUE!</v>
      </c>
    </row>
    <row r="194" spans="1:16" hidden="1" x14ac:dyDescent="0.25">
      <c r="A194" s="8"/>
      <c r="B194" s="11"/>
      <c r="E194" s="11"/>
      <c r="F194" s="2"/>
      <c r="G194" s="2"/>
      <c r="H194" s="2"/>
      <c r="I194" s="11"/>
      <c r="J194" s="2"/>
      <c r="L194" s="14"/>
      <c r="M194" s="6"/>
      <c r="N194" s="5"/>
      <c r="O194" s="5" t="str">
        <f t="shared" si="16"/>
        <v/>
      </c>
      <c r="P194" s="21" t="e">
        <f t="shared" si="17"/>
        <v>#VALUE!</v>
      </c>
    </row>
    <row r="195" spans="1:16" hidden="1" x14ac:dyDescent="0.25">
      <c r="A195" s="8"/>
      <c r="B195" s="11"/>
      <c r="E195" s="11"/>
      <c r="F195" s="2"/>
      <c r="G195" s="2"/>
      <c r="H195" s="2"/>
      <c r="I195" s="11"/>
      <c r="J195" s="2"/>
      <c r="L195" s="14"/>
      <c r="M195" s="6"/>
      <c r="N195" s="5"/>
      <c r="O195" s="5" t="str">
        <f t="shared" si="16"/>
        <v/>
      </c>
      <c r="P195" s="21" t="e">
        <f t="shared" si="17"/>
        <v>#VALUE!</v>
      </c>
    </row>
    <row r="196" spans="1:16" hidden="1" x14ac:dyDescent="0.25">
      <c r="A196" s="8"/>
      <c r="B196" s="11"/>
      <c r="E196" s="11"/>
      <c r="F196" s="2"/>
      <c r="G196" s="2"/>
      <c r="H196" s="2"/>
      <c r="I196" s="11"/>
      <c r="J196" s="2"/>
      <c r="L196" s="14"/>
      <c r="M196" s="6"/>
      <c r="N196" s="5"/>
      <c r="O196" s="5" t="str">
        <f t="shared" si="16"/>
        <v/>
      </c>
      <c r="P196" s="21" t="e">
        <f t="shared" si="17"/>
        <v>#VALUE!</v>
      </c>
    </row>
    <row r="197" spans="1:16" hidden="1" x14ac:dyDescent="0.25">
      <c r="A197" s="8"/>
      <c r="B197" s="11"/>
      <c r="E197" s="11"/>
      <c r="F197" s="2"/>
      <c r="G197" s="2"/>
      <c r="H197" s="2"/>
      <c r="I197" s="11"/>
      <c r="J197" s="2"/>
      <c r="L197" s="14"/>
      <c r="M197" s="6"/>
      <c r="N197" s="5"/>
      <c r="O197" s="5" t="str">
        <f t="shared" si="16"/>
        <v/>
      </c>
      <c r="P197" s="21" t="e">
        <f t="shared" si="17"/>
        <v>#VALUE!</v>
      </c>
    </row>
    <row r="198" spans="1:16" hidden="1" x14ac:dyDescent="0.25">
      <c r="A198" s="8"/>
      <c r="B198" s="11"/>
      <c r="E198" s="11"/>
      <c r="F198" s="2"/>
      <c r="G198" s="2"/>
      <c r="H198" s="2"/>
      <c r="I198" s="11"/>
      <c r="J198" s="2"/>
      <c r="L198" s="14"/>
      <c r="M198" s="6"/>
      <c r="N198" s="5"/>
      <c r="O198" s="5" t="str">
        <f t="shared" si="16"/>
        <v/>
      </c>
      <c r="P198" s="21" t="e">
        <f t="shared" si="17"/>
        <v>#VALUE!</v>
      </c>
    </row>
    <row r="199" spans="1:16" hidden="1" x14ac:dyDescent="0.25">
      <c r="A199" s="8"/>
      <c r="B199" s="11"/>
      <c r="E199" s="11"/>
      <c r="F199" s="2"/>
      <c r="G199" s="2"/>
      <c r="H199" s="2"/>
      <c r="I199" s="11"/>
      <c r="J199" s="2"/>
      <c r="L199" s="14"/>
      <c r="M199" s="6"/>
      <c r="N199" s="5"/>
      <c r="O199" s="5" t="str">
        <f t="shared" si="16"/>
        <v/>
      </c>
      <c r="P199" s="21" t="e">
        <f t="shared" si="17"/>
        <v>#VALUE!</v>
      </c>
    </row>
    <row r="200" spans="1:16" hidden="1" x14ac:dyDescent="0.25">
      <c r="A200" s="8"/>
      <c r="B200" s="11"/>
      <c r="E200" s="11"/>
      <c r="F200" s="2"/>
      <c r="G200" s="2"/>
      <c r="H200" s="2"/>
      <c r="I200" s="11"/>
      <c r="J200" s="2"/>
      <c r="L200" s="14"/>
      <c r="M200" s="6"/>
      <c r="N200" s="5"/>
      <c r="O200" s="5" t="str">
        <f t="shared" si="16"/>
        <v/>
      </c>
      <c r="P200" s="21" t="e">
        <f t="shared" si="17"/>
        <v>#VALUE!</v>
      </c>
    </row>
    <row r="201" spans="1:16" hidden="1" x14ac:dyDescent="0.25">
      <c r="A201" s="8"/>
      <c r="B201" s="11"/>
      <c r="E201" s="11"/>
      <c r="F201" s="2"/>
      <c r="G201" s="2"/>
      <c r="H201" s="2"/>
      <c r="I201" s="11"/>
      <c r="J201" s="2"/>
      <c r="L201" s="14"/>
      <c r="M201" s="6"/>
      <c r="N201" s="5"/>
      <c r="O201" s="5" t="str">
        <f t="shared" si="16"/>
        <v/>
      </c>
      <c r="P201" s="21" t="e">
        <f t="shared" si="17"/>
        <v>#VALUE!</v>
      </c>
    </row>
    <row r="202" spans="1:16" hidden="1" x14ac:dyDescent="0.25">
      <c r="A202" s="8"/>
      <c r="B202" s="11"/>
      <c r="E202" s="11"/>
      <c r="F202" s="2"/>
      <c r="G202" s="2"/>
      <c r="H202" s="2"/>
      <c r="I202" s="11"/>
      <c r="J202" s="2"/>
      <c r="L202" s="14"/>
      <c r="M202" s="6"/>
      <c r="N202" s="5"/>
      <c r="O202" s="5" t="str">
        <f t="shared" si="16"/>
        <v/>
      </c>
      <c r="P202" s="21" t="e">
        <f t="shared" si="17"/>
        <v>#VALUE!</v>
      </c>
    </row>
    <row r="203" spans="1:16" hidden="1" x14ac:dyDescent="0.25">
      <c r="A203" s="8"/>
      <c r="B203" s="11"/>
      <c r="E203" s="11"/>
      <c r="F203" s="2"/>
      <c r="G203" s="2"/>
      <c r="H203" s="2"/>
      <c r="I203" s="11"/>
      <c r="J203" s="2"/>
      <c r="L203" s="14"/>
      <c r="M203" s="6"/>
      <c r="N203" s="5"/>
      <c r="O203" s="5" t="str">
        <f t="shared" si="16"/>
        <v/>
      </c>
      <c r="P203" s="21" t="e">
        <f t="shared" si="17"/>
        <v>#VALUE!</v>
      </c>
    </row>
    <row r="204" spans="1:16" hidden="1" x14ac:dyDescent="0.25">
      <c r="A204" s="8"/>
      <c r="B204" s="11"/>
      <c r="E204" s="11"/>
      <c r="F204" s="2"/>
      <c r="G204" s="2"/>
      <c r="H204" s="2"/>
      <c r="I204" s="11"/>
      <c r="J204" s="2"/>
      <c r="L204" s="14"/>
      <c r="M204" s="6"/>
      <c r="N204" s="5"/>
      <c r="O204" s="5" t="str">
        <f t="shared" si="16"/>
        <v/>
      </c>
      <c r="P204" s="21" t="e">
        <f t="shared" si="17"/>
        <v>#VALUE!</v>
      </c>
    </row>
    <row r="205" spans="1:16" hidden="1" x14ac:dyDescent="0.25">
      <c r="A205" s="8"/>
      <c r="B205" s="11"/>
      <c r="E205" s="11"/>
      <c r="F205" s="2"/>
      <c r="G205" s="2"/>
      <c r="H205" s="2"/>
      <c r="I205" s="11"/>
      <c r="J205" s="2"/>
      <c r="L205" s="14"/>
      <c r="M205" s="6"/>
      <c r="N205" s="5"/>
      <c r="O205" s="5" t="str">
        <f t="shared" si="16"/>
        <v/>
      </c>
      <c r="P205" s="21" t="e">
        <f t="shared" si="17"/>
        <v>#VALUE!</v>
      </c>
    </row>
    <row r="206" spans="1:16" hidden="1" x14ac:dyDescent="0.25">
      <c r="A206" s="8"/>
      <c r="B206" s="11"/>
      <c r="E206" s="11"/>
      <c r="F206" s="2"/>
      <c r="G206" s="2"/>
      <c r="H206" s="2"/>
      <c r="I206" s="11"/>
      <c r="J206" s="2"/>
      <c r="L206" s="14"/>
      <c r="M206" s="6"/>
      <c r="N206" s="5"/>
      <c r="O206" s="5" t="str">
        <f t="shared" si="16"/>
        <v/>
      </c>
      <c r="P206" s="21" t="e">
        <f t="shared" si="17"/>
        <v>#VALUE!</v>
      </c>
    </row>
    <row r="207" spans="1:16" hidden="1" x14ac:dyDescent="0.25">
      <c r="A207" s="8"/>
      <c r="B207" s="11"/>
      <c r="E207" s="11"/>
      <c r="F207" s="2"/>
      <c r="G207" s="2"/>
      <c r="H207" s="2"/>
      <c r="I207" s="11"/>
      <c r="J207" s="2"/>
      <c r="L207" s="14"/>
      <c r="M207" s="6"/>
      <c r="N207" s="5"/>
      <c r="O207" s="5" t="str">
        <f t="shared" si="16"/>
        <v/>
      </c>
      <c r="P207" s="21" t="e">
        <f t="shared" si="17"/>
        <v>#VALUE!</v>
      </c>
    </row>
    <row r="208" spans="1:16" hidden="1" x14ac:dyDescent="0.25">
      <c r="A208" s="8"/>
      <c r="B208" s="11"/>
      <c r="E208" s="11"/>
      <c r="F208" s="2"/>
      <c r="G208" s="2"/>
      <c r="H208" s="2"/>
      <c r="I208" s="11"/>
      <c r="J208" s="2"/>
      <c r="L208" s="14"/>
      <c r="M208" s="6"/>
      <c r="N208" s="5"/>
      <c r="O208" s="5" t="str">
        <f t="shared" si="16"/>
        <v/>
      </c>
      <c r="P208" s="21" t="e">
        <f t="shared" si="17"/>
        <v>#VALUE!</v>
      </c>
    </row>
    <row r="209" spans="1:16" hidden="1" x14ac:dyDescent="0.25">
      <c r="A209" s="8"/>
      <c r="B209" s="11"/>
      <c r="E209" s="11"/>
      <c r="F209" s="2"/>
      <c r="G209" s="2"/>
      <c r="H209" s="2"/>
      <c r="I209" s="11"/>
      <c r="J209" s="2"/>
      <c r="L209" s="14"/>
      <c r="M209" s="6"/>
      <c r="N209" s="5"/>
      <c r="O209" s="5" t="str">
        <f t="shared" si="16"/>
        <v/>
      </c>
      <c r="P209" s="21" t="e">
        <f t="shared" si="17"/>
        <v>#VALUE!</v>
      </c>
    </row>
    <row r="210" spans="1:16" hidden="1" x14ac:dyDescent="0.25">
      <c r="A210" s="8"/>
      <c r="B210" s="11"/>
      <c r="E210" s="11"/>
      <c r="F210" s="2"/>
      <c r="G210" s="2"/>
      <c r="H210" s="2"/>
      <c r="I210" s="11"/>
      <c r="J210" s="2"/>
      <c r="L210" s="14"/>
      <c r="M210" s="6"/>
      <c r="N210" s="5"/>
      <c r="O210" s="5" t="str">
        <f t="shared" si="16"/>
        <v/>
      </c>
      <c r="P210" s="21" t="e">
        <f t="shared" si="17"/>
        <v>#VALUE!</v>
      </c>
    </row>
    <row r="211" spans="1:16" hidden="1" x14ac:dyDescent="0.25">
      <c r="A211" s="8"/>
      <c r="B211" s="11"/>
      <c r="E211" s="11"/>
      <c r="F211" s="2"/>
      <c r="G211" s="2"/>
      <c r="H211" s="2"/>
      <c r="I211" s="11"/>
      <c r="J211" s="2"/>
      <c r="L211" s="14"/>
      <c r="M211" s="6"/>
      <c r="N211" s="5"/>
      <c r="O211" s="5" t="str">
        <f t="shared" si="16"/>
        <v/>
      </c>
      <c r="P211" s="21" t="e">
        <f t="shared" si="17"/>
        <v>#VALUE!</v>
      </c>
    </row>
    <row r="212" spans="1:16" hidden="1" x14ac:dyDescent="0.25">
      <c r="A212" s="8"/>
      <c r="B212" s="11"/>
      <c r="E212" s="11"/>
      <c r="F212" s="2"/>
      <c r="G212" s="2"/>
      <c r="H212" s="2"/>
      <c r="I212" s="11"/>
      <c r="J212" s="2"/>
      <c r="L212" s="14"/>
      <c r="M212" s="6"/>
      <c r="N212" s="5"/>
      <c r="O212" s="5" t="str">
        <f t="shared" si="16"/>
        <v/>
      </c>
      <c r="P212" s="21" t="e">
        <f t="shared" si="17"/>
        <v>#VALUE!</v>
      </c>
    </row>
    <row r="213" spans="1:16" hidden="1" x14ac:dyDescent="0.25">
      <c r="A213" s="8"/>
      <c r="B213" s="11"/>
      <c r="E213" s="11"/>
      <c r="F213" s="2"/>
      <c r="G213" s="2"/>
      <c r="H213" s="2"/>
      <c r="I213" s="11"/>
      <c r="J213" s="2"/>
      <c r="L213" s="14"/>
      <c r="M213" s="6"/>
      <c r="N213" s="5"/>
      <c r="O213" s="5" t="str">
        <f t="shared" si="16"/>
        <v/>
      </c>
      <c r="P213" s="21" t="e">
        <f t="shared" si="17"/>
        <v>#VALUE!</v>
      </c>
    </row>
    <row r="214" spans="1:16" hidden="1" x14ac:dyDescent="0.25">
      <c r="A214" s="8"/>
      <c r="B214" s="11"/>
      <c r="E214" s="11"/>
      <c r="F214" s="2"/>
      <c r="G214" s="2"/>
      <c r="H214" s="2"/>
      <c r="I214" s="11"/>
      <c r="J214" s="2"/>
      <c r="L214" s="14"/>
      <c r="M214" s="6"/>
      <c r="N214" s="5"/>
      <c r="O214" s="5" t="str">
        <f t="shared" si="16"/>
        <v/>
      </c>
      <c r="P214" s="21" t="e">
        <f t="shared" si="17"/>
        <v>#VALUE!</v>
      </c>
    </row>
    <row r="215" spans="1:16" hidden="1" x14ac:dyDescent="0.25">
      <c r="A215" s="8"/>
      <c r="B215" s="11"/>
      <c r="E215" s="11"/>
      <c r="F215" s="2"/>
      <c r="G215" s="2"/>
      <c r="H215" s="2"/>
      <c r="I215" s="11"/>
      <c r="J215" s="2"/>
      <c r="L215" s="14"/>
      <c r="M215" s="6"/>
      <c r="N215" s="5"/>
      <c r="O215" s="5" t="str">
        <f t="shared" ref="O215:O278" si="18">RIGHT(C215,2)</f>
        <v/>
      </c>
      <c r="P215" s="21" t="e">
        <f t="shared" ref="P215:P278" si="19">42522+O215+29</f>
        <v>#VALUE!</v>
      </c>
    </row>
    <row r="216" spans="1:16" hidden="1" x14ac:dyDescent="0.25">
      <c r="A216" s="8"/>
      <c r="B216" s="11"/>
      <c r="E216" s="11"/>
      <c r="F216" s="2"/>
      <c r="G216" s="2"/>
      <c r="H216" s="2"/>
      <c r="I216" s="11"/>
      <c r="J216" s="2"/>
      <c r="L216" s="14"/>
      <c r="M216" s="6"/>
      <c r="N216" s="5"/>
      <c r="O216" s="5" t="str">
        <f t="shared" si="18"/>
        <v/>
      </c>
      <c r="P216" s="21" t="e">
        <f t="shared" si="19"/>
        <v>#VALUE!</v>
      </c>
    </row>
    <row r="217" spans="1:16" hidden="1" x14ac:dyDescent="0.25">
      <c r="A217" s="8"/>
      <c r="B217" s="11"/>
      <c r="E217" s="11"/>
      <c r="F217" s="2"/>
      <c r="G217" s="2"/>
      <c r="H217" s="2"/>
      <c r="I217" s="11"/>
      <c r="J217" s="2"/>
      <c r="L217" s="14"/>
      <c r="M217" s="6"/>
      <c r="N217" s="5"/>
      <c r="O217" s="5" t="str">
        <f t="shared" si="18"/>
        <v/>
      </c>
      <c r="P217" s="21" t="e">
        <f t="shared" si="19"/>
        <v>#VALUE!</v>
      </c>
    </row>
    <row r="218" spans="1:16" hidden="1" x14ac:dyDescent="0.25">
      <c r="A218" s="8"/>
      <c r="B218" s="11"/>
      <c r="E218" s="11"/>
      <c r="F218" s="2"/>
      <c r="G218" s="2"/>
      <c r="H218" s="2"/>
      <c r="I218" s="11"/>
      <c r="J218" s="2"/>
      <c r="L218" s="14"/>
      <c r="M218" s="6"/>
      <c r="N218" s="5"/>
      <c r="O218" s="5" t="str">
        <f t="shared" si="18"/>
        <v/>
      </c>
      <c r="P218" s="21" t="e">
        <f t="shared" si="19"/>
        <v>#VALUE!</v>
      </c>
    </row>
    <row r="219" spans="1:16" hidden="1" x14ac:dyDescent="0.25">
      <c r="A219" s="8"/>
      <c r="B219" s="11"/>
      <c r="E219" s="11"/>
      <c r="F219" s="2"/>
      <c r="G219" s="2"/>
      <c r="H219" s="2"/>
      <c r="I219" s="11"/>
      <c r="J219" s="2"/>
      <c r="L219" s="14"/>
      <c r="M219" s="6"/>
      <c r="N219" s="5"/>
      <c r="O219" s="5" t="str">
        <f t="shared" si="18"/>
        <v/>
      </c>
      <c r="P219" s="21" t="e">
        <f t="shared" si="19"/>
        <v>#VALUE!</v>
      </c>
    </row>
    <row r="220" spans="1:16" hidden="1" x14ac:dyDescent="0.25">
      <c r="A220" s="8"/>
      <c r="B220" s="11"/>
      <c r="E220" s="11"/>
      <c r="F220" s="2"/>
      <c r="G220" s="2"/>
      <c r="H220" s="2"/>
      <c r="I220" s="11"/>
      <c r="J220" s="2"/>
      <c r="L220" s="14"/>
      <c r="M220" s="6"/>
      <c r="N220" s="5"/>
      <c r="O220" s="5" t="str">
        <f t="shared" si="18"/>
        <v/>
      </c>
      <c r="P220" s="21" t="e">
        <f t="shared" si="19"/>
        <v>#VALUE!</v>
      </c>
    </row>
    <row r="221" spans="1:16" hidden="1" x14ac:dyDescent="0.25">
      <c r="A221" s="8"/>
      <c r="B221" s="11"/>
      <c r="E221" s="11"/>
      <c r="F221" s="2"/>
      <c r="G221" s="2"/>
      <c r="H221" s="2"/>
      <c r="I221" s="11"/>
      <c r="J221" s="2"/>
      <c r="L221" s="14"/>
      <c r="M221" s="6"/>
      <c r="N221" s="5"/>
      <c r="O221" s="5" t="str">
        <f t="shared" si="18"/>
        <v/>
      </c>
      <c r="P221" s="21" t="e">
        <f t="shared" si="19"/>
        <v>#VALUE!</v>
      </c>
    </row>
    <row r="222" spans="1:16" hidden="1" x14ac:dyDescent="0.25">
      <c r="A222" s="8"/>
      <c r="B222" s="11"/>
      <c r="E222" s="11"/>
      <c r="F222" s="2"/>
      <c r="G222" s="2"/>
      <c r="H222" s="2"/>
      <c r="I222" s="11"/>
      <c r="J222" s="2"/>
      <c r="L222" s="14"/>
      <c r="M222" s="6"/>
      <c r="N222" s="5"/>
      <c r="O222" s="5" t="str">
        <f t="shared" si="18"/>
        <v/>
      </c>
      <c r="P222" s="21" t="e">
        <f t="shared" si="19"/>
        <v>#VALUE!</v>
      </c>
    </row>
    <row r="223" spans="1:16" hidden="1" x14ac:dyDescent="0.25">
      <c r="A223" s="8"/>
      <c r="B223" s="11"/>
      <c r="E223" s="11"/>
      <c r="F223" s="2"/>
      <c r="G223" s="2"/>
      <c r="H223" s="2"/>
      <c r="I223" s="11"/>
      <c r="J223" s="2"/>
      <c r="L223" s="14"/>
      <c r="M223" s="6"/>
      <c r="N223" s="5"/>
      <c r="O223" s="5" t="str">
        <f t="shared" si="18"/>
        <v/>
      </c>
      <c r="P223" s="21" t="e">
        <f t="shared" si="19"/>
        <v>#VALUE!</v>
      </c>
    </row>
    <row r="224" spans="1:16" hidden="1" x14ac:dyDescent="0.25">
      <c r="A224" s="8"/>
      <c r="B224" s="11"/>
      <c r="E224" s="11"/>
      <c r="F224" s="2"/>
      <c r="G224" s="2"/>
      <c r="H224" s="2"/>
      <c r="I224" s="11"/>
      <c r="J224" s="2"/>
      <c r="L224" s="14"/>
      <c r="M224" s="6"/>
      <c r="N224" s="5"/>
      <c r="O224" s="5" t="str">
        <f t="shared" si="18"/>
        <v/>
      </c>
      <c r="P224" s="21" t="e">
        <f t="shared" si="19"/>
        <v>#VALUE!</v>
      </c>
    </row>
    <row r="225" spans="1:16" hidden="1" x14ac:dyDescent="0.25">
      <c r="A225" s="8"/>
      <c r="B225" s="11"/>
      <c r="E225" s="11"/>
      <c r="F225" s="2"/>
      <c r="G225" s="2"/>
      <c r="H225" s="2"/>
      <c r="I225" s="11"/>
      <c r="J225" s="2"/>
      <c r="L225" s="14"/>
      <c r="M225" s="6"/>
      <c r="N225" s="5"/>
      <c r="O225" s="5" t="str">
        <f t="shared" si="18"/>
        <v/>
      </c>
      <c r="P225" s="21" t="e">
        <f t="shared" si="19"/>
        <v>#VALUE!</v>
      </c>
    </row>
    <row r="226" spans="1:16" hidden="1" x14ac:dyDescent="0.25">
      <c r="A226" s="8"/>
      <c r="B226" s="11"/>
      <c r="E226" s="11"/>
      <c r="F226" s="2"/>
      <c r="G226" s="2"/>
      <c r="H226" s="2"/>
      <c r="I226" s="11"/>
      <c r="J226" s="2"/>
      <c r="L226" s="14"/>
      <c r="M226" s="6"/>
      <c r="N226" s="5"/>
      <c r="O226" s="5" t="str">
        <f t="shared" si="18"/>
        <v/>
      </c>
      <c r="P226" s="21" t="e">
        <f t="shared" si="19"/>
        <v>#VALUE!</v>
      </c>
    </row>
    <row r="227" spans="1:16" hidden="1" x14ac:dyDescent="0.25">
      <c r="A227" s="8"/>
      <c r="B227" s="11"/>
      <c r="E227" s="11"/>
      <c r="F227" s="2"/>
      <c r="G227" s="2"/>
      <c r="H227" s="2"/>
      <c r="I227" s="11"/>
      <c r="J227" s="2"/>
      <c r="L227" s="14"/>
      <c r="M227" s="6"/>
      <c r="N227" s="5"/>
      <c r="O227" s="5" t="str">
        <f t="shared" si="18"/>
        <v/>
      </c>
      <c r="P227" s="21" t="e">
        <f t="shared" si="19"/>
        <v>#VALUE!</v>
      </c>
    </row>
    <row r="228" spans="1:16" hidden="1" x14ac:dyDescent="0.25">
      <c r="A228" s="8"/>
      <c r="B228" s="11"/>
      <c r="E228" s="11"/>
      <c r="F228" s="2"/>
      <c r="G228" s="2"/>
      <c r="H228" s="2"/>
      <c r="I228" s="11"/>
      <c r="J228" s="2"/>
      <c r="L228" s="14"/>
      <c r="M228" s="6"/>
      <c r="N228" s="5"/>
      <c r="O228" s="5" t="str">
        <f t="shared" si="18"/>
        <v/>
      </c>
      <c r="P228" s="21" t="e">
        <f t="shared" si="19"/>
        <v>#VALUE!</v>
      </c>
    </row>
    <row r="229" spans="1:16" hidden="1" x14ac:dyDescent="0.25">
      <c r="A229" s="8"/>
      <c r="B229" s="11"/>
      <c r="E229" s="11"/>
      <c r="F229" s="2"/>
      <c r="G229" s="2"/>
      <c r="H229" s="2"/>
      <c r="I229" s="11"/>
      <c r="J229" s="2"/>
      <c r="L229" s="14"/>
      <c r="M229" s="6"/>
      <c r="N229" s="5"/>
      <c r="O229" s="5" t="str">
        <f t="shared" si="18"/>
        <v/>
      </c>
      <c r="P229" s="21" t="e">
        <f t="shared" si="19"/>
        <v>#VALUE!</v>
      </c>
    </row>
    <row r="230" spans="1:16" hidden="1" x14ac:dyDescent="0.25">
      <c r="A230" s="8"/>
      <c r="B230" s="11"/>
      <c r="E230" s="11"/>
      <c r="F230" s="2"/>
      <c r="G230" s="2"/>
      <c r="H230" s="2"/>
      <c r="I230" s="11"/>
      <c r="J230" s="2"/>
      <c r="L230" s="14"/>
      <c r="M230" s="6"/>
      <c r="N230" s="5"/>
      <c r="O230" s="5" t="str">
        <f t="shared" si="18"/>
        <v/>
      </c>
      <c r="P230" s="21" t="e">
        <f t="shared" si="19"/>
        <v>#VALUE!</v>
      </c>
    </row>
    <row r="231" spans="1:16" hidden="1" x14ac:dyDescent="0.25">
      <c r="A231" s="8"/>
      <c r="B231" s="11"/>
      <c r="E231" s="11"/>
      <c r="F231" s="2"/>
      <c r="G231" s="2"/>
      <c r="H231" s="2"/>
      <c r="I231" s="11"/>
      <c r="J231" s="2"/>
      <c r="L231" s="14"/>
      <c r="M231" s="6"/>
      <c r="N231" s="5"/>
      <c r="O231" s="5" t="str">
        <f t="shared" si="18"/>
        <v/>
      </c>
      <c r="P231" s="21" t="e">
        <f t="shared" si="19"/>
        <v>#VALUE!</v>
      </c>
    </row>
    <row r="232" spans="1:16" hidden="1" x14ac:dyDescent="0.25">
      <c r="A232" s="8"/>
      <c r="B232" s="11"/>
      <c r="E232" s="11"/>
      <c r="F232" s="2"/>
      <c r="G232" s="2"/>
      <c r="H232" s="2"/>
      <c r="I232" s="11"/>
      <c r="J232" s="2"/>
      <c r="L232" s="14"/>
      <c r="M232" s="6"/>
      <c r="N232" s="5"/>
      <c r="O232" s="5" t="str">
        <f t="shared" si="18"/>
        <v/>
      </c>
      <c r="P232" s="21" t="e">
        <f t="shared" si="19"/>
        <v>#VALUE!</v>
      </c>
    </row>
    <row r="233" spans="1:16" hidden="1" x14ac:dyDescent="0.25">
      <c r="A233" s="8"/>
      <c r="B233" s="11"/>
      <c r="E233" s="11"/>
      <c r="F233" s="2"/>
      <c r="G233" s="2"/>
      <c r="H233" s="2"/>
      <c r="I233" s="11"/>
      <c r="J233" s="2"/>
      <c r="L233" s="14"/>
      <c r="M233" s="6"/>
      <c r="N233" s="5"/>
      <c r="O233" s="5" t="str">
        <f t="shared" si="18"/>
        <v/>
      </c>
      <c r="P233" s="21" t="e">
        <f t="shared" si="19"/>
        <v>#VALUE!</v>
      </c>
    </row>
    <row r="234" spans="1:16" hidden="1" x14ac:dyDescent="0.25">
      <c r="A234" s="8"/>
      <c r="B234" s="11"/>
      <c r="E234" s="11"/>
      <c r="F234" s="2"/>
      <c r="G234" s="2"/>
      <c r="H234" s="2"/>
      <c r="I234" s="11"/>
      <c r="J234" s="2"/>
      <c r="L234" s="14"/>
      <c r="M234" s="6"/>
      <c r="N234" s="5"/>
      <c r="O234" s="5" t="str">
        <f t="shared" si="18"/>
        <v/>
      </c>
      <c r="P234" s="21" t="e">
        <f t="shared" si="19"/>
        <v>#VALUE!</v>
      </c>
    </row>
    <row r="235" spans="1:16" hidden="1" x14ac:dyDescent="0.25">
      <c r="A235" s="8"/>
      <c r="B235" s="11"/>
      <c r="E235" s="11"/>
      <c r="F235" s="2"/>
      <c r="G235" s="2"/>
      <c r="H235" s="2"/>
      <c r="I235" s="11"/>
      <c r="J235" s="2"/>
      <c r="L235" s="14"/>
      <c r="M235" s="6"/>
      <c r="N235" s="5"/>
      <c r="O235" s="5" t="str">
        <f t="shared" si="18"/>
        <v/>
      </c>
      <c r="P235" s="21" t="e">
        <f t="shared" si="19"/>
        <v>#VALUE!</v>
      </c>
    </row>
    <row r="236" spans="1:16" hidden="1" x14ac:dyDescent="0.25">
      <c r="A236" s="8"/>
      <c r="B236" s="11"/>
      <c r="E236" s="11"/>
      <c r="F236" s="2"/>
      <c r="G236" s="2"/>
      <c r="H236" s="2"/>
      <c r="I236" s="11"/>
      <c r="J236" s="2"/>
      <c r="L236" s="14"/>
      <c r="M236" s="6"/>
      <c r="N236" s="5"/>
      <c r="O236" s="5" t="str">
        <f t="shared" si="18"/>
        <v/>
      </c>
      <c r="P236" s="21" t="e">
        <f t="shared" si="19"/>
        <v>#VALUE!</v>
      </c>
    </row>
    <row r="237" spans="1:16" hidden="1" x14ac:dyDescent="0.25">
      <c r="A237" s="8"/>
      <c r="B237" s="11"/>
      <c r="E237" s="11"/>
      <c r="F237" s="2"/>
      <c r="G237" s="2"/>
      <c r="H237" s="2"/>
      <c r="I237" s="11"/>
      <c r="J237" s="2"/>
      <c r="L237" s="14"/>
      <c r="M237" s="6"/>
      <c r="N237" s="5"/>
      <c r="O237" s="5" t="str">
        <f t="shared" si="18"/>
        <v/>
      </c>
      <c r="P237" s="21" t="e">
        <f t="shared" si="19"/>
        <v>#VALUE!</v>
      </c>
    </row>
    <row r="238" spans="1:16" hidden="1" x14ac:dyDescent="0.25">
      <c r="A238" s="8"/>
      <c r="B238" s="11"/>
      <c r="E238" s="11"/>
      <c r="F238" s="2"/>
      <c r="G238" s="2"/>
      <c r="H238" s="2"/>
      <c r="I238" s="11"/>
      <c r="J238" s="2"/>
      <c r="L238" s="14"/>
      <c r="M238" s="6"/>
      <c r="N238" s="5"/>
      <c r="O238" s="5" t="str">
        <f t="shared" si="18"/>
        <v/>
      </c>
      <c r="P238" s="21" t="e">
        <f t="shared" si="19"/>
        <v>#VALUE!</v>
      </c>
    </row>
    <row r="239" spans="1:16" hidden="1" x14ac:dyDescent="0.25">
      <c r="A239" s="8"/>
      <c r="B239" s="11"/>
      <c r="E239" s="11"/>
      <c r="F239" s="2"/>
      <c r="G239" s="2"/>
      <c r="H239" s="2"/>
      <c r="I239" s="11"/>
      <c r="J239" s="2"/>
      <c r="L239" s="14"/>
      <c r="M239" s="6"/>
      <c r="N239" s="5"/>
      <c r="O239" s="5" t="str">
        <f t="shared" si="18"/>
        <v/>
      </c>
      <c r="P239" s="21" t="e">
        <f t="shared" si="19"/>
        <v>#VALUE!</v>
      </c>
    </row>
    <row r="240" spans="1:16" hidden="1" x14ac:dyDescent="0.25">
      <c r="A240" s="8"/>
      <c r="B240" s="11"/>
      <c r="E240" s="11"/>
      <c r="F240" s="2"/>
      <c r="G240" s="2"/>
      <c r="H240" s="2"/>
      <c r="I240" s="11"/>
      <c r="J240" s="2"/>
      <c r="L240" s="14"/>
      <c r="M240" s="6"/>
      <c r="N240" s="5"/>
      <c r="O240" s="5" t="str">
        <f t="shared" si="18"/>
        <v/>
      </c>
      <c r="P240" s="21" t="e">
        <f t="shared" si="19"/>
        <v>#VALUE!</v>
      </c>
    </row>
    <row r="241" spans="1:16" hidden="1" x14ac:dyDescent="0.25">
      <c r="A241" s="8"/>
      <c r="B241" s="11"/>
      <c r="E241" s="11"/>
      <c r="F241" s="2"/>
      <c r="G241" s="2"/>
      <c r="H241" s="2"/>
      <c r="I241" s="11"/>
      <c r="J241" s="2"/>
      <c r="L241" s="14"/>
      <c r="M241" s="6"/>
      <c r="N241" s="5"/>
      <c r="O241" s="5" t="str">
        <f t="shared" si="18"/>
        <v/>
      </c>
      <c r="P241" s="21" t="e">
        <f t="shared" si="19"/>
        <v>#VALUE!</v>
      </c>
    </row>
    <row r="242" spans="1:16" hidden="1" x14ac:dyDescent="0.25">
      <c r="A242" s="8"/>
      <c r="B242" s="11"/>
      <c r="E242" s="11"/>
      <c r="F242" s="2"/>
      <c r="G242" s="2"/>
      <c r="H242" s="2"/>
      <c r="I242" s="11"/>
      <c r="J242" s="2"/>
      <c r="L242" s="14"/>
      <c r="M242" s="6"/>
      <c r="N242" s="5"/>
      <c r="O242" s="5" t="str">
        <f t="shared" si="18"/>
        <v/>
      </c>
      <c r="P242" s="21" t="e">
        <f t="shared" si="19"/>
        <v>#VALUE!</v>
      </c>
    </row>
    <row r="243" spans="1:16" hidden="1" x14ac:dyDescent="0.25">
      <c r="A243" s="8"/>
      <c r="F243" s="2"/>
      <c r="G243" s="2"/>
      <c r="H243" s="2"/>
      <c r="J243" s="2"/>
      <c r="L243" s="14"/>
      <c r="M243" s="6"/>
      <c r="N243" s="5"/>
      <c r="O243" s="5" t="str">
        <f t="shared" si="18"/>
        <v/>
      </c>
      <c r="P243" s="21" t="e">
        <f t="shared" si="19"/>
        <v>#VALUE!</v>
      </c>
    </row>
    <row r="244" spans="1:16" hidden="1" x14ac:dyDescent="0.25">
      <c r="A244" s="8"/>
      <c r="B244" s="11"/>
      <c r="E244" s="11"/>
      <c r="F244" s="2"/>
      <c r="G244" s="2"/>
      <c r="H244" s="2"/>
      <c r="I244" s="11"/>
      <c r="J244" s="2"/>
      <c r="L244" s="14"/>
      <c r="M244" s="6"/>
      <c r="N244" s="5"/>
      <c r="O244" s="5" t="str">
        <f t="shared" si="18"/>
        <v/>
      </c>
      <c r="P244" s="21" t="e">
        <f t="shared" si="19"/>
        <v>#VALUE!</v>
      </c>
    </row>
    <row r="245" spans="1:16" hidden="1" x14ac:dyDescent="0.25">
      <c r="A245" s="8"/>
      <c r="B245" s="11"/>
      <c r="E245" s="11"/>
      <c r="F245" s="2"/>
      <c r="G245" s="2"/>
      <c r="H245" s="2"/>
      <c r="I245" s="11"/>
      <c r="J245" s="2"/>
      <c r="L245" s="14"/>
      <c r="M245" s="6"/>
      <c r="N245" s="5"/>
      <c r="O245" s="5" t="str">
        <f t="shared" si="18"/>
        <v/>
      </c>
      <c r="P245" s="21" t="e">
        <f t="shared" si="19"/>
        <v>#VALUE!</v>
      </c>
    </row>
    <row r="246" spans="1:16" hidden="1" x14ac:dyDescent="0.25">
      <c r="A246" s="8"/>
      <c r="B246" s="11"/>
      <c r="E246" s="11"/>
      <c r="F246" s="2"/>
      <c r="G246" s="2"/>
      <c r="H246" s="2"/>
      <c r="I246" s="11"/>
      <c r="J246" s="2"/>
      <c r="L246" s="14"/>
      <c r="M246" s="6"/>
      <c r="N246" s="5"/>
      <c r="O246" s="5" t="str">
        <f t="shared" si="18"/>
        <v/>
      </c>
      <c r="P246" s="21" t="e">
        <f t="shared" si="19"/>
        <v>#VALUE!</v>
      </c>
    </row>
    <row r="247" spans="1:16" hidden="1" x14ac:dyDescent="0.25">
      <c r="A247" s="8"/>
      <c r="B247" s="11"/>
      <c r="E247" s="11"/>
      <c r="F247" s="2"/>
      <c r="G247" s="2"/>
      <c r="H247" s="2"/>
      <c r="I247" s="11"/>
      <c r="J247" s="2"/>
      <c r="L247" s="14"/>
      <c r="M247" s="6"/>
      <c r="N247" s="5"/>
      <c r="O247" s="5" t="str">
        <f t="shared" si="18"/>
        <v/>
      </c>
      <c r="P247" s="21" t="e">
        <f t="shared" si="19"/>
        <v>#VALUE!</v>
      </c>
    </row>
    <row r="248" spans="1:16" hidden="1" x14ac:dyDescent="0.25">
      <c r="A248" s="8"/>
      <c r="B248" s="11"/>
      <c r="E248" s="11"/>
      <c r="F248" s="2"/>
      <c r="G248" s="2"/>
      <c r="H248" s="2"/>
      <c r="I248" s="11"/>
      <c r="J248" s="2"/>
      <c r="L248" s="14"/>
      <c r="M248" s="6"/>
      <c r="N248" s="5"/>
      <c r="O248" s="5" t="str">
        <f t="shared" si="18"/>
        <v/>
      </c>
      <c r="P248" s="21" t="e">
        <f t="shared" si="19"/>
        <v>#VALUE!</v>
      </c>
    </row>
    <row r="249" spans="1:16" hidden="1" x14ac:dyDescent="0.25">
      <c r="A249" s="8"/>
      <c r="B249" s="11"/>
      <c r="E249" s="11"/>
      <c r="F249" s="2"/>
      <c r="G249" s="2"/>
      <c r="H249" s="2"/>
      <c r="I249" s="11"/>
      <c r="J249" s="2"/>
      <c r="L249" s="14"/>
      <c r="M249" s="6"/>
      <c r="N249" s="5"/>
      <c r="O249" s="5" t="str">
        <f t="shared" si="18"/>
        <v/>
      </c>
      <c r="P249" s="21" t="e">
        <f t="shared" si="19"/>
        <v>#VALUE!</v>
      </c>
    </row>
    <row r="250" spans="1:16" hidden="1" x14ac:dyDescent="0.25">
      <c r="A250" s="8"/>
      <c r="B250" s="11"/>
      <c r="E250" s="11"/>
      <c r="F250" s="2"/>
      <c r="G250" s="2"/>
      <c r="H250" s="2"/>
      <c r="I250" s="11"/>
      <c r="J250" s="2"/>
      <c r="L250" s="14"/>
      <c r="M250" s="6"/>
      <c r="N250" s="5"/>
      <c r="O250" s="5" t="str">
        <f t="shared" si="18"/>
        <v/>
      </c>
      <c r="P250" s="21" t="e">
        <f t="shared" si="19"/>
        <v>#VALUE!</v>
      </c>
    </row>
    <row r="251" spans="1:16" hidden="1" x14ac:dyDescent="0.25">
      <c r="A251" s="8"/>
      <c r="F251" s="2"/>
      <c r="G251" s="2"/>
      <c r="H251" s="2"/>
      <c r="J251" s="2"/>
      <c r="L251" s="14"/>
      <c r="M251" s="6"/>
      <c r="N251" s="5"/>
      <c r="O251" s="5" t="str">
        <f t="shared" si="18"/>
        <v/>
      </c>
      <c r="P251" s="21" t="e">
        <f t="shared" si="19"/>
        <v>#VALUE!</v>
      </c>
    </row>
    <row r="252" spans="1:16" hidden="1" x14ac:dyDescent="0.25">
      <c r="A252" s="8"/>
      <c r="B252" s="11"/>
      <c r="E252" s="11"/>
      <c r="F252" s="2"/>
      <c r="G252" s="2"/>
      <c r="H252" s="2"/>
      <c r="I252" s="11"/>
      <c r="J252" s="2"/>
      <c r="L252" s="14"/>
      <c r="M252" s="6"/>
      <c r="N252" s="5"/>
      <c r="O252" s="5" t="str">
        <f t="shared" si="18"/>
        <v/>
      </c>
      <c r="P252" s="21" t="e">
        <f t="shared" si="19"/>
        <v>#VALUE!</v>
      </c>
    </row>
    <row r="253" spans="1:16" hidden="1" x14ac:dyDescent="0.25">
      <c r="A253" s="8"/>
      <c r="B253" s="11"/>
      <c r="E253" s="11"/>
      <c r="F253" s="2"/>
      <c r="G253" s="2"/>
      <c r="H253" s="2"/>
      <c r="I253" s="11"/>
      <c r="J253" s="2"/>
      <c r="L253" s="14"/>
      <c r="M253" s="6"/>
      <c r="N253" s="5"/>
      <c r="O253" s="5" t="str">
        <f t="shared" si="18"/>
        <v/>
      </c>
      <c r="P253" s="21" t="e">
        <f t="shared" si="19"/>
        <v>#VALUE!</v>
      </c>
    </row>
    <row r="254" spans="1:16" hidden="1" x14ac:dyDescent="0.25">
      <c r="A254" s="8"/>
      <c r="B254" s="11"/>
      <c r="E254" s="11"/>
      <c r="F254" s="2"/>
      <c r="G254" s="2"/>
      <c r="H254" s="2"/>
      <c r="I254" s="11"/>
      <c r="J254" s="2"/>
      <c r="L254" s="14"/>
      <c r="M254" s="6"/>
      <c r="N254" s="5"/>
      <c r="O254" s="5" t="str">
        <f t="shared" si="18"/>
        <v/>
      </c>
      <c r="P254" s="21" t="e">
        <f t="shared" si="19"/>
        <v>#VALUE!</v>
      </c>
    </row>
    <row r="255" spans="1:16" hidden="1" x14ac:dyDescent="0.25">
      <c r="A255" s="8"/>
      <c r="B255" s="11"/>
      <c r="E255" s="11"/>
      <c r="F255" s="2"/>
      <c r="G255" s="2"/>
      <c r="H255" s="2"/>
      <c r="I255" s="11"/>
      <c r="J255" s="2"/>
      <c r="L255" s="14"/>
      <c r="M255" s="6"/>
      <c r="N255" s="5"/>
      <c r="O255" s="5" t="str">
        <f t="shared" si="18"/>
        <v/>
      </c>
      <c r="P255" s="21" t="e">
        <f t="shared" si="19"/>
        <v>#VALUE!</v>
      </c>
    </row>
    <row r="256" spans="1:16" hidden="1" x14ac:dyDescent="0.25">
      <c r="A256" s="8"/>
      <c r="F256" s="2"/>
      <c r="G256" s="2"/>
      <c r="H256" s="2"/>
      <c r="J256" s="2"/>
      <c r="L256" s="14"/>
      <c r="M256" s="6"/>
      <c r="N256" s="5"/>
      <c r="O256" s="5" t="str">
        <f t="shared" si="18"/>
        <v/>
      </c>
      <c r="P256" s="21" t="e">
        <f t="shared" si="19"/>
        <v>#VALUE!</v>
      </c>
    </row>
    <row r="257" spans="1:16" hidden="1" x14ac:dyDescent="0.25">
      <c r="A257" s="8"/>
      <c r="F257" s="2"/>
      <c r="G257" s="2"/>
      <c r="H257" s="2"/>
      <c r="J257" s="2"/>
      <c r="L257" s="14"/>
      <c r="M257" s="6"/>
      <c r="N257" s="5"/>
      <c r="O257" s="5" t="str">
        <f t="shared" si="18"/>
        <v/>
      </c>
      <c r="P257" s="21" t="e">
        <f t="shared" si="19"/>
        <v>#VALUE!</v>
      </c>
    </row>
    <row r="258" spans="1:16" hidden="1" x14ac:dyDescent="0.25">
      <c r="A258" s="8"/>
      <c r="B258" s="11"/>
      <c r="E258" s="11"/>
      <c r="F258" s="2"/>
      <c r="G258" s="2"/>
      <c r="H258" s="2"/>
      <c r="I258" s="11"/>
      <c r="J258" s="2"/>
      <c r="L258" s="14"/>
      <c r="M258" s="6"/>
      <c r="N258" s="5"/>
      <c r="O258" s="5" t="str">
        <f t="shared" si="18"/>
        <v/>
      </c>
      <c r="P258" s="21" t="e">
        <f t="shared" si="19"/>
        <v>#VALUE!</v>
      </c>
    </row>
    <row r="259" spans="1:16" hidden="1" x14ac:dyDescent="0.25">
      <c r="A259" s="8"/>
      <c r="B259" s="11"/>
      <c r="E259" s="11"/>
      <c r="F259" s="2"/>
      <c r="G259" s="2"/>
      <c r="H259" s="2"/>
      <c r="I259" s="11"/>
      <c r="J259" s="2"/>
      <c r="L259" s="14"/>
      <c r="M259" s="6"/>
      <c r="N259" s="5"/>
      <c r="O259" s="5" t="str">
        <f t="shared" si="18"/>
        <v/>
      </c>
      <c r="P259" s="21" t="e">
        <f t="shared" si="19"/>
        <v>#VALUE!</v>
      </c>
    </row>
    <row r="260" spans="1:16" hidden="1" x14ac:dyDescent="0.25">
      <c r="A260" s="8"/>
      <c r="B260" s="11"/>
      <c r="E260" s="11"/>
      <c r="F260" s="2"/>
      <c r="G260" s="2"/>
      <c r="H260" s="2"/>
      <c r="I260" s="11"/>
      <c r="J260" s="2"/>
      <c r="L260" s="14"/>
      <c r="M260" s="6"/>
      <c r="N260" s="5"/>
      <c r="O260" s="5" t="str">
        <f t="shared" si="18"/>
        <v/>
      </c>
      <c r="P260" s="21" t="e">
        <f t="shared" si="19"/>
        <v>#VALUE!</v>
      </c>
    </row>
    <row r="261" spans="1:16" hidden="1" x14ac:dyDescent="0.25">
      <c r="A261" s="8"/>
      <c r="B261" s="11"/>
      <c r="E261" s="11"/>
      <c r="F261" s="2"/>
      <c r="G261" s="2"/>
      <c r="H261" s="2"/>
      <c r="I261" s="11"/>
      <c r="J261" s="2"/>
      <c r="L261" s="14"/>
      <c r="M261" s="6"/>
      <c r="N261" s="5"/>
      <c r="O261" s="5" t="str">
        <f t="shared" si="18"/>
        <v/>
      </c>
      <c r="P261" s="21" t="e">
        <f t="shared" si="19"/>
        <v>#VALUE!</v>
      </c>
    </row>
    <row r="262" spans="1:16" hidden="1" x14ac:dyDescent="0.25">
      <c r="A262" s="8"/>
      <c r="B262" s="11"/>
      <c r="E262" s="11"/>
      <c r="F262" s="2"/>
      <c r="G262" s="2"/>
      <c r="H262" s="2"/>
      <c r="I262" s="11"/>
      <c r="J262" s="2"/>
      <c r="L262" s="14"/>
      <c r="M262" s="6"/>
      <c r="N262" s="5"/>
      <c r="O262" s="5" t="str">
        <f t="shared" si="18"/>
        <v/>
      </c>
      <c r="P262" s="21" t="e">
        <f t="shared" si="19"/>
        <v>#VALUE!</v>
      </c>
    </row>
    <row r="263" spans="1:16" hidden="1" x14ac:dyDescent="0.25">
      <c r="A263" s="8"/>
      <c r="B263" s="11"/>
      <c r="E263" s="11"/>
      <c r="F263" s="2"/>
      <c r="G263" s="2"/>
      <c r="H263" s="2"/>
      <c r="I263" s="11"/>
      <c r="J263" s="2"/>
      <c r="L263" s="14"/>
      <c r="M263" s="6"/>
      <c r="N263" s="5"/>
      <c r="O263" s="5" t="str">
        <f t="shared" si="18"/>
        <v/>
      </c>
      <c r="P263" s="21" t="e">
        <f t="shared" si="19"/>
        <v>#VALUE!</v>
      </c>
    </row>
    <row r="264" spans="1:16" hidden="1" x14ac:dyDescent="0.25">
      <c r="A264" s="8"/>
      <c r="B264" s="11"/>
      <c r="E264" s="11"/>
      <c r="F264" s="2"/>
      <c r="G264" s="2"/>
      <c r="H264" s="2"/>
      <c r="I264" s="11"/>
      <c r="J264" s="2"/>
      <c r="L264" s="14"/>
      <c r="M264" s="6"/>
      <c r="N264" s="5"/>
      <c r="O264" s="5" t="str">
        <f t="shared" si="18"/>
        <v/>
      </c>
      <c r="P264" s="21" t="e">
        <f t="shared" si="19"/>
        <v>#VALUE!</v>
      </c>
    </row>
    <row r="265" spans="1:16" hidden="1" x14ac:dyDescent="0.25">
      <c r="A265" s="8"/>
      <c r="B265" s="11"/>
      <c r="E265" s="11"/>
      <c r="F265" s="2"/>
      <c r="G265" s="2"/>
      <c r="H265" s="2"/>
      <c r="I265" s="11"/>
      <c r="J265" s="2"/>
      <c r="L265" s="14"/>
      <c r="M265" s="6"/>
      <c r="N265" s="5"/>
      <c r="O265" s="5" t="str">
        <f t="shared" si="18"/>
        <v/>
      </c>
      <c r="P265" s="21" t="e">
        <f t="shared" si="19"/>
        <v>#VALUE!</v>
      </c>
    </row>
    <row r="266" spans="1:16" hidden="1" x14ac:dyDescent="0.25">
      <c r="A266" s="8"/>
      <c r="B266" s="11"/>
      <c r="E266" s="11"/>
      <c r="F266" s="2"/>
      <c r="G266" s="2"/>
      <c r="H266" s="2"/>
      <c r="I266" s="11"/>
      <c r="J266" s="2"/>
      <c r="L266" s="14"/>
      <c r="M266" s="6"/>
      <c r="N266" s="5"/>
      <c r="O266" s="5" t="str">
        <f t="shared" si="18"/>
        <v/>
      </c>
      <c r="P266" s="21" t="e">
        <f t="shared" si="19"/>
        <v>#VALUE!</v>
      </c>
    </row>
    <row r="267" spans="1:16" hidden="1" x14ac:dyDescent="0.25">
      <c r="A267" s="8"/>
      <c r="B267" s="11"/>
      <c r="E267" s="11"/>
      <c r="F267" s="2"/>
      <c r="G267" s="2"/>
      <c r="H267" s="2"/>
      <c r="I267" s="11"/>
      <c r="J267" s="2"/>
      <c r="L267" s="14"/>
      <c r="M267" s="6"/>
      <c r="N267" s="5"/>
      <c r="O267" s="5" t="str">
        <f t="shared" si="18"/>
        <v/>
      </c>
      <c r="P267" s="21" t="e">
        <f t="shared" si="19"/>
        <v>#VALUE!</v>
      </c>
    </row>
    <row r="268" spans="1:16" hidden="1" x14ac:dyDescent="0.25">
      <c r="A268" s="8"/>
      <c r="B268" s="11"/>
      <c r="E268" s="11"/>
      <c r="F268" s="2"/>
      <c r="G268" s="2"/>
      <c r="H268" s="2"/>
      <c r="I268" s="11"/>
      <c r="J268" s="2"/>
      <c r="L268" s="14"/>
      <c r="M268" s="6"/>
      <c r="N268" s="5"/>
      <c r="O268" s="5" t="str">
        <f t="shared" si="18"/>
        <v/>
      </c>
      <c r="P268" s="21" t="e">
        <f t="shared" si="19"/>
        <v>#VALUE!</v>
      </c>
    </row>
    <row r="269" spans="1:16" hidden="1" x14ac:dyDescent="0.25">
      <c r="A269" s="8"/>
      <c r="F269" s="2"/>
      <c r="G269" s="2"/>
      <c r="H269" s="2"/>
      <c r="J269" s="2"/>
      <c r="L269" s="14"/>
      <c r="M269" s="6"/>
      <c r="N269" s="5"/>
      <c r="O269" s="5" t="str">
        <f t="shared" si="18"/>
        <v/>
      </c>
      <c r="P269" s="21" t="e">
        <f t="shared" si="19"/>
        <v>#VALUE!</v>
      </c>
    </row>
    <row r="270" spans="1:16" hidden="1" x14ac:dyDescent="0.25">
      <c r="A270" s="8"/>
      <c r="B270" s="11"/>
      <c r="E270" s="11"/>
      <c r="F270" s="2"/>
      <c r="G270" s="2"/>
      <c r="H270" s="2"/>
      <c r="I270" s="11"/>
      <c r="J270" s="2"/>
      <c r="L270" s="14"/>
      <c r="M270" s="6"/>
      <c r="N270" s="5"/>
      <c r="O270" s="5" t="str">
        <f t="shared" si="18"/>
        <v/>
      </c>
      <c r="P270" s="21" t="e">
        <f t="shared" si="19"/>
        <v>#VALUE!</v>
      </c>
    </row>
    <row r="271" spans="1:16" hidden="1" x14ac:dyDescent="0.25">
      <c r="A271" s="8"/>
      <c r="B271" s="11"/>
      <c r="E271" s="11"/>
      <c r="F271" s="2"/>
      <c r="G271" s="2"/>
      <c r="H271" s="2"/>
      <c r="I271" s="11"/>
      <c r="J271" s="2"/>
      <c r="L271" s="14"/>
      <c r="M271" s="6"/>
      <c r="N271" s="5"/>
      <c r="O271" s="5" t="str">
        <f t="shared" si="18"/>
        <v/>
      </c>
      <c r="P271" s="21" t="e">
        <f t="shared" si="19"/>
        <v>#VALUE!</v>
      </c>
    </row>
    <row r="272" spans="1:16" hidden="1" x14ac:dyDescent="0.25">
      <c r="A272" s="8"/>
      <c r="B272" s="11"/>
      <c r="E272" s="11"/>
      <c r="F272" s="2"/>
      <c r="G272" s="2"/>
      <c r="H272" s="2"/>
      <c r="I272" s="11"/>
      <c r="J272" s="2"/>
      <c r="L272" s="14"/>
      <c r="M272" s="6"/>
      <c r="N272" s="5"/>
      <c r="O272" s="5" t="str">
        <f t="shared" si="18"/>
        <v/>
      </c>
      <c r="P272" s="21" t="e">
        <f t="shared" si="19"/>
        <v>#VALUE!</v>
      </c>
    </row>
    <row r="273" spans="1:16" hidden="1" x14ac:dyDescent="0.25">
      <c r="A273" s="8"/>
      <c r="B273" s="11"/>
      <c r="E273" s="11"/>
      <c r="F273" s="2"/>
      <c r="G273" s="2"/>
      <c r="H273" s="2"/>
      <c r="I273" s="11"/>
      <c r="J273" s="2"/>
      <c r="L273" s="14"/>
      <c r="M273" s="6"/>
      <c r="N273" s="5"/>
      <c r="O273" s="5" t="str">
        <f t="shared" si="18"/>
        <v/>
      </c>
      <c r="P273" s="21" t="e">
        <f t="shared" si="19"/>
        <v>#VALUE!</v>
      </c>
    </row>
    <row r="274" spans="1:16" hidden="1" x14ac:dyDescent="0.25">
      <c r="A274" s="8"/>
      <c r="B274" s="11"/>
      <c r="E274" s="11"/>
      <c r="F274" s="2"/>
      <c r="G274" s="2"/>
      <c r="H274" s="2"/>
      <c r="I274" s="11"/>
      <c r="J274" s="2"/>
      <c r="L274" s="14"/>
      <c r="M274" s="6"/>
      <c r="N274" s="5"/>
      <c r="O274" s="5" t="str">
        <f t="shared" si="18"/>
        <v/>
      </c>
      <c r="P274" s="21" t="e">
        <f t="shared" si="19"/>
        <v>#VALUE!</v>
      </c>
    </row>
    <row r="275" spans="1:16" hidden="1" x14ac:dyDescent="0.25">
      <c r="A275" s="8"/>
      <c r="B275" s="11"/>
      <c r="E275" s="11"/>
      <c r="F275" s="2"/>
      <c r="G275" s="2"/>
      <c r="H275" s="2"/>
      <c r="I275" s="11"/>
      <c r="J275" s="2"/>
      <c r="L275" s="14"/>
      <c r="M275" s="6"/>
      <c r="N275" s="5"/>
      <c r="O275" s="5" t="str">
        <f t="shared" si="18"/>
        <v/>
      </c>
      <c r="P275" s="21" t="e">
        <f t="shared" si="19"/>
        <v>#VALUE!</v>
      </c>
    </row>
    <row r="276" spans="1:16" hidden="1" x14ac:dyDescent="0.25">
      <c r="A276" s="8"/>
      <c r="B276" s="11"/>
      <c r="E276" s="11"/>
      <c r="F276" s="2"/>
      <c r="G276" s="2"/>
      <c r="H276" s="2"/>
      <c r="I276" s="11"/>
      <c r="J276" s="2"/>
      <c r="L276" s="14"/>
      <c r="M276" s="6"/>
      <c r="N276" s="5"/>
      <c r="O276" s="5" t="str">
        <f t="shared" si="18"/>
        <v/>
      </c>
      <c r="P276" s="21" t="e">
        <f t="shared" si="19"/>
        <v>#VALUE!</v>
      </c>
    </row>
    <row r="277" spans="1:16" hidden="1" x14ac:dyDescent="0.25">
      <c r="A277" s="8"/>
      <c r="B277" s="11"/>
      <c r="E277" s="11"/>
      <c r="F277" s="2"/>
      <c r="G277" s="2"/>
      <c r="H277" s="2"/>
      <c r="I277" s="11"/>
      <c r="J277" s="2"/>
      <c r="L277" s="14"/>
      <c r="M277" s="6"/>
      <c r="N277" s="5"/>
      <c r="O277" s="5" t="str">
        <f t="shared" si="18"/>
        <v/>
      </c>
      <c r="P277" s="21" t="e">
        <f t="shared" si="19"/>
        <v>#VALUE!</v>
      </c>
    </row>
    <row r="278" spans="1:16" hidden="1" x14ac:dyDescent="0.25">
      <c r="A278" s="8"/>
      <c r="F278" s="2"/>
      <c r="G278" s="2"/>
      <c r="H278" s="2"/>
      <c r="J278" s="2"/>
      <c r="L278" s="14"/>
      <c r="M278" s="6"/>
      <c r="N278" s="5"/>
      <c r="O278" s="5" t="str">
        <f t="shared" si="18"/>
        <v/>
      </c>
      <c r="P278" s="21" t="e">
        <f t="shared" si="19"/>
        <v>#VALUE!</v>
      </c>
    </row>
    <row r="279" spans="1:16" hidden="1" x14ac:dyDescent="0.25">
      <c r="A279" s="8"/>
      <c r="B279" s="11"/>
      <c r="E279" s="11"/>
      <c r="F279" s="2"/>
      <c r="G279" s="2"/>
      <c r="H279" s="2"/>
      <c r="I279" s="11"/>
      <c r="J279" s="2"/>
      <c r="L279" s="14"/>
      <c r="M279" s="6"/>
      <c r="N279" s="5"/>
      <c r="O279" s="5" t="str">
        <f t="shared" ref="O279:O342" si="20">RIGHT(C279,2)</f>
        <v/>
      </c>
      <c r="P279" s="21" t="e">
        <f t="shared" ref="P279:P342" si="21">42522+O279+29</f>
        <v>#VALUE!</v>
      </c>
    </row>
    <row r="280" spans="1:16" hidden="1" x14ac:dyDescent="0.25">
      <c r="A280" s="8"/>
      <c r="B280" s="11"/>
      <c r="E280" s="11"/>
      <c r="F280" s="2"/>
      <c r="G280" s="2"/>
      <c r="H280" s="2"/>
      <c r="I280" s="11"/>
      <c r="J280" s="2"/>
      <c r="L280" s="14"/>
      <c r="M280" s="6"/>
      <c r="N280" s="5"/>
      <c r="O280" s="5" t="str">
        <f t="shared" si="20"/>
        <v/>
      </c>
      <c r="P280" s="21" t="e">
        <f t="shared" si="21"/>
        <v>#VALUE!</v>
      </c>
    </row>
    <row r="281" spans="1:16" hidden="1" x14ac:dyDescent="0.25">
      <c r="A281" s="8"/>
      <c r="B281" s="11"/>
      <c r="E281" s="11"/>
      <c r="F281" s="2"/>
      <c r="G281" s="2"/>
      <c r="H281" s="2"/>
      <c r="I281" s="11"/>
      <c r="J281" s="2"/>
      <c r="L281" s="14"/>
      <c r="M281" s="6"/>
      <c r="N281" s="5"/>
      <c r="O281" s="5" t="str">
        <f t="shared" si="20"/>
        <v/>
      </c>
      <c r="P281" s="21" t="e">
        <f t="shared" si="21"/>
        <v>#VALUE!</v>
      </c>
    </row>
    <row r="282" spans="1:16" hidden="1" x14ac:dyDescent="0.25">
      <c r="A282" s="8"/>
      <c r="B282" s="11"/>
      <c r="E282" s="11"/>
      <c r="F282" s="2"/>
      <c r="G282" s="2"/>
      <c r="H282" s="2"/>
      <c r="I282" s="11"/>
      <c r="J282" s="2"/>
      <c r="L282" s="14"/>
      <c r="M282" s="6"/>
      <c r="N282" s="5"/>
      <c r="O282" s="5" t="str">
        <f t="shared" si="20"/>
        <v/>
      </c>
      <c r="P282" s="21" t="e">
        <f t="shared" si="21"/>
        <v>#VALUE!</v>
      </c>
    </row>
    <row r="283" spans="1:16" hidden="1" x14ac:dyDescent="0.25">
      <c r="A283" s="8"/>
      <c r="B283" s="11"/>
      <c r="E283" s="11"/>
      <c r="F283" s="2"/>
      <c r="G283" s="2"/>
      <c r="H283" s="2"/>
      <c r="I283" s="11"/>
      <c r="J283" s="2"/>
      <c r="L283" s="14"/>
      <c r="M283" s="6"/>
      <c r="N283" s="5"/>
      <c r="O283" s="5" t="str">
        <f t="shared" si="20"/>
        <v/>
      </c>
      <c r="P283" s="21" t="e">
        <f t="shared" si="21"/>
        <v>#VALUE!</v>
      </c>
    </row>
    <row r="284" spans="1:16" hidden="1" x14ac:dyDescent="0.25">
      <c r="A284" s="8"/>
      <c r="B284" s="11"/>
      <c r="E284" s="11"/>
      <c r="F284" s="2"/>
      <c r="G284" s="2"/>
      <c r="H284" s="2"/>
      <c r="I284" s="11"/>
      <c r="J284" s="2"/>
      <c r="L284" s="14"/>
      <c r="M284" s="6"/>
      <c r="N284" s="5"/>
      <c r="O284" s="5" t="str">
        <f t="shared" si="20"/>
        <v/>
      </c>
      <c r="P284" s="21" t="e">
        <f t="shared" si="21"/>
        <v>#VALUE!</v>
      </c>
    </row>
    <row r="285" spans="1:16" hidden="1" x14ac:dyDescent="0.25">
      <c r="A285" s="8"/>
      <c r="B285" s="11"/>
      <c r="E285" s="11"/>
      <c r="F285" s="2"/>
      <c r="G285" s="2"/>
      <c r="H285" s="2"/>
      <c r="I285" s="11"/>
      <c r="J285" s="2"/>
      <c r="L285" s="14"/>
      <c r="M285" s="6"/>
      <c r="N285" s="5"/>
      <c r="O285" s="5" t="str">
        <f t="shared" si="20"/>
        <v/>
      </c>
      <c r="P285" s="21" t="e">
        <f t="shared" si="21"/>
        <v>#VALUE!</v>
      </c>
    </row>
    <row r="286" spans="1:16" hidden="1" x14ac:dyDescent="0.25">
      <c r="A286" s="8"/>
      <c r="B286" s="11"/>
      <c r="E286" s="11"/>
      <c r="F286" s="2"/>
      <c r="G286" s="2"/>
      <c r="H286" s="2"/>
      <c r="I286" s="11"/>
      <c r="J286" s="2"/>
      <c r="L286" s="14"/>
      <c r="M286" s="6"/>
      <c r="N286" s="5"/>
      <c r="O286" s="5" t="str">
        <f t="shared" si="20"/>
        <v/>
      </c>
      <c r="P286" s="21" t="e">
        <f t="shared" si="21"/>
        <v>#VALUE!</v>
      </c>
    </row>
    <row r="287" spans="1:16" hidden="1" x14ac:dyDescent="0.25">
      <c r="A287" s="8"/>
      <c r="B287" s="11"/>
      <c r="E287" s="11"/>
      <c r="F287" s="2"/>
      <c r="G287" s="2"/>
      <c r="H287" s="2"/>
      <c r="I287" s="11"/>
      <c r="J287" s="2"/>
      <c r="L287" s="14"/>
      <c r="M287" s="6"/>
      <c r="N287" s="5"/>
      <c r="O287" s="5" t="str">
        <f t="shared" si="20"/>
        <v/>
      </c>
      <c r="P287" s="21" t="e">
        <f t="shared" si="21"/>
        <v>#VALUE!</v>
      </c>
    </row>
    <row r="288" spans="1:16" hidden="1" x14ac:dyDescent="0.25">
      <c r="A288" s="8"/>
      <c r="B288" s="11"/>
      <c r="E288" s="11"/>
      <c r="F288" s="2"/>
      <c r="G288" s="2"/>
      <c r="H288" s="2"/>
      <c r="I288" s="11"/>
      <c r="J288" s="2"/>
      <c r="L288" s="14"/>
      <c r="M288" s="6"/>
      <c r="N288" s="5"/>
      <c r="O288" s="5" t="str">
        <f t="shared" si="20"/>
        <v/>
      </c>
      <c r="P288" s="21" t="e">
        <f t="shared" si="21"/>
        <v>#VALUE!</v>
      </c>
    </row>
    <row r="289" spans="1:16" hidden="1" x14ac:dyDescent="0.25">
      <c r="A289" s="8"/>
      <c r="B289" s="11"/>
      <c r="E289" s="11"/>
      <c r="F289" s="2"/>
      <c r="G289" s="2"/>
      <c r="H289" s="2"/>
      <c r="I289" s="11"/>
      <c r="J289" s="2"/>
      <c r="L289" s="14"/>
      <c r="M289" s="6"/>
      <c r="N289" s="5"/>
      <c r="O289" s="5" t="str">
        <f t="shared" si="20"/>
        <v/>
      </c>
      <c r="P289" s="21" t="e">
        <f t="shared" si="21"/>
        <v>#VALUE!</v>
      </c>
    </row>
    <row r="290" spans="1:16" hidden="1" x14ac:dyDescent="0.25">
      <c r="A290" s="8"/>
      <c r="B290" s="11"/>
      <c r="E290" s="11"/>
      <c r="F290" s="2"/>
      <c r="G290" s="2"/>
      <c r="H290" s="2"/>
      <c r="I290" s="11"/>
      <c r="J290" s="2"/>
      <c r="L290" s="14"/>
      <c r="M290" s="6"/>
      <c r="N290" s="5"/>
      <c r="O290" s="5" t="str">
        <f t="shared" si="20"/>
        <v/>
      </c>
      <c r="P290" s="21" t="e">
        <f t="shared" si="21"/>
        <v>#VALUE!</v>
      </c>
    </row>
    <row r="291" spans="1:16" hidden="1" x14ac:dyDescent="0.25">
      <c r="A291" s="8"/>
      <c r="B291" s="11"/>
      <c r="E291" s="11"/>
      <c r="F291" s="2"/>
      <c r="G291" s="2"/>
      <c r="H291" s="2"/>
      <c r="I291" s="11"/>
      <c r="J291" s="2"/>
      <c r="L291" s="14"/>
      <c r="M291" s="6"/>
      <c r="N291" s="5"/>
      <c r="O291" s="5" t="str">
        <f t="shared" si="20"/>
        <v/>
      </c>
      <c r="P291" s="21" t="e">
        <f t="shared" si="21"/>
        <v>#VALUE!</v>
      </c>
    </row>
    <row r="292" spans="1:16" hidden="1" x14ac:dyDescent="0.25">
      <c r="A292" s="8"/>
      <c r="B292" s="11"/>
      <c r="E292" s="11"/>
      <c r="F292" s="2"/>
      <c r="G292" s="2"/>
      <c r="H292" s="2"/>
      <c r="I292" s="11"/>
      <c r="J292" s="2"/>
      <c r="L292" s="14"/>
      <c r="M292" s="6"/>
      <c r="N292" s="5"/>
      <c r="O292" s="5" t="str">
        <f t="shared" si="20"/>
        <v/>
      </c>
      <c r="P292" s="21" t="e">
        <f t="shared" si="21"/>
        <v>#VALUE!</v>
      </c>
    </row>
    <row r="293" spans="1:16" hidden="1" x14ac:dyDescent="0.25">
      <c r="A293" s="8"/>
      <c r="B293" s="11"/>
      <c r="E293" s="11"/>
      <c r="F293" s="2"/>
      <c r="G293" s="2"/>
      <c r="H293" s="2"/>
      <c r="I293" s="11"/>
      <c r="J293" s="2"/>
      <c r="L293" s="14"/>
      <c r="M293" s="6"/>
      <c r="N293" s="5"/>
      <c r="O293" s="5" t="str">
        <f t="shared" si="20"/>
        <v/>
      </c>
      <c r="P293" s="21" t="e">
        <f t="shared" si="21"/>
        <v>#VALUE!</v>
      </c>
    </row>
    <row r="294" spans="1:16" hidden="1" x14ac:dyDescent="0.25">
      <c r="A294" s="8"/>
      <c r="B294" s="11"/>
      <c r="E294" s="11"/>
      <c r="F294" s="2"/>
      <c r="G294" s="2"/>
      <c r="H294" s="2"/>
      <c r="I294" s="11"/>
      <c r="J294" s="2"/>
      <c r="L294" s="14"/>
      <c r="M294" s="6"/>
      <c r="N294" s="5"/>
      <c r="O294" s="5" t="str">
        <f t="shared" si="20"/>
        <v/>
      </c>
      <c r="P294" s="21" t="e">
        <f t="shared" si="21"/>
        <v>#VALUE!</v>
      </c>
    </row>
    <row r="295" spans="1:16" hidden="1" x14ac:dyDescent="0.25">
      <c r="A295" s="8"/>
      <c r="B295" s="11"/>
      <c r="E295" s="11"/>
      <c r="F295" s="2"/>
      <c r="G295" s="2"/>
      <c r="H295" s="2"/>
      <c r="I295" s="11"/>
      <c r="J295" s="2"/>
      <c r="L295" s="14"/>
      <c r="M295" s="6"/>
      <c r="N295" s="5"/>
      <c r="O295" s="5" t="str">
        <f t="shared" si="20"/>
        <v/>
      </c>
      <c r="P295" s="21" t="e">
        <f t="shared" si="21"/>
        <v>#VALUE!</v>
      </c>
    </row>
    <row r="296" spans="1:16" hidden="1" x14ac:dyDescent="0.25">
      <c r="A296" s="8"/>
      <c r="B296" s="11"/>
      <c r="E296" s="11"/>
      <c r="F296" s="2"/>
      <c r="G296" s="2"/>
      <c r="H296" s="2"/>
      <c r="I296" s="11"/>
      <c r="J296" s="2"/>
      <c r="L296" s="14"/>
      <c r="M296" s="6"/>
      <c r="N296" s="5"/>
      <c r="O296" s="5" t="str">
        <f t="shared" si="20"/>
        <v/>
      </c>
      <c r="P296" s="21" t="e">
        <f t="shared" si="21"/>
        <v>#VALUE!</v>
      </c>
    </row>
    <row r="297" spans="1:16" hidden="1" x14ac:dyDescent="0.25">
      <c r="A297" s="8"/>
      <c r="B297" s="11"/>
      <c r="E297" s="11"/>
      <c r="F297" s="2"/>
      <c r="G297" s="2"/>
      <c r="H297" s="2"/>
      <c r="I297" s="11"/>
      <c r="J297" s="2"/>
      <c r="L297" s="14"/>
      <c r="M297" s="6"/>
      <c r="N297" s="5"/>
      <c r="O297" s="5" t="str">
        <f t="shared" si="20"/>
        <v/>
      </c>
      <c r="P297" s="21" t="e">
        <f t="shared" si="21"/>
        <v>#VALUE!</v>
      </c>
    </row>
    <row r="298" spans="1:16" hidden="1" x14ac:dyDescent="0.25">
      <c r="A298" s="8"/>
      <c r="B298" s="11"/>
      <c r="E298" s="11"/>
      <c r="F298" s="2"/>
      <c r="G298" s="2"/>
      <c r="H298" s="2"/>
      <c r="I298" s="11"/>
      <c r="J298" s="2"/>
      <c r="L298" s="14"/>
      <c r="M298" s="6"/>
      <c r="N298" s="5"/>
      <c r="O298" s="5" t="str">
        <f t="shared" si="20"/>
        <v/>
      </c>
      <c r="P298" s="21" t="e">
        <f t="shared" si="21"/>
        <v>#VALUE!</v>
      </c>
    </row>
    <row r="299" spans="1:16" hidden="1" x14ac:dyDescent="0.25">
      <c r="A299" s="8"/>
      <c r="B299" s="11"/>
      <c r="E299" s="11"/>
      <c r="F299" s="2"/>
      <c r="G299" s="2"/>
      <c r="H299" s="2"/>
      <c r="I299" s="11"/>
      <c r="J299" s="2"/>
      <c r="L299" s="14"/>
      <c r="M299" s="6"/>
      <c r="N299" s="5"/>
      <c r="O299" s="5" t="str">
        <f t="shared" si="20"/>
        <v/>
      </c>
      <c r="P299" s="21" t="e">
        <f t="shared" si="21"/>
        <v>#VALUE!</v>
      </c>
    </row>
    <row r="300" spans="1:16" hidden="1" x14ac:dyDescent="0.25">
      <c r="A300" s="8"/>
      <c r="B300" s="11"/>
      <c r="E300" s="11"/>
      <c r="F300" s="2"/>
      <c r="G300" s="2"/>
      <c r="H300" s="2"/>
      <c r="I300" s="11"/>
      <c r="J300" s="2"/>
      <c r="L300" s="14"/>
      <c r="M300" s="6"/>
      <c r="N300" s="5"/>
      <c r="O300" s="5" t="str">
        <f t="shared" si="20"/>
        <v/>
      </c>
      <c r="P300" s="21" t="e">
        <f t="shared" si="21"/>
        <v>#VALUE!</v>
      </c>
    </row>
    <row r="301" spans="1:16" hidden="1" x14ac:dyDescent="0.25">
      <c r="A301" s="8"/>
      <c r="B301" s="11"/>
      <c r="E301" s="11"/>
      <c r="F301" s="2"/>
      <c r="G301" s="2"/>
      <c r="H301" s="2"/>
      <c r="I301" s="11"/>
      <c r="J301" s="2"/>
      <c r="L301" s="14"/>
      <c r="M301" s="6"/>
      <c r="N301" s="5"/>
      <c r="O301" s="5" t="str">
        <f t="shared" si="20"/>
        <v/>
      </c>
      <c r="P301" s="21" t="e">
        <f t="shared" si="21"/>
        <v>#VALUE!</v>
      </c>
    </row>
    <row r="302" spans="1:16" hidden="1" x14ac:dyDescent="0.25">
      <c r="A302" s="8"/>
      <c r="B302" s="11"/>
      <c r="E302" s="11"/>
      <c r="F302" s="2"/>
      <c r="G302" s="2"/>
      <c r="H302" s="2"/>
      <c r="I302" s="11"/>
      <c r="J302" s="2"/>
      <c r="L302" s="14"/>
      <c r="M302" s="6"/>
      <c r="N302" s="5"/>
      <c r="O302" s="5" t="str">
        <f t="shared" si="20"/>
        <v/>
      </c>
      <c r="P302" s="21" t="e">
        <f t="shared" si="21"/>
        <v>#VALUE!</v>
      </c>
    </row>
    <row r="303" spans="1:16" hidden="1" x14ac:dyDescent="0.25">
      <c r="A303" s="8"/>
      <c r="B303" s="11"/>
      <c r="E303" s="11"/>
      <c r="F303" s="2"/>
      <c r="G303" s="2"/>
      <c r="H303" s="2"/>
      <c r="I303" s="11"/>
      <c r="J303" s="2"/>
      <c r="L303" s="14"/>
      <c r="M303" s="6"/>
      <c r="N303" s="5"/>
      <c r="O303" s="5" t="str">
        <f t="shared" si="20"/>
        <v/>
      </c>
      <c r="P303" s="21" t="e">
        <f t="shared" si="21"/>
        <v>#VALUE!</v>
      </c>
    </row>
    <row r="304" spans="1:16" hidden="1" x14ac:dyDescent="0.25">
      <c r="A304" s="8"/>
      <c r="B304" s="11"/>
      <c r="E304" s="11"/>
      <c r="F304" s="2"/>
      <c r="G304" s="2"/>
      <c r="H304" s="2"/>
      <c r="I304" s="11"/>
      <c r="J304" s="2"/>
      <c r="L304" s="14"/>
      <c r="M304" s="6"/>
      <c r="N304" s="5"/>
      <c r="O304" s="5" t="str">
        <f t="shared" si="20"/>
        <v/>
      </c>
      <c r="P304" s="21" t="e">
        <f t="shared" si="21"/>
        <v>#VALUE!</v>
      </c>
    </row>
    <row r="305" spans="1:16" hidden="1" x14ac:dyDescent="0.25">
      <c r="A305" s="8"/>
      <c r="B305" s="11"/>
      <c r="E305" s="11"/>
      <c r="F305" s="2"/>
      <c r="G305" s="2"/>
      <c r="H305" s="2"/>
      <c r="I305" s="11"/>
      <c r="J305" s="2"/>
      <c r="L305" s="14"/>
      <c r="M305" s="6"/>
      <c r="N305" s="5"/>
      <c r="O305" s="5" t="str">
        <f t="shared" si="20"/>
        <v/>
      </c>
      <c r="P305" s="21" t="e">
        <f t="shared" si="21"/>
        <v>#VALUE!</v>
      </c>
    </row>
    <row r="306" spans="1:16" hidden="1" x14ac:dyDescent="0.25">
      <c r="A306" s="8"/>
      <c r="B306" s="11"/>
      <c r="E306" s="11"/>
      <c r="F306" s="2"/>
      <c r="G306" s="2"/>
      <c r="H306" s="2"/>
      <c r="I306" s="11"/>
      <c r="J306" s="2"/>
      <c r="L306" s="14"/>
      <c r="M306" s="6"/>
      <c r="N306" s="5"/>
      <c r="O306" s="5" t="str">
        <f t="shared" si="20"/>
        <v/>
      </c>
      <c r="P306" s="21" t="e">
        <f t="shared" si="21"/>
        <v>#VALUE!</v>
      </c>
    </row>
    <row r="307" spans="1:16" hidden="1" x14ac:dyDescent="0.25">
      <c r="A307" s="8"/>
      <c r="B307" s="11"/>
      <c r="E307" s="11"/>
      <c r="F307" s="2"/>
      <c r="G307" s="2"/>
      <c r="H307" s="2"/>
      <c r="I307" s="11"/>
      <c r="J307" s="2"/>
      <c r="L307" s="14"/>
      <c r="M307" s="6"/>
      <c r="N307" s="5"/>
      <c r="O307" s="5" t="str">
        <f t="shared" si="20"/>
        <v/>
      </c>
      <c r="P307" s="21" t="e">
        <f t="shared" si="21"/>
        <v>#VALUE!</v>
      </c>
    </row>
    <row r="308" spans="1:16" hidden="1" x14ac:dyDescent="0.25">
      <c r="A308" s="8"/>
      <c r="B308" s="11"/>
      <c r="E308" s="11"/>
      <c r="F308" s="2"/>
      <c r="G308" s="2"/>
      <c r="H308" s="2"/>
      <c r="I308" s="11"/>
      <c r="J308" s="2"/>
      <c r="L308" s="14"/>
      <c r="M308" s="6"/>
      <c r="N308" s="5"/>
      <c r="O308" s="5" t="str">
        <f t="shared" si="20"/>
        <v/>
      </c>
      <c r="P308" s="21" t="e">
        <f t="shared" si="21"/>
        <v>#VALUE!</v>
      </c>
    </row>
    <row r="309" spans="1:16" hidden="1" x14ac:dyDescent="0.25">
      <c r="A309" s="8"/>
      <c r="B309" s="11"/>
      <c r="E309" s="11"/>
      <c r="F309" s="2"/>
      <c r="G309" s="2"/>
      <c r="H309" s="2"/>
      <c r="I309" s="11"/>
      <c r="J309" s="2"/>
      <c r="L309" s="14"/>
      <c r="M309" s="6"/>
      <c r="N309" s="5"/>
      <c r="O309" s="5" t="str">
        <f t="shared" si="20"/>
        <v/>
      </c>
      <c r="P309" s="21" t="e">
        <f t="shared" si="21"/>
        <v>#VALUE!</v>
      </c>
    </row>
    <row r="310" spans="1:16" hidden="1" x14ac:dyDescent="0.25">
      <c r="A310" s="8"/>
      <c r="B310" s="11"/>
      <c r="E310" s="11"/>
      <c r="F310" s="2"/>
      <c r="G310" s="2"/>
      <c r="H310" s="2"/>
      <c r="I310" s="11"/>
      <c r="J310" s="2"/>
      <c r="L310" s="14"/>
      <c r="M310" s="6"/>
      <c r="N310" s="5"/>
      <c r="O310" s="5" t="str">
        <f t="shared" si="20"/>
        <v/>
      </c>
      <c r="P310" s="21" t="e">
        <f t="shared" si="21"/>
        <v>#VALUE!</v>
      </c>
    </row>
    <row r="311" spans="1:16" hidden="1" x14ac:dyDescent="0.25">
      <c r="A311" s="8"/>
      <c r="B311" s="11"/>
      <c r="E311" s="11"/>
      <c r="F311" s="2"/>
      <c r="G311" s="2"/>
      <c r="H311" s="2"/>
      <c r="I311" s="11"/>
      <c r="J311" s="2"/>
      <c r="L311" s="14"/>
      <c r="M311" s="6"/>
      <c r="N311" s="5"/>
      <c r="O311" s="5" t="str">
        <f t="shared" si="20"/>
        <v/>
      </c>
      <c r="P311" s="21" t="e">
        <f t="shared" si="21"/>
        <v>#VALUE!</v>
      </c>
    </row>
    <row r="312" spans="1:16" hidden="1" x14ac:dyDescent="0.25">
      <c r="A312" s="8"/>
      <c r="B312" s="11"/>
      <c r="E312" s="11"/>
      <c r="F312" s="2"/>
      <c r="G312" s="2"/>
      <c r="H312" s="2"/>
      <c r="I312" s="11"/>
      <c r="J312" s="2"/>
      <c r="L312" s="14"/>
      <c r="M312" s="6"/>
      <c r="N312" s="5"/>
      <c r="O312" s="5" t="str">
        <f t="shared" si="20"/>
        <v/>
      </c>
      <c r="P312" s="21" t="e">
        <f t="shared" si="21"/>
        <v>#VALUE!</v>
      </c>
    </row>
    <row r="313" spans="1:16" hidden="1" x14ac:dyDescent="0.25">
      <c r="A313" s="8"/>
      <c r="B313" s="11"/>
      <c r="E313" s="11"/>
      <c r="F313" s="2"/>
      <c r="G313" s="2"/>
      <c r="H313" s="2"/>
      <c r="I313" s="11"/>
      <c r="J313" s="2"/>
      <c r="L313" s="14"/>
      <c r="M313" s="6"/>
      <c r="N313" s="5"/>
      <c r="O313" s="5" t="str">
        <f t="shared" si="20"/>
        <v/>
      </c>
      <c r="P313" s="21" t="e">
        <f t="shared" si="21"/>
        <v>#VALUE!</v>
      </c>
    </row>
    <row r="314" spans="1:16" hidden="1" x14ac:dyDescent="0.25">
      <c r="A314" s="8"/>
      <c r="B314" s="11"/>
      <c r="E314" s="11"/>
      <c r="F314" s="2"/>
      <c r="G314" s="2"/>
      <c r="H314" s="2"/>
      <c r="I314" s="11"/>
      <c r="J314" s="2"/>
      <c r="L314" s="14"/>
      <c r="M314" s="6"/>
      <c r="N314" s="5"/>
      <c r="O314" s="5" t="str">
        <f t="shared" si="20"/>
        <v/>
      </c>
      <c r="P314" s="21" t="e">
        <f t="shared" si="21"/>
        <v>#VALUE!</v>
      </c>
    </row>
    <row r="315" spans="1:16" hidden="1" x14ac:dyDescent="0.25">
      <c r="A315" s="8"/>
      <c r="B315" s="11"/>
      <c r="E315" s="11"/>
      <c r="F315" s="2"/>
      <c r="G315" s="2"/>
      <c r="H315" s="2"/>
      <c r="I315" s="11"/>
      <c r="J315" s="2"/>
      <c r="L315" s="14"/>
      <c r="M315" s="6"/>
      <c r="N315" s="5"/>
      <c r="O315" s="5" t="str">
        <f t="shared" si="20"/>
        <v/>
      </c>
      <c r="P315" s="21" t="e">
        <f t="shared" si="21"/>
        <v>#VALUE!</v>
      </c>
    </row>
    <row r="316" spans="1:16" hidden="1" x14ac:dyDescent="0.25">
      <c r="A316" s="8"/>
      <c r="B316" s="11"/>
      <c r="E316" s="11"/>
      <c r="F316" s="2"/>
      <c r="G316" s="2"/>
      <c r="H316" s="2"/>
      <c r="I316" s="11"/>
      <c r="J316" s="2"/>
      <c r="L316" s="14"/>
      <c r="M316" s="6"/>
      <c r="N316" s="5"/>
      <c r="O316" s="5" t="str">
        <f t="shared" si="20"/>
        <v/>
      </c>
      <c r="P316" s="21" t="e">
        <f t="shared" si="21"/>
        <v>#VALUE!</v>
      </c>
    </row>
    <row r="317" spans="1:16" hidden="1" x14ac:dyDescent="0.25">
      <c r="A317" s="8"/>
      <c r="B317" s="11"/>
      <c r="E317" s="11"/>
      <c r="F317" s="2"/>
      <c r="G317" s="2"/>
      <c r="H317" s="2"/>
      <c r="I317" s="11"/>
      <c r="J317" s="2"/>
      <c r="L317" s="14"/>
      <c r="M317" s="6"/>
      <c r="N317" s="5"/>
      <c r="O317" s="5" t="str">
        <f t="shared" si="20"/>
        <v/>
      </c>
      <c r="P317" s="21" t="e">
        <f t="shared" si="21"/>
        <v>#VALUE!</v>
      </c>
    </row>
    <row r="318" spans="1:16" hidden="1" x14ac:dyDescent="0.25">
      <c r="A318" s="8"/>
      <c r="B318" s="11"/>
      <c r="E318" s="11"/>
      <c r="F318" s="2"/>
      <c r="G318" s="2"/>
      <c r="H318" s="2"/>
      <c r="I318" s="11"/>
      <c r="J318" s="2"/>
      <c r="L318" s="14"/>
      <c r="M318" s="6"/>
      <c r="N318" s="5"/>
      <c r="O318" s="5" t="str">
        <f t="shared" si="20"/>
        <v/>
      </c>
      <c r="P318" s="21" t="e">
        <f t="shared" si="21"/>
        <v>#VALUE!</v>
      </c>
    </row>
    <row r="319" spans="1:16" hidden="1" x14ac:dyDescent="0.25">
      <c r="A319" s="8"/>
      <c r="B319" s="11"/>
      <c r="E319" s="11"/>
      <c r="F319" s="2"/>
      <c r="G319" s="2"/>
      <c r="H319" s="2"/>
      <c r="I319" s="11"/>
      <c r="J319" s="2"/>
      <c r="L319" s="14"/>
      <c r="M319" s="6"/>
      <c r="N319" s="5"/>
      <c r="O319" s="5" t="str">
        <f t="shared" si="20"/>
        <v/>
      </c>
      <c r="P319" s="21" t="e">
        <f t="shared" si="21"/>
        <v>#VALUE!</v>
      </c>
    </row>
    <row r="320" spans="1:16" hidden="1" x14ac:dyDescent="0.25">
      <c r="A320" s="8"/>
      <c r="B320" s="11"/>
      <c r="E320" s="11"/>
      <c r="F320" s="2"/>
      <c r="G320" s="2"/>
      <c r="H320" s="2"/>
      <c r="I320" s="11"/>
      <c r="J320" s="2"/>
      <c r="L320" s="14"/>
      <c r="M320" s="6"/>
      <c r="N320" s="5"/>
      <c r="O320" s="5" t="str">
        <f t="shared" si="20"/>
        <v/>
      </c>
      <c r="P320" s="21" t="e">
        <f t="shared" si="21"/>
        <v>#VALUE!</v>
      </c>
    </row>
    <row r="321" spans="1:16" hidden="1" x14ac:dyDescent="0.25">
      <c r="A321" s="8"/>
      <c r="B321" s="11"/>
      <c r="E321" s="11"/>
      <c r="F321" s="2"/>
      <c r="G321" s="2"/>
      <c r="H321" s="2"/>
      <c r="I321" s="11"/>
      <c r="J321" s="2"/>
      <c r="L321" s="14"/>
      <c r="M321" s="6"/>
      <c r="N321" s="5"/>
      <c r="O321" s="5" t="str">
        <f t="shared" si="20"/>
        <v/>
      </c>
      <c r="P321" s="21" t="e">
        <f t="shared" si="21"/>
        <v>#VALUE!</v>
      </c>
    </row>
    <row r="322" spans="1:16" hidden="1" x14ac:dyDescent="0.25">
      <c r="A322" s="8"/>
      <c r="B322" s="11"/>
      <c r="E322" s="11"/>
      <c r="F322" s="2"/>
      <c r="G322" s="2"/>
      <c r="H322" s="2"/>
      <c r="I322" s="11"/>
      <c r="J322" s="2"/>
      <c r="L322" s="14"/>
      <c r="M322" s="6"/>
      <c r="N322" s="5"/>
      <c r="O322" s="5" t="str">
        <f t="shared" si="20"/>
        <v/>
      </c>
      <c r="P322" s="21" t="e">
        <f t="shared" si="21"/>
        <v>#VALUE!</v>
      </c>
    </row>
    <row r="323" spans="1:16" hidden="1" x14ac:dyDescent="0.25">
      <c r="A323" s="8"/>
      <c r="B323" s="11"/>
      <c r="E323" s="11"/>
      <c r="F323" s="2"/>
      <c r="G323" s="2"/>
      <c r="H323" s="2"/>
      <c r="I323" s="11"/>
      <c r="J323" s="2"/>
      <c r="L323" s="14"/>
      <c r="M323" s="6"/>
      <c r="N323" s="5"/>
      <c r="O323" s="5" t="str">
        <f t="shared" si="20"/>
        <v/>
      </c>
      <c r="P323" s="21" t="e">
        <f t="shared" si="21"/>
        <v>#VALUE!</v>
      </c>
    </row>
    <row r="324" spans="1:16" hidden="1" x14ac:dyDescent="0.25">
      <c r="A324" s="8"/>
      <c r="B324" s="11"/>
      <c r="E324" s="11"/>
      <c r="F324" s="2"/>
      <c r="G324" s="2"/>
      <c r="H324" s="2"/>
      <c r="I324" s="11"/>
      <c r="J324" s="2"/>
      <c r="L324" s="14"/>
      <c r="M324" s="6"/>
      <c r="N324" s="5"/>
      <c r="O324" s="5" t="str">
        <f t="shared" si="20"/>
        <v/>
      </c>
      <c r="P324" s="21" t="e">
        <f t="shared" si="21"/>
        <v>#VALUE!</v>
      </c>
    </row>
    <row r="325" spans="1:16" hidden="1" x14ac:dyDescent="0.25">
      <c r="A325" s="8"/>
      <c r="B325" s="11"/>
      <c r="E325" s="11"/>
      <c r="F325" s="2"/>
      <c r="G325" s="2"/>
      <c r="H325" s="2"/>
      <c r="I325" s="11"/>
      <c r="J325" s="2"/>
      <c r="L325" s="14"/>
      <c r="M325" s="6"/>
      <c r="N325" s="5"/>
      <c r="O325" s="5" t="str">
        <f t="shared" si="20"/>
        <v/>
      </c>
      <c r="P325" s="21" t="e">
        <f t="shared" si="21"/>
        <v>#VALUE!</v>
      </c>
    </row>
    <row r="326" spans="1:16" hidden="1" x14ac:dyDescent="0.25">
      <c r="A326" s="8"/>
      <c r="B326" s="11"/>
      <c r="E326" s="11"/>
      <c r="F326" s="2"/>
      <c r="G326" s="2"/>
      <c r="H326" s="2"/>
      <c r="I326" s="11"/>
      <c r="J326" s="2"/>
      <c r="L326" s="14"/>
      <c r="M326" s="6"/>
      <c r="N326" s="5"/>
      <c r="O326" s="5" t="str">
        <f t="shared" si="20"/>
        <v/>
      </c>
      <c r="P326" s="21" t="e">
        <f t="shared" si="21"/>
        <v>#VALUE!</v>
      </c>
    </row>
    <row r="327" spans="1:16" hidden="1" x14ac:dyDescent="0.25">
      <c r="A327" s="8"/>
      <c r="B327" s="11"/>
      <c r="E327" s="11"/>
      <c r="F327" s="2"/>
      <c r="G327" s="2"/>
      <c r="H327" s="2"/>
      <c r="I327" s="11"/>
      <c r="J327" s="2"/>
      <c r="L327" s="14"/>
      <c r="M327" s="6"/>
      <c r="N327" s="5"/>
      <c r="O327" s="5" t="str">
        <f t="shared" si="20"/>
        <v/>
      </c>
      <c r="P327" s="21" t="e">
        <f t="shared" si="21"/>
        <v>#VALUE!</v>
      </c>
    </row>
    <row r="328" spans="1:16" hidden="1" x14ac:dyDescent="0.25">
      <c r="A328" s="8"/>
      <c r="B328" s="11"/>
      <c r="E328" s="11"/>
      <c r="F328" s="2"/>
      <c r="G328" s="2"/>
      <c r="H328" s="2"/>
      <c r="I328" s="11"/>
      <c r="J328" s="2"/>
      <c r="L328" s="14"/>
      <c r="M328" s="6"/>
      <c r="N328" s="5"/>
      <c r="O328" s="5" t="str">
        <f t="shared" si="20"/>
        <v/>
      </c>
      <c r="P328" s="21" t="e">
        <f t="shared" si="21"/>
        <v>#VALUE!</v>
      </c>
    </row>
    <row r="329" spans="1:16" hidden="1" x14ac:dyDescent="0.25">
      <c r="A329" s="8"/>
      <c r="B329" s="11"/>
      <c r="E329" s="11"/>
      <c r="F329" s="2"/>
      <c r="G329" s="2"/>
      <c r="H329" s="2"/>
      <c r="I329" s="11"/>
      <c r="J329" s="2"/>
      <c r="L329" s="14"/>
      <c r="M329" s="6"/>
      <c r="N329" s="5"/>
      <c r="O329" s="5" t="str">
        <f t="shared" si="20"/>
        <v/>
      </c>
      <c r="P329" s="21" t="e">
        <f t="shared" si="21"/>
        <v>#VALUE!</v>
      </c>
    </row>
    <row r="330" spans="1:16" hidden="1" x14ac:dyDescent="0.25">
      <c r="A330" s="8"/>
      <c r="B330" s="11"/>
      <c r="E330" s="11"/>
      <c r="F330" s="2"/>
      <c r="G330" s="2"/>
      <c r="H330" s="2"/>
      <c r="I330" s="11"/>
      <c r="J330" s="2"/>
      <c r="L330" s="14"/>
      <c r="M330" s="6"/>
      <c r="N330" s="5"/>
      <c r="O330" s="5" t="str">
        <f t="shared" si="20"/>
        <v/>
      </c>
      <c r="P330" s="21" t="e">
        <f t="shared" si="21"/>
        <v>#VALUE!</v>
      </c>
    </row>
    <row r="331" spans="1:16" hidden="1" x14ac:dyDescent="0.25">
      <c r="A331" s="8"/>
      <c r="B331" s="11"/>
      <c r="E331" s="11"/>
      <c r="F331" s="2"/>
      <c r="G331" s="2"/>
      <c r="H331" s="2"/>
      <c r="I331" s="11"/>
      <c r="J331" s="2"/>
      <c r="L331" s="14"/>
      <c r="M331" s="6"/>
      <c r="N331" s="5"/>
      <c r="O331" s="5" t="str">
        <f t="shared" si="20"/>
        <v/>
      </c>
      <c r="P331" s="21" t="e">
        <f t="shared" si="21"/>
        <v>#VALUE!</v>
      </c>
    </row>
    <row r="332" spans="1:16" hidden="1" x14ac:dyDescent="0.25">
      <c r="A332" s="8"/>
      <c r="B332" s="11"/>
      <c r="E332" s="11"/>
      <c r="F332" s="2"/>
      <c r="G332" s="2"/>
      <c r="H332" s="2"/>
      <c r="I332" s="11"/>
      <c r="J332" s="2"/>
      <c r="L332" s="14"/>
      <c r="M332" s="6"/>
      <c r="N332" s="5"/>
      <c r="O332" s="5" t="str">
        <f t="shared" si="20"/>
        <v/>
      </c>
      <c r="P332" s="21" t="e">
        <f t="shared" si="21"/>
        <v>#VALUE!</v>
      </c>
    </row>
    <row r="333" spans="1:16" hidden="1" x14ac:dyDescent="0.25">
      <c r="A333" s="8"/>
      <c r="B333" s="11"/>
      <c r="E333" s="11"/>
      <c r="F333" s="2"/>
      <c r="G333" s="2"/>
      <c r="H333" s="2"/>
      <c r="I333" s="11"/>
      <c r="J333" s="2"/>
      <c r="L333" s="14"/>
      <c r="M333" s="6"/>
      <c r="N333" s="5"/>
      <c r="O333" s="5" t="str">
        <f t="shared" si="20"/>
        <v/>
      </c>
      <c r="P333" s="21" t="e">
        <f t="shared" si="21"/>
        <v>#VALUE!</v>
      </c>
    </row>
    <row r="334" spans="1:16" hidden="1" x14ac:dyDescent="0.25">
      <c r="A334" s="8"/>
      <c r="B334" s="11"/>
      <c r="E334" s="11"/>
      <c r="F334" s="2"/>
      <c r="G334" s="2"/>
      <c r="H334" s="2"/>
      <c r="I334" s="11"/>
      <c r="J334" s="2"/>
      <c r="L334" s="14"/>
      <c r="M334" s="6"/>
      <c r="N334" s="5"/>
      <c r="O334" s="5" t="str">
        <f t="shared" si="20"/>
        <v/>
      </c>
      <c r="P334" s="21" t="e">
        <f t="shared" si="21"/>
        <v>#VALUE!</v>
      </c>
    </row>
    <row r="335" spans="1:16" hidden="1" x14ac:dyDescent="0.25">
      <c r="A335" s="8"/>
      <c r="B335" s="11"/>
      <c r="E335" s="11"/>
      <c r="F335" s="2"/>
      <c r="G335" s="2"/>
      <c r="H335" s="2"/>
      <c r="I335" s="11"/>
      <c r="J335" s="2"/>
      <c r="L335" s="14"/>
      <c r="M335" s="6"/>
      <c r="N335" s="5"/>
      <c r="O335" s="5" t="str">
        <f t="shared" si="20"/>
        <v/>
      </c>
      <c r="P335" s="21" t="e">
        <f t="shared" si="21"/>
        <v>#VALUE!</v>
      </c>
    </row>
    <row r="336" spans="1:16" hidden="1" x14ac:dyDescent="0.25">
      <c r="A336" s="8"/>
      <c r="B336" s="11"/>
      <c r="E336" s="11"/>
      <c r="F336" s="2"/>
      <c r="G336" s="2"/>
      <c r="H336" s="2"/>
      <c r="I336" s="11"/>
      <c r="J336" s="2"/>
      <c r="L336" s="14"/>
      <c r="M336" s="6"/>
      <c r="N336" s="5"/>
      <c r="O336" s="5" t="str">
        <f t="shared" si="20"/>
        <v/>
      </c>
      <c r="P336" s="21" t="e">
        <f t="shared" si="21"/>
        <v>#VALUE!</v>
      </c>
    </row>
    <row r="337" spans="1:16" hidden="1" x14ac:dyDescent="0.25">
      <c r="A337" s="8"/>
      <c r="B337" s="11"/>
      <c r="E337" s="11"/>
      <c r="F337" s="2"/>
      <c r="G337" s="2"/>
      <c r="H337" s="2"/>
      <c r="I337" s="11"/>
      <c r="J337" s="2"/>
      <c r="L337" s="14"/>
      <c r="M337" s="6"/>
      <c r="N337" s="5"/>
      <c r="O337" s="5" t="str">
        <f t="shared" si="20"/>
        <v/>
      </c>
      <c r="P337" s="21" t="e">
        <f t="shared" si="21"/>
        <v>#VALUE!</v>
      </c>
    </row>
    <row r="338" spans="1:16" hidden="1" x14ac:dyDescent="0.25">
      <c r="A338" s="8"/>
      <c r="B338" s="11"/>
      <c r="E338" s="11"/>
      <c r="F338" s="2"/>
      <c r="G338" s="2"/>
      <c r="H338" s="2"/>
      <c r="I338" s="11"/>
      <c r="J338" s="2"/>
      <c r="L338" s="14"/>
      <c r="M338" s="6"/>
      <c r="N338" s="5"/>
      <c r="O338" s="5" t="str">
        <f t="shared" si="20"/>
        <v/>
      </c>
      <c r="P338" s="21" t="e">
        <f t="shared" si="21"/>
        <v>#VALUE!</v>
      </c>
    </row>
    <row r="339" spans="1:16" hidden="1" x14ac:dyDescent="0.25">
      <c r="A339" s="8"/>
      <c r="B339" s="11"/>
      <c r="E339" s="11"/>
      <c r="F339" s="2"/>
      <c r="G339" s="2"/>
      <c r="H339" s="2"/>
      <c r="I339" s="11"/>
      <c r="J339" s="2"/>
      <c r="L339" s="14"/>
      <c r="M339" s="6"/>
      <c r="N339" s="5"/>
      <c r="O339" s="5" t="str">
        <f t="shared" si="20"/>
        <v/>
      </c>
      <c r="P339" s="21" t="e">
        <f t="shared" si="21"/>
        <v>#VALUE!</v>
      </c>
    </row>
    <row r="340" spans="1:16" hidden="1" x14ac:dyDescent="0.25">
      <c r="A340" s="8"/>
      <c r="B340" s="11"/>
      <c r="E340" s="11"/>
      <c r="F340" s="2"/>
      <c r="G340" s="2"/>
      <c r="H340" s="2"/>
      <c r="I340" s="11"/>
      <c r="J340" s="2"/>
      <c r="L340" s="14"/>
      <c r="M340" s="6"/>
      <c r="N340" s="5"/>
      <c r="O340" s="5" t="str">
        <f t="shared" si="20"/>
        <v/>
      </c>
      <c r="P340" s="21" t="e">
        <f t="shared" si="21"/>
        <v>#VALUE!</v>
      </c>
    </row>
    <row r="341" spans="1:16" hidden="1" x14ac:dyDescent="0.25">
      <c r="A341" s="8"/>
      <c r="B341" s="11"/>
      <c r="E341" s="11"/>
      <c r="F341" s="2"/>
      <c r="G341" s="2"/>
      <c r="H341" s="2"/>
      <c r="I341" s="11"/>
      <c r="J341" s="2"/>
      <c r="L341" s="14"/>
      <c r="M341" s="6"/>
      <c r="N341" s="5"/>
      <c r="O341" s="5" t="str">
        <f t="shared" si="20"/>
        <v/>
      </c>
      <c r="P341" s="21" t="e">
        <f t="shared" si="21"/>
        <v>#VALUE!</v>
      </c>
    </row>
    <row r="342" spans="1:16" hidden="1" x14ac:dyDescent="0.25">
      <c r="A342" s="8"/>
      <c r="B342" s="11"/>
      <c r="E342" s="11"/>
      <c r="F342" s="2"/>
      <c r="G342" s="2"/>
      <c r="H342" s="2"/>
      <c r="I342" s="11"/>
      <c r="J342" s="2"/>
      <c r="L342" s="14"/>
      <c r="M342" s="6"/>
      <c r="N342" s="5"/>
      <c r="O342" s="5" t="str">
        <f t="shared" si="20"/>
        <v/>
      </c>
      <c r="P342" s="21" t="e">
        <f t="shared" si="21"/>
        <v>#VALUE!</v>
      </c>
    </row>
    <row r="343" spans="1:16" hidden="1" x14ac:dyDescent="0.25">
      <c r="A343" s="8"/>
      <c r="B343" s="11"/>
      <c r="E343" s="11"/>
      <c r="F343" s="2"/>
      <c r="G343" s="2"/>
      <c r="H343" s="2"/>
      <c r="I343" s="11"/>
      <c r="J343" s="2"/>
      <c r="L343" s="14"/>
      <c r="M343" s="6"/>
      <c r="N343" s="5"/>
      <c r="O343" s="5" t="str">
        <f t="shared" ref="O343:O406" si="22">RIGHT(C343,2)</f>
        <v/>
      </c>
      <c r="P343" s="21" t="e">
        <f t="shared" ref="P343:P406" si="23">42522+O343+29</f>
        <v>#VALUE!</v>
      </c>
    </row>
    <row r="344" spans="1:16" hidden="1" x14ac:dyDescent="0.25">
      <c r="A344" s="8"/>
      <c r="B344" s="11"/>
      <c r="E344" s="11"/>
      <c r="F344" s="2"/>
      <c r="G344" s="2"/>
      <c r="H344" s="2"/>
      <c r="I344" s="11"/>
      <c r="J344" s="2"/>
      <c r="L344" s="14"/>
      <c r="M344" s="6"/>
      <c r="N344" s="5"/>
      <c r="O344" s="5" t="str">
        <f t="shared" si="22"/>
        <v/>
      </c>
      <c r="P344" s="21" t="e">
        <f t="shared" si="23"/>
        <v>#VALUE!</v>
      </c>
    </row>
    <row r="345" spans="1:16" hidden="1" x14ac:dyDescent="0.25">
      <c r="A345" s="8"/>
      <c r="B345" s="11"/>
      <c r="E345" s="11"/>
      <c r="F345" s="2"/>
      <c r="G345" s="2"/>
      <c r="H345" s="2"/>
      <c r="I345" s="11"/>
      <c r="J345" s="2"/>
      <c r="L345" s="14"/>
      <c r="M345" s="6"/>
      <c r="N345" s="5"/>
      <c r="O345" s="5" t="str">
        <f t="shared" si="22"/>
        <v/>
      </c>
      <c r="P345" s="21" t="e">
        <f t="shared" si="23"/>
        <v>#VALUE!</v>
      </c>
    </row>
    <row r="346" spans="1:16" hidden="1" x14ac:dyDescent="0.25">
      <c r="A346" s="8"/>
      <c r="B346" s="11"/>
      <c r="E346" s="11"/>
      <c r="F346" s="2"/>
      <c r="G346" s="2"/>
      <c r="H346" s="2"/>
      <c r="I346" s="11"/>
      <c r="J346" s="2"/>
      <c r="L346" s="14"/>
      <c r="M346" s="6"/>
      <c r="N346" s="5"/>
      <c r="O346" s="5" t="str">
        <f t="shared" si="22"/>
        <v/>
      </c>
      <c r="P346" s="21" t="e">
        <f t="shared" si="23"/>
        <v>#VALUE!</v>
      </c>
    </row>
    <row r="347" spans="1:16" hidden="1" x14ac:dyDescent="0.25">
      <c r="A347" s="8"/>
      <c r="B347" s="11"/>
      <c r="E347" s="11"/>
      <c r="F347" s="2"/>
      <c r="G347" s="2"/>
      <c r="H347" s="2"/>
      <c r="I347" s="11"/>
      <c r="J347" s="2"/>
      <c r="L347" s="14"/>
      <c r="M347" s="6"/>
      <c r="N347" s="5"/>
      <c r="O347" s="5" t="str">
        <f t="shared" si="22"/>
        <v/>
      </c>
      <c r="P347" s="21" t="e">
        <f t="shared" si="23"/>
        <v>#VALUE!</v>
      </c>
    </row>
    <row r="348" spans="1:16" hidden="1" x14ac:dyDescent="0.25">
      <c r="A348" s="8"/>
      <c r="B348" s="11"/>
      <c r="E348" s="11"/>
      <c r="F348" s="2"/>
      <c r="G348" s="2"/>
      <c r="H348" s="2"/>
      <c r="I348" s="11"/>
      <c r="J348" s="2"/>
      <c r="L348" s="14"/>
      <c r="M348" s="6"/>
      <c r="N348" s="5"/>
      <c r="O348" s="5" t="str">
        <f t="shared" si="22"/>
        <v/>
      </c>
      <c r="P348" s="21" t="e">
        <f t="shared" si="23"/>
        <v>#VALUE!</v>
      </c>
    </row>
    <row r="349" spans="1:16" hidden="1" x14ac:dyDescent="0.25">
      <c r="A349" s="8"/>
      <c r="B349" s="11"/>
      <c r="E349" s="11"/>
      <c r="F349" s="2"/>
      <c r="G349" s="2"/>
      <c r="H349" s="2"/>
      <c r="I349" s="11"/>
      <c r="J349" s="2"/>
      <c r="L349" s="14"/>
      <c r="M349" s="6"/>
      <c r="N349" s="5"/>
      <c r="O349" s="5" t="str">
        <f t="shared" si="22"/>
        <v/>
      </c>
      <c r="P349" s="21" t="e">
        <f t="shared" si="23"/>
        <v>#VALUE!</v>
      </c>
    </row>
    <row r="350" spans="1:16" hidden="1" x14ac:dyDescent="0.25">
      <c r="A350" s="8"/>
      <c r="F350" s="2"/>
      <c r="G350" s="2"/>
      <c r="H350" s="2"/>
      <c r="J350" s="2"/>
      <c r="L350" s="14"/>
      <c r="M350" s="6"/>
      <c r="N350" s="5"/>
      <c r="O350" s="5" t="str">
        <f t="shared" si="22"/>
        <v/>
      </c>
      <c r="P350" s="21" t="e">
        <f t="shared" si="23"/>
        <v>#VALUE!</v>
      </c>
    </row>
    <row r="351" spans="1:16" hidden="1" x14ac:dyDescent="0.25">
      <c r="A351" s="8"/>
      <c r="B351" s="11"/>
      <c r="E351" s="11"/>
      <c r="F351" s="2"/>
      <c r="G351" s="2"/>
      <c r="H351" s="2"/>
      <c r="I351" s="11"/>
      <c r="J351" s="2"/>
      <c r="L351" s="14"/>
      <c r="M351" s="6"/>
      <c r="N351" s="5"/>
      <c r="O351" s="5" t="str">
        <f t="shared" si="22"/>
        <v/>
      </c>
      <c r="P351" s="21" t="e">
        <f t="shared" si="23"/>
        <v>#VALUE!</v>
      </c>
    </row>
    <row r="352" spans="1:16" hidden="1" x14ac:dyDescent="0.25">
      <c r="A352" s="8"/>
      <c r="B352" s="11"/>
      <c r="E352" s="11"/>
      <c r="F352" s="2"/>
      <c r="G352" s="2"/>
      <c r="H352" s="2"/>
      <c r="I352" s="11"/>
      <c r="J352" s="2"/>
      <c r="L352" s="14"/>
      <c r="M352" s="6"/>
      <c r="N352" s="5"/>
      <c r="O352" s="5" t="str">
        <f t="shared" si="22"/>
        <v/>
      </c>
      <c r="P352" s="21" t="e">
        <f t="shared" si="23"/>
        <v>#VALUE!</v>
      </c>
    </row>
    <row r="353" spans="1:16" hidden="1" x14ac:dyDescent="0.25">
      <c r="A353" s="8"/>
      <c r="B353" s="11"/>
      <c r="E353" s="11"/>
      <c r="F353" s="2"/>
      <c r="G353" s="2"/>
      <c r="H353" s="2"/>
      <c r="I353" s="11"/>
      <c r="J353" s="2"/>
      <c r="L353" s="14"/>
      <c r="M353" s="6"/>
      <c r="N353" s="5"/>
      <c r="O353" s="5" t="str">
        <f t="shared" si="22"/>
        <v/>
      </c>
      <c r="P353" s="21" t="e">
        <f t="shared" si="23"/>
        <v>#VALUE!</v>
      </c>
    </row>
    <row r="354" spans="1:16" hidden="1" x14ac:dyDescent="0.25">
      <c r="A354" s="8"/>
      <c r="F354" s="2"/>
      <c r="G354" s="2"/>
      <c r="H354" s="2"/>
      <c r="J354" s="2"/>
      <c r="L354" s="14"/>
      <c r="M354" s="6"/>
      <c r="N354" s="5"/>
      <c r="O354" s="5" t="str">
        <f t="shared" si="22"/>
        <v/>
      </c>
      <c r="P354" s="21" t="e">
        <f t="shared" si="23"/>
        <v>#VALUE!</v>
      </c>
    </row>
    <row r="355" spans="1:16" hidden="1" x14ac:dyDescent="0.25">
      <c r="A355" s="8"/>
      <c r="B355" s="11"/>
      <c r="E355" s="11"/>
      <c r="F355" s="2"/>
      <c r="G355" s="2"/>
      <c r="H355" s="2"/>
      <c r="I355" s="11"/>
      <c r="J355" s="2"/>
      <c r="L355" s="14"/>
      <c r="M355" s="6"/>
      <c r="N355" s="5"/>
      <c r="O355" s="5" t="str">
        <f t="shared" si="22"/>
        <v/>
      </c>
      <c r="P355" s="21" t="e">
        <f t="shared" si="23"/>
        <v>#VALUE!</v>
      </c>
    </row>
    <row r="356" spans="1:16" hidden="1" x14ac:dyDescent="0.25">
      <c r="A356" s="8"/>
      <c r="B356" s="11"/>
      <c r="E356" s="11"/>
      <c r="F356" s="2"/>
      <c r="G356" s="2"/>
      <c r="H356" s="2"/>
      <c r="I356" s="11"/>
      <c r="J356" s="2"/>
      <c r="L356" s="14"/>
      <c r="M356" s="6"/>
      <c r="N356" s="5"/>
      <c r="O356" s="5" t="str">
        <f t="shared" si="22"/>
        <v/>
      </c>
      <c r="P356" s="21" t="e">
        <f t="shared" si="23"/>
        <v>#VALUE!</v>
      </c>
    </row>
    <row r="357" spans="1:16" hidden="1" x14ac:dyDescent="0.25">
      <c r="A357" s="8"/>
      <c r="B357" s="11"/>
      <c r="E357" s="11"/>
      <c r="F357" s="2"/>
      <c r="G357" s="2"/>
      <c r="H357" s="2"/>
      <c r="I357" s="11"/>
      <c r="J357" s="2"/>
      <c r="L357" s="14"/>
      <c r="M357" s="6"/>
      <c r="N357" s="5"/>
      <c r="O357" s="5" t="str">
        <f t="shared" si="22"/>
        <v/>
      </c>
      <c r="P357" s="21" t="e">
        <f t="shared" si="23"/>
        <v>#VALUE!</v>
      </c>
    </row>
    <row r="358" spans="1:16" hidden="1" x14ac:dyDescent="0.25">
      <c r="A358" s="8"/>
      <c r="B358" s="11"/>
      <c r="E358" s="11"/>
      <c r="F358" s="2"/>
      <c r="G358" s="2"/>
      <c r="H358" s="2"/>
      <c r="I358" s="11"/>
      <c r="J358" s="2"/>
      <c r="L358" s="14"/>
      <c r="M358" s="6"/>
      <c r="N358" s="5"/>
      <c r="O358" s="5" t="str">
        <f t="shared" si="22"/>
        <v/>
      </c>
      <c r="P358" s="21" t="e">
        <f t="shared" si="23"/>
        <v>#VALUE!</v>
      </c>
    </row>
    <row r="359" spans="1:16" hidden="1" x14ac:dyDescent="0.25">
      <c r="A359" s="8"/>
      <c r="B359" s="11"/>
      <c r="E359" s="11"/>
      <c r="F359" s="2"/>
      <c r="G359" s="2"/>
      <c r="H359" s="2"/>
      <c r="I359" s="11"/>
      <c r="J359" s="2"/>
      <c r="L359" s="14"/>
      <c r="M359" s="6"/>
      <c r="N359" s="5"/>
      <c r="O359" s="5" t="str">
        <f t="shared" si="22"/>
        <v/>
      </c>
      <c r="P359" s="21" t="e">
        <f t="shared" si="23"/>
        <v>#VALUE!</v>
      </c>
    </row>
    <row r="360" spans="1:16" hidden="1" x14ac:dyDescent="0.25">
      <c r="A360" s="8"/>
      <c r="B360" s="11"/>
      <c r="E360" s="11"/>
      <c r="F360" s="2"/>
      <c r="G360" s="2"/>
      <c r="H360" s="2"/>
      <c r="I360" s="11"/>
      <c r="J360" s="2"/>
      <c r="L360" s="14"/>
      <c r="M360" s="6"/>
      <c r="N360" s="5"/>
      <c r="O360" s="5" t="str">
        <f t="shared" si="22"/>
        <v/>
      </c>
      <c r="P360" s="21" t="e">
        <f t="shared" si="23"/>
        <v>#VALUE!</v>
      </c>
    </row>
    <row r="361" spans="1:16" hidden="1" x14ac:dyDescent="0.25">
      <c r="A361" s="8"/>
      <c r="B361" s="11"/>
      <c r="E361" s="11"/>
      <c r="F361" s="2"/>
      <c r="G361" s="2"/>
      <c r="H361" s="2"/>
      <c r="I361" s="11"/>
      <c r="J361" s="2"/>
      <c r="L361" s="14"/>
      <c r="M361" s="6"/>
      <c r="N361" s="5"/>
      <c r="O361" s="5" t="str">
        <f t="shared" si="22"/>
        <v/>
      </c>
      <c r="P361" s="21" t="e">
        <f t="shared" si="23"/>
        <v>#VALUE!</v>
      </c>
    </row>
    <row r="362" spans="1:16" hidden="1" x14ac:dyDescent="0.25">
      <c r="A362" s="8"/>
      <c r="B362" s="11"/>
      <c r="E362" s="11"/>
      <c r="F362" s="2"/>
      <c r="G362" s="2"/>
      <c r="H362" s="2"/>
      <c r="I362" s="11"/>
      <c r="J362" s="2"/>
      <c r="L362" s="14"/>
      <c r="M362" s="6"/>
      <c r="N362" s="5"/>
      <c r="O362" s="5" t="str">
        <f t="shared" si="22"/>
        <v/>
      </c>
      <c r="P362" s="21" t="e">
        <f t="shared" si="23"/>
        <v>#VALUE!</v>
      </c>
    </row>
    <row r="363" spans="1:16" hidden="1" x14ac:dyDescent="0.25">
      <c r="A363" s="8"/>
      <c r="F363" s="2"/>
      <c r="G363" s="2"/>
      <c r="H363" s="2"/>
      <c r="J363" s="2"/>
      <c r="L363" s="14"/>
      <c r="M363" s="6"/>
      <c r="N363" s="5"/>
      <c r="O363" s="5" t="str">
        <f t="shared" si="22"/>
        <v/>
      </c>
      <c r="P363" s="21" t="e">
        <f t="shared" si="23"/>
        <v>#VALUE!</v>
      </c>
    </row>
    <row r="364" spans="1:16" hidden="1" x14ac:dyDescent="0.25">
      <c r="A364" s="8"/>
      <c r="B364" s="11"/>
      <c r="E364" s="11"/>
      <c r="F364" s="2"/>
      <c r="G364" s="2"/>
      <c r="H364" s="2"/>
      <c r="I364" s="11"/>
      <c r="J364" s="2"/>
      <c r="L364" s="14"/>
      <c r="M364" s="6"/>
      <c r="N364" s="5"/>
      <c r="O364" s="5" t="str">
        <f t="shared" si="22"/>
        <v/>
      </c>
      <c r="P364" s="21" t="e">
        <f t="shared" si="23"/>
        <v>#VALUE!</v>
      </c>
    </row>
    <row r="365" spans="1:16" hidden="1" x14ac:dyDescent="0.25">
      <c r="A365" s="8"/>
      <c r="B365" s="11"/>
      <c r="E365" s="11"/>
      <c r="F365" s="2"/>
      <c r="G365" s="2"/>
      <c r="H365" s="2"/>
      <c r="I365" s="11"/>
      <c r="J365" s="2"/>
      <c r="L365" s="14"/>
      <c r="M365" s="6"/>
      <c r="N365" s="5"/>
      <c r="O365" s="5" t="str">
        <f t="shared" si="22"/>
        <v/>
      </c>
      <c r="P365" s="21" t="e">
        <f t="shared" si="23"/>
        <v>#VALUE!</v>
      </c>
    </row>
    <row r="366" spans="1:16" hidden="1" x14ac:dyDescent="0.25">
      <c r="A366" s="8"/>
      <c r="B366" s="11"/>
      <c r="E366" s="11"/>
      <c r="F366" s="2"/>
      <c r="G366" s="2"/>
      <c r="H366" s="2"/>
      <c r="I366" s="11"/>
      <c r="J366" s="2"/>
      <c r="L366" s="14"/>
      <c r="M366" s="6"/>
      <c r="N366" s="5"/>
      <c r="O366" s="5" t="str">
        <f t="shared" si="22"/>
        <v/>
      </c>
      <c r="P366" s="21" t="e">
        <f t="shared" si="23"/>
        <v>#VALUE!</v>
      </c>
    </row>
    <row r="367" spans="1:16" hidden="1" x14ac:dyDescent="0.25">
      <c r="A367" s="8"/>
      <c r="B367" s="11"/>
      <c r="E367" s="11"/>
      <c r="F367" s="2"/>
      <c r="G367" s="2"/>
      <c r="H367" s="2"/>
      <c r="I367" s="11"/>
      <c r="J367" s="2"/>
      <c r="L367" s="14"/>
      <c r="M367" s="6"/>
      <c r="N367" s="5"/>
      <c r="O367" s="5" t="str">
        <f t="shared" si="22"/>
        <v/>
      </c>
      <c r="P367" s="21" t="e">
        <f t="shared" si="23"/>
        <v>#VALUE!</v>
      </c>
    </row>
    <row r="368" spans="1:16" hidden="1" x14ac:dyDescent="0.25">
      <c r="A368" s="8"/>
      <c r="B368" s="11"/>
      <c r="E368" s="11"/>
      <c r="F368" s="2"/>
      <c r="G368" s="2"/>
      <c r="H368" s="2"/>
      <c r="I368" s="11"/>
      <c r="J368" s="2"/>
      <c r="L368" s="14"/>
      <c r="M368" s="6"/>
      <c r="N368" s="5"/>
      <c r="O368" s="5" t="str">
        <f t="shared" si="22"/>
        <v/>
      </c>
      <c r="P368" s="21" t="e">
        <f t="shared" si="23"/>
        <v>#VALUE!</v>
      </c>
    </row>
    <row r="369" spans="1:16" hidden="1" x14ac:dyDescent="0.25">
      <c r="A369" s="8"/>
      <c r="B369" s="11"/>
      <c r="E369" s="11"/>
      <c r="F369" s="2"/>
      <c r="G369" s="2"/>
      <c r="H369" s="2"/>
      <c r="I369" s="11"/>
      <c r="J369" s="2"/>
      <c r="L369" s="14"/>
      <c r="M369" s="6"/>
      <c r="N369" s="5"/>
      <c r="O369" s="5" t="str">
        <f t="shared" si="22"/>
        <v/>
      </c>
      <c r="P369" s="21" t="e">
        <f t="shared" si="23"/>
        <v>#VALUE!</v>
      </c>
    </row>
    <row r="370" spans="1:16" hidden="1" x14ac:dyDescent="0.25">
      <c r="A370" s="8"/>
      <c r="B370" s="11"/>
      <c r="E370" s="11"/>
      <c r="F370" s="2"/>
      <c r="G370" s="2"/>
      <c r="H370" s="2"/>
      <c r="I370" s="11"/>
      <c r="J370" s="2"/>
      <c r="L370" s="14"/>
      <c r="M370" s="6"/>
      <c r="N370" s="5"/>
      <c r="O370" s="5" t="str">
        <f t="shared" si="22"/>
        <v/>
      </c>
      <c r="P370" s="21" t="e">
        <f t="shared" si="23"/>
        <v>#VALUE!</v>
      </c>
    </row>
    <row r="371" spans="1:16" hidden="1" x14ac:dyDescent="0.25">
      <c r="A371" s="8"/>
      <c r="B371" s="11"/>
      <c r="E371" s="11"/>
      <c r="F371" s="2"/>
      <c r="G371" s="2"/>
      <c r="H371" s="2"/>
      <c r="I371" s="11"/>
      <c r="J371" s="2"/>
      <c r="L371" s="14"/>
      <c r="M371" s="6"/>
      <c r="N371" s="5"/>
      <c r="O371" s="5" t="str">
        <f t="shared" si="22"/>
        <v/>
      </c>
      <c r="P371" s="21" t="e">
        <f t="shared" si="23"/>
        <v>#VALUE!</v>
      </c>
    </row>
    <row r="372" spans="1:16" hidden="1" x14ac:dyDescent="0.25">
      <c r="A372" s="8"/>
      <c r="B372" s="11"/>
      <c r="E372" s="11"/>
      <c r="F372" s="2"/>
      <c r="G372" s="2"/>
      <c r="H372" s="2"/>
      <c r="I372" s="11"/>
      <c r="J372" s="2"/>
      <c r="L372" s="14"/>
      <c r="M372" s="6"/>
      <c r="N372" s="5"/>
      <c r="O372" s="5" t="str">
        <f t="shared" si="22"/>
        <v/>
      </c>
      <c r="P372" s="21" t="e">
        <f t="shared" si="23"/>
        <v>#VALUE!</v>
      </c>
    </row>
    <row r="373" spans="1:16" hidden="1" x14ac:dyDescent="0.25">
      <c r="A373" s="8"/>
      <c r="B373" s="11"/>
      <c r="E373" s="11"/>
      <c r="F373" s="2"/>
      <c r="G373" s="2"/>
      <c r="H373" s="2"/>
      <c r="I373" s="11"/>
      <c r="J373" s="2"/>
      <c r="L373" s="14"/>
      <c r="M373" s="6"/>
      <c r="N373" s="5"/>
      <c r="O373" s="5" t="str">
        <f t="shared" si="22"/>
        <v/>
      </c>
      <c r="P373" s="21" t="e">
        <f t="shared" si="23"/>
        <v>#VALUE!</v>
      </c>
    </row>
    <row r="374" spans="1:16" hidden="1" x14ac:dyDescent="0.25">
      <c r="A374" s="8"/>
      <c r="B374" s="11"/>
      <c r="E374" s="11"/>
      <c r="F374" s="2"/>
      <c r="G374" s="2"/>
      <c r="H374" s="2"/>
      <c r="I374" s="11"/>
      <c r="J374" s="2"/>
      <c r="L374" s="14"/>
      <c r="M374" s="6"/>
      <c r="N374" s="5"/>
      <c r="O374" s="5" t="str">
        <f t="shared" si="22"/>
        <v/>
      </c>
      <c r="P374" s="21" t="e">
        <f t="shared" si="23"/>
        <v>#VALUE!</v>
      </c>
    </row>
    <row r="375" spans="1:16" hidden="1" x14ac:dyDescent="0.25">
      <c r="A375" s="8"/>
      <c r="B375" s="11"/>
      <c r="E375" s="11"/>
      <c r="F375" s="2"/>
      <c r="G375" s="2"/>
      <c r="H375" s="2"/>
      <c r="I375" s="11"/>
      <c r="J375" s="2"/>
      <c r="L375" s="14"/>
      <c r="M375" s="6"/>
      <c r="N375" s="5"/>
      <c r="O375" s="5" t="str">
        <f t="shared" si="22"/>
        <v/>
      </c>
      <c r="P375" s="21" t="e">
        <f t="shared" si="23"/>
        <v>#VALUE!</v>
      </c>
    </row>
    <row r="376" spans="1:16" hidden="1" x14ac:dyDescent="0.25">
      <c r="A376" s="8"/>
      <c r="B376" s="11"/>
      <c r="E376" s="11"/>
      <c r="F376" s="2"/>
      <c r="G376" s="2"/>
      <c r="H376" s="2"/>
      <c r="I376" s="11"/>
      <c r="J376" s="2"/>
      <c r="L376" s="14"/>
      <c r="M376" s="6"/>
      <c r="N376" s="5"/>
      <c r="O376" s="5" t="str">
        <f t="shared" si="22"/>
        <v/>
      </c>
      <c r="P376" s="21" t="e">
        <f t="shared" si="23"/>
        <v>#VALUE!</v>
      </c>
    </row>
    <row r="377" spans="1:16" hidden="1" x14ac:dyDescent="0.25">
      <c r="A377" s="8"/>
      <c r="B377" s="11"/>
      <c r="E377" s="11"/>
      <c r="F377" s="2"/>
      <c r="G377" s="2"/>
      <c r="H377" s="2"/>
      <c r="I377" s="11"/>
      <c r="J377" s="2"/>
      <c r="L377" s="14"/>
      <c r="M377" s="6"/>
      <c r="N377" s="5"/>
      <c r="O377" s="5" t="str">
        <f t="shared" si="22"/>
        <v/>
      </c>
      <c r="P377" s="21" t="e">
        <f t="shared" si="23"/>
        <v>#VALUE!</v>
      </c>
    </row>
    <row r="378" spans="1:16" hidden="1" x14ac:dyDescent="0.25">
      <c r="A378" s="8"/>
      <c r="B378" s="11"/>
      <c r="E378" s="11"/>
      <c r="F378" s="2"/>
      <c r="G378" s="2"/>
      <c r="H378" s="2"/>
      <c r="I378" s="11"/>
      <c r="J378" s="2"/>
      <c r="L378" s="14"/>
      <c r="M378" s="6"/>
      <c r="N378" s="5"/>
      <c r="O378" s="5" t="str">
        <f t="shared" si="22"/>
        <v/>
      </c>
      <c r="P378" s="21" t="e">
        <f t="shared" si="23"/>
        <v>#VALUE!</v>
      </c>
    </row>
    <row r="379" spans="1:16" hidden="1" x14ac:dyDescent="0.25">
      <c r="A379" s="8"/>
      <c r="B379" s="11"/>
      <c r="E379" s="11"/>
      <c r="F379" s="2"/>
      <c r="G379" s="2"/>
      <c r="H379" s="2"/>
      <c r="I379" s="11"/>
      <c r="J379" s="2"/>
      <c r="L379" s="14"/>
      <c r="M379" s="6"/>
      <c r="N379" s="5"/>
      <c r="O379" s="5" t="str">
        <f t="shared" si="22"/>
        <v/>
      </c>
      <c r="P379" s="21" t="e">
        <f t="shared" si="23"/>
        <v>#VALUE!</v>
      </c>
    </row>
    <row r="380" spans="1:16" hidden="1" x14ac:dyDescent="0.25">
      <c r="A380" s="8"/>
      <c r="B380" s="11"/>
      <c r="E380" s="11"/>
      <c r="F380" s="2"/>
      <c r="G380" s="2"/>
      <c r="H380" s="2"/>
      <c r="I380" s="11"/>
      <c r="J380" s="2"/>
      <c r="L380" s="14"/>
      <c r="M380" s="6"/>
      <c r="N380" s="5"/>
      <c r="O380" s="5" t="str">
        <f t="shared" si="22"/>
        <v/>
      </c>
      <c r="P380" s="21" t="e">
        <f t="shared" si="23"/>
        <v>#VALUE!</v>
      </c>
    </row>
    <row r="381" spans="1:16" hidden="1" x14ac:dyDescent="0.25">
      <c r="A381" s="8"/>
      <c r="B381" s="11"/>
      <c r="E381" s="11"/>
      <c r="F381" s="2"/>
      <c r="G381" s="2"/>
      <c r="H381" s="2"/>
      <c r="I381" s="11"/>
      <c r="J381" s="2"/>
      <c r="L381" s="14"/>
      <c r="M381" s="6"/>
      <c r="N381" s="5"/>
      <c r="O381" s="5" t="str">
        <f t="shared" si="22"/>
        <v/>
      </c>
      <c r="P381" s="21" t="e">
        <f t="shared" si="23"/>
        <v>#VALUE!</v>
      </c>
    </row>
    <row r="382" spans="1:16" hidden="1" x14ac:dyDescent="0.25">
      <c r="A382" s="8"/>
      <c r="B382" s="11"/>
      <c r="E382" s="11"/>
      <c r="F382" s="2"/>
      <c r="G382" s="2"/>
      <c r="H382" s="2"/>
      <c r="I382" s="11"/>
      <c r="J382" s="2"/>
      <c r="L382" s="14"/>
      <c r="M382" s="6"/>
      <c r="N382" s="5"/>
      <c r="O382" s="5" t="str">
        <f t="shared" si="22"/>
        <v/>
      </c>
      <c r="P382" s="21" t="e">
        <f t="shared" si="23"/>
        <v>#VALUE!</v>
      </c>
    </row>
    <row r="383" spans="1:16" hidden="1" x14ac:dyDescent="0.25">
      <c r="A383" s="8"/>
      <c r="B383" s="11"/>
      <c r="E383" s="11"/>
      <c r="F383" s="2"/>
      <c r="G383" s="2"/>
      <c r="H383" s="2"/>
      <c r="I383" s="11"/>
      <c r="J383" s="2"/>
      <c r="L383" s="14"/>
      <c r="M383" s="6"/>
      <c r="N383" s="5"/>
      <c r="O383" s="5" t="str">
        <f t="shared" si="22"/>
        <v/>
      </c>
      <c r="P383" s="21" t="e">
        <f t="shared" si="23"/>
        <v>#VALUE!</v>
      </c>
    </row>
    <row r="384" spans="1:16" hidden="1" x14ac:dyDescent="0.25">
      <c r="A384" s="8"/>
      <c r="B384" s="11"/>
      <c r="E384" s="11"/>
      <c r="F384" s="2"/>
      <c r="G384" s="2"/>
      <c r="H384" s="2"/>
      <c r="I384" s="11"/>
      <c r="J384" s="2"/>
      <c r="L384" s="14"/>
      <c r="M384" s="6"/>
      <c r="N384" s="5"/>
      <c r="O384" s="5" t="str">
        <f t="shared" si="22"/>
        <v/>
      </c>
      <c r="P384" s="21" t="e">
        <f t="shared" si="23"/>
        <v>#VALUE!</v>
      </c>
    </row>
    <row r="385" spans="1:16" hidden="1" x14ac:dyDescent="0.25">
      <c r="A385" s="8"/>
      <c r="F385" s="2"/>
      <c r="G385" s="2"/>
      <c r="H385" s="2"/>
      <c r="J385" s="2"/>
      <c r="L385" s="14"/>
      <c r="M385" s="6"/>
      <c r="N385" s="5"/>
      <c r="O385" s="5" t="str">
        <f t="shared" si="22"/>
        <v/>
      </c>
      <c r="P385" s="21" t="e">
        <f t="shared" si="23"/>
        <v>#VALUE!</v>
      </c>
    </row>
    <row r="386" spans="1:16" hidden="1" x14ac:dyDescent="0.25">
      <c r="A386" s="8"/>
      <c r="F386" s="2"/>
      <c r="G386" s="2"/>
      <c r="H386" s="2"/>
      <c r="J386" s="2"/>
      <c r="L386" s="14"/>
      <c r="M386" s="6"/>
      <c r="N386" s="5"/>
      <c r="O386" s="5" t="str">
        <f t="shared" si="22"/>
        <v/>
      </c>
      <c r="P386" s="21" t="e">
        <f t="shared" si="23"/>
        <v>#VALUE!</v>
      </c>
    </row>
    <row r="387" spans="1:16" hidden="1" x14ac:dyDescent="0.25">
      <c r="A387" s="8"/>
      <c r="B387" s="11"/>
      <c r="E387" s="11"/>
      <c r="F387" s="2"/>
      <c r="G387" s="2"/>
      <c r="H387" s="2"/>
      <c r="I387" s="11"/>
      <c r="J387" s="2"/>
      <c r="L387" s="14"/>
      <c r="M387" s="6"/>
      <c r="N387" s="5"/>
      <c r="O387" s="5" t="str">
        <f t="shared" si="22"/>
        <v/>
      </c>
      <c r="P387" s="21" t="e">
        <f t="shared" si="23"/>
        <v>#VALUE!</v>
      </c>
    </row>
    <row r="388" spans="1:16" hidden="1" x14ac:dyDescent="0.25">
      <c r="A388" s="8"/>
      <c r="B388" s="11"/>
      <c r="E388" s="11"/>
      <c r="F388" s="2"/>
      <c r="G388" s="2"/>
      <c r="H388" s="2"/>
      <c r="I388" s="11"/>
      <c r="J388" s="2"/>
      <c r="L388" s="14"/>
      <c r="M388" s="6"/>
      <c r="N388" s="5"/>
      <c r="O388" s="5" t="str">
        <f t="shared" si="22"/>
        <v/>
      </c>
      <c r="P388" s="21" t="e">
        <f t="shared" si="23"/>
        <v>#VALUE!</v>
      </c>
    </row>
    <row r="389" spans="1:16" hidden="1" x14ac:dyDescent="0.25">
      <c r="A389" s="8"/>
      <c r="B389" s="11"/>
      <c r="E389" s="11"/>
      <c r="F389" s="2"/>
      <c r="G389" s="2"/>
      <c r="H389" s="2"/>
      <c r="I389" s="11"/>
      <c r="J389" s="2"/>
      <c r="L389" s="14"/>
      <c r="M389" s="6"/>
      <c r="N389" s="5"/>
      <c r="O389" s="5" t="str">
        <f t="shared" si="22"/>
        <v/>
      </c>
      <c r="P389" s="21" t="e">
        <f t="shared" si="23"/>
        <v>#VALUE!</v>
      </c>
    </row>
    <row r="390" spans="1:16" hidden="1" x14ac:dyDescent="0.25">
      <c r="A390" s="8"/>
      <c r="B390" s="11"/>
      <c r="E390" s="11"/>
      <c r="F390" s="2"/>
      <c r="G390" s="2"/>
      <c r="H390" s="2"/>
      <c r="I390" s="11"/>
      <c r="J390" s="2"/>
      <c r="L390" s="14"/>
      <c r="M390" s="6"/>
      <c r="N390" s="5"/>
      <c r="O390" s="5" t="str">
        <f t="shared" si="22"/>
        <v/>
      </c>
      <c r="P390" s="21" t="e">
        <f t="shared" si="23"/>
        <v>#VALUE!</v>
      </c>
    </row>
    <row r="391" spans="1:16" hidden="1" x14ac:dyDescent="0.25">
      <c r="A391" s="8"/>
      <c r="B391" s="11"/>
      <c r="E391" s="11"/>
      <c r="F391" s="2"/>
      <c r="G391" s="2"/>
      <c r="H391" s="2"/>
      <c r="I391" s="11"/>
      <c r="J391" s="2"/>
      <c r="L391" s="14"/>
      <c r="M391" s="6"/>
      <c r="N391" s="5"/>
      <c r="O391" s="5" t="str">
        <f t="shared" si="22"/>
        <v/>
      </c>
      <c r="P391" s="21" t="e">
        <f t="shared" si="23"/>
        <v>#VALUE!</v>
      </c>
    </row>
    <row r="392" spans="1:16" hidden="1" x14ac:dyDescent="0.25">
      <c r="A392" s="8"/>
      <c r="B392" s="11"/>
      <c r="E392" s="11"/>
      <c r="F392" s="2"/>
      <c r="G392" s="2"/>
      <c r="H392" s="2"/>
      <c r="I392" s="11"/>
      <c r="J392" s="2"/>
      <c r="L392" s="14"/>
      <c r="M392" s="6"/>
      <c r="N392" s="5"/>
      <c r="O392" s="5" t="str">
        <f t="shared" si="22"/>
        <v/>
      </c>
      <c r="P392" s="21" t="e">
        <f t="shared" si="23"/>
        <v>#VALUE!</v>
      </c>
    </row>
    <row r="393" spans="1:16" hidden="1" x14ac:dyDescent="0.25">
      <c r="A393" s="8"/>
      <c r="B393" s="11"/>
      <c r="E393" s="11"/>
      <c r="F393" s="2"/>
      <c r="G393" s="2"/>
      <c r="H393" s="2"/>
      <c r="I393" s="11"/>
      <c r="J393" s="2"/>
      <c r="L393" s="14"/>
      <c r="M393" s="6"/>
      <c r="N393" s="5"/>
      <c r="O393" s="5" t="str">
        <f t="shared" si="22"/>
        <v/>
      </c>
      <c r="P393" s="21" t="e">
        <f t="shared" si="23"/>
        <v>#VALUE!</v>
      </c>
    </row>
    <row r="394" spans="1:16" hidden="1" x14ac:dyDescent="0.25">
      <c r="A394" s="8"/>
      <c r="B394" s="11"/>
      <c r="E394" s="11"/>
      <c r="F394" s="2"/>
      <c r="G394" s="2"/>
      <c r="H394" s="2"/>
      <c r="I394" s="11"/>
      <c r="J394" s="2"/>
      <c r="L394" s="14"/>
      <c r="M394" s="6"/>
      <c r="N394" s="5"/>
      <c r="O394" s="5" t="str">
        <f t="shared" si="22"/>
        <v/>
      </c>
      <c r="P394" s="21" t="e">
        <f t="shared" si="23"/>
        <v>#VALUE!</v>
      </c>
    </row>
    <row r="395" spans="1:16" hidden="1" x14ac:dyDescent="0.25">
      <c r="A395" s="8"/>
      <c r="B395" s="11"/>
      <c r="E395" s="11"/>
      <c r="F395" s="2"/>
      <c r="G395" s="2"/>
      <c r="H395" s="2"/>
      <c r="I395" s="11"/>
      <c r="J395" s="2"/>
      <c r="L395" s="14"/>
      <c r="M395" s="6"/>
      <c r="N395" s="5"/>
      <c r="O395" s="5" t="str">
        <f t="shared" si="22"/>
        <v/>
      </c>
      <c r="P395" s="21" t="e">
        <f t="shared" si="23"/>
        <v>#VALUE!</v>
      </c>
    </row>
    <row r="396" spans="1:16" hidden="1" x14ac:dyDescent="0.25">
      <c r="A396" s="8"/>
      <c r="B396" s="11"/>
      <c r="E396" s="11"/>
      <c r="F396" s="2"/>
      <c r="G396" s="2"/>
      <c r="H396" s="2"/>
      <c r="I396" s="11"/>
      <c r="J396" s="2"/>
      <c r="L396" s="14"/>
      <c r="M396" s="6"/>
      <c r="N396" s="5"/>
      <c r="O396" s="5" t="str">
        <f t="shared" si="22"/>
        <v/>
      </c>
      <c r="P396" s="21" t="e">
        <f t="shared" si="23"/>
        <v>#VALUE!</v>
      </c>
    </row>
    <row r="397" spans="1:16" hidden="1" x14ac:dyDescent="0.25">
      <c r="A397" s="8"/>
      <c r="B397" s="11"/>
      <c r="E397" s="11"/>
      <c r="F397" s="2"/>
      <c r="G397" s="2"/>
      <c r="H397" s="2"/>
      <c r="I397" s="11"/>
      <c r="J397" s="2"/>
      <c r="L397" s="14"/>
      <c r="M397" s="6"/>
      <c r="N397" s="5"/>
      <c r="O397" s="5" t="str">
        <f t="shared" si="22"/>
        <v/>
      </c>
      <c r="P397" s="21" t="e">
        <f t="shared" si="23"/>
        <v>#VALUE!</v>
      </c>
    </row>
    <row r="398" spans="1:16" hidden="1" x14ac:dyDescent="0.25">
      <c r="A398" s="8"/>
      <c r="F398" s="2"/>
      <c r="G398" s="2"/>
      <c r="H398" s="2"/>
      <c r="J398" s="2"/>
      <c r="L398" s="14"/>
      <c r="M398" s="6"/>
      <c r="N398" s="5"/>
      <c r="O398" s="5" t="str">
        <f t="shared" si="22"/>
        <v/>
      </c>
      <c r="P398" s="21" t="e">
        <f t="shared" si="23"/>
        <v>#VALUE!</v>
      </c>
    </row>
    <row r="399" spans="1:16" hidden="1" x14ac:dyDescent="0.25">
      <c r="A399" s="8"/>
      <c r="F399" s="2"/>
      <c r="G399" s="2"/>
      <c r="H399" s="2"/>
      <c r="J399" s="2"/>
      <c r="L399" s="14"/>
      <c r="M399" s="6"/>
      <c r="N399" s="5"/>
      <c r="O399" s="5" t="str">
        <f t="shared" si="22"/>
        <v/>
      </c>
      <c r="P399" s="21" t="e">
        <f t="shared" si="23"/>
        <v>#VALUE!</v>
      </c>
    </row>
    <row r="400" spans="1:16" hidden="1" x14ac:dyDescent="0.25">
      <c r="A400" s="8"/>
      <c r="F400" s="2"/>
      <c r="G400" s="2"/>
      <c r="H400" s="2"/>
      <c r="J400" s="2"/>
      <c r="L400" s="14"/>
      <c r="M400" s="6"/>
      <c r="N400" s="5"/>
      <c r="O400" s="5" t="str">
        <f t="shared" si="22"/>
        <v/>
      </c>
      <c r="P400" s="21" t="e">
        <f t="shared" si="23"/>
        <v>#VALUE!</v>
      </c>
    </row>
    <row r="401" spans="1:16" hidden="1" x14ac:dyDescent="0.25">
      <c r="A401" s="8"/>
      <c r="B401" s="11"/>
      <c r="E401" s="11"/>
      <c r="F401" s="2"/>
      <c r="G401" s="2"/>
      <c r="H401" s="2"/>
      <c r="I401" s="11"/>
      <c r="J401" s="2"/>
      <c r="L401" s="14"/>
      <c r="M401" s="6"/>
      <c r="N401" s="5"/>
      <c r="O401" s="5" t="str">
        <f t="shared" si="22"/>
        <v/>
      </c>
      <c r="P401" s="21" t="e">
        <f t="shared" si="23"/>
        <v>#VALUE!</v>
      </c>
    </row>
    <row r="402" spans="1:16" hidden="1" x14ac:dyDescent="0.25">
      <c r="A402" s="8"/>
      <c r="B402" s="11"/>
      <c r="E402" s="11"/>
      <c r="F402" s="2"/>
      <c r="G402" s="2"/>
      <c r="H402" s="2"/>
      <c r="I402" s="11"/>
      <c r="J402" s="2"/>
      <c r="L402" s="14"/>
      <c r="M402" s="6"/>
      <c r="N402" s="5"/>
      <c r="O402" s="5" t="str">
        <f t="shared" si="22"/>
        <v/>
      </c>
      <c r="P402" s="21" t="e">
        <f t="shared" si="23"/>
        <v>#VALUE!</v>
      </c>
    </row>
    <row r="403" spans="1:16" hidden="1" x14ac:dyDescent="0.25">
      <c r="A403" s="8"/>
      <c r="B403" s="11"/>
      <c r="E403" s="11"/>
      <c r="F403" s="2"/>
      <c r="G403" s="2"/>
      <c r="H403" s="2"/>
      <c r="I403" s="11"/>
      <c r="J403" s="2"/>
      <c r="L403" s="14"/>
      <c r="M403" s="6"/>
      <c r="N403" s="5"/>
      <c r="O403" s="5" t="str">
        <f t="shared" si="22"/>
        <v/>
      </c>
      <c r="P403" s="21" t="e">
        <f t="shared" si="23"/>
        <v>#VALUE!</v>
      </c>
    </row>
    <row r="404" spans="1:16" hidden="1" x14ac:dyDescent="0.25">
      <c r="A404" s="8"/>
      <c r="B404" s="11"/>
      <c r="E404" s="11"/>
      <c r="F404" s="2"/>
      <c r="G404" s="2"/>
      <c r="H404" s="2"/>
      <c r="I404" s="11"/>
      <c r="J404" s="2"/>
      <c r="L404" s="14"/>
      <c r="M404" s="6"/>
      <c r="N404" s="5"/>
      <c r="O404" s="5" t="str">
        <f t="shared" si="22"/>
        <v/>
      </c>
      <c r="P404" s="21" t="e">
        <f t="shared" si="23"/>
        <v>#VALUE!</v>
      </c>
    </row>
    <row r="405" spans="1:16" hidden="1" x14ac:dyDescent="0.25">
      <c r="A405" s="8"/>
      <c r="B405" s="11"/>
      <c r="E405" s="11"/>
      <c r="F405" s="2"/>
      <c r="G405" s="2"/>
      <c r="H405" s="2"/>
      <c r="I405" s="11"/>
      <c r="J405" s="2"/>
      <c r="L405" s="14"/>
      <c r="M405" s="6"/>
      <c r="N405" s="5"/>
      <c r="O405" s="5" t="str">
        <f t="shared" si="22"/>
        <v/>
      </c>
      <c r="P405" s="21" t="e">
        <f t="shared" si="23"/>
        <v>#VALUE!</v>
      </c>
    </row>
    <row r="406" spans="1:16" hidden="1" x14ac:dyDescent="0.25">
      <c r="A406" s="8"/>
      <c r="B406" s="11"/>
      <c r="E406" s="11"/>
      <c r="F406" s="2"/>
      <c r="G406" s="2"/>
      <c r="H406" s="2"/>
      <c r="I406" s="11"/>
      <c r="J406" s="2"/>
      <c r="L406" s="14"/>
      <c r="M406" s="6"/>
      <c r="N406" s="5"/>
      <c r="O406" s="5" t="str">
        <f t="shared" si="22"/>
        <v/>
      </c>
      <c r="P406" s="21" t="e">
        <f t="shared" si="23"/>
        <v>#VALUE!</v>
      </c>
    </row>
    <row r="407" spans="1:16" hidden="1" x14ac:dyDescent="0.25">
      <c r="A407" s="8"/>
      <c r="B407" s="11"/>
      <c r="E407" s="11"/>
      <c r="F407" s="2"/>
      <c r="G407" s="2"/>
      <c r="H407" s="2"/>
      <c r="I407" s="11"/>
      <c r="J407" s="2"/>
      <c r="L407" s="14"/>
      <c r="M407" s="6"/>
      <c r="N407" s="5"/>
      <c r="O407" s="5" t="str">
        <f t="shared" ref="O407:O470" si="24">RIGHT(C407,2)</f>
        <v/>
      </c>
      <c r="P407" s="21" t="e">
        <f t="shared" ref="P407:P470" si="25">42522+O407+29</f>
        <v>#VALUE!</v>
      </c>
    </row>
    <row r="408" spans="1:16" hidden="1" x14ac:dyDescent="0.25">
      <c r="A408" s="8"/>
      <c r="B408" s="11"/>
      <c r="E408" s="11"/>
      <c r="F408" s="2"/>
      <c r="G408" s="2"/>
      <c r="H408" s="2"/>
      <c r="I408" s="11"/>
      <c r="J408" s="2"/>
      <c r="L408" s="14"/>
      <c r="M408" s="6"/>
      <c r="N408" s="5"/>
      <c r="O408" s="5" t="str">
        <f t="shared" si="24"/>
        <v/>
      </c>
      <c r="P408" s="21" t="e">
        <f t="shared" si="25"/>
        <v>#VALUE!</v>
      </c>
    </row>
    <row r="409" spans="1:16" hidden="1" x14ac:dyDescent="0.25">
      <c r="A409" s="8"/>
      <c r="B409" s="11"/>
      <c r="E409" s="11"/>
      <c r="F409" s="2"/>
      <c r="G409" s="2"/>
      <c r="H409" s="2"/>
      <c r="I409" s="11"/>
      <c r="J409" s="2"/>
      <c r="L409" s="14"/>
      <c r="M409" s="6"/>
      <c r="N409" s="5"/>
      <c r="O409" s="5" t="str">
        <f t="shared" si="24"/>
        <v/>
      </c>
      <c r="P409" s="21" t="e">
        <f t="shared" si="25"/>
        <v>#VALUE!</v>
      </c>
    </row>
    <row r="410" spans="1:16" hidden="1" x14ac:dyDescent="0.25">
      <c r="A410" s="8"/>
      <c r="F410" s="2"/>
      <c r="G410" s="2"/>
      <c r="H410" s="2"/>
      <c r="J410" s="2"/>
      <c r="L410" s="14"/>
      <c r="M410" s="6"/>
      <c r="N410" s="5"/>
      <c r="O410" s="5" t="str">
        <f t="shared" si="24"/>
        <v/>
      </c>
      <c r="P410" s="21" t="e">
        <f t="shared" si="25"/>
        <v>#VALUE!</v>
      </c>
    </row>
    <row r="411" spans="1:16" hidden="1" x14ac:dyDescent="0.25">
      <c r="A411" s="8"/>
      <c r="B411" s="11"/>
      <c r="E411" s="11"/>
      <c r="F411" s="2"/>
      <c r="G411" s="2"/>
      <c r="H411" s="2"/>
      <c r="I411" s="11"/>
      <c r="J411" s="2"/>
      <c r="L411" s="14"/>
      <c r="M411" s="6"/>
      <c r="N411" s="5"/>
      <c r="O411" s="5" t="str">
        <f t="shared" si="24"/>
        <v/>
      </c>
      <c r="P411" s="21" t="e">
        <f t="shared" si="25"/>
        <v>#VALUE!</v>
      </c>
    </row>
    <row r="412" spans="1:16" hidden="1" x14ac:dyDescent="0.25">
      <c r="A412" s="8"/>
      <c r="B412" s="11"/>
      <c r="E412" s="11"/>
      <c r="F412" s="2"/>
      <c r="G412" s="2"/>
      <c r="H412" s="2"/>
      <c r="I412" s="11"/>
      <c r="J412" s="2"/>
      <c r="L412" s="14"/>
      <c r="M412" s="6"/>
      <c r="N412" s="5"/>
      <c r="O412" s="5" t="str">
        <f t="shared" si="24"/>
        <v/>
      </c>
      <c r="P412" s="21" t="e">
        <f t="shared" si="25"/>
        <v>#VALUE!</v>
      </c>
    </row>
    <row r="413" spans="1:16" hidden="1" x14ac:dyDescent="0.25">
      <c r="A413" s="8"/>
      <c r="B413" s="11"/>
      <c r="E413" s="11"/>
      <c r="F413" s="2"/>
      <c r="G413" s="2"/>
      <c r="H413" s="2"/>
      <c r="I413" s="11"/>
      <c r="J413" s="2"/>
      <c r="L413" s="14"/>
      <c r="M413" s="6"/>
      <c r="N413" s="5"/>
      <c r="O413" s="5" t="str">
        <f t="shared" si="24"/>
        <v/>
      </c>
      <c r="P413" s="21" t="e">
        <f t="shared" si="25"/>
        <v>#VALUE!</v>
      </c>
    </row>
    <row r="414" spans="1:16" hidden="1" x14ac:dyDescent="0.25">
      <c r="A414" s="8"/>
      <c r="B414" s="11"/>
      <c r="E414" s="11"/>
      <c r="F414" s="2"/>
      <c r="G414" s="2"/>
      <c r="H414" s="2"/>
      <c r="I414" s="11"/>
      <c r="J414" s="2"/>
      <c r="L414" s="14"/>
      <c r="M414" s="6"/>
      <c r="N414" s="5"/>
      <c r="O414" s="5" t="str">
        <f t="shared" si="24"/>
        <v/>
      </c>
      <c r="P414" s="21" t="e">
        <f t="shared" si="25"/>
        <v>#VALUE!</v>
      </c>
    </row>
    <row r="415" spans="1:16" hidden="1" x14ac:dyDescent="0.25">
      <c r="A415" s="8"/>
      <c r="B415" s="11"/>
      <c r="E415" s="11"/>
      <c r="F415" s="2"/>
      <c r="G415" s="2"/>
      <c r="H415" s="2"/>
      <c r="I415" s="11"/>
      <c r="J415" s="2"/>
      <c r="L415" s="14"/>
      <c r="M415" s="6"/>
      <c r="N415" s="5"/>
      <c r="O415" s="5" t="str">
        <f t="shared" si="24"/>
        <v/>
      </c>
      <c r="P415" s="21" t="e">
        <f t="shared" si="25"/>
        <v>#VALUE!</v>
      </c>
    </row>
    <row r="416" spans="1:16" hidden="1" x14ac:dyDescent="0.25">
      <c r="A416" s="8"/>
      <c r="B416" s="11"/>
      <c r="E416" s="11"/>
      <c r="F416" s="2"/>
      <c r="G416" s="2"/>
      <c r="H416" s="2"/>
      <c r="I416" s="11"/>
      <c r="J416" s="2"/>
      <c r="L416" s="14"/>
      <c r="M416" s="6"/>
      <c r="N416" s="5"/>
      <c r="O416" s="5" t="str">
        <f t="shared" si="24"/>
        <v/>
      </c>
      <c r="P416" s="21" t="e">
        <f t="shared" si="25"/>
        <v>#VALUE!</v>
      </c>
    </row>
    <row r="417" spans="1:23" hidden="1" x14ac:dyDescent="0.25">
      <c r="A417" s="8"/>
      <c r="B417" s="11"/>
      <c r="E417" s="11"/>
      <c r="F417" s="2"/>
      <c r="G417" s="2"/>
      <c r="H417" s="2"/>
      <c r="I417" s="11"/>
      <c r="J417" s="2"/>
      <c r="L417" s="14"/>
      <c r="M417" s="6"/>
      <c r="N417" s="5"/>
      <c r="O417" s="5" t="str">
        <f t="shared" si="24"/>
        <v/>
      </c>
      <c r="P417" s="21" t="e">
        <f t="shared" si="25"/>
        <v>#VALUE!</v>
      </c>
    </row>
    <row r="418" spans="1:23" hidden="1" x14ac:dyDescent="0.25">
      <c r="A418" s="8"/>
      <c r="B418" s="11"/>
      <c r="E418" s="11"/>
      <c r="F418" s="2"/>
      <c r="G418" s="2"/>
      <c r="H418" s="2"/>
      <c r="I418" s="11"/>
      <c r="J418" s="2"/>
      <c r="L418" s="14"/>
      <c r="M418" s="6"/>
      <c r="N418" s="5"/>
      <c r="O418" s="5" t="str">
        <f t="shared" si="24"/>
        <v/>
      </c>
      <c r="P418" s="21" t="e">
        <f t="shared" si="25"/>
        <v>#VALUE!</v>
      </c>
    </row>
    <row r="419" spans="1:23" hidden="1" x14ac:dyDescent="0.25">
      <c r="A419" s="8"/>
      <c r="B419" s="11"/>
      <c r="E419" s="11"/>
      <c r="F419" s="2"/>
      <c r="G419" s="2"/>
      <c r="H419" s="2"/>
      <c r="I419" s="11"/>
      <c r="J419" s="2"/>
      <c r="L419" s="14"/>
      <c r="M419" s="6"/>
      <c r="N419" s="5"/>
      <c r="O419" s="5" t="str">
        <f t="shared" si="24"/>
        <v/>
      </c>
      <c r="P419" s="21" t="e">
        <f t="shared" si="25"/>
        <v>#VALUE!</v>
      </c>
    </row>
    <row r="420" spans="1:23" hidden="1" x14ac:dyDescent="0.25">
      <c r="A420" s="8"/>
      <c r="B420" s="11"/>
      <c r="E420" s="11"/>
      <c r="F420" s="2"/>
      <c r="G420" s="2"/>
      <c r="H420" s="2"/>
      <c r="I420" s="11"/>
      <c r="J420" s="2"/>
      <c r="L420" s="14"/>
      <c r="M420" s="6"/>
      <c r="N420" s="5"/>
      <c r="O420" s="5" t="str">
        <f t="shared" si="24"/>
        <v/>
      </c>
      <c r="P420" s="21" t="e">
        <f t="shared" si="25"/>
        <v>#VALUE!</v>
      </c>
    </row>
    <row r="421" spans="1:23" hidden="1" x14ac:dyDescent="0.25">
      <c r="A421" s="8"/>
      <c r="B421" s="11"/>
      <c r="E421" s="11"/>
      <c r="F421" s="2"/>
      <c r="G421" s="2"/>
      <c r="H421" s="2"/>
      <c r="I421" s="11"/>
      <c r="J421" s="2"/>
      <c r="L421" s="14"/>
      <c r="M421" s="6"/>
      <c r="N421" s="5"/>
      <c r="O421" s="5" t="str">
        <f t="shared" si="24"/>
        <v/>
      </c>
      <c r="P421" s="21" t="e">
        <f t="shared" si="25"/>
        <v>#VALUE!</v>
      </c>
    </row>
    <row r="422" spans="1:23" hidden="1" x14ac:dyDescent="0.25">
      <c r="A422" s="8"/>
      <c r="B422" s="11"/>
      <c r="E422" s="11"/>
      <c r="F422" s="2"/>
      <c r="G422" s="2"/>
      <c r="H422" s="2"/>
      <c r="I422" s="11"/>
      <c r="J422" s="2"/>
      <c r="L422" s="14"/>
      <c r="M422" s="6"/>
      <c r="N422" s="5"/>
      <c r="O422" s="5" t="str">
        <f t="shared" si="24"/>
        <v/>
      </c>
      <c r="P422" s="21" t="e">
        <f t="shared" si="25"/>
        <v>#VALUE!</v>
      </c>
    </row>
    <row r="423" spans="1:23" hidden="1" x14ac:dyDescent="0.25">
      <c r="A423" s="8"/>
      <c r="B423" s="11"/>
      <c r="E423" s="11"/>
      <c r="F423" s="2"/>
      <c r="G423" s="2"/>
      <c r="H423" s="2"/>
      <c r="I423" s="11"/>
      <c r="J423" s="2"/>
      <c r="L423" s="14"/>
      <c r="M423" s="6"/>
      <c r="N423" s="5"/>
      <c r="O423" s="5" t="str">
        <f t="shared" si="24"/>
        <v/>
      </c>
      <c r="P423" s="21" t="e">
        <f t="shared" si="25"/>
        <v>#VALUE!</v>
      </c>
    </row>
    <row r="424" spans="1:23" hidden="1" x14ac:dyDescent="0.25">
      <c r="A424" s="8"/>
      <c r="B424" s="11"/>
      <c r="E424" s="11"/>
      <c r="F424" s="2"/>
      <c r="G424" s="2"/>
      <c r="H424" s="2"/>
      <c r="I424" s="11"/>
      <c r="J424" s="2"/>
      <c r="L424" s="14"/>
      <c r="M424" s="6"/>
      <c r="N424" s="5"/>
      <c r="O424" s="5" t="str">
        <f t="shared" si="24"/>
        <v/>
      </c>
      <c r="P424" s="21" t="e">
        <f t="shared" si="25"/>
        <v>#VALUE!</v>
      </c>
    </row>
    <row r="425" spans="1:23" hidden="1" x14ac:dyDescent="0.25">
      <c r="A425" s="8"/>
      <c r="F425" s="2"/>
      <c r="G425" s="2"/>
      <c r="H425" s="2"/>
      <c r="J425" s="2"/>
      <c r="L425" s="14"/>
      <c r="M425" s="6"/>
      <c r="N425" s="5"/>
      <c r="O425" s="5" t="str">
        <f t="shared" si="24"/>
        <v/>
      </c>
      <c r="P425" s="21" t="e">
        <f t="shared" si="25"/>
        <v>#VALUE!</v>
      </c>
    </row>
    <row r="426" spans="1:23" hidden="1" x14ac:dyDescent="0.25">
      <c r="A426" s="8"/>
      <c r="B426" s="11"/>
      <c r="E426" s="11"/>
      <c r="F426" s="2"/>
      <c r="G426" s="2"/>
      <c r="H426" s="2"/>
      <c r="I426" s="11"/>
      <c r="J426" s="2"/>
      <c r="L426" s="14"/>
      <c r="M426" s="6"/>
      <c r="N426" s="5"/>
      <c r="O426" s="5" t="str">
        <f t="shared" si="24"/>
        <v/>
      </c>
      <c r="P426" s="21" t="e">
        <f t="shared" si="25"/>
        <v>#VALUE!</v>
      </c>
    </row>
    <row r="427" spans="1:23" hidden="1" x14ac:dyDescent="0.25">
      <c r="A427" s="8"/>
      <c r="B427" s="11"/>
      <c r="E427" s="11"/>
      <c r="F427" s="2"/>
      <c r="G427" s="2"/>
      <c r="H427" s="2"/>
      <c r="I427" s="11"/>
      <c r="J427" s="2"/>
      <c r="L427" s="14"/>
      <c r="M427" s="6"/>
      <c r="N427" s="5"/>
      <c r="O427" s="5" t="str">
        <f t="shared" si="24"/>
        <v/>
      </c>
      <c r="P427" s="21" t="e">
        <f t="shared" si="25"/>
        <v>#VALUE!</v>
      </c>
    </row>
    <row r="428" spans="1:23" hidden="1" x14ac:dyDescent="0.25">
      <c r="A428" s="8"/>
      <c r="B428" s="11"/>
      <c r="E428" s="11"/>
      <c r="F428" s="2"/>
      <c r="G428" s="2"/>
      <c r="H428" s="2"/>
      <c r="I428" s="11"/>
      <c r="J428" s="2"/>
      <c r="L428" s="14"/>
      <c r="M428" s="6"/>
      <c r="N428" s="5"/>
      <c r="O428" s="5" t="str">
        <f t="shared" si="24"/>
        <v/>
      </c>
      <c r="P428" s="21" t="e">
        <f t="shared" si="25"/>
        <v>#VALUE!</v>
      </c>
    </row>
    <row r="429" spans="1:23" hidden="1" x14ac:dyDescent="0.25">
      <c r="A429" s="8"/>
      <c r="B429" s="11"/>
      <c r="E429" s="11"/>
      <c r="F429" s="2"/>
      <c r="G429" s="2"/>
      <c r="H429" s="2"/>
      <c r="I429" s="11"/>
      <c r="J429" s="2"/>
      <c r="L429" s="14"/>
      <c r="M429" s="6"/>
      <c r="N429" s="5"/>
      <c r="O429" s="5" t="str">
        <f t="shared" si="24"/>
        <v/>
      </c>
      <c r="P429" s="21" t="e">
        <f t="shared" si="25"/>
        <v>#VALUE!</v>
      </c>
    </row>
    <row r="430" spans="1:23" hidden="1" x14ac:dyDescent="0.25">
      <c r="A430" s="8"/>
      <c r="B430" s="11"/>
      <c r="E430" s="11"/>
      <c r="F430" s="2"/>
      <c r="G430" s="2"/>
      <c r="H430" s="2"/>
      <c r="I430" s="11"/>
      <c r="J430" s="2"/>
      <c r="L430" s="14"/>
      <c r="M430" s="6"/>
      <c r="N430" s="5"/>
      <c r="O430" s="5" t="str">
        <f t="shared" si="24"/>
        <v/>
      </c>
      <c r="P430" s="21" t="e">
        <f t="shared" si="25"/>
        <v>#VALUE!</v>
      </c>
    </row>
    <row r="431" spans="1:23" hidden="1" x14ac:dyDescent="0.25">
      <c r="A431" s="8"/>
      <c r="B431" s="11"/>
      <c r="E431" s="11"/>
      <c r="F431" s="2"/>
      <c r="G431" s="2"/>
      <c r="H431" s="2"/>
      <c r="I431" s="11"/>
      <c r="J431" s="2"/>
      <c r="L431" s="14"/>
      <c r="M431" s="6"/>
      <c r="N431" s="5"/>
      <c r="O431" s="5" t="str">
        <f t="shared" si="24"/>
        <v/>
      </c>
      <c r="P431" s="21" t="e">
        <f t="shared" si="25"/>
        <v>#VALUE!</v>
      </c>
      <c r="R431" s="13"/>
      <c r="S431" s="13"/>
      <c r="T431" s="13"/>
      <c r="U431" s="13"/>
      <c r="V431" s="13"/>
      <c r="W431" s="13"/>
    </row>
    <row r="432" spans="1:23" hidden="1" x14ac:dyDescent="0.25">
      <c r="A432" s="8"/>
      <c r="B432" s="11"/>
      <c r="E432" s="11"/>
      <c r="F432" s="2"/>
      <c r="G432" s="2"/>
      <c r="H432" s="2"/>
      <c r="I432" s="11"/>
      <c r="J432" s="2"/>
      <c r="L432" s="14"/>
      <c r="M432" s="6"/>
      <c r="N432" s="5"/>
      <c r="O432" s="5" t="str">
        <f t="shared" si="24"/>
        <v/>
      </c>
      <c r="P432" s="21" t="e">
        <f t="shared" si="25"/>
        <v>#VALUE!</v>
      </c>
      <c r="R432" s="13"/>
      <c r="S432" s="13"/>
      <c r="T432" s="13"/>
      <c r="U432" s="13"/>
      <c r="V432" s="13"/>
      <c r="W432" s="13"/>
    </row>
    <row r="433" spans="1:23" hidden="1" x14ac:dyDescent="0.25">
      <c r="A433" s="8"/>
      <c r="B433" s="11"/>
      <c r="E433" s="11"/>
      <c r="F433" s="2"/>
      <c r="G433" s="2"/>
      <c r="H433" s="2"/>
      <c r="I433" s="11"/>
      <c r="J433" s="2"/>
      <c r="L433" s="14"/>
      <c r="M433" s="6"/>
      <c r="N433" s="5"/>
      <c r="O433" s="5" t="str">
        <f t="shared" si="24"/>
        <v/>
      </c>
      <c r="P433" s="21" t="e">
        <f t="shared" si="25"/>
        <v>#VALUE!</v>
      </c>
      <c r="R433" s="13"/>
      <c r="S433" s="13"/>
      <c r="T433" s="13"/>
      <c r="U433" s="13"/>
      <c r="V433" s="13"/>
      <c r="W433" s="13"/>
    </row>
    <row r="434" spans="1:23" hidden="1" x14ac:dyDescent="0.25">
      <c r="A434" s="8"/>
      <c r="B434" s="11"/>
      <c r="E434" s="11"/>
      <c r="F434" s="2"/>
      <c r="G434" s="2"/>
      <c r="H434" s="2"/>
      <c r="I434" s="11"/>
      <c r="J434" s="2"/>
      <c r="L434" s="14"/>
      <c r="M434" s="6"/>
      <c r="N434" s="5"/>
      <c r="O434" s="5" t="str">
        <f t="shared" si="24"/>
        <v/>
      </c>
      <c r="P434" s="21" t="e">
        <f t="shared" si="25"/>
        <v>#VALUE!</v>
      </c>
      <c r="R434" s="13"/>
      <c r="S434" s="13"/>
      <c r="T434" s="13"/>
      <c r="U434" s="13"/>
      <c r="V434" s="13"/>
      <c r="W434" s="13"/>
    </row>
    <row r="435" spans="1:23" hidden="1" x14ac:dyDescent="0.25">
      <c r="A435" s="8"/>
      <c r="B435" s="11"/>
      <c r="E435" s="11"/>
      <c r="F435" s="2"/>
      <c r="G435" s="2"/>
      <c r="H435" s="2"/>
      <c r="I435" s="11"/>
      <c r="J435" s="2"/>
      <c r="L435" s="14"/>
      <c r="M435" s="6"/>
      <c r="N435" s="5"/>
      <c r="O435" s="5" t="str">
        <f t="shared" si="24"/>
        <v/>
      </c>
      <c r="P435" s="21" t="e">
        <f t="shared" si="25"/>
        <v>#VALUE!</v>
      </c>
      <c r="R435" s="13"/>
      <c r="S435" s="13"/>
      <c r="T435" s="13"/>
      <c r="U435" s="13"/>
      <c r="V435" s="13"/>
      <c r="W435" s="13"/>
    </row>
    <row r="436" spans="1:23" hidden="1" x14ac:dyDescent="0.25">
      <c r="A436" s="8"/>
      <c r="F436" s="2"/>
      <c r="G436" s="2"/>
      <c r="H436" s="2"/>
      <c r="J436" s="2"/>
      <c r="L436" s="14"/>
      <c r="M436" s="6"/>
      <c r="N436" s="5"/>
      <c r="O436" s="5" t="str">
        <f t="shared" si="24"/>
        <v/>
      </c>
      <c r="P436" s="21" t="e">
        <f t="shared" si="25"/>
        <v>#VALUE!</v>
      </c>
      <c r="R436" s="13"/>
      <c r="S436" s="13"/>
      <c r="T436" s="13"/>
      <c r="U436" s="13"/>
      <c r="V436" s="13"/>
      <c r="W436" s="13"/>
    </row>
    <row r="437" spans="1:23" hidden="1" x14ac:dyDescent="0.25">
      <c r="A437" s="8"/>
      <c r="F437" s="2"/>
      <c r="G437" s="2"/>
      <c r="H437" s="2"/>
      <c r="J437" s="2"/>
      <c r="L437" s="14"/>
      <c r="M437" s="6"/>
      <c r="N437" s="5"/>
      <c r="O437" s="5" t="str">
        <f t="shared" si="24"/>
        <v/>
      </c>
      <c r="P437" s="21" t="e">
        <f t="shared" si="25"/>
        <v>#VALUE!</v>
      </c>
      <c r="R437" s="13"/>
      <c r="S437" s="13"/>
      <c r="T437" s="13"/>
      <c r="U437" s="13"/>
      <c r="V437" s="13"/>
      <c r="W437" s="13"/>
    </row>
    <row r="438" spans="1:23" hidden="1" x14ac:dyDescent="0.25">
      <c r="A438" s="8"/>
      <c r="B438" s="11"/>
      <c r="E438" s="11"/>
      <c r="F438" s="2"/>
      <c r="G438" s="2"/>
      <c r="H438" s="2"/>
      <c r="I438" s="11"/>
      <c r="J438" s="2"/>
      <c r="L438" s="14"/>
      <c r="M438" s="6"/>
      <c r="N438" s="5"/>
      <c r="O438" s="5" t="str">
        <f t="shared" si="24"/>
        <v/>
      </c>
      <c r="P438" s="21" t="e">
        <f t="shared" si="25"/>
        <v>#VALUE!</v>
      </c>
      <c r="R438" s="13"/>
      <c r="S438" s="13"/>
      <c r="T438" s="13"/>
      <c r="U438" s="13"/>
      <c r="V438" s="13"/>
      <c r="W438" s="13"/>
    </row>
    <row r="439" spans="1:23" hidden="1" x14ac:dyDescent="0.25">
      <c r="A439" s="8"/>
      <c r="B439" s="11"/>
      <c r="E439" s="11"/>
      <c r="F439" s="2"/>
      <c r="G439" s="2"/>
      <c r="H439" s="2"/>
      <c r="I439" s="11"/>
      <c r="J439" s="2"/>
      <c r="L439" s="14"/>
      <c r="M439" s="6"/>
      <c r="N439" s="5"/>
      <c r="O439" s="5" t="str">
        <f t="shared" si="24"/>
        <v/>
      </c>
      <c r="P439" s="21" t="e">
        <f t="shared" si="25"/>
        <v>#VALUE!</v>
      </c>
      <c r="R439" s="13"/>
      <c r="S439" s="13"/>
      <c r="T439" s="13"/>
      <c r="U439" s="13"/>
      <c r="V439" s="13"/>
      <c r="W439" s="13"/>
    </row>
    <row r="440" spans="1:23" hidden="1" x14ac:dyDescent="0.25">
      <c r="A440" s="8"/>
      <c r="B440" s="11"/>
      <c r="E440" s="11"/>
      <c r="F440" s="2"/>
      <c r="G440" s="2"/>
      <c r="H440" s="2"/>
      <c r="I440" s="11"/>
      <c r="J440" s="2"/>
      <c r="L440" s="14"/>
      <c r="M440" s="6"/>
      <c r="N440" s="5"/>
      <c r="O440" s="5" t="str">
        <f t="shared" si="24"/>
        <v/>
      </c>
      <c r="P440" s="21" t="e">
        <f t="shared" si="25"/>
        <v>#VALUE!</v>
      </c>
      <c r="R440" s="13"/>
      <c r="S440" s="13"/>
      <c r="T440" s="13"/>
      <c r="U440" s="13"/>
      <c r="V440" s="13"/>
      <c r="W440" s="13"/>
    </row>
    <row r="441" spans="1:23" hidden="1" x14ac:dyDescent="0.25">
      <c r="A441" s="8"/>
      <c r="B441" s="11"/>
      <c r="E441" s="11"/>
      <c r="F441" s="2"/>
      <c r="G441" s="2"/>
      <c r="H441" s="2"/>
      <c r="I441" s="11"/>
      <c r="J441" s="2"/>
      <c r="L441" s="14"/>
      <c r="M441" s="6"/>
      <c r="N441" s="5"/>
      <c r="O441" s="5" t="str">
        <f t="shared" si="24"/>
        <v/>
      </c>
      <c r="P441" s="21" t="e">
        <f t="shared" si="25"/>
        <v>#VALUE!</v>
      </c>
      <c r="R441" s="13"/>
      <c r="S441" s="13"/>
      <c r="T441" s="13"/>
      <c r="U441" s="13"/>
      <c r="V441" s="13"/>
      <c r="W441" s="13"/>
    </row>
    <row r="442" spans="1:23" hidden="1" x14ac:dyDescent="0.25">
      <c r="A442" s="8"/>
      <c r="B442" s="11"/>
      <c r="E442" s="11"/>
      <c r="F442" s="2"/>
      <c r="G442" s="2"/>
      <c r="H442" s="2"/>
      <c r="I442" s="11"/>
      <c r="J442" s="2"/>
      <c r="L442" s="14"/>
      <c r="M442" s="6"/>
      <c r="N442" s="5"/>
      <c r="O442" s="5" t="str">
        <f t="shared" si="24"/>
        <v/>
      </c>
      <c r="P442" s="21" t="e">
        <f t="shared" si="25"/>
        <v>#VALUE!</v>
      </c>
      <c r="Q442" s="16"/>
      <c r="R442" s="17"/>
      <c r="S442" s="18"/>
      <c r="T442" s="19"/>
      <c r="U442" s="12"/>
      <c r="V442" s="10"/>
      <c r="W442" s="10"/>
    </row>
    <row r="443" spans="1:23" hidden="1" x14ac:dyDescent="0.25">
      <c r="A443" s="8"/>
      <c r="B443" s="11"/>
      <c r="E443" s="11"/>
      <c r="F443" s="2"/>
      <c r="G443" s="2"/>
      <c r="H443" s="2"/>
      <c r="I443" s="11"/>
      <c r="J443" s="2"/>
      <c r="L443" s="14"/>
      <c r="M443" s="6"/>
      <c r="N443" s="5"/>
      <c r="O443" s="5" t="str">
        <f t="shared" si="24"/>
        <v/>
      </c>
      <c r="P443" s="21" t="e">
        <f t="shared" si="25"/>
        <v>#VALUE!</v>
      </c>
      <c r="Q443" s="16"/>
      <c r="R443" s="17"/>
      <c r="S443" s="18"/>
      <c r="T443" s="19"/>
      <c r="U443" s="12"/>
      <c r="V443" s="10"/>
      <c r="W443" s="10"/>
    </row>
    <row r="444" spans="1:23" hidden="1" x14ac:dyDescent="0.25">
      <c r="A444" s="8"/>
      <c r="B444" s="11"/>
      <c r="E444" s="11"/>
      <c r="F444" s="2"/>
      <c r="G444" s="2"/>
      <c r="H444" s="2"/>
      <c r="I444" s="11"/>
      <c r="J444" s="2"/>
      <c r="L444" s="14"/>
      <c r="M444" s="6"/>
      <c r="N444" s="5"/>
      <c r="O444" s="5" t="str">
        <f t="shared" si="24"/>
        <v/>
      </c>
      <c r="P444" s="21" t="e">
        <f t="shared" si="25"/>
        <v>#VALUE!</v>
      </c>
      <c r="Q444" s="16"/>
      <c r="R444" s="17"/>
      <c r="S444" s="18"/>
      <c r="T444" s="19"/>
      <c r="U444" s="12"/>
      <c r="V444" s="10"/>
      <c r="W444" s="10"/>
    </row>
    <row r="445" spans="1:23" hidden="1" x14ac:dyDescent="0.25">
      <c r="A445" s="8"/>
      <c r="B445" s="11"/>
      <c r="E445" s="11"/>
      <c r="F445" s="2"/>
      <c r="G445" s="2"/>
      <c r="H445" s="2"/>
      <c r="I445" s="11"/>
      <c r="J445" s="2"/>
      <c r="L445" s="14"/>
      <c r="M445" s="6"/>
      <c r="N445" s="5"/>
      <c r="O445" s="5" t="str">
        <f t="shared" si="24"/>
        <v/>
      </c>
      <c r="P445" s="21" t="e">
        <f t="shared" si="25"/>
        <v>#VALUE!</v>
      </c>
      <c r="Q445" s="16"/>
      <c r="R445" s="17"/>
      <c r="S445" s="18"/>
      <c r="T445" s="19"/>
      <c r="U445" s="12"/>
      <c r="V445" s="10"/>
      <c r="W445" s="10"/>
    </row>
    <row r="446" spans="1:23" hidden="1" x14ac:dyDescent="0.25">
      <c r="A446" s="8"/>
      <c r="B446" s="11"/>
      <c r="E446" s="11"/>
      <c r="F446" s="2"/>
      <c r="G446" s="2"/>
      <c r="H446" s="2"/>
      <c r="I446" s="11"/>
      <c r="J446" s="2"/>
      <c r="L446" s="14"/>
      <c r="M446" s="6"/>
      <c r="N446" s="5"/>
      <c r="O446" s="5" t="str">
        <f t="shared" si="24"/>
        <v/>
      </c>
      <c r="P446" s="21" t="e">
        <f t="shared" si="25"/>
        <v>#VALUE!</v>
      </c>
      <c r="Q446" s="16"/>
      <c r="R446" s="17"/>
      <c r="S446" s="18"/>
      <c r="T446" s="19"/>
      <c r="U446" s="12"/>
      <c r="V446" s="10"/>
      <c r="W446" s="10"/>
    </row>
    <row r="447" spans="1:23" hidden="1" x14ac:dyDescent="0.25">
      <c r="A447" s="8"/>
      <c r="B447" s="11"/>
      <c r="E447" s="11"/>
      <c r="F447" s="2"/>
      <c r="G447" s="2"/>
      <c r="H447" s="2"/>
      <c r="I447" s="11"/>
      <c r="J447" s="2"/>
      <c r="L447" s="14"/>
      <c r="M447" s="6"/>
      <c r="N447" s="5"/>
      <c r="O447" s="5" t="str">
        <f t="shared" si="24"/>
        <v/>
      </c>
      <c r="P447" s="21" t="e">
        <f t="shared" si="25"/>
        <v>#VALUE!</v>
      </c>
      <c r="Q447" s="16"/>
      <c r="R447" s="17"/>
      <c r="S447" s="18"/>
      <c r="T447" s="19"/>
      <c r="U447" s="12"/>
      <c r="V447" s="10"/>
      <c r="W447" s="10"/>
    </row>
    <row r="448" spans="1:23" hidden="1" x14ac:dyDescent="0.25">
      <c r="A448" s="8"/>
      <c r="B448" s="11"/>
      <c r="E448" s="11"/>
      <c r="F448" s="2"/>
      <c r="G448" s="2"/>
      <c r="H448" s="2"/>
      <c r="I448" s="11"/>
      <c r="J448" s="2"/>
      <c r="L448" s="14"/>
      <c r="M448" s="6"/>
      <c r="N448" s="5"/>
      <c r="O448" s="5" t="str">
        <f t="shared" si="24"/>
        <v/>
      </c>
      <c r="P448" s="21" t="e">
        <f t="shared" si="25"/>
        <v>#VALUE!</v>
      </c>
      <c r="Q448" s="16"/>
      <c r="R448" s="17"/>
      <c r="S448" s="18"/>
      <c r="T448" s="19"/>
      <c r="U448" s="12"/>
      <c r="V448" s="10"/>
      <c r="W448" s="10"/>
    </row>
    <row r="449" spans="1:23" hidden="1" x14ac:dyDescent="0.25">
      <c r="A449" s="8"/>
      <c r="B449" s="11"/>
      <c r="E449" s="11"/>
      <c r="F449" s="2"/>
      <c r="G449" s="2"/>
      <c r="H449" s="2"/>
      <c r="I449" s="11"/>
      <c r="J449" s="2"/>
      <c r="L449" s="14"/>
      <c r="M449" s="6"/>
      <c r="N449" s="5"/>
      <c r="O449" s="5" t="str">
        <f t="shared" si="24"/>
        <v/>
      </c>
      <c r="P449" s="21" t="e">
        <f t="shared" si="25"/>
        <v>#VALUE!</v>
      </c>
      <c r="Q449" s="16"/>
      <c r="R449" s="17"/>
      <c r="S449" s="18"/>
      <c r="T449" s="19"/>
      <c r="U449" s="12"/>
      <c r="V449" s="10"/>
      <c r="W449" s="10"/>
    </row>
    <row r="450" spans="1:23" hidden="1" x14ac:dyDescent="0.25">
      <c r="A450" s="8"/>
      <c r="B450" s="11"/>
      <c r="E450" s="11"/>
      <c r="F450" s="2"/>
      <c r="G450" s="2"/>
      <c r="H450" s="2"/>
      <c r="I450" s="11"/>
      <c r="J450" s="2"/>
      <c r="L450" s="14"/>
      <c r="M450" s="6"/>
      <c r="N450" s="5"/>
      <c r="O450" s="5" t="str">
        <f t="shared" si="24"/>
        <v/>
      </c>
      <c r="P450" s="21" t="e">
        <f t="shared" si="25"/>
        <v>#VALUE!</v>
      </c>
      <c r="Q450" s="16"/>
      <c r="R450" s="17"/>
      <c r="S450" s="18"/>
      <c r="T450" s="19"/>
      <c r="U450" s="12"/>
      <c r="V450" s="10"/>
      <c r="W450" s="10"/>
    </row>
    <row r="451" spans="1:23" hidden="1" x14ac:dyDescent="0.25">
      <c r="A451" s="8"/>
      <c r="B451" s="11"/>
      <c r="E451" s="11"/>
      <c r="F451" s="2"/>
      <c r="G451" s="2"/>
      <c r="H451" s="2"/>
      <c r="I451" s="11"/>
      <c r="J451" s="2"/>
      <c r="L451" s="14"/>
      <c r="M451" s="6"/>
      <c r="N451" s="5"/>
      <c r="O451" s="5" t="str">
        <f t="shared" si="24"/>
        <v/>
      </c>
      <c r="P451" s="21" t="e">
        <f t="shared" si="25"/>
        <v>#VALUE!</v>
      </c>
      <c r="Q451" s="16"/>
      <c r="R451" s="17"/>
      <c r="S451" s="18"/>
      <c r="T451" s="19"/>
      <c r="U451" s="12"/>
      <c r="V451" s="10"/>
      <c r="W451" s="10"/>
    </row>
    <row r="452" spans="1:23" hidden="1" x14ac:dyDescent="0.25">
      <c r="A452" s="8"/>
      <c r="B452" s="11"/>
      <c r="E452" s="11"/>
      <c r="F452" s="2"/>
      <c r="G452" s="2"/>
      <c r="H452" s="2"/>
      <c r="I452" s="11"/>
      <c r="J452" s="2"/>
      <c r="L452" s="14"/>
      <c r="M452" s="6"/>
      <c r="N452" s="5"/>
      <c r="O452" s="5" t="str">
        <f t="shared" si="24"/>
        <v/>
      </c>
      <c r="P452" s="21" t="e">
        <f t="shared" si="25"/>
        <v>#VALUE!</v>
      </c>
      <c r="Q452" s="16"/>
      <c r="R452" s="17"/>
      <c r="S452" s="18"/>
      <c r="T452" s="19"/>
      <c r="U452" s="12"/>
      <c r="V452" s="10"/>
      <c r="W452" s="10"/>
    </row>
    <row r="453" spans="1:23" hidden="1" x14ac:dyDescent="0.25">
      <c r="A453" s="8"/>
      <c r="B453" s="11"/>
      <c r="E453" s="11"/>
      <c r="F453" s="2"/>
      <c r="G453" s="2"/>
      <c r="H453" s="2"/>
      <c r="I453" s="11"/>
      <c r="J453" s="2"/>
      <c r="L453" s="14"/>
      <c r="M453" s="6"/>
      <c r="N453" s="5"/>
      <c r="O453" s="5" t="str">
        <f t="shared" si="24"/>
        <v/>
      </c>
      <c r="P453" s="21" t="e">
        <f t="shared" si="25"/>
        <v>#VALUE!</v>
      </c>
      <c r="Q453" s="16"/>
      <c r="R453" s="17"/>
      <c r="S453" s="18"/>
      <c r="T453" s="19"/>
      <c r="U453" s="12"/>
      <c r="V453" s="10"/>
      <c r="W453" s="10"/>
    </row>
    <row r="454" spans="1:23" hidden="1" x14ac:dyDescent="0.25">
      <c r="A454" s="8"/>
      <c r="B454" s="11"/>
      <c r="E454" s="11"/>
      <c r="F454" s="2"/>
      <c r="G454" s="2"/>
      <c r="H454" s="2"/>
      <c r="I454" s="11"/>
      <c r="J454" s="2"/>
      <c r="L454" s="14"/>
      <c r="M454" s="6"/>
      <c r="N454" s="5"/>
      <c r="O454" s="5" t="str">
        <f t="shared" si="24"/>
        <v/>
      </c>
      <c r="P454" s="21" t="e">
        <f t="shared" si="25"/>
        <v>#VALUE!</v>
      </c>
      <c r="Q454" s="16"/>
      <c r="R454" s="17"/>
      <c r="S454" s="18"/>
      <c r="T454" s="19"/>
      <c r="U454" s="12"/>
      <c r="V454" s="10"/>
      <c r="W454" s="10"/>
    </row>
    <row r="455" spans="1:23" hidden="1" x14ac:dyDescent="0.25">
      <c r="A455" s="8"/>
      <c r="B455" s="11"/>
      <c r="E455" s="11"/>
      <c r="F455" s="2"/>
      <c r="G455" s="2"/>
      <c r="H455" s="2"/>
      <c r="I455" s="11"/>
      <c r="J455" s="2"/>
      <c r="L455" s="14"/>
      <c r="M455" s="6"/>
      <c r="N455" s="5"/>
      <c r="O455" s="5" t="str">
        <f t="shared" si="24"/>
        <v/>
      </c>
      <c r="P455" s="21" t="e">
        <f t="shared" si="25"/>
        <v>#VALUE!</v>
      </c>
      <c r="Q455" s="16"/>
      <c r="R455" s="17"/>
      <c r="S455" s="18"/>
      <c r="T455" s="19"/>
      <c r="U455" s="12"/>
      <c r="V455" s="10"/>
      <c r="W455" s="10"/>
    </row>
    <row r="456" spans="1:23" hidden="1" x14ac:dyDescent="0.25">
      <c r="A456" s="8"/>
      <c r="B456" s="11"/>
      <c r="E456" s="11"/>
      <c r="F456" s="2"/>
      <c r="G456" s="2"/>
      <c r="H456" s="2"/>
      <c r="I456" s="11"/>
      <c r="J456" s="2"/>
      <c r="L456" s="14"/>
      <c r="M456" s="6"/>
      <c r="N456" s="5"/>
      <c r="O456" s="5" t="str">
        <f t="shared" si="24"/>
        <v/>
      </c>
      <c r="P456" s="21" t="e">
        <f t="shared" si="25"/>
        <v>#VALUE!</v>
      </c>
      <c r="Q456" s="16"/>
      <c r="R456" s="17"/>
      <c r="S456" s="18"/>
      <c r="T456" s="19"/>
      <c r="U456" s="12"/>
      <c r="V456" s="10"/>
      <c r="W456" s="10"/>
    </row>
    <row r="457" spans="1:23" hidden="1" x14ac:dyDescent="0.25">
      <c r="A457" s="8"/>
      <c r="B457" s="11"/>
      <c r="E457" s="11"/>
      <c r="F457" s="2"/>
      <c r="G457" s="2"/>
      <c r="H457" s="2"/>
      <c r="I457" s="11"/>
      <c r="J457" s="2"/>
      <c r="L457" s="14"/>
      <c r="M457" s="6"/>
      <c r="N457" s="5"/>
      <c r="O457" s="5" t="str">
        <f t="shared" si="24"/>
        <v/>
      </c>
      <c r="P457" s="21" t="e">
        <f t="shared" si="25"/>
        <v>#VALUE!</v>
      </c>
      <c r="Q457" s="16"/>
      <c r="R457" s="17"/>
      <c r="S457" s="18"/>
      <c r="T457" s="19"/>
      <c r="U457" s="12"/>
      <c r="V457" s="10"/>
      <c r="W457" s="10"/>
    </row>
    <row r="458" spans="1:23" hidden="1" x14ac:dyDescent="0.25">
      <c r="A458" s="8"/>
      <c r="B458" s="11"/>
      <c r="E458" s="11"/>
      <c r="F458" s="2"/>
      <c r="G458" s="2"/>
      <c r="H458" s="2"/>
      <c r="I458" s="11"/>
      <c r="J458" s="2"/>
      <c r="L458" s="14"/>
      <c r="M458" s="6"/>
      <c r="N458" s="5"/>
      <c r="O458" s="5" t="str">
        <f t="shared" si="24"/>
        <v/>
      </c>
      <c r="P458" s="21" t="e">
        <f t="shared" si="25"/>
        <v>#VALUE!</v>
      </c>
      <c r="Q458" s="16"/>
      <c r="R458" s="17"/>
      <c r="S458" s="18"/>
      <c r="T458" s="19"/>
      <c r="U458" s="12"/>
      <c r="V458" s="10"/>
      <c r="W458" s="10"/>
    </row>
    <row r="459" spans="1:23" hidden="1" x14ac:dyDescent="0.25">
      <c r="A459" s="8"/>
      <c r="F459" s="2"/>
      <c r="G459" s="2"/>
      <c r="H459" s="2"/>
      <c r="J459" s="2"/>
      <c r="L459" s="14"/>
      <c r="M459" s="6"/>
      <c r="N459" s="5"/>
      <c r="O459" s="5" t="str">
        <f t="shared" si="24"/>
        <v/>
      </c>
      <c r="P459" s="21" t="e">
        <f t="shared" si="25"/>
        <v>#VALUE!</v>
      </c>
      <c r="Q459" s="16"/>
      <c r="R459" s="17"/>
      <c r="S459" s="18"/>
      <c r="T459" s="19"/>
      <c r="U459" s="12"/>
      <c r="V459" s="10"/>
      <c r="W459" s="10"/>
    </row>
    <row r="460" spans="1:23" hidden="1" x14ac:dyDescent="0.25">
      <c r="A460" s="8"/>
      <c r="B460" s="11"/>
      <c r="E460" s="11"/>
      <c r="F460" s="2"/>
      <c r="G460" s="2"/>
      <c r="H460" s="2"/>
      <c r="I460" s="11"/>
      <c r="J460" s="2"/>
      <c r="L460" s="14"/>
      <c r="M460" s="6"/>
      <c r="N460" s="5"/>
      <c r="O460" s="5" t="str">
        <f t="shared" si="24"/>
        <v/>
      </c>
      <c r="P460" s="21" t="e">
        <f t="shared" si="25"/>
        <v>#VALUE!</v>
      </c>
      <c r="Q460" s="16"/>
      <c r="R460" s="17"/>
      <c r="S460" s="18"/>
      <c r="T460" s="19"/>
      <c r="U460" s="12"/>
      <c r="V460" s="10"/>
      <c r="W460" s="10"/>
    </row>
    <row r="461" spans="1:23" hidden="1" x14ac:dyDescent="0.25">
      <c r="A461" s="8"/>
      <c r="F461" s="2"/>
      <c r="G461" s="2"/>
      <c r="H461" s="2"/>
      <c r="J461" s="2"/>
      <c r="L461" s="14"/>
      <c r="M461" s="6"/>
      <c r="N461" s="5"/>
      <c r="O461" s="5" t="str">
        <f t="shared" si="24"/>
        <v/>
      </c>
      <c r="P461" s="21" t="e">
        <f t="shared" si="25"/>
        <v>#VALUE!</v>
      </c>
      <c r="Q461" s="16"/>
      <c r="R461" s="17"/>
      <c r="S461" s="18"/>
      <c r="T461" s="19"/>
      <c r="U461" s="12"/>
      <c r="V461" s="10"/>
      <c r="W461" s="10"/>
    </row>
    <row r="462" spans="1:23" hidden="1" x14ac:dyDescent="0.25">
      <c r="A462" s="8"/>
      <c r="B462" s="11"/>
      <c r="E462" s="11"/>
      <c r="F462" s="2"/>
      <c r="G462" s="2"/>
      <c r="H462" s="2"/>
      <c r="I462" s="11"/>
      <c r="J462" s="2"/>
      <c r="L462" s="14"/>
      <c r="M462" s="6"/>
      <c r="N462" s="5"/>
      <c r="O462" s="5" t="str">
        <f t="shared" si="24"/>
        <v/>
      </c>
      <c r="P462" s="21" t="e">
        <f t="shared" si="25"/>
        <v>#VALUE!</v>
      </c>
      <c r="Q462" s="16"/>
      <c r="R462" s="17"/>
      <c r="S462" s="18"/>
      <c r="T462" s="19"/>
      <c r="U462" s="12"/>
      <c r="V462" s="10"/>
      <c r="W462" s="10"/>
    </row>
    <row r="463" spans="1:23" hidden="1" x14ac:dyDescent="0.25">
      <c r="A463" s="8"/>
      <c r="B463" s="11"/>
      <c r="E463" s="11"/>
      <c r="F463" s="2"/>
      <c r="G463" s="2"/>
      <c r="H463" s="2"/>
      <c r="I463" s="11"/>
      <c r="J463" s="2"/>
      <c r="L463" s="14"/>
      <c r="M463" s="6"/>
      <c r="N463" s="5"/>
      <c r="O463" s="5" t="str">
        <f t="shared" si="24"/>
        <v/>
      </c>
      <c r="P463" s="21" t="e">
        <f t="shared" si="25"/>
        <v>#VALUE!</v>
      </c>
      <c r="Q463" s="16"/>
      <c r="R463" s="17"/>
      <c r="S463" s="18"/>
      <c r="T463" s="19"/>
      <c r="U463" s="12"/>
      <c r="V463" s="10"/>
      <c r="W463" s="10"/>
    </row>
    <row r="464" spans="1:23" hidden="1" x14ac:dyDescent="0.25">
      <c r="A464" s="8"/>
      <c r="F464" s="2"/>
      <c r="G464" s="2"/>
      <c r="H464" s="2"/>
      <c r="J464" s="2"/>
      <c r="L464" s="14"/>
      <c r="M464" s="6"/>
      <c r="N464" s="5"/>
      <c r="O464" s="5" t="str">
        <f t="shared" si="24"/>
        <v/>
      </c>
      <c r="P464" s="21" t="e">
        <f t="shared" si="25"/>
        <v>#VALUE!</v>
      </c>
      <c r="Q464" s="16"/>
      <c r="R464" s="17"/>
      <c r="S464" s="18"/>
      <c r="T464" s="19"/>
      <c r="U464" s="12"/>
      <c r="V464" s="10"/>
      <c r="W464" s="10"/>
    </row>
    <row r="465" spans="1:23" hidden="1" x14ac:dyDescent="0.25">
      <c r="A465" s="8"/>
      <c r="B465" s="11"/>
      <c r="E465" s="11"/>
      <c r="F465" s="2"/>
      <c r="G465" s="2"/>
      <c r="H465" s="2"/>
      <c r="I465" s="11"/>
      <c r="J465" s="2"/>
      <c r="L465" s="14"/>
      <c r="M465" s="6"/>
      <c r="N465" s="5"/>
      <c r="O465" s="5" t="str">
        <f t="shared" si="24"/>
        <v/>
      </c>
      <c r="P465" s="21" t="e">
        <f t="shared" si="25"/>
        <v>#VALUE!</v>
      </c>
      <c r="Q465" s="16"/>
      <c r="R465" s="17"/>
      <c r="S465" s="18"/>
      <c r="T465" s="19"/>
      <c r="U465" s="12"/>
      <c r="V465" s="10"/>
      <c r="W465" s="10"/>
    </row>
    <row r="466" spans="1:23" hidden="1" x14ac:dyDescent="0.25">
      <c r="A466" s="8"/>
      <c r="B466" s="11"/>
      <c r="E466" s="11"/>
      <c r="F466" s="2"/>
      <c r="G466" s="2"/>
      <c r="H466" s="2"/>
      <c r="I466" s="11"/>
      <c r="J466" s="2"/>
      <c r="L466" s="14"/>
      <c r="M466" s="6"/>
      <c r="N466" s="5"/>
      <c r="O466" s="5" t="str">
        <f t="shared" si="24"/>
        <v/>
      </c>
      <c r="P466" s="21" t="e">
        <f t="shared" si="25"/>
        <v>#VALUE!</v>
      </c>
      <c r="Q466" s="16"/>
      <c r="R466" s="17"/>
      <c r="S466" s="18"/>
      <c r="T466" s="19"/>
      <c r="U466" s="12"/>
      <c r="V466" s="10"/>
      <c r="W466" s="10"/>
    </row>
    <row r="467" spans="1:23" hidden="1" x14ac:dyDescent="0.25">
      <c r="A467" s="8"/>
      <c r="B467" s="11"/>
      <c r="E467" s="11"/>
      <c r="F467" s="2"/>
      <c r="G467" s="2"/>
      <c r="H467" s="2"/>
      <c r="I467" s="11"/>
      <c r="J467" s="2"/>
      <c r="L467" s="14"/>
      <c r="M467" s="6"/>
      <c r="N467" s="5"/>
      <c r="O467" s="5" t="str">
        <f t="shared" si="24"/>
        <v/>
      </c>
      <c r="P467" s="21" t="e">
        <f t="shared" si="25"/>
        <v>#VALUE!</v>
      </c>
      <c r="Q467" s="16"/>
      <c r="R467" s="17"/>
      <c r="S467" s="18"/>
      <c r="T467" s="19"/>
      <c r="U467" s="12"/>
      <c r="V467" s="10"/>
      <c r="W467" s="10"/>
    </row>
    <row r="468" spans="1:23" hidden="1" x14ac:dyDescent="0.25">
      <c r="A468" s="8"/>
      <c r="B468" s="11"/>
      <c r="E468" s="11"/>
      <c r="F468" s="2"/>
      <c r="G468" s="2"/>
      <c r="H468" s="2"/>
      <c r="I468" s="11"/>
      <c r="J468" s="2"/>
      <c r="L468" s="14"/>
      <c r="M468" s="6"/>
      <c r="N468" s="5"/>
      <c r="O468" s="5" t="str">
        <f t="shared" si="24"/>
        <v/>
      </c>
      <c r="P468" s="21" t="e">
        <f t="shared" si="25"/>
        <v>#VALUE!</v>
      </c>
      <c r="Q468" s="16"/>
      <c r="R468" s="17"/>
      <c r="S468" s="18"/>
      <c r="T468" s="19"/>
      <c r="U468" s="12"/>
      <c r="V468" s="10"/>
      <c r="W468" s="10"/>
    </row>
    <row r="469" spans="1:23" hidden="1" x14ac:dyDescent="0.25">
      <c r="A469" s="8"/>
      <c r="B469" s="11"/>
      <c r="E469" s="11"/>
      <c r="F469" s="2"/>
      <c r="G469" s="2"/>
      <c r="H469" s="2"/>
      <c r="I469" s="11"/>
      <c r="J469" s="2"/>
      <c r="L469" s="14"/>
      <c r="M469" s="6"/>
      <c r="N469" s="5"/>
      <c r="O469" s="5" t="str">
        <f t="shared" si="24"/>
        <v/>
      </c>
      <c r="P469" s="21" t="e">
        <f t="shared" si="25"/>
        <v>#VALUE!</v>
      </c>
      <c r="Q469" s="16"/>
      <c r="R469" s="17"/>
      <c r="S469" s="18"/>
      <c r="T469" s="19"/>
      <c r="U469" s="12"/>
      <c r="V469" s="10"/>
      <c r="W469" s="10"/>
    </row>
    <row r="470" spans="1:23" hidden="1" x14ac:dyDescent="0.25">
      <c r="A470" s="8"/>
      <c r="B470" s="11"/>
      <c r="E470" s="11"/>
      <c r="F470" s="2"/>
      <c r="G470" s="2"/>
      <c r="H470" s="2"/>
      <c r="I470" s="11"/>
      <c r="J470" s="2"/>
      <c r="L470" s="14"/>
      <c r="M470" s="6"/>
      <c r="N470" s="5"/>
      <c r="O470" s="5" t="str">
        <f t="shared" si="24"/>
        <v/>
      </c>
      <c r="P470" s="21" t="e">
        <f t="shared" si="25"/>
        <v>#VALUE!</v>
      </c>
      <c r="Q470" s="16"/>
      <c r="R470" s="17"/>
      <c r="S470" s="18"/>
      <c r="T470" s="19"/>
      <c r="U470" s="12"/>
      <c r="V470" s="10"/>
      <c r="W470" s="10"/>
    </row>
    <row r="471" spans="1:23" hidden="1" x14ac:dyDescent="0.25">
      <c r="A471" s="8"/>
      <c r="B471" s="11"/>
      <c r="E471" s="11"/>
      <c r="F471" s="2"/>
      <c r="G471" s="2"/>
      <c r="H471" s="2"/>
      <c r="I471" s="11"/>
      <c r="J471" s="2"/>
      <c r="L471" s="14"/>
      <c r="M471" s="6"/>
      <c r="N471" s="5"/>
      <c r="O471" s="5" t="str">
        <f t="shared" ref="O471:O534" si="26">RIGHT(C471,2)</f>
        <v/>
      </c>
      <c r="P471" s="21" t="e">
        <f t="shared" ref="P471:P534" si="27">42522+O471+29</f>
        <v>#VALUE!</v>
      </c>
      <c r="Q471" s="16"/>
      <c r="R471" s="17"/>
      <c r="S471" s="18"/>
      <c r="T471" s="19"/>
      <c r="U471" s="12"/>
      <c r="V471" s="10"/>
      <c r="W471" s="10"/>
    </row>
    <row r="472" spans="1:23" hidden="1" x14ac:dyDescent="0.25">
      <c r="A472" s="8"/>
      <c r="F472" s="2"/>
      <c r="G472" s="2"/>
      <c r="H472" s="2"/>
      <c r="J472" s="2"/>
      <c r="L472" s="14"/>
      <c r="M472" s="6"/>
      <c r="N472" s="5"/>
      <c r="O472" s="5" t="str">
        <f t="shared" si="26"/>
        <v/>
      </c>
      <c r="P472" s="21" t="e">
        <f t="shared" si="27"/>
        <v>#VALUE!</v>
      </c>
      <c r="Q472" s="16"/>
      <c r="R472" s="17"/>
      <c r="S472" s="18"/>
      <c r="T472" s="19"/>
      <c r="U472" s="12"/>
      <c r="V472" s="10"/>
      <c r="W472" s="10"/>
    </row>
    <row r="473" spans="1:23" hidden="1" x14ac:dyDescent="0.25">
      <c r="A473" s="8"/>
      <c r="F473" s="2"/>
      <c r="G473" s="2"/>
      <c r="H473" s="2"/>
      <c r="J473" s="2"/>
      <c r="L473" s="14"/>
      <c r="M473" s="6"/>
      <c r="N473" s="5"/>
      <c r="O473" s="5" t="str">
        <f t="shared" si="26"/>
        <v/>
      </c>
      <c r="P473" s="21" t="e">
        <f t="shared" si="27"/>
        <v>#VALUE!</v>
      </c>
      <c r="Q473" s="16"/>
      <c r="R473" s="17"/>
      <c r="S473" s="18"/>
      <c r="T473" s="19"/>
      <c r="U473" s="12"/>
      <c r="V473" s="10"/>
      <c r="W473" s="10"/>
    </row>
    <row r="474" spans="1:23" hidden="1" x14ac:dyDescent="0.25">
      <c r="A474" s="8"/>
      <c r="B474" s="11"/>
      <c r="E474" s="11"/>
      <c r="F474" s="2"/>
      <c r="G474" s="2"/>
      <c r="H474" s="2"/>
      <c r="I474" s="11"/>
      <c r="J474" s="2"/>
      <c r="L474" s="14"/>
      <c r="M474" s="6"/>
      <c r="N474" s="5"/>
      <c r="O474" s="5" t="str">
        <f t="shared" si="26"/>
        <v/>
      </c>
      <c r="P474" s="21" t="e">
        <f t="shared" si="27"/>
        <v>#VALUE!</v>
      </c>
      <c r="Q474" s="16"/>
      <c r="R474" s="17"/>
      <c r="S474" s="18"/>
      <c r="T474" s="19"/>
      <c r="U474" s="12"/>
      <c r="V474" s="10"/>
      <c r="W474" s="10"/>
    </row>
    <row r="475" spans="1:23" hidden="1" x14ac:dyDescent="0.25">
      <c r="A475" s="8"/>
      <c r="B475" s="11"/>
      <c r="E475" s="11"/>
      <c r="F475" s="2"/>
      <c r="G475" s="2"/>
      <c r="H475" s="2"/>
      <c r="I475" s="11"/>
      <c r="J475" s="2"/>
      <c r="L475" s="14"/>
      <c r="M475" s="6"/>
      <c r="N475" s="5"/>
      <c r="O475" s="5" t="str">
        <f t="shared" si="26"/>
        <v/>
      </c>
      <c r="P475" s="21" t="e">
        <f t="shared" si="27"/>
        <v>#VALUE!</v>
      </c>
      <c r="Q475" s="16"/>
      <c r="R475" s="17"/>
      <c r="S475" s="18"/>
      <c r="T475" s="19"/>
      <c r="U475" s="12"/>
      <c r="V475" s="10"/>
      <c r="W475" s="10"/>
    </row>
    <row r="476" spans="1:23" hidden="1" x14ac:dyDescent="0.25">
      <c r="A476" s="8"/>
      <c r="B476" s="11"/>
      <c r="E476" s="11"/>
      <c r="F476" s="2"/>
      <c r="G476" s="2"/>
      <c r="H476" s="2"/>
      <c r="I476" s="11"/>
      <c r="J476" s="2"/>
      <c r="L476" s="14"/>
      <c r="M476" s="6"/>
      <c r="N476" s="5"/>
      <c r="O476" s="5" t="str">
        <f t="shared" si="26"/>
        <v/>
      </c>
      <c r="P476" s="21" t="e">
        <f t="shared" si="27"/>
        <v>#VALUE!</v>
      </c>
      <c r="Q476" s="16"/>
      <c r="R476" s="17"/>
      <c r="S476" s="18"/>
      <c r="T476" s="19"/>
      <c r="U476" s="12"/>
      <c r="V476" s="10"/>
      <c r="W476" s="10"/>
    </row>
    <row r="477" spans="1:23" hidden="1" x14ac:dyDescent="0.25">
      <c r="A477" s="8"/>
      <c r="F477" s="2"/>
      <c r="G477" s="2"/>
      <c r="H477" s="2"/>
      <c r="J477" s="2"/>
      <c r="L477" s="14"/>
      <c r="M477" s="6"/>
      <c r="N477" s="5"/>
      <c r="O477" s="5" t="str">
        <f t="shared" si="26"/>
        <v/>
      </c>
      <c r="P477" s="21" t="e">
        <f t="shared" si="27"/>
        <v>#VALUE!</v>
      </c>
      <c r="Q477" s="16"/>
      <c r="R477" s="17"/>
      <c r="S477" s="18"/>
      <c r="T477" s="19"/>
      <c r="U477" s="12"/>
      <c r="V477" s="10"/>
      <c r="W477" s="10"/>
    </row>
    <row r="478" spans="1:23" hidden="1" x14ac:dyDescent="0.25">
      <c r="A478" s="8"/>
      <c r="B478" s="11"/>
      <c r="E478" s="11"/>
      <c r="F478" s="2"/>
      <c r="G478" s="2"/>
      <c r="H478" s="2"/>
      <c r="I478" s="11"/>
      <c r="J478" s="2"/>
      <c r="L478" s="14"/>
      <c r="M478" s="6"/>
      <c r="N478" s="5"/>
      <c r="O478" s="5" t="str">
        <f t="shared" si="26"/>
        <v/>
      </c>
      <c r="P478" s="21" t="e">
        <f t="shared" si="27"/>
        <v>#VALUE!</v>
      </c>
      <c r="Q478" s="16"/>
      <c r="R478" s="17"/>
      <c r="S478" s="18"/>
      <c r="T478" s="19"/>
      <c r="U478" s="12"/>
      <c r="V478" s="10"/>
      <c r="W478" s="10"/>
    </row>
    <row r="479" spans="1:23" hidden="1" x14ac:dyDescent="0.25">
      <c r="A479" s="8"/>
      <c r="B479" s="11"/>
      <c r="E479" s="11"/>
      <c r="F479" s="2"/>
      <c r="G479" s="2"/>
      <c r="H479" s="2"/>
      <c r="I479" s="11"/>
      <c r="J479" s="2"/>
      <c r="L479" s="14"/>
      <c r="M479" s="6"/>
      <c r="N479" s="5"/>
      <c r="O479" s="5" t="str">
        <f t="shared" si="26"/>
        <v/>
      </c>
      <c r="P479" s="21" t="e">
        <f t="shared" si="27"/>
        <v>#VALUE!</v>
      </c>
      <c r="Q479" s="16"/>
      <c r="R479" s="17"/>
      <c r="S479" s="18"/>
      <c r="T479" s="19"/>
      <c r="U479" s="12"/>
      <c r="V479" s="10"/>
      <c r="W479" s="10"/>
    </row>
    <row r="480" spans="1:23" hidden="1" x14ac:dyDescent="0.25">
      <c r="A480" s="8"/>
      <c r="B480" s="11"/>
      <c r="E480" s="11"/>
      <c r="F480" s="2"/>
      <c r="G480" s="2"/>
      <c r="H480" s="2"/>
      <c r="I480" s="11"/>
      <c r="J480" s="2"/>
      <c r="L480" s="14"/>
      <c r="M480" s="6"/>
      <c r="N480" s="5"/>
      <c r="O480" s="5" t="str">
        <f t="shared" si="26"/>
        <v/>
      </c>
      <c r="P480" s="21" t="e">
        <f t="shared" si="27"/>
        <v>#VALUE!</v>
      </c>
      <c r="Q480" s="16"/>
      <c r="R480" s="17"/>
      <c r="S480" s="18"/>
      <c r="T480" s="19"/>
      <c r="U480" s="12"/>
      <c r="V480" s="10"/>
      <c r="W480" s="10"/>
    </row>
    <row r="481" spans="1:23" hidden="1" x14ac:dyDescent="0.25">
      <c r="A481" s="8"/>
      <c r="F481" s="2"/>
      <c r="G481" s="2"/>
      <c r="H481" s="2"/>
      <c r="J481" s="2"/>
      <c r="L481" s="14"/>
      <c r="M481" s="6"/>
      <c r="N481" s="5"/>
      <c r="O481" s="5" t="str">
        <f t="shared" si="26"/>
        <v/>
      </c>
      <c r="P481" s="21" t="e">
        <f t="shared" si="27"/>
        <v>#VALUE!</v>
      </c>
      <c r="Q481" s="16"/>
      <c r="R481" s="17"/>
      <c r="S481" s="18"/>
      <c r="T481" s="19"/>
      <c r="U481" s="12"/>
      <c r="V481" s="10"/>
      <c r="W481" s="10"/>
    </row>
    <row r="482" spans="1:23" hidden="1" x14ac:dyDescent="0.25">
      <c r="A482" s="8"/>
      <c r="B482" s="11"/>
      <c r="E482" s="11"/>
      <c r="F482" s="2"/>
      <c r="G482" s="2"/>
      <c r="H482" s="2"/>
      <c r="I482" s="11"/>
      <c r="J482" s="2"/>
      <c r="L482" s="14"/>
      <c r="M482" s="6"/>
      <c r="N482" s="5"/>
      <c r="O482" s="5" t="str">
        <f t="shared" si="26"/>
        <v/>
      </c>
      <c r="P482" s="21" t="e">
        <f t="shared" si="27"/>
        <v>#VALUE!</v>
      </c>
      <c r="Q482" s="16"/>
      <c r="R482" s="17"/>
      <c r="S482" s="18"/>
      <c r="T482" s="19"/>
      <c r="U482" s="12"/>
      <c r="V482" s="10"/>
      <c r="W482" s="10"/>
    </row>
    <row r="483" spans="1:23" hidden="1" x14ac:dyDescent="0.25">
      <c r="A483" s="8"/>
      <c r="B483" s="11"/>
      <c r="E483" s="11"/>
      <c r="F483" s="2"/>
      <c r="G483" s="2"/>
      <c r="H483" s="2"/>
      <c r="I483" s="11"/>
      <c r="J483" s="2"/>
      <c r="L483" s="14"/>
      <c r="M483" s="6"/>
      <c r="N483" s="5"/>
      <c r="O483" s="5" t="str">
        <f t="shared" si="26"/>
        <v/>
      </c>
      <c r="P483" s="21" t="e">
        <f t="shared" si="27"/>
        <v>#VALUE!</v>
      </c>
      <c r="Q483" s="16"/>
      <c r="R483" s="17"/>
      <c r="S483" s="18"/>
      <c r="T483" s="19"/>
      <c r="U483" s="12"/>
      <c r="V483" s="10"/>
      <c r="W483" s="10"/>
    </row>
    <row r="484" spans="1:23" hidden="1" x14ac:dyDescent="0.25">
      <c r="A484" s="8"/>
      <c r="B484" s="11"/>
      <c r="E484" s="11"/>
      <c r="F484" s="2"/>
      <c r="G484" s="2"/>
      <c r="H484" s="2"/>
      <c r="I484" s="11"/>
      <c r="J484" s="2"/>
      <c r="L484" s="14"/>
      <c r="M484" s="6"/>
      <c r="N484" s="5"/>
      <c r="O484" s="5" t="str">
        <f t="shared" si="26"/>
        <v/>
      </c>
      <c r="P484" s="21" t="e">
        <f t="shared" si="27"/>
        <v>#VALUE!</v>
      </c>
      <c r="Q484" s="16"/>
      <c r="R484" s="17"/>
      <c r="S484" s="18"/>
      <c r="T484" s="19"/>
      <c r="U484" s="12"/>
      <c r="V484" s="10"/>
      <c r="W484" s="10"/>
    </row>
    <row r="485" spans="1:23" hidden="1" x14ac:dyDescent="0.25">
      <c r="A485" s="8"/>
      <c r="B485" s="11"/>
      <c r="E485" s="11"/>
      <c r="F485" s="2"/>
      <c r="G485" s="2"/>
      <c r="H485" s="2"/>
      <c r="I485" s="11"/>
      <c r="J485" s="2"/>
      <c r="L485" s="14"/>
      <c r="M485" s="6"/>
      <c r="N485" s="5"/>
      <c r="O485" s="5" t="str">
        <f t="shared" si="26"/>
        <v/>
      </c>
      <c r="P485" s="21" t="e">
        <f t="shared" si="27"/>
        <v>#VALUE!</v>
      </c>
      <c r="Q485" s="16"/>
      <c r="R485" s="17"/>
      <c r="S485" s="18"/>
      <c r="T485" s="19"/>
      <c r="U485" s="12"/>
      <c r="V485" s="10"/>
      <c r="W485" s="10"/>
    </row>
    <row r="486" spans="1:23" hidden="1" x14ac:dyDescent="0.25">
      <c r="A486" s="8"/>
      <c r="B486" s="11"/>
      <c r="E486" s="11"/>
      <c r="F486" s="2"/>
      <c r="G486" s="2"/>
      <c r="H486" s="2"/>
      <c r="I486" s="11"/>
      <c r="J486" s="2"/>
      <c r="L486" s="14"/>
      <c r="M486" s="6"/>
      <c r="N486" s="5"/>
      <c r="O486" s="5" t="str">
        <f t="shared" si="26"/>
        <v/>
      </c>
      <c r="P486" s="21" t="e">
        <f t="shared" si="27"/>
        <v>#VALUE!</v>
      </c>
      <c r="Q486" s="16"/>
      <c r="R486" s="17"/>
      <c r="S486" s="18"/>
      <c r="T486" s="19"/>
      <c r="U486" s="12"/>
      <c r="V486" s="10"/>
      <c r="W486" s="10"/>
    </row>
    <row r="487" spans="1:23" hidden="1" x14ac:dyDescent="0.25">
      <c r="A487" s="8"/>
      <c r="B487" s="11"/>
      <c r="E487" s="11"/>
      <c r="F487" s="2"/>
      <c r="G487" s="2"/>
      <c r="H487" s="2"/>
      <c r="I487" s="11"/>
      <c r="J487" s="2"/>
      <c r="L487" s="14"/>
      <c r="M487" s="6"/>
      <c r="N487" s="5"/>
      <c r="O487" s="5" t="str">
        <f t="shared" si="26"/>
        <v/>
      </c>
      <c r="P487" s="21" t="e">
        <f t="shared" si="27"/>
        <v>#VALUE!</v>
      </c>
      <c r="Q487" s="16"/>
      <c r="R487" s="17"/>
      <c r="S487" s="18"/>
      <c r="T487" s="19"/>
      <c r="U487" s="12"/>
      <c r="V487" s="10"/>
      <c r="W487" s="10"/>
    </row>
    <row r="488" spans="1:23" hidden="1" x14ac:dyDescent="0.25">
      <c r="A488" s="8"/>
      <c r="B488" s="11"/>
      <c r="E488" s="11"/>
      <c r="F488" s="2"/>
      <c r="G488" s="2"/>
      <c r="H488" s="2"/>
      <c r="I488" s="11"/>
      <c r="J488" s="2"/>
      <c r="L488" s="14"/>
      <c r="M488" s="6"/>
      <c r="N488" s="5"/>
      <c r="O488" s="5" t="str">
        <f t="shared" si="26"/>
        <v/>
      </c>
      <c r="P488" s="21" t="e">
        <f t="shared" si="27"/>
        <v>#VALUE!</v>
      </c>
      <c r="Q488" s="16"/>
      <c r="R488" s="17"/>
      <c r="S488" s="18"/>
      <c r="T488" s="19"/>
      <c r="U488" s="12"/>
      <c r="V488" s="10"/>
      <c r="W488" s="10"/>
    </row>
    <row r="489" spans="1:23" hidden="1" x14ac:dyDescent="0.25">
      <c r="A489" s="8"/>
      <c r="B489" s="11"/>
      <c r="E489" s="11"/>
      <c r="F489" s="2"/>
      <c r="G489" s="2"/>
      <c r="H489" s="2"/>
      <c r="I489" s="11"/>
      <c r="J489" s="2"/>
      <c r="L489" s="14"/>
      <c r="M489" s="6"/>
      <c r="N489" s="5"/>
      <c r="O489" s="5" t="str">
        <f t="shared" si="26"/>
        <v/>
      </c>
      <c r="P489" s="21" t="e">
        <f t="shared" si="27"/>
        <v>#VALUE!</v>
      </c>
      <c r="Q489" s="16"/>
      <c r="R489" s="17"/>
      <c r="S489" s="18"/>
      <c r="T489" s="19"/>
      <c r="U489" s="12"/>
      <c r="V489" s="10"/>
      <c r="W489" s="10"/>
    </row>
    <row r="490" spans="1:23" hidden="1" x14ac:dyDescent="0.25">
      <c r="A490" s="8"/>
      <c r="B490" s="11"/>
      <c r="E490" s="11"/>
      <c r="F490" s="2"/>
      <c r="G490" s="2"/>
      <c r="H490" s="2"/>
      <c r="I490" s="11"/>
      <c r="J490" s="2"/>
      <c r="L490" s="14"/>
      <c r="M490" s="6"/>
      <c r="N490" s="5"/>
      <c r="O490" s="5" t="str">
        <f t="shared" si="26"/>
        <v/>
      </c>
      <c r="P490" s="21" t="e">
        <f t="shared" si="27"/>
        <v>#VALUE!</v>
      </c>
      <c r="Q490" s="16"/>
      <c r="R490" s="17"/>
      <c r="S490" s="18"/>
      <c r="T490" s="19"/>
      <c r="U490" s="12"/>
      <c r="V490" s="10"/>
      <c r="W490" s="10"/>
    </row>
    <row r="491" spans="1:23" hidden="1" x14ac:dyDescent="0.25">
      <c r="A491" s="8"/>
      <c r="B491" s="11"/>
      <c r="E491" s="11"/>
      <c r="F491" s="2"/>
      <c r="G491" s="2"/>
      <c r="H491" s="2"/>
      <c r="I491" s="11"/>
      <c r="J491" s="2"/>
      <c r="L491" s="14"/>
      <c r="M491" s="6"/>
      <c r="N491" s="5"/>
      <c r="O491" s="5" t="str">
        <f t="shared" si="26"/>
        <v/>
      </c>
      <c r="P491" s="21" t="e">
        <f t="shared" si="27"/>
        <v>#VALUE!</v>
      </c>
      <c r="Q491" s="16"/>
      <c r="R491" s="17"/>
      <c r="S491" s="18"/>
      <c r="T491" s="19"/>
      <c r="U491" s="12"/>
      <c r="V491" s="10"/>
      <c r="W491" s="10"/>
    </row>
    <row r="492" spans="1:23" hidden="1" x14ac:dyDescent="0.25">
      <c r="A492" s="8"/>
      <c r="B492" s="11"/>
      <c r="E492" s="11"/>
      <c r="F492" s="2"/>
      <c r="G492" s="2"/>
      <c r="H492" s="2"/>
      <c r="I492" s="11"/>
      <c r="J492" s="2"/>
      <c r="L492" s="14"/>
      <c r="M492" s="6"/>
      <c r="N492" s="5"/>
      <c r="O492" s="5" t="str">
        <f t="shared" si="26"/>
        <v/>
      </c>
      <c r="P492" s="21" t="e">
        <f t="shared" si="27"/>
        <v>#VALUE!</v>
      </c>
      <c r="Q492" s="16"/>
      <c r="R492" s="17"/>
      <c r="S492" s="18"/>
      <c r="T492" s="19"/>
      <c r="U492" s="12"/>
      <c r="V492" s="10"/>
      <c r="W492" s="10"/>
    </row>
    <row r="493" spans="1:23" hidden="1" x14ac:dyDescent="0.25">
      <c r="A493" s="8"/>
      <c r="B493" s="11"/>
      <c r="E493" s="11"/>
      <c r="F493" s="2"/>
      <c r="G493" s="2"/>
      <c r="H493" s="2"/>
      <c r="I493" s="11"/>
      <c r="J493" s="2"/>
      <c r="L493" s="14"/>
      <c r="M493" s="6"/>
      <c r="N493" s="5"/>
      <c r="O493" s="5" t="str">
        <f t="shared" si="26"/>
        <v/>
      </c>
      <c r="P493" s="21" t="e">
        <f t="shared" si="27"/>
        <v>#VALUE!</v>
      </c>
      <c r="Q493" s="16"/>
      <c r="R493" s="17"/>
      <c r="S493" s="18"/>
      <c r="T493" s="19"/>
      <c r="U493" s="12"/>
      <c r="V493" s="10"/>
      <c r="W493" s="10"/>
    </row>
    <row r="494" spans="1:23" hidden="1" x14ac:dyDescent="0.25">
      <c r="A494" s="8"/>
      <c r="B494" s="11"/>
      <c r="E494" s="11"/>
      <c r="F494" s="2"/>
      <c r="G494" s="2"/>
      <c r="H494" s="2"/>
      <c r="I494" s="11"/>
      <c r="J494" s="2"/>
      <c r="L494" s="14"/>
      <c r="M494" s="6"/>
      <c r="N494" s="5"/>
      <c r="O494" s="5" t="str">
        <f t="shared" si="26"/>
        <v/>
      </c>
      <c r="P494" s="21" t="e">
        <f t="shared" si="27"/>
        <v>#VALUE!</v>
      </c>
      <c r="Q494" s="16"/>
      <c r="R494" s="17"/>
      <c r="S494" s="18"/>
      <c r="T494" s="19"/>
      <c r="U494" s="12"/>
      <c r="V494" s="10"/>
      <c r="W494" s="10"/>
    </row>
    <row r="495" spans="1:23" hidden="1" x14ac:dyDescent="0.25">
      <c r="A495" s="8"/>
      <c r="B495" s="11"/>
      <c r="E495" s="11"/>
      <c r="F495" s="2"/>
      <c r="G495" s="2"/>
      <c r="H495" s="2"/>
      <c r="I495" s="11"/>
      <c r="J495" s="2"/>
      <c r="L495" s="14"/>
      <c r="M495" s="6"/>
      <c r="N495" s="5"/>
      <c r="O495" s="5" t="str">
        <f t="shared" si="26"/>
        <v/>
      </c>
      <c r="P495" s="21" t="e">
        <f t="shared" si="27"/>
        <v>#VALUE!</v>
      </c>
      <c r="Q495" s="16"/>
      <c r="R495" s="17"/>
      <c r="S495" s="18"/>
      <c r="T495" s="19"/>
      <c r="U495" s="12"/>
      <c r="V495" s="10"/>
      <c r="W495" s="10"/>
    </row>
    <row r="496" spans="1:23" hidden="1" x14ac:dyDescent="0.25">
      <c r="A496" s="8"/>
      <c r="B496" s="11"/>
      <c r="E496" s="11"/>
      <c r="F496" s="2"/>
      <c r="G496" s="2"/>
      <c r="H496" s="2"/>
      <c r="I496" s="11"/>
      <c r="J496" s="2"/>
      <c r="L496" s="14"/>
      <c r="M496" s="6"/>
      <c r="N496" s="5"/>
      <c r="O496" s="5" t="str">
        <f t="shared" si="26"/>
        <v/>
      </c>
      <c r="P496" s="21" t="e">
        <f t="shared" si="27"/>
        <v>#VALUE!</v>
      </c>
      <c r="Q496" s="16"/>
      <c r="R496" s="17"/>
      <c r="S496" s="18"/>
      <c r="T496" s="19"/>
      <c r="U496" s="12"/>
      <c r="V496" s="10"/>
      <c r="W496" s="10"/>
    </row>
    <row r="497" spans="1:23" hidden="1" x14ac:dyDescent="0.25">
      <c r="A497" s="8"/>
      <c r="F497" s="2"/>
      <c r="G497" s="2"/>
      <c r="H497" s="2"/>
      <c r="J497" s="2"/>
      <c r="L497" s="14"/>
      <c r="M497" s="6"/>
      <c r="N497" s="5"/>
      <c r="O497" s="5" t="str">
        <f t="shared" si="26"/>
        <v/>
      </c>
      <c r="P497" s="21" t="e">
        <f t="shared" si="27"/>
        <v>#VALUE!</v>
      </c>
      <c r="Q497" s="16"/>
      <c r="R497" s="17"/>
      <c r="S497" s="18"/>
      <c r="T497" s="19"/>
      <c r="U497" s="12"/>
      <c r="V497" s="10"/>
      <c r="W497" s="10"/>
    </row>
    <row r="498" spans="1:23" hidden="1" x14ac:dyDescent="0.25">
      <c r="A498" s="8"/>
      <c r="B498" s="11"/>
      <c r="E498" s="11"/>
      <c r="F498" s="2"/>
      <c r="G498" s="2"/>
      <c r="H498" s="2"/>
      <c r="I498" s="11"/>
      <c r="J498" s="2"/>
      <c r="L498" s="14"/>
      <c r="M498" s="6"/>
      <c r="N498" s="5"/>
      <c r="O498" s="5" t="str">
        <f t="shared" si="26"/>
        <v/>
      </c>
      <c r="P498" s="21" t="e">
        <f t="shared" si="27"/>
        <v>#VALUE!</v>
      </c>
      <c r="Q498" s="16"/>
      <c r="R498" s="17"/>
      <c r="S498" s="18"/>
      <c r="T498" s="19"/>
      <c r="U498" s="12"/>
      <c r="V498" s="10"/>
      <c r="W498" s="10"/>
    </row>
    <row r="499" spans="1:23" hidden="1" x14ac:dyDescent="0.25">
      <c r="A499" s="8"/>
      <c r="B499" s="11"/>
      <c r="E499" s="11"/>
      <c r="F499" s="2"/>
      <c r="G499" s="2"/>
      <c r="H499" s="2"/>
      <c r="I499" s="11"/>
      <c r="J499" s="2"/>
      <c r="L499" s="14"/>
      <c r="M499" s="6"/>
      <c r="N499" s="5"/>
      <c r="O499" s="5" t="str">
        <f t="shared" si="26"/>
        <v/>
      </c>
      <c r="P499" s="21" t="e">
        <f t="shared" si="27"/>
        <v>#VALUE!</v>
      </c>
      <c r="Q499" s="16"/>
      <c r="R499" s="17"/>
      <c r="S499" s="18"/>
      <c r="T499" s="19"/>
      <c r="U499" s="12"/>
      <c r="V499" s="10"/>
      <c r="W499" s="10"/>
    </row>
    <row r="500" spans="1:23" hidden="1" x14ac:dyDescent="0.25">
      <c r="A500" s="8"/>
      <c r="B500" s="11"/>
      <c r="E500" s="11"/>
      <c r="F500" s="2"/>
      <c r="G500" s="2"/>
      <c r="H500" s="2"/>
      <c r="I500" s="11"/>
      <c r="J500" s="2"/>
      <c r="L500" s="14"/>
      <c r="M500" s="6"/>
      <c r="N500" s="5"/>
      <c r="O500" s="5" t="str">
        <f t="shared" si="26"/>
        <v/>
      </c>
      <c r="P500" s="21" t="e">
        <f t="shared" si="27"/>
        <v>#VALUE!</v>
      </c>
      <c r="Q500" s="16"/>
      <c r="R500" s="17"/>
      <c r="S500" s="18"/>
      <c r="T500" s="19"/>
      <c r="U500" s="12"/>
      <c r="V500" s="10"/>
      <c r="W500" s="10"/>
    </row>
    <row r="501" spans="1:23" hidden="1" x14ac:dyDescent="0.25">
      <c r="A501" s="8"/>
      <c r="B501" s="11"/>
      <c r="E501" s="11"/>
      <c r="F501" s="2"/>
      <c r="G501" s="2"/>
      <c r="H501" s="2"/>
      <c r="I501" s="11"/>
      <c r="J501" s="2"/>
      <c r="L501" s="14"/>
      <c r="M501" s="6"/>
      <c r="N501" s="5"/>
      <c r="O501" s="5" t="str">
        <f t="shared" si="26"/>
        <v/>
      </c>
      <c r="P501" s="21" t="e">
        <f t="shared" si="27"/>
        <v>#VALUE!</v>
      </c>
      <c r="Q501" s="16"/>
      <c r="R501" s="17"/>
      <c r="S501" s="18"/>
      <c r="T501" s="19"/>
      <c r="U501" s="12"/>
      <c r="V501" s="10"/>
      <c r="W501" s="10"/>
    </row>
    <row r="502" spans="1:23" hidden="1" x14ac:dyDescent="0.25">
      <c r="A502" s="8"/>
      <c r="F502" s="2"/>
      <c r="G502" s="2"/>
      <c r="H502" s="2"/>
      <c r="J502" s="2"/>
      <c r="L502" s="14"/>
      <c r="M502" s="6"/>
      <c r="N502" s="5"/>
      <c r="O502" s="5" t="str">
        <f t="shared" si="26"/>
        <v/>
      </c>
      <c r="P502" s="21" t="e">
        <f t="shared" si="27"/>
        <v>#VALUE!</v>
      </c>
      <c r="Q502" s="16"/>
      <c r="R502" s="17"/>
      <c r="S502" s="18"/>
      <c r="T502" s="19"/>
      <c r="U502" s="12"/>
      <c r="V502" s="10"/>
      <c r="W502" s="10"/>
    </row>
    <row r="503" spans="1:23" hidden="1" x14ac:dyDescent="0.25">
      <c r="A503" s="8"/>
      <c r="B503" s="11"/>
      <c r="E503" s="11"/>
      <c r="F503" s="2"/>
      <c r="G503" s="2"/>
      <c r="H503" s="2"/>
      <c r="I503" s="11"/>
      <c r="J503" s="2"/>
      <c r="L503" s="14"/>
      <c r="M503" s="6"/>
      <c r="N503" s="5"/>
      <c r="O503" s="5" t="str">
        <f t="shared" si="26"/>
        <v/>
      </c>
      <c r="P503" s="21" t="e">
        <f t="shared" si="27"/>
        <v>#VALUE!</v>
      </c>
      <c r="Q503" s="16"/>
      <c r="R503" s="17"/>
      <c r="S503" s="18"/>
      <c r="T503" s="19"/>
      <c r="U503" s="12"/>
      <c r="V503" s="10"/>
      <c r="W503" s="10"/>
    </row>
    <row r="504" spans="1:23" hidden="1" x14ac:dyDescent="0.25">
      <c r="A504" s="8"/>
      <c r="B504" s="11"/>
      <c r="E504" s="11"/>
      <c r="F504" s="2"/>
      <c r="G504" s="2"/>
      <c r="H504" s="2"/>
      <c r="I504" s="11"/>
      <c r="J504" s="2"/>
      <c r="L504" s="14"/>
      <c r="M504" s="6"/>
      <c r="N504" s="5"/>
      <c r="O504" s="5" t="str">
        <f t="shared" si="26"/>
        <v/>
      </c>
      <c r="P504" s="21" t="e">
        <f t="shared" si="27"/>
        <v>#VALUE!</v>
      </c>
      <c r="Q504" s="16"/>
      <c r="R504" s="17"/>
      <c r="S504" s="18"/>
      <c r="T504" s="19"/>
      <c r="U504" s="12"/>
      <c r="V504" s="10"/>
      <c r="W504" s="10"/>
    </row>
    <row r="505" spans="1:23" hidden="1" x14ac:dyDescent="0.25">
      <c r="A505" s="8"/>
      <c r="B505" s="11"/>
      <c r="E505" s="11"/>
      <c r="F505" s="2"/>
      <c r="G505" s="2"/>
      <c r="H505" s="2"/>
      <c r="I505" s="11"/>
      <c r="J505" s="2"/>
      <c r="L505" s="14"/>
      <c r="M505" s="6"/>
      <c r="N505" s="5"/>
      <c r="O505" s="5" t="str">
        <f t="shared" si="26"/>
        <v/>
      </c>
      <c r="P505" s="21" t="e">
        <f t="shared" si="27"/>
        <v>#VALUE!</v>
      </c>
      <c r="Q505" s="16"/>
      <c r="R505" s="17"/>
      <c r="S505" s="18"/>
      <c r="T505" s="19"/>
      <c r="U505" s="12"/>
      <c r="V505" s="10"/>
      <c r="W505" s="10"/>
    </row>
    <row r="506" spans="1:23" hidden="1" x14ac:dyDescent="0.25">
      <c r="A506" s="8"/>
      <c r="F506" s="2"/>
      <c r="G506" s="2"/>
      <c r="H506" s="2"/>
      <c r="J506" s="2"/>
      <c r="L506" s="14"/>
      <c r="M506" s="6"/>
      <c r="N506" s="5"/>
      <c r="O506" s="5" t="str">
        <f t="shared" si="26"/>
        <v/>
      </c>
      <c r="P506" s="21" t="e">
        <f t="shared" si="27"/>
        <v>#VALUE!</v>
      </c>
      <c r="Q506" s="16"/>
      <c r="R506" s="17"/>
      <c r="S506" s="18"/>
      <c r="T506" s="19"/>
      <c r="U506" s="12"/>
      <c r="V506" s="10"/>
      <c r="W506" s="10"/>
    </row>
    <row r="507" spans="1:23" hidden="1" x14ac:dyDescent="0.25">
      <c r="A507" s="8"/>
      <c r="B507" s="11"/>
      <c r="E507" s="11"/>
      <c r="F507" s="2"/>
      <c r="G507" s="2"/>
      <c r="H507" s="2"/>
      <c r="I507" s="11"/>
      <c r="J507" s="2"/>
      <c r="L507" s="14"/>
      <c r="M507" s="6"/>
      <c r="N507" s="5"/>
      <c r="O507" s="5" t="str">
        <f t="shared" si="26"/>
        <v/>
      </c>
      <c r="P507" s="21" t="e">
        <f t="shared" si="27"/>
        <v>#VALUE!</v>
      </c>
      <c r="Q507" s="16"/>
      <c r="R507" s="17"/>
      <c r="S507" s="18"/>
      <c r="T507" s="19"/>
      <c r="U507" s="12"/>
      <c r="V507" s="10"/>
      <c r="W507" s="10"/>
    </row>
    <row r="508" spans="1:23" hidden="1" x14ac:dyDescent="0.25">
      <c r="A508" s="8"/>
      <c r="B508" s="11"/>
      <c r="E508" s="11"/>
      <c r="F508" s="2"/>
      <c r="G508" s="2"/>
      <c r="H508" s="2"/>
      <c r="I508" s="11"/>
      <c r="J508" s="2"/>
      <c r="L508" s="14"/>
      <c r="M508" s="6"/>
      <c r="N508" s="5"/>
      <c r="O508" s="5" t="str">
        <f t="shared" si="26"/>
        <v/>
      </c>
      <c r="P508" s="21" t="e">
        <f t="shared" si="27"/>
        <v>#VALUE!</v>
      </c>
      <c r="Q508" s="16"/>
      <c r="R508" s="17"/>
      <c r="S508" s="18"/>
      <c r="T508" s="19"/>
      <c r="U508" s="12"/>
      <c r="V508" s="10"/>
      <c r="W508" s="10"/>
    </row>
    <row r="509" spans="1:23" hidden="1" x14ac:dyDescent="0.25">
      <c r="A509" s="8"/>
      <c r="B509" s="11"/>
      <c r="E509" s="11"/>
      <c r="F509" s="2"/>
      <c r="G509" s="2"/>
      <c r="H509" s="2"/>
      <c r="I509" s="11"/>
      <c r="J509" s="2"/>
      <c r="L509" s="14"/>
      <c r="M509" s="6"/>
      <c r="N509" s="5"/>
      <c r="O509" s="5" t="str">
        <f t="shared" si="26"/>
        <v/>
      </c>
      <c r="P509" s="21" t="e">
        <f t="shared" si="27"/>
        <v>#VALUE!</v>
      </c>
      <c r="Q509" s="16"/>
      <c r="R509" s="17"/>
      <c r="S509" s="18"/>
      <c r="T509" s="19"/>
      <c r="U509" s="12"/>
      <c r="V509" s="10"/>
      <c r="W509" s="10"/>
    </row>
    <row r="510" spans="1:23" hidden="1" x14ac:dyDescent="0.25">
      <c r="A510" s="8"/>
      <c r="B510" s="11"/>
      <c r="E510" s="11"/>
      <c r="F510" s="2"/>
      <c r="G510" s="2"/>
      <c r="H510" s="2"/>
      <c r="I510" s="11"/>
      <c r="J510" s="2"/>
      <c r="L510" s="14"/>
      <c r="M510" s="6"/>
      <c r="N510" s="5"/>
      <c r="O510" s="5" t="str">
        <f t="shared" si="26"/>
        <v/>
      </c>
      <c r="P510" s="21" t="e">
        <f t="shared" si="27"/>
        <v>#VALUE!</v>
      </c>
      <c r="Q510" s="16"/>
      <c r="R510" s="17"/>
      <c r="S510" s="18"/>
      <c r="T510" s="19"/>
      <c r="U510" s="12"/>
      <c r="V510" s="10"/>
      <c r="W510" s="10"/>
    </row>
    <row r="511" spans="1:23" hidden="1" x14ac:dyDescent="0.25">
      <c r="A511" s="8"/>
      <c r="B511" s="11"/>
      <c r="E511" s="11"/>
      <c r="F511" s="2"/>
      <c r="G511" s="2"/>
      <c r="H511" s="2"/>
      <c r="I511" s="11"/>
      <c r="J511" s="2"/>
      <c r="L511" s="14"/>
      <c r="M511" s="6"/>
      <c r="N511" s="5"/>
      <c r="O511" s="5" t="str">
        <f t="shared" si="26"/>
        <v/>
      </c>
      <c r="P511" s="21" t="e">
        <f t="shared" si="27"/>
        <v>#VALUE!</v>
      </c>
      <c r="Q511" s="16"/>
      <c r="R511" s="17"/>
      <c r="S511" s="18"/>
      <c r="T511" s="19"/>
      <c r="U511" s="12"/>
      <c r="V511" s="10"/>
      <c r="W511" s="10"/>
    </row>
    <row r="512" spans="1:23" hidden="1" x14ac:dyDescent="0.25">
      <c r="A512" s="8"/>
      <c r="B512" s="11"/>
      <c r="E512" s="11"/>
      <c r="F512" s="2"/>
      <c r="G512" s="2"/>
      <c r="H512" s="2"/>
      <c r="I512" s="11"/>
      <c r="J512" s="2"/>
      <c r="L512" s="14"/>
      <c r="M512" s="6"/>
      <c r="N512" s="5"/>
      <c r="O512" s="5" t="str">
        <f t="shared" si="26"/>
        <v/>
      </c>
      <c r="P512" s="21" t="e">
        <f t="shared" si="27"/>
        <v>#VALUE!</v>
      </c>
      <c r="Q512" s="16"/>
      <c r="R512" s="17"/>
      <c r="S512" s="18"/>
      <c r="T512" s="19"/>
      <c r="U512" s="12"/>
      <c r="V512" s="10"/>
      <c r="W512" s="10"/>
    </row>
    <row r="513" spans="1:23" hidden="1" x14ac:dyDescent="0.25">
      <c r="A513" s="8"/>
      <c r="B513" s="11"/>
      <c r="E513" s="11"/>
      <c r="F513" s="2"/>
      <c r="G513" s="2"/>
      <c r="H513" s="2"/>
      <c r="I513" s="11"/>
      <c r="J513" s="2"/>
      <c r="L513" s="14"/>
      <c r="M513" s="6"/>
      <c r="N513" s="5"/>
      <c r="O513" s="5" t="str">
        <f t="shared" si="26"/>
        <v/>
      </c>
      <c r="P513" s="21" t="e">
        <f t="shared" si="27"/>
        <v>#VALUE!</v>
      </c>
      <c r="Q513" s="16"/>
      <c r="R513" s="17"/>
      <c r="S513" s="18"/>
      <c r="T513" s="19"/>
      <c r="U513" s="12"/>
      <c r="V513" s="10"/>
      <c r="W513" s="10"/>
    </row>
    <row r="514" spans="1:23" hidden="1" x14ac:dyDescent="0.25">
      <c r="A514" s="8"/>
      <c r="B514" s="11"/>
      <c r="E514" s="11"/>
      <c r="F514" s="2"/>
      <c r="G514" s="2"/>
      <c r="H514" s="2"/>
      <c r="I514" s="11"/>
      <c r="J514" s="2"/>
      <c r="L514" s="14"/>
      <c r="M514" s="6"/>
      <c r="N514" s="5"/>
      <c r="O514" s="5" t="str">
        <f t="shared" si="26"/>
        <v/>
      </c>
      <c r="P514" s="21" t="e">
        <f t="shared" si="27"/>
        <v>#VALUE!</v>
      </c>
      <c r="Q514" s="16"/>
      <c r="R514" s="17"/>
      <c r="S514" s="18"/>
      <c r="T514" s="19"/>
      <c r="U514" s="12"/>
      <c r="V514" s="10"/>
      <c r="W514" s="10"/>
    </row>
    <row r="515" spans="1:23" hidden="1" x14ac:dyDescent="0.25">
      <c r="A515" s="8"/>
      <c r="B515" s="11"/>
      <c r="E515" s="11"/>
      <c r="F515" s="2"/>
      <c r="G515" s="2"/>
      <c r="H515" s="2"/>
      <c r="I515" s="11"/>
      <c r="J515" s="2"/>
      <c r="L515" s="14"/>
      <c r="M515" s="6"/>
      <c r="N515" s="5"/>
      <c r="O515" s="5" t="str">
        <f t="shared" si="26"/>
        <v/>
      </c>
      <c r="P515" s="21" t="e">
        <f t="shared" si="27"/>
        <v>#VALUE!</v>
      </c>
      <c r="Q515" s="16"/>
      <c r="R515" s="17"/>
      <c r="S515" s="18"/>
      <c r="T515" s="19"/>
      <c r="U515" s="12"/>
      <c r="V515" s="10"/>
      <c r="W515" s="10"/>
    </row>
    <row r="516" spans="1:23" hidden="1" x14ac:dyDescent="0.25">
      <c r="A516" s="8"/>
      <c r="B516" s="11"/>
      <c r="E516" s="11"/>
      <c r="F516" s="2"/>
      <c r="G516" s="2"/>
      <c r="H516" s="2"/>
      <c r="I516" s="11"/>
      <c r="J516" s="2"/>
      <c r="L516" s="14"/>
      <c r="M516" s="6"/>
      <c r="N516" s="5"/>
      <c r="O516" s="5" t="str">
        <f t="shared" si="26"/>
        <v/>
      </c>
      <c r="P516" s="21" t="e">
        <f t="shared" si="27"/>
        <v>#VALUE!</v>
      </c>
      <c r="Q516" s="16"/>
      <c r="R516" s="17"/>
      <c r="S516" s="18"/>
      <c r="T516" s="19"/>
      <c r="U516" s="12"/>
      <c r="V516" s="10"/>
      <c r="W516" s="10"/>
    </row>
    <row r="517" spans="1:23" hidden="1" x14ac:dyDescent="0.25">
      <c r="A517" s="8"/>
      <c r="B517" s="11"/>
      <c r="E517" s="11"/>
      <c r="F517" s="2"/>
      <c r="G517" s="2"/>
      <c r="H517" s="2"/>
      <c r="I517" s="11"/>
      <c r="J517" s="2"/>
      <c r="L517" s="14"/>
      <c r="M517" s="6"/>
      <c r="N517" s="5"/>
      <c r="O517" s="5" t="str">
        <f t="shared" si="26"/>
        <v/>
      </c>
      <c r="P517" s="21" t="e">
        <f t="shared" si="27"/>
        <v>#VALUE!</v>
      </c>
      <c r="Q517" s="16"/>
      <c r="R517" s="17"/>
      <c r="S517" s="18"/>
      <c r="T517" s="19"/>
      <c r="U517" s="12"/>
      <c r="V517" s="10"/>
      <c r="W517" s="10"/>
    </row>
    <row r="518" spans="1:23" hidden="1" x14ac:dyDescent="0.25">
      <c r="A518" s="8"/>
      <c r="B518" s="11"/>
      <c r="E518" s="11"/>
      <c r="F518" s="2"/>
      <c r="G518" s="2"/>
      <c r="H518" s="2"/>
      <c r="I518" s="11"/>
      <c r="J518" s="2"/>
      <c r="L518" s="14"/>
      <c r="M518" s="6"/>
      <c r="N518" s="5"/>
      <c r="O518" s="5" t="str">
        <f t="shared" si="26"/>
        <v/>
      </c>
      <c r="P518" s="21" t="e">
        <f t="shared" si="27"/>
        <v>#VALUE!</v>
      </c>
      <c r="Q518" s="16"/>
      <c r="R518" s="17"/>
      <c r="S518" s="18"/>
      <c r="T518" s="19"/>
      <c r="U518" s="12"/>
      <c r="V518" s="10"/>
      <c r="W518" s="10"/>
    </row>
    <row r="519" spans="1:23" hidden="1" x14ac:dyDescent="0.25">
      <c r="A519" s="8"/>
      <c r="B519" s="11"/>
      <c r="E519" s="11"/>
      <c r="F519" s="2"/>
      <c r="G519" s="2"/>
      <c r="H519" s="2"/>
      <c r="I519" s="11"/>
      <c r="J519" s="2"/>
      <c r="L519" s="14"/>
      <c r="M519" s="6"/>
      <c r="N519" s="5"/>
      <c r="O519" s="5" t="str">
        <f t="shared" si="26"/>
        <v/>
      </c>
      <c r="P519" s="21" t="e">
        <f t="shared" si="27"/>
        <v>#VALUE!</v>
      </c>
      <c r="Q519" s="16"/>
      <c r="R519" s="17"/>
      <c r="S519" s="18"/>
      <c r="T519" s="19"/>
      <c r="U519" s="12"/>
      <c r="V519" s="10"/>
      <c r="W519" s="10"/>
    </row>
    <row r="520" spans="1:23" hidden="1" x14ac:dyDescent="0.25">
      <c r="A520" s="8"/>
      <c r="B520" s="11"/>
      <c r="E520" s="11"/>
      <c r="F520" s="2"/>
      <c r="G520" s="2"/>
      <c r="H520" s="2"/>
      <c r="I520" s="11"/>
      <c r="J520" s="2"/>
      <c r="L520" s="14"/>
      <c r="M520" s="6"/>
      <c r="N520" s="5"/>
      <c r="O520" s="5" t="str">
        <f t="shared" si="26"/>
        <v/>
      </c>
      <c r="P520" s="21" t="e">
        <f t="shared" si="27"/>
        <v>#VALUE!</v>
      </c>
      <c r="Q520" s="16"/>
      <c r="R520" s="17"/>
      <c r="S520" s="18"/>
      <c r="T520" s="19"/>
      <c r="U520" s="12"/>
      <c r="V520" s="10"/>
      <c r="W520" s="10"/>
    </row>
    <row r="521" spans="1:23" hidden="1" x14ac:dyDescent="0.25">
      <c r="A521" s="8"/>
      <c r="B521" s="11"/>
      <c r="E521" s="11"/>
      <c r="F521" s="2"/>
      <c r="G521" s="2"/>
      <c r="H521" s="2"/>
      <c r="I521" s="11"/>
      <c r="J521" s="2"/>
      <c r="L521" s="14"/>
      <c r="M521" s="6"/>
      <c r="N521" s="5"/>
      <c r="O521" s="5" t="str">
        <f t="shared" si="26"/>
        <v/>
      </c>
      <c r="P521" s="21" t="e">
        <f t="shared" si="27"/>
        <v>#VALUE!</v>
      </c>
      <c r="Q521" s="16"/>
      <c r="R521" s="17"/>
      <c r="S521" s="18"/>
      <c r="T521" s="19"/>
      <c r="U521" s="12"/>
      <c r="V521" s="10"/>
      <c r="W521" s="10"/>
    </row>
    <row r="522" spans="1:23" hidden="1" x14ac:dyDescent="0.25">
      <c r="A522" s="8"/>
      <c r="B522" s="11"/>
      <c r="E522" s="11"/>
      <c r="F522" s="2"/>
      <c r="G522" s="2"/>
      <c r="H522" s="2"/>
      <c r="I522" s="11"/>
      <c r="J522" s="2"/>
      <c r="L522" s="14"/>
      <c r="M522" s="6"/>
      <c r="N522" s="5"/>
      <c r="O522" s="5" t="str">
        <f t="shared" si="26"/>
        <v/>
      </c>
      <c r="P522" s="21" t="e">
        <f t="shared" si="27"/>
        <v>#VALUE!</v>
      </c>
      <c r="Q522" s="16"/>
      <c r="R522" s="17"/>
      <c r="S522" s="18"/>
      <c r="T522" s="19"/>
      <c r="U522" s="12"/>
      <c r="V522" s="10"/>
      <c r="W522" s="10"/>
    </row>
    <row r="523" spans="1:23" hidden="1" x14ac:dyDescent="0.25">
      <c r="A523" s="8"/>
      <c r="B523" s="11"/>
      <c r="E523" s="11"/>
      <c r="F523" s="2"/>
      <c r="G523" s="2"/>
      <c r="H523" s="2"/>
      <c r="I523" s="11"/>
      <c r="J523" s="2"/>
      <c r="L523" s="14"/>
      <c r="M523" s="6"/>
      <c r="N523" s="5"/>
      <c r="O523" s="5" t="str">
        <f t="shared" si="26"/>
        <v/>
      </c>
      <c r="P523" s="21" t="e">
        <f t="shared" si="27"/>
        <v>#VALUE!</v>
      </c>
      <c r="Q523" s="16"/>
      <c r="R523" s="17"/>
      <c r="S523" s="18"/>
      <c r="T523" s="19"/>
      <c r="U523" s="12"/>
      <c r="V523" s="10"/>
      <c r="W523" s="10"/>
    </row>
    <row r="524" spans="1:23" hidden="1" x14ac:dyDescent="0.25">
      <c r="A524" s="8"/>
      <c r="B524" s="11"/>
      <c r="E524" s="11"/>
      <c r="F524" s="2"/>
      <c r="G524" s="2"/>
      <c r="H524" s="2"/>
      <c r="I524" s="11"/>
      <c r="J524" s="2"/>
      <c r="L524" s="14"/>
      <c r="M524" s="6"/>
      <c r="N524" s="5"/>
      <c r="O524" s="5" t="str">
        <f t="shared" si="26"/>
        <v/>
      </c>
      <c r="P524" s="21" t="e">
        <f t="shared" si="27"/>
        <v>#VALUE!</v>
      </c>
      <c r="Q524" s="16"/>
      <c r="R524" s="17"/>
      <c r="S524" s="18"/>
      <c r="T524" s="19"/>
      <c r="U524" s="12"/>
      <c r="V524" s="10"/>
      <c r="W524" s="10"/>
    </row>
    <row r="525" spans="1:23" hidden="1" x14ac:dyDescent="0.25">
      <c r="A525" s="8"/>
      <c r="B525" s="11"/>
      <c r="E525" s="11"/>
      <c r="F525" s="2"/>
      <c r="G525" s="2"/>
      <c r="H525" s="2"/>
      <c r="I525" s="11"/>
      <c r="J525" s="2"/>
      <c r="L525" s="14"/>
      <c r="M525" s="6"/>
      <c r="N525" s="5"/>
      <c r="O525" s="5" t="str">
        <f t="shared" si="26"/>
        <v/>
      </c>
      <c r="P525" s="21" t="e">
        <f t="shared" si="27"/>
        <v>#VALUE!</v>
      </c>
      <c r="Q525" s="16"/>
      <c r="R525" s="17"/>
      <c r="S525" s="18"/>
      <c r="T525" s="19"/>
      <c r="U525" s="12"/>
      <c r="V525" s="10"/>
      <c r="W525" s="10"/>
    </row>
    <row r="526" spans="1:23" hidden="1" x14ac:dyDescent="0.25">
      <c r="A526" s="8"/>
      <c r="B526" s="11"/>
      <c r="E526" s="11"/>
      <c r="F526" s="2"/>
      <c r="G526" s="2"/>
      <c r="H526" s="2"/>
      <c r="I526" s="11"/>
      <c r="J526" s="2"/>
      <c r="L526" s="14"/>
      <c r="M526" s="6"/>
      <c r="N526" s="5"/>
      <c r="O526" s="5" t="str">
        <f t="shared" si="26"/>
        <v/>
      </c>
      <c r="P526" s="21" t="e">
        <f t="shared" si="27"/>
        <v>#VALUE!</v>
      </c>
      <c r="Q526" s="16"/>
      <c r="R526" s="17"/>
      <c r="S526" s="18"/>
      <c r="T526" s="19"/>
      <c r="U526" s="12"/>
      <c r="V526" s="10"/>
      <c r="W526" s="10"/>
    </row>
    <row r="527" spans="1:23" hidden="1" x14ac:dyDescent="0.25">
      <c r="A527" s="8"/>
      <c r="B527" s="11"/>
      <c r="E527" s="11"/>
      <c r="F527" s="2"/>
      <c r="G527" s="2"/>
      <c r="H527" s="2"/>
      <c r="I527" s="11"/>
      <c r="J527" s="2"/>
      <c r="L527" s="14"/>
      <c r="M527" s="6"/>
      <c r="N527" s="5"/>
      <c r="O527" s="5" t="str">
        <f t="shared" si="26"/>
        <v/>
      </c>
      <c r="P527" s="21" t="e">
        <f t="shared" si="27"/>
        <v>#VALUE!</v>
      </c>
      <c r="Q527" s="16"/>
      <c r="R527" s="17"/>
      <c r="S527" s="18"/>
      <c r="T527" s="19"/>
      <c r="U527" s="12"/>
      <c r="V527" s="10"/>
      <c r="W527" s="10"/>
    </row>
    <row r="528" spans="1:23" hidden="1" x14ac:dyDescent="0.25">
      <c r="A528" s="8"/>
      <c r="F528" s="2"/>
      <c r="G528" s="2"/>
      <c r="H528" s="2"/>
      <c r="J528" s="2"/>
      <c r="L528" s="14"/>
      <c r="M528" s="6"/>
      <c r="N528" s="5"/>
      <c r="O528" s="5" t="str">
        <f t="shared" si="26"/>
        <v/>
      </c>
      <c r="P528" s="21" t="e">
        <f t="shared" si="27"/>
        <v>#VALUE!</v>
      </c>
      <c r="Q528" s="16"/>
      <c r="R528" s="17"/>
      <c r="S528" s="18"/>
      <c r="T528" s="19"/>
      <c r="U528" s="12"/>
      <c r="V528" s="10"/>
      <c r="W528" s="10"/>
    </row>
    <row r="529" spans="1:23" hidden="1" x14ac:dyDescent="0.25">
      <c r="A529" s="8"/>
      <c r="F529" s="2"/>
      <c r="G529" s="2"/>
      <c r="H529" s="2"/>
      <c r="J529" s="2"/>
      <c r="L529" s="14"/>
      <c r="M529" s="6"/>
      <c r="N529" s="5"/>
      <c r="O529" s="5" t="str">
        <f t="shared" si="26"/>
        <v/>
      </c>
      <c r="P529" s="21" t="e">
        <f t="shared" si="27"/>
        <v>#VALUE!</v>
      </c>
      <c r="Q529" s="16"/>
      <c r="R529" s="17"/>
      <c r="S529" s="18"/>
      <c r="T529" s="19"/>
      <c r="U529" s="12"/>
      <c r="V529" s="10"/>
      <c r="W529" s="10"/>
    </row>
    <row r="530" spans="1:23" hidden="1" x14ac:dyDescent="0.25">
      <c r="A530" s="8"/>
      <c r="B530" s="11"/>
      <c r="E530" s="11"/>
      <c r="F530" s="2"/>
      <c r="G530" s="2"/>
      <c r="H530" s="2"/>
      <c r="I530" s="11"/>
      <c r="J530" s="2"/>
      <c r="L530" s="14"/>
      <c r="M530" s="6"/>
      <c r="N530" s="5"/>
      <c r="O530" s="5" t="str">
        <f t="shared" si="26"/>
        <v/>
      </c>
      <c r="P530" s="21" t="e">
        <f t="shared" si="27"/>
        <v>#VALUE!</v>
      </c>
      <c r="Q530" s="16"/>
      <c r="R530" s="17"/>
      <c r="S530" s="18"/>
      <c r="T530" s="19"/>
      <c r="U530" s="12"/>
      <c r="V530" s="10"/>
      <c r="W530" s="10"/>
    </row>
    <row r="531" spans="1:23" hidden="1" x14ac:dyDescent="0.25">
      <c r="A531" s="8"/>
      <c r="F531" s="2"/>
      <c r="G531" s="2"/>
      <c r="H531" s="2"/>
      <c r="J531" s="2"/>
      <c r="L531" s="14"/>
      <c r="M531" s="6"/>
      <c r="N531" s="5"/>
      <c r="O531" s="5" t="str">
        <f t="shared" si="26"/>
        <v/>
      </c>
      <c r="P531" s="21" t="e">
        <f t="shared" si="27"/>
        <v>#VALUE!</v>
      </c>
      <c r="Q531" s="16"/>
      <c r="R531" s="17"/>
      <c r="S531" s="18"/>
      <c r="T531" s="19"/>
      <c r="U531" s="12"/>
      <c r="V531" s="10"/>
      <c r="W531" s="10"/>
    </row>
    <row r="532" spans="1:23" hidden="1" x14ac:dyDescent="0.25">
      <c r="A532" s="8"/>
      <c r="F532" s="2"/>
      <c r="G532" s="2"/>
      <c r="H532" s="2"/>
      <c r="J532" s="2"/>
      <c r="L532" s="14"/>
      <c r="M532" s="6"/>
      <c r="N532" s="5"/>
      <c r="O532" s="5" t="str">
        <f t="shared" si="26"/>
        <v/>
      </c>
      <c r="P532" s="21" t="e">
        <f t="shared" si="27"/>
        <v>#VALUE!</v>
      </c>
      <c r="Q532" s="16"/>
      <c r="R532" s="17"/>
      <c r="S532" s="18"/>
      <c r="T532" s="19"/>
      <c r="U532" s="12"/>
      <c r="V532" s="10"/>
      <c r="W532" s="10"/>
    </row>
    <row r="533" spans="1:23" hidden="1" x14ac:dyDescent="0.25">
      <c r="A533" s="8"/>
      <c r="B533" s="11"/>
      <c r="E533" s="11"/>
      <c r="F533" s="2"/>
      <c r="G533" s="2"/>
      <c r="H533" s="2"/>
      <c r="I533" s="11"/>
      <c r="J533" s="2"/>
      <c r="L533" s="14"/>
      <c r="M533" s="6"/>
      <c r="N533" s="5"/>
      <c r="O533" s="5" t="str">
        <f t="shared" si="26"/>
        <v/>
      </c>
      <c r="P533" s="21" t="e">
        <f t="shared" si="27"/>
        <v>#VALUE!</v>
      </c>
      <c r="Q533" s="16"/>
      <c r="R533" s="17"/>
      <c r="S533" s="18"/>
      <c r="T533" s="19"/>
      <c r="U533" s="12"/>
      <c r="V533" s="10"/>
      <c r="W533" s="10"/>
    </row>
    <row r="534" spans="1:23" hidden="1" x14ac:dyDescent="0.25">
      <c r="A534" s="8"/>
      <c r="B534" s="11"/>
      <c r="E534" s="11"/>
      <c r="F534" s="2"/>
      <c r="G534" s="2"/>
      <c r="H534" s="2"/>
      <c r="I534" s="11"/>
      <c r="J534" s="2"/>
      <c r="L534" s="14"/>
      <c r="M534" s="6"/>
      <c r="N534" s="5"/>
      <c r="O534" s="5" t="str">
        <f t="shared" si="26"/>
        <v/>
      </c>
      <c r="P534" s="21" t="e">
        <f t="shared" si="27"/>
        <v>#VALUE!</v>
      </c>
      <c r="Q534" s="16"/>
      <c r="R534" s="17"/>
      <c r="S534" s="18"/>
      <c r="T534" s="19"/>
      <c r="U534" s="12"/>
      <c r="V534" s="10"/>
      <c r="W534" s="10"/>
    </row>
    <row r="535" spans="1:23" hidden="1" x14ac:dyDescent="0.25">
      <c r="A535" s="8"/>
      <c r="B535" s="11"/>
      <c r="E535" s="11"/>
      <c r="F535" s="2"/>
      <c r="G535" s="2"/>
      <c r="H535" s="2"/>
      <c r="I535" s="11"/>
      <c r="J535" s="2"/>
      <c r="L535" s="14"/>
      <c r="M535" s="6"/>
      <c r="N535" s="5"/>
      <c r="O535" s="5" t="str">
        <f t="shared" ref="O535:O598" si="28">RIGHT(C535,2)</f>
        <v/>
      </c>
      <c r="P535" s="21" t="e">
        <f t="shared" ref="P535:P598" si="29">42522+O535+29</f>
        <v>#VALUE!</v>
      </c>
      <c r="Q535" s="16"/>
      <c r="R535" s="17"/>
      <c r="S535" s="18"/>
      <c r="T535" s="19"/>
      <c r="U535" s="12"/>
      <c r="V535" s="10"/>
      <c r="W535" s="10"/>
    </row>
    <row r="536" spans="1:23" hidden="1" x14ac:dyDescent="0.25">
      <c r="A536" s="8"/>
      <c r="B536" s="11"/>
      <c r="E536" s="11"/>
      <c r="F536" s="2"/>
      <c r="G536" s="2"/>
      <c r="H536" s="2"/>
      <c r="I536" s="11"/>
      <c r="J536" s="2"/>
      <c r="L536" s="14"/>
      <c r="M536" s="6"/>
      <c r="N536" s="5"/>
      <c r="O536" s="5" t="str">
        <f t="shared" si="28"/>
        <v/>
      </c>
      <c r="P536" s="21" t="e">
        <f t="shared" si="29"/>
        <v>#VALUE!</v>
      </c>
      <c r="Q536" s="16"/>
      <c r="R536" s="17"/>
      <c r="S536" s="18"/>
      <c r="T536" s="19"/>
      <c r="U536" s="12"/>
      <c r="V536" s="10"/>
      <c r="W536" s="10"/>
    </row>
    <row r="537" spans="1:23" hidden="1" x14ac:dyDescent="0.25">
      <c r="A537" s="8"/>
      <c r="B537" s="11"/>
      <c r="E537" s="11"/>
      <c r="F537" s="2"/>
      <c r="G537" s="2"/>
      <c r="H537" s="2"/>
      <c r="I537" s="11"/>
      <c r="J537" s="2"/>
      <c r="L537" s="14"/>
      <c r="M537" s="6"/>
      <c r="N537" s="5"/>
      <c r="O537" s="5" t="str">
        <f t="shared" si="28"/>
        <v/>
      </c>
      <c r="P537" s="21" t="e">
        <f t="shared" si="29"/>
        <v>#VALUE!</v>
      </c>
      <c r="Q537" s="16"/>
      <c r="R537" s="17"/>
      <c r="S537" s="18"/>
      <c r="T537" s="19"/>
      <c r="U537" s="12"/>
      <c r="V537" s="10"/>
      <c r="W537" s="10"/>
    </row>
    <row r="538" spans="1:23" hidden="1" x14ac:dyDescent="0.25">
      <c r="A538" s="8"/>
      <c r="B538" s="11"/>
      <c r="E538" s="11"/>
      <c r="F538" s="2"/>
      <c r="G538" s="2"/>
      <c r="H538" s="2"/>
      <c r="I538" s="11"/>
      <c r="J538" s="2"/>
      <c r="L538" s="14"/>
      <c r="M538" s="6"/>
      <c r="N538" s="5"/>
      <c r="O538" s="5" t="str">
        <f t="shared" si="28"/>
        <v/>
      </c>
      <c r="P538" s="21" t="e">
        <f t="shared" si="29"/>
        <v>#VALUE!</v>
      </c>
      <c r="Q538" s="16"/>
      <c r="R538" s="17"/>
      <c r="S538" s="18"/>
      <c r="T538" s="19"/>
      <c r="U538" s="12"/>
      <c r="V538" s="10"/>
      <c r="W538" s="10"/>
    </row>
    <row r="539" spans="1:23" hidden="1" x14ac:dyDescent="0.25">
      <c r="A539" s="8"/>
      <c r="B539" s="11"/>
      <c r="E539" s="11"/>
      <c r="F539" s="2"/>
      <c r="G539" s="2"/>
      <c r="H539" s="2"/>
      <c r="I539" s="11"/>
      <c r="J539" s="2"/>
      <c r="L539" s="14"/>
      <c r="M539" s="6"/>
      <c r="N539" s="5"/>
      <c r="O539" s="5" t="str">
        <f t="shared" si="28"/>
        <v/>
      </c>
      <c r="P539" s="21" t="e">
        <f t="shared" si="29"/>
        <v>#VALUE!</v>
      </c>
      <c r="Q539" s="16"/>
      <c r="R539" s="17"/>
      <c r="S539" s="18"/>
      <c r="T539" s="19"/>
      <c r="U539" s="12"/>
      <c r="V539" s="10"/>
      <c r="W539" s="10"/>
    </row>
    <row r="540" spans="1:23" hidden="1" x14ac:dyDescent="0.25">
      <c r="A540" s="8"/>
      <c r="B540" s="11"/>
      <c r="E540" s="11"/>
      <c r="F540" s="2"/>
      <c r="G540" s="2"/>
      <c r="H540" s="2"/>
      <c r="I540" s="11"/>
      <c r="J540" s="2"/>
      <c r="L540" s="14"/>
      <c r="M540" s="6"/>
      <c r="N540" s="5"/>
      <c r="O540" s="5" t="str">
        <f t="shared" si="28"/>
        <v/>
      </c>
      <c r="P540" s="21" t="e">
        <f t="shared" si="29"/>
        <v>#VALUE!</v>
      </c>
      <c r="Q540" s="16"/>
      <c r="R540" s="17"/>
      <c r="S540" s="18"/>
      <c r="T540" s="19"/>
      <c r="U540" s="12"/>
      <c r="V540" s="10"/>
      <c r="W540" s="10"/>
    </row>
    <row r="541" spans="1:23" hidden="1" x14ac:dyDescent="0.25">
      <c r="A541" s="8"/>
      <c r="B541" s="11"/>
      <c r="E541" s="11"/>
      <c r="F541" s="2"/>
      <c r="G541" s="2"/>
      <c r="H541" s="2"/>
      <c r="I541" s="11"/>
      <c r="J541" s="2"/>
      <c r="L541" s="14"/>
      <c r="M541" s="6"/>
      <c r="N541" s="5"/>
      <c r="O541" s="5" t="str">
        <f t="shared" si="28"/>
        <v/>
      </c>
      <c r="P541" s="21" t="e">
        <f t="shared" si="29"/>
        <v>#VALUE!</v>
      </c>
      <c r="Q541" s="16"/>
      <c r="R541" s="17"/>
      <c r="S541" s="18"/>
      <c r="T541" s="19"/>
      <c r="U541" s="12"/>
      <c r="V541" s="10"/>
      <c r="W541" s="10"/>
    </row>
    <row r="542" spans="1:23" hidden="1" x14ac:dyDescent="0.25">
      <c r="A542" s="8"/>
      <c r="F542" s="2"/>
      <c r="G542" s="2"/>
      <c r="H542" s="2"/>
      <c r="J542" s="2"/>
      <c r="L542" s="14"/>
      <c r="M542" s="6"/>
      <c r="N542" s="5"/>
      <c r="O542" s="5" t="str">
        <f t="shared" si="28"/>
        <v/>
      </c>
      <c r="P542" s="21" t="e">
        <f t="shared" si="29"/>
        <v>#VALUE!</v>
      </c>
      <c r="Q542" s="16"/>
      <c r="R542" s="17"/>
      <c r="S542" s="18"/>
      <c r="T542" s="19"/>
      <c r="U542" s="12"/>
      <c r="V542" s="10"/>
      <c r="W542" s="10"/>
    </row>
    <row r="543" spans="1:23" hidden="1" x14ac:dyDescent="0.25">
      <c r="A543" s="8"/>
      <c r="B543" s="11"/>
      <c r="E543" s="11"/>
      <c r="F543" s="2"/>
      <c r="G543" s="2"/>
      <c r="H543" s="2"/>
      <c r="I543" s="11"/>
      <c r="J543" s="2"/>
      <c r="L543" s="14"/>
      <c r="M543" s="6"/>
      <c r="N543" s="5"/>
      <c r="O543" s="5" t="str">
        <f t="shared" si="28"/>
        <v/>
      </c>
      <c r="P543" s="21" t="e">
        <f t="shared" si="29"/>
        <v>#VALUE!</v>
      </c>
      <c r="Q543" s="16"/>
      <c r="R543" s="17"/>
      <c r="S543" s="18"/>
      <c r="T543" s="19"/>
      <c r="U543" s="12"/>
      <c r="V543" s="10"/>
      <c r="W543" s="10"/>
    </row>
    <row r="544" spans="1:23" hidden="1" x14ac:dyDescent="0.25">
      <c r="A544" s="8"/>
      <c r="B544" s="11"/>
      <c r="E544" s="11"/>
      <c r="F544" s="2"/>
      <c r="G544" s="2"/>
      <c r="H544" s="2"/>
      <c r="I544" s="11"/>
      <c r="J544" s="2"/>
      <c r="L544" s="14"/>
      <c r="M544" s="6"/>
      <c r="N544" s="5"/>
      <c r="O544" s="5" t="str">
        <f t="shared" si="28"/>
        <v/>
      </c>
      <c r="P544" s="21" t="e">
        <f t="shared" si="29"/>
        <v>#VALUE!</v>
      </c>
      <c r="Q544" s="16"/>
      <c r="R544" s="17"/>
      <c r="S544" s="18"/>
      <c r="T544" s="19"/>
      <c r="U544" s="12"/>
      <c r="V544" s="10"/>
      <c r="W544" s="10"/>
    </row>
    <row r="545" spans="1:23" hidden="1" x14ac:dyDescent="0.25">
      <c r="A545" s="8"/>
      <c r="B545" s="11"/>
      <c r="E545" s="11"/>
      <c r="F545" s="2"/>
      <c r="G545" s="2"/>
      <c r="H545" s="2"/>
      <c r="I545" s="11"/>
      <c r="J545" s="2"/>
      <c r="L545" s="14"/>
      <c r="M545" s="6"/>
      <c r="N545" s="5"/>
      <c r="O545" s="5" t="str">
        <f t="shared" si="28"/>
        <v/>
      </c>
      <c r="P545" s="21" t="e">
        <f t="shared" si="29"/>
        <v>#VALUE!</v>
      </c>
      <c r="Q545" s="16"/>
      <c r="R545" s="17"/>
      <c r="S545" s="18"/>
      <c r="T545" s="19"/>
      <c r="U545" s="12"/>
      <c r="V545" s="10"/>
      <c r="W545" s="10"/>
    </row>
    <row r="546" spans="1:23" hidden="1" x14ac:dyDescent="0.25">
      <c r="A546" s="8"/>
      <c r="B546" s="11"/>
      <c r="E546" s="11"/>
      <c r="F546" s="2"/>
      <c r="G546" s="2"/>
      <c r="H546" s="2"/>
      <c r="I546" s="11"/>
      <c r="J546" s="2"/>
      <c r="L546" s="14"/>
      <c r="M546" s="6"/>
      <c r="N546" s="5"/>
      <c r="O546" s="5" t="str">
        <f t="shared" si="28"/>
        <v/>
      </c>
      <c r="P546" s="21" t="e">
        <f t="shared" si="29"/>
        <v>#VALUE!</v>
      </c>
      <c r="Q546" s="16"/>
      <c r="R546" s="17"/>
      <c r="S546" s="18"/>
      <c r="T546" s="19"/>
      <c r="U546" s="12"/>
      <c r="V546" s="10"/>
      <c r="W546" s="10"/>
    </row>
    <row r="547" spans="1:23" hidden="1" x14ac:dyDescent="0.25">
      <c r="A547" s="8"/>
      <c r="B547" s="11"/>
      <c r="E547" s="11"/>
      <c r="F547" s="2"/>
      <c r="G547" s="2"/>
      <c r="H547" s="2"/>
      <c r="I547" s="11"/>
      <c r="J547" s="2"/>
      <c r="L547" s="14"/>
      <c r="M547" s="6"/>
      <c r="N547" s="5"/>
      <c r="O547" s="5" t="str">
        <f t="shared" si="28"/>
        <v/>
      </c>
      <c r="P547" s="21" t="e">
        <f t="shared" si="29"/>
        <v>#VALUE!</v>
      </c>
      <c r="Q547" s="16"/>
      <c r="R547" s="17"/>
      <c r="S547" s="18"/>
      <c r="T547" s="19"/>
      <c r="U547" s="12"/>
      <c r="V547" s="10"/>
      <c r="W547" s="10"/>
    </row>
    <row r="548" spans="1:23" hidden="1" x14ac:dyDescent="0.25">
      <c r="A548" s="8"/>
      <c r="F548" s="2"/>
      <c r="G548" s="2"/>
      <c r="H548" s="2"/>
      <c r="J548" s="2"/>
      <c r="L548" s="14"/>
      <c r="M548" s="6"/>
      <c r="N548" s="5"/>
      <c r="O548" s="5" t="str">
        <f t="shared" si="28"/>
        <v/>
      </c>
      <c r="P548" s="21" t="e">
        <f t="shared" si="29"/>
        <v>#VALUE!</v>
      </c>
      <c r="Q548" s="16"/>
      <c r="R548" s="17"/>
      <c r="S548" s="18"/>
      <c r="T548" s="19"/>
      <c r="U548" s="12"/>
      <c r="V548" s="10"/>
      <c r="W548" s="10"/>
    </row>
    <row r="549" spans="1:23" hidden="1" x14ac:dyDescent="0.25">
      <c r="A549" s="8"/>
      <c r="B549" s="11"/>
      <c r="E549" s="11"/>
      <c r="F549" s="2"/>
      <c r="G549" s="2"/>
      <c r="H549" s="2"/>
      <c r="I549" s="11"/>
      <c r="J549" s="2"/>
      <c r="L549" s="14"/>
      <c r="M549" s="6"/>
      <c r="N549" s="5"/>
      <c r="O549" s="5" t="str">
        <f t="shared" si="28"/>
        <v/>
      </c>
      <c r="P549" s="21" t="e">
        <f t="shared" si="29"/>
        <v>#VALUE!</v>
      </c>
      <c r="Q549" s="16"/>
      <c r="R549" s="17"/>
      <c r="S549" s="18"/>
      <c r="T549" s="19"/>
      <c r="U549" s="12"/>
      <c r="V549" s="10"/>
      <c r="W549" s="10"/>
    </row>
    <row r="550" spans="1:23" hidden="1" x14ac:dyDescent="0.25">
      <c r="A550" s="8"/>
      <c r="B550" s="11"/>
      <c r="E550" s="11"/>
      <c r="F550" s="2"/>
      <c r="G550" s="2"/>
      <c r="H550" s="2"/>
      <c r="I550" s="11"/>
      <c r="J550" s="2"/>
      <c r="L550" s="14"/>
      <c r="M550" s="6"/>
      <c r="N550" s="5"/>
      <c r="O550" s="5" t="str">
        <f t="shared" si="28"/>
        <v/>
      </c>
      <c r="P550" s="21" t="e">
        <f t="shared" si="29"/>
        <v>#VALUE!</v>
      </c>
      <c r="Q550" s="16"/>
      <c r="R550" s="17"/>
      <c r="S550" s="18"/>
      <c r="T550" s="19"/>
      <c r="U550" s="12"/>
      <c r="V550" s="10"/>
      <c r="W550" s="10"/>
    </row>
    <row r="551" spans="1:23" hidden="1" x14ac:dyDescent="0.25">
      <c r="A551" s="8"/>
      <c r="B551" s="11"/>
      <c r="E551" s="11"/>
      <c r="F551" s="2"/>
      <c r="G551" s="2"/>
      <c r="H551" s="2"/>
      <c r="I551" s="11"/>
      <c r="J551" s="2"/>
      <c r="L551" s="14"/>
      <c r="M551" s="6"/>
      <c r="N551" s="5"/>
      <c r="O551" s="5" t="str">
        <f t="shared" si="28"/>
        <v/>
      </c>
      <c r="P551" s="21" t="e">
        <f t="shared" si="29"/>
        <v>#VALUE!</v>
      </c>
      <c r="Q551" s="16"/>
      <c r="R551" s="17"/>
      <c r="S551" s="18"/>
      <c r="T551" s="19"/>
      <c r="U551" s="12"/>
      <c r="V551" s="10"/>
      <c r="W551" s="10"/>
    </row>
    <row r="552" spans="1:23" hidden="1" x14ac:dyDescent="0.25">
      <c r="A552" s="8"/>
      <c r="B552" s="11"/>
      <c r="E552" s="11"/>
      <c r="F552" s="2"/>
      <c r="G552" s="2"/>
      <c r="H552" s="2"/>
      <c r="I552" s="11"/>
      <c r="J552" s="2"/>
      <c r="L552" s="14"/>
      <c r="M552" s="6"/>
      <c r="N552" s="5"/>
      <c r="O552" s="5" t="str">
        <f t="shared" si="28"/>
        <v/>
      </c>
      <c r="P552" s="21" t="e">
        <f t="shared" si="29"/>
        <v>#VALUE!</v>
      </c>
      <c r="Q552" s="16"/>
      <c r="R552" s="17"/>
      <c r="S552" s="18"/>
      <c r="T552" s="19"/>
      <c r="U552" s="12"/>
      <c r="V552" s="10"/>
      <c r="W552" s="10"/>
    </row>
    <row r="553" spans="1:23" hidden="1" x14ac:dyDescent="0.25">
      <c r="A553" s="8"/>
      <c r="B553" s="11"/>
      <c r="E553" s="11"/>
      <c r="F553" s="2"/>
      <c r="G553" s="2"/>
      <c r="H553" s="2"/>
      <c r="I553" s="11"/>
      <c r="J553" s="2"/>
      <c r="L553" s="14"/>
      <c r="M553" s="6"/>
      <c r="N553" s="5"/>
      <c r="O553" s="5" t="str">
        <f t="shared" si="28"/>
        <v/>
      </c>
      <c r="P553" s="21" t="e">
        <f t="shared" si="29"/>
        <v>#VALUE!</v>
      </c>
      <c r="Q553" s="16"/>
      <c r="R553" s="17"/>
      <c r="S553" s="18"/>
      <c r="T553" s="19"/>
      <c r="U553" s="12"/>
      <c r="V553" s="10"/>
      <c r="W553" s="10"/>
    </row>
    <row r="554" spans="1:23" hidden="1" x14ac:dyDescent="0.25">
      <c r="A554" s="8"/>
      <c r="B554" s="11"/>
      <c r="E554" s="11"/>
      <c r="F554" s="2"/>
      <c r="G554" s="2"/>
      <c r="H554" s="2"/>
      <c r="I554" s="11"/>
      <c r="J554" s="2"/>
      <c r="L554" s="14"/>
      <c r="M554" s="6"/>
      <c r="N554" s="5"/>
      <c r="O554" s="5" t="str">
        <f t="shared" si="28"/>
        <v/>
      </c>
      <c r="P554" s="21" t="e">
        <f t="shared" si="29"/>
        <v>#VALUE!</v>
      </c>
      <c r="Q554" s="16"/>
      <c r="R554" s="17"/>
      <c r="S554" s="18"/>
      <c r="T554" s="19"/>
      <c r="U554" s="12"/>
      <c r="V554" s="10"/>
      <c r="W554" s="10"/>
    </row>
    <row r="555" spans="1:23" hidden="1" x14ac:dyDescent="0.25">
      <c r="A555" s="8"/>
      <c r="B555" s="11"/>
      <c r="E555" s="11"/>
      <c r="F555" s="2"/>
      <c r="G555" s="2"/>
      <c r="H555" s="2"/>
      <c r="I555" s="11"/>
      <c r="J555" s="2"/>
      <c r="L555" s="14"/>
      <c r="M555" s="6"/>
      <c r="N555" s="5"/>
      <c r="O555" s="5" t="str">
        <f t="shared" si="28"/>
        <v/>
      </c>
      <c r="P555" s="21" t="e">
        <f t="shared" si="29"/>
        <v>#VALUE!</v>
      </c>
      <c r="Q555" s="16"/>
      <c r="R555" s="17"/>
      <c r="S555" s="18"/>
      <c r="T555" s="19"/>
      <c r="U555" s="12"/>
      <c r="V555" s="10"/>
      <c r="W555" s="10"/>
    </row>
    <row r="556" spans="1:23" hidden="1" x14ac:dyDescent="0.25">
      <c r="A556" s="8"/>
      <c r="B556" s="11"/>
      <c r="E556" s="11"/>
      <c r="F556" s="2"/>
      <c r="G556" s="2"/>
      <c r="H556" s="2"/>
      <c r="I556" s="11"/>
      <c r="J556" s="2"/>
      <c r="L556" s="14"/>
      <c r="M556" s="6"/>
      <c r="N556" s="5"/>
      <c r="O556" s="5" t="str">
        <f t="shared" si="28"/>
        <v/>
      </c>
      <c r="P556" s="21" t="e">
        <f t="shared" si="29"/>
        <v>#VALUE!</v>
      </c>
      <c r="Q556" s="16"/>
      <c r="R556" s="17"/>
      <c r="S556" s="18"/>
      <c r="T556" s="19"/>
      <c r="U556" s="12"/>
      <c r="V556" s="10"/>
      <c r="W556" s="10"/>
    </row>
    <row r="557" spans="1:23" hidden="1" x14ac:dyDescent="0.25">
      <c r="A557" s="8"/>
      <c r="B557" s="11"/>
      <c r="E557" s="11"/>
      <c r="F557" s="2"/>
      <c r="G557" s="2"/>
      <c r="H557" s="2"/>
      <c r="I557" s="11"/>
      <c r="J557" s="2"/>
      <c r="L557" s="14"/>
      <c r="M557" s="6"/>
      <c r="N557" s="5"/>
      <c r="O557" s="5" t="str">
        <f t="shared" si="28"/>
        <v/>
      </c>
      <c r="P557" s="21" t="e">
        <f t="shared" si="29"/>
        <v>#VALUE!</v>
      </c>
      <c r="Q557" s="16"/>
      <c r="R557" s="17"/>
      <c r="S557" s="18"/>
      <c r="T557" s="19"/>
      <c r="U557" s="12"/>
      <c r="V557" s="10"/>
      <c r="W557" s="10"/>
    </row>
    <row r="558" spans="1:23" hidden="1" x14ac:dyDescent="0.25">
      <c r="A558" s="8"/>
      <c r="B558" s="11"/>
      <c r="E558" s="11"/>
      <c r="F558" s="2"/>
      <c r="G558" s="2"/>
      <c r="H558" s="2"/>
      <c r="I558" s="11"/>
      <c r="J558" s="2"/>
      <c r="L558" s="14"/>
      <c r="M558" s="6"/>
      <c r="N558" s="5"/>
      <c r="O558" s="5" t="str">
        <f t="shared" si="28"/>
        <v/>
      </c>
      <c r="P558" s="21" t="e">
        <f t="shared" si="29"/>
        <v>#VALUE!</v>
      </c>
      <c r="Q558" s="16"/>
      <c r="R558" s="17"/>
      <c r="S558" s="18"/>
      <c r="T558" s="19"/>
      <c r="U558" s="12"/>
      <c r="V558" s="10"/>
      <c r="W558" s="10"/>
    </row>
    <row r="559" spans="1:23" hidden="1" x14ac:dyDescent="0.25">
      <c r="A559" s="8"/>
      <c r="B559" s="11"/>
      <c r="E559" s="11"/>
      <c r="F559" s="2"/>
      <c r="G559" s="2"/>
      <c r="H559" s="2"/>
      <c r="I559" s="11"/>
      <c r="J559" s="2"/>
      <c r="L559" s="14"/>
      <c r="M559" s="6"/>
      <c r="N559" s="5"/>
      <c r="O559" s="5" t="str">
        <f t="shared" si="28"/>
        <v/>
      </c>
      <c r="P559" s="21" t="e">
        <f t="shared" si="29"/>
        <v>#VALUE!</v>
      </c>
      <c r="Q559" s="16"/>
      <c r="R559" s="17"/>
      <c r="S559" s="18"/>
      <c r="T559" s="19"/>
      <c r="U559" s="12"/>
      <c r="V559" s="10"/>
      <c r="W559" s="10"/>
    </row>
    <row r="560" spans="1:23" hidden="1" x14ac:dyDescent="0.25">
      <c r="A560" s="8"/>
      <c r="B560" s="11"/>
      <c r="E560" s="11"/>
      <c r="F560" s="2"/>
      <c r="G560" s="2"/>
      <c r="H560" s="2"/>
      <c r="I560" s="11"/>
      <c r="J560" s="2"/>
      <c r="L560" s="14"/>
      <c r="M560" s="6"/>
      <c r="N560" s="5"/>
      <c r="O560" s="5" t="str">
        <f t="shared" si="28"/>
        <v/>
      </c>
      <c r="P560" s="21" t="e">
        <f t="shared" si="29"/>
        <v>#VALUE!</v>
      </c>
      <c r="Q560" s="16"/>
      <c r="R560" s="17"/>
      <c r="S560" s="18"/>
      <c r="T560" s="19"/>
      <c r="U560" s="12"/>
      <c r="V560" s="10"/>
      <c r="W560" s="10"/>
    </row>
    <row r="561" spans="1:23" hidden="1" x14ac:dyDescent="0.25">
      <c r="A561" s="8"/>
      <c r="F561" s="2"/>
      <c r="G561" s="2"/>
      <c r="H561" s="2"/>
      <c r="J561" s="2"/>
      <c r="L561" s="14"/>
      <c r="M561" s="6"/>
      <c r="N561" s="5"/>
      <c r="O561" s="5" t="str">
        <f t="shared" si="28"/>
        <v/>
      </c>
      <c r="P561" s="21" t="e">
        <f t="shared" si="29"/>
        <v>#VALUE!</v>
      </c>
      <c r="Q561" s="16"/>
      <c r="R561" s="17"/>
      <c r="S561" s="18"/>
      <c r="T561" s="19"/>
      <c r="U561" s="12"/>
      <c r="V561" s="10"/>
      <c r="W561" s="10"/>
    </row>
    <row r="562" spans="1:23" hidden="1" x14ac:dyDescent="0.25">
      <c r="A562" s="8"/>
      <c r="B562" s="11"/>
      <c r="E562" s="11"/>
      <c r="F562" s="2"/>
      <c r="G562" s="2"/>
      <c r="H562" s="2"/>
      <c r="I562" s="11"/>
      <c r="J562" s="2"/>
      <c r="L562" s="14"/>
      <c r="M562" s="6"/>
      <c r="N562" s="5"/>
      <c r="O562" s="5" t="str">
        <f t="shared" si="28"/>
        <v/>
      </c>
      <c r="P562" s="21" t="e">
        <f t="shared" si="29"/>
        <v>#VALUE!</v>
      </c>
      <c r="Q562" s="16"/>
      <c r="R562" s="17"/>
      <c r="S562" s="18"/>
      <c r="T562" s="19"/>
      <c r="U562" s="12"/>
      <c r="V562" s="10"/>
      <c r="W562" s="10"/>
    </row>
    <row r="563" spans="1:23" hidden="1" x14ac:dyDescent="0.25">
      <c r="A563" s="8"/>
      <c r="B563" s="11"/>
      <c r="E563" s="11"/>
      <c r="F563" s="2"/>
      <c r="G563" s="2"/>
      <c r="H563" s="2"/>
      <c r="I563" s="11"/>
      <c r="J563" s="2"/>
      <c r="L563" s="14"/>
      <c r="M563" s="6"/>
      <c r="N563" s="5"/>
      <c r="O563" s="5" t="str">
        <f t="shared" si="28"/>
        <v/>
      </c>
      <c r="P563" s="21" t="e">
        <f t="shared" si="29"/>
        <v>#VALUE!</v>
      </c>
      <c r="Q563" s="16"/>
      <c r="R563" s="17"/>
      <c r="S563" s="18"/>
      <c r="T563" s="19"/>
      <c r="U563" s="12"/>
      <c r="V563" s="10"/>
      <c r="W563" s="10"/>
    </row>
    <row r="564" spans="1:23" hidden="1" x14ac:dyDescent="0.25">
      <c r="A564" s="8"/>
      <c r="B564" s="11"/>
      <c r="E564" s="11"/>
      <c r="F564" s="2"/>
      <c r="G564" s="2"/>
      <c r="H564" s="2"/>
      <c r="I564" s="11"/>
      <c r="J564" s="2"/>
      <c r="L564" s="14"/>
      <c r="M564" s="6"/>
      <c r="N564" s="5"/>
      <c r="O564" s="5" t="str">
        <f t="shared" si="28"/>
        <v/>
      </c>
      <c r="P564" s="21" t="e">
        <f t="shared" si="29"/>
        <v>#VALUE!</v>
      </c>
      <c r="Q564" s="16"/>
      <c r="R564" s="17"/>
      <c r="S564" s="18"/>
      <c r="T564" s="19"/>
      <c r="U564" s="12"/>
      <c r="V564" s="10"/>
      <c r="W564" s="10"/>
    </row>
    <row r="565" spans="1:23" hidden="1" x14ac:dyDescent="0.25">
      <c r="A565" s="8"/>
      <c r="B565" s="11"/>
      <c r="E565" s="11"/>
      <c r="F565" s="2"/>
      <c r="G565" s="2"/>
      <c r="H565" s="2"/>
      <c r="I565" s="11"/>
      <c r="J565" s="2"/>
      <c r="L565" s="14"/>
      <c r="M565" s="6"/>
      <c r="N565" s="5"/>
      <c r="O565" s="5" t="str">
        <f t="shared" si="28"/>
        <v/>
      </c>
      <c r="P565" s="21" t="e">
        <f t="shared" si="29"/>
        <v>#VALUE!</v>
      </c>
      <c r="Q565" s="16"/>
      <c r="R565" s="17"/>
      <c r="S565" s="18"/>
      <c r="T565" s="19"/>
      <c r="U565" s="12"/>
      <c r="V565" s="10"/>
      <c r="W565" s="10"/>
    </row>
    <row r="566" spans="1:23" hidden="1" x14ac:dyDescent="0.25">
      <c r="A566" s="8"/>
      <c r="F566" s="2"/>
      <c r="G566" s="2"/>
      <c r="H566" s="2"/>
      <c r="J566" s="2"/>
      <c r="L566" s="14"/>
      <c r="M566" s="6"/>
      <c r="N566" s="5"/>
      <c r="O566" s="5" t="str">
        <f t="shared" si="28"/>
        <v/>
      </c>
      <c r="P566" s="21" t="e">
        <f t="shared" si="29"/>
        <v>#VALUE!</v>
      </c>
      <c r="Q566" s="16"/>
      <c r="R566" s="17"/>
      <c r="S566" s="18"/>
      <c r="T566" s="19"/>
      <c r="U566" s="12"/>
      <c r="V566" s="10"/>
      <c r="W566" s="10"/>
    </row>
    <row r="567" spans="1:23" hidden="1" x14ac:dyDescent="0.25">
      <c r="A567" s="8"/>
      <c r="B567" s="11"/>
      <c r="E567" s="11"/>
      <c r="F567" s="2"/>
      <c r="G567" s="2"/>
      <c r="H567" s="2"/>
      <c r="I567" s="11"/>
      <c r="J567" s="2"/>
      <c r="L567" s="14"/>
      <c r="M567" s="6"/>
      <c r="N567" s="5"/>
      <c r="O567" s="5" t="str">
        <f t="shared" si="28"/>
        <v/>
      </c>
      <c r="P567" s="21" t="e">
        <f t="shared" si="29"/>
        <v>#VALUE!</v>
      </c>
      <c r="Q567" s="16"/>
      <c r="R567" s="17"/>
      <c r="S567" s="18"/>
      <c r="T567" s="19"/>
      <c r="U567" s="12"/>
      <c r="V567" s="10"/>
      <c r="W567" s="10"/>
    </row>
    <row r="568" spans="1:23" hidden="1" x14ac:dyDescent="0.25">
      <c r="A568" s="8"/>
      <c r="B568" s="11"/>
      <c r="E568" s="11"/>
      <c r="F568" s="2"/>
      <c r="G568" s="2"/>
      <c r="H568" s="2"/>
      <c r="I568" s="11"/>
      <c r="J568" s="2"/>
      <c r="L568" s="14"/>
      <c r="M568" s="6"/>
      <c r="N568" s="5"/>
      <c r="O568" s="5" t="str">
        <f t="shared" si="28"/>
        <v/>
      </c>
      <c r="P568" s="21" t="e">
        <f t="shared" si="29"/>
        <v>#VALUE!</v>
      </c>
      <c r="Q568" s="16"/>
      <c r="R568" s="17"/>
      <c r="S568" s="18"/>
      <c r="T568" s="19"/>
      <c r="U568" s="12"/>
      <c r="V568" s="10"/>
      <c r="W568" s="10"/>
    </row>
    <row r="569" spans="1:23" hidden="1" x14ac:dyDescent="0.25">
      <c r="A569" s="8"/>
      <c r="B569" s="11"/>
      <c r="E569" s="11"/>
      <c r="F569" s="2"/>
      <c r="G569" s="2"/>
      <c r="H569" s="2"/>
      <c r="I569" s="11"/>
      <c r="J569" s="2"/>
      <c r="L569" s="14"/>
      <c r="M569" s="6"/>
      <c r="N569" s="5"/>
      <c r="O569" s="5" t="str">
        <f t="shared" si="28"/>
        <v/>
      </c>
      <c r="P569" s="21" t="e">
        <f t="shared" si="29"/>
        <v>#VALUE!</v>
      </c>
      <c r="Q569" s="16"/>
      <c r="R569" s="17"/>
      <c r="S569" s="18"/>
      <c r="T569" s="19"/>
      <c r="U569" s="12"/>
      <c r="V569" s="10"/>
      <c r="W569" s="10"/>
    </row>
    <row r="570" spans="1:23" hidden="1" x14ac:dyDescent="0.25">
      <c r="A570" s="8"/>
      <c r="B570" s="11"/>
      <c r="E570" s="11"/>
      <c r="F570" s="2"/>
      <c r="G570" s="2"/>
      <c r="H570" s="2"/>
      <c r="I570" s="11"/>
      <c r="J570" s="2"/>
      <c r="L570" s="14"/>
      <c r="M570" s="6"/>
      <c r="N570" s="5"/>
      <c r="O570" s="5" t="str">
        <f t="shared" si="28"/>
        <v/>
      </c>
      <c r="P570" s="21" t="e">
        <f t="shared" si="29"/>
        <v>#VALUE!</v>
      </c>
      <c r="Q570" s="16"/>
      <c r="R570" s="17"/>
      <c r="S570" s="18"/>
      <c r="T570" s="19"/>
      <c r="U570" s="12"/>
      <c r="V570" s="10"/>
      <c r="W570" s="10"/>
    </row>
    <row r="571" spans="1:23" hidden="1" x14ac:dyDescent="0.25">
      <c r="A571" s="8"/>
      <c r="B571" s="11"/>
      <c r="E571" s="11"/>
      <c r="F571" s="2"/>
      <c r="G571" s="2"/>
      <c r="H571" s="2"/>
      <c r="I571" s="11"/>
      <c r="J571" s="2"/>
      <c r="L571" s="14"/>
      <c r="M571" s="6"/>
      <c r="N571" s="5"/>
      <c r="O571" s="5" t="str">
        <f t="shared" si="28"/>
        <v/>
      </c>
      <c r="P571" s="21" t="e">
        <f t="shared" si="29"/>
        <v>#VALUE!</v>
      </c>
      <c r="Q571" s="16"/>
      <c r="R571" s="17"/>
      <c r="S571" s="18"/>
      <c r="T571" s="19"/>
      <c r="U571" s="12"/>
      <c r="V571" s="10"/>
      <c r="W571" s="10"/>
    </row>
    <row r="572" spans="1:23" hidden="1" x14ac:dyDescent="0.25">
      <c r="A572" s="8"/>
      <c r="B572" s="11"/>
      <c r="E572" s="11"/>
      <c r="F572" s="2"/>
      <c r="G572" s="2"/>
      <c r="H572" s="2"/>
      <c r="I572" s="11"/>
      <c r="J572" s="2"/>
      <c r="L572" s="14"/>
      <c r="M572" s="6"/>
      <c r="N572" s="5"/>
      <c r="O572" s="5" t="str">
        <f t="shared" si="28"/>
        <v/>
      </c>
      <c r="P572" s="21" t="e">
        <f t="shared" si="29"/>
        <v>#VALUE!</v>
      </c>
      <c r="Q572" s="16"/>
      <c r="R572" s="17"/>
      <c r="S572" s="18"/>
      <c r="T572" s="19"/>
      <c r="U572" s="12"/>
      <c r="V572" s="10"/>
      <c r="W572" s="10"/>
    </row>
    <row r="573" spans="1:23" hidden="1" x14ac:dyDescent="0.25">
      <c r="A573" s="8"/>
      <c r="F573" s="2"/>
      <c r="G573" s="2"/>
      <c r="H573" s="2"/>
      <c r="J573" s="2"/>
      <c r="L573" s="14"/>
      <c r="M573" s="6"/>
      <c r="N573" s="5"/>
      <c r="O573" s="5" t="str">
        <f t="shared" si="28"/>
        <v/>
      </c>
      <c r="P573" s="21" t="e">
        <f t="shared" si="29"/>
        <v>#VALUE!</v>
      </c>
      <c r="Q573" s="16"/>
      <c r="R573" s="17"/>
      <c r="S573" s="18"/>
      <c r="T573" s="19"/>
      <c r="U573" s="12"/>
      <c r="V573" s="10"/>
      <c r="W573" s="10"/>
    </row>
    <row r="574" spans="1:23" hidden="1" x14ac:dyDescent="0.25">
      <c r="A574" s="8"/>
      <c r="B574" s="11"/>
      <c r="E574" s="11"/>
      <c r="F574" s="2"/>
      <c r="G574" s="2"/>
      <c r="H574" s="2"/>
      <c r="I574" s="11"/>
      <c r="J574" s="2"/>
      <c r="L574" s="14"/>
      <c r="M574" s="6"/>
      <c r="N574" s="5"/>
      <c r="O574" s="5" t="str">
        <f t="shared" si="28"/>
        <v/>
      </c>
      <c r="P574" s="21" t="e">
        <f t="shared" si="29"/>
        <v>#VALUE!</v>
      </c>
      <c r="Q574" s="16"/>
      <c r="R574" s="17"/>
      <c r="S574" s="18"/>
      <c r="T574" s="19"/>
      <c r="U574" s="12"/>
      <c r="V574" s="10"/>
      <c r="W574" s="10"/>
    </row>
    <row r="575" spans="1:23" hidden="1" x14ac:dyDescent="0.25">
      <c r="A575" s="8"/>
      <c r="F575" s="2"/>
      <c r="G575" s="2"/>
      <c r="H575" s="2"/>
      <c r="J575" s="2"/>
      <c r="L575" s="14"/>
      <c r="M575" s="6"/>
      <c r="N575" s="5"/>
      <c r="O575" s="5" t="str">
        <f t="shared" si="28"/>
        <v/>
      </c>
      <c r="P575" s="21" t="e">
        <f t="shared" si="29"/>
        <v>#VALUE!</v>
      </c>
      <c r="Q575" s="16"/>
      <c r="R575" s="17"/>
      <c r="S575" s="18"/>
      <c r="T575" s="19"/>
      <c r="U575" s="12"/>
      <c r="V575" s="10"/>
      <c r="W575" s="10"/>
    </row>
    <row r="576" spans="1:23" hidden="1" x14ac:dyDescent="0.25">
      <c r="A576" s="8"/>
      <c r="B576" s="11"/>
      <c r="E576" s="11"/>
      <c r="F576" s="2"/>
      <c r="G576" s="2"/>
      <c r="H576" s="2"/>
      <c r="I576" s="11"/>
      <c r="J576" s="2"/>
      <c r="L576" s="14"/>
      <c r="M576" s="6"/>
      <c r="N576" s="5"/>
      <c r="O576" s="5" t="str">
        <f t="shared" si="28"/>
        <v/>
      </c>
      <c r="P576" s="21" t="e">
        <f t="shared" si="29"/>
        <v>#VALUE!</v>
      </c>
      <c r="Q576" s="16"/>
      <c r="R576" s="17"/>
      <c r="S576" s="18"/>
      <c r="T576" s="19"/>
      <c r="U576" s="12"/>
      <c r="V576" s="10"/>
      <c r="W576" s="10"/>
    </row>
    <row r="577" spans="1:23" hidden="1" x14ac:dyDescent="0.25">
      <c r="A577" s="8"/>
      <c r="F577" s="2"/>
      <c r="G577" s="2"/>
      <c r="H577" s="2"/>
      <c r="J577" s="2"/>
      <c r="L577" s="14"/>
      <c r="M577" s="6"/>
      <c r="N577" s="5"/>
      <c r="O577" s="5" t="str">
        <f t="shared" si="28"/>
        <v/>
      </c>
      <c r="P577" s="21" t="e">
        <f t="shared" si="29"/>
        <v>#VALUE!</v>
      </c>
      <c r="Q577" s="16"/>
      <c r="R577" s="17"/>
      <c r="S577" s="18"/>
      <c r="T577" s="19"/>
      <c r="U577" s="12"/>
      <c r="V577" s="10"/>
      <c r="W577" s="10"/>
    </row>
    <row r="578" spans="1:23" hidden="1" x14ac:dyDescent="0.25">
      <c r="A578" s="8"/>
      <c r="B578" s="11"/>
      <c r="E578" s="11"/>
      <c r="F578" s="2"/>
      <c r="G578" s="2"/>
      <c r="H578" s="2"/>
      <c r="I578" s="11"/>
      <c r="J578" s="2"/>
      <c r="L578" s="14"/>
      <c r="M578" s="6"/>
      <c r="N578" s="5"/>
      <c r="O578" s="5" t="str">
        <f t="shared" si="28"/>
        <v/>
      </c>
      <c r="P578" s="21" t="e">
        <f t="shared" si="29"/>
        <v>#VALUE!</v>
      </c>
      <c r="Q578" s="16"/>
      <c r="R578" s="17"/>
      <c r="S578" s="18"/>
      <c r="T578" s="19"/>
      <c r="U578" s="12"/>
      <c r="V578" s="10"/>
      <c r="W578" s="10"/>
    </row>
    <row r="579" spans="1:23" hidden="1" x14ac:dyDescent="0.25">
      <c r="A579" s="8"/>
      <c r="B579" s="11"/>
      <c r="E579" s="11"/>
      <c r="F579" s="2"/>
      <c r="G579" s="2"/>
      <c r="H579" s="2"/>
      <c r="I579" s="11"/>
      <c r="J579" s="2"/>
      <c r="L579" s="14"/>
      <c r="M579" s="6"/>
      <c r="N579" s="5"/>
      <c r="O579" s="5" t="str">
        <f t="shared" si="28"/>
        <v/>
      </c>
      <c r="P579" s="21" t="e">
        <f t="shared" si="29"/>
        <v>#VALUE!</v>
      </c>
      <c r="Q579" s="16"/>
      <c r="R579" s="17"/>
      <c r="S579" s="18"/>
      <c r="T579" s="19"/>
      <c r="U579" s="12"/>
      <c r="V579" s="10"/>
      <c r="W579" s="10"/>
    </row>
    <row r="580" spans="1:23" hidden="1" x14ac:dyDescent="0.25">
      <c r="A580" s="8"/>
      <c r="F580" s="2"/>
      <c r="G580" s="2"/>
      <c r="H580" s="2"/>
      <c r="J580" s="2"/>
      <c r="L580" s="14"/>
      <c r="M580" s="6"/>
      <c r="N580" s="5"/>
      <c r="O580" s="5" t="str">
        <f t="shared" si="28"/>
        <v/>
      </c>
      <c r="P580" s="21" t="e">
        <f t="shared" si="29"/>
        <v>#VALUE!</v>
      </c>
      <c r="Q580" s="16"/>
      <c r="R580" s="17"/>
      <c r="S580" s="18"/>
      <c r="T580" s="19"/>
      <c r="U580" s="12"/>
      <c r="V580" s="10"/>
      <c r="W580" s="10"/>
    </row>
    <row r="581" spans="1:23" hidden="1" x14ac:dyDescent="0.25">
      <c r="A581" s="8"/>
      <c r="B581" s="11"/>
      <c r="E581" s="11"/>
      <c r="F581" s="2"/>
      <c r="G581" s="2"/>
      <c r="H581" s="2"/>
      <c r="I581" s="11"/>
      <c r="J581" s="2"/>
      <c r="L581" s="14"/>
      <c r="M581" s="6"/>
      <c r="N581" s="5"/>
      <c r="O581" s="5" t="str">
        <f t="shared" si="28"/>
        <v/>
      </c>
      <c r="P581" s="21" t="e">
        <f t="shared" si="29"/>
        <v>#VALUE!</v>
      </c>
      <c r="Q581" s="16"/>
      <c r="R581" s="17"/>
      <c r="S581" s="18"/>
      <c r="T581" s="19"/>
      <c r="U581" s="12"/>
      <c r="V581" s="10"/>
      <c r="W581" s="10"/>
    </row>
    <row r="582" spans="1:23" hidden="1" x14ac:dyDescent="0.25">
      <c r="A582" s="8"/>
      <c r="F582" s="2"/>
      <c r="G582" s="2"/>
      <c r="H582" s="2"/>
      <c r="J582" s="2"/>
      <c r="L582" s="14"/>
      <c r="M582" s="6"/>
      <c r="N582" s="5"/>
      <c r="O582" s="5" t="str">
        <f t="shared" si="28"/>
        <v/>
      </c>
      <c r="P582" s="21" t="e">
        <f t="shared" si="29"/>
        <v>#VALUE!</v>
      </c>
      <c r="Q582" s="16"/>
      <c r="R582" s="17"/>
      <c r="S582" s="18"/>
      <c r="T582" s="19"/>
      <c r="U582" s="12"/>
      <c r="V582" s="10"/>
      <c r="W582" s="10"/>
    </row>
    <row r="583" spans="1:23" hidden="1" x14ac:dyDescent="0.25">
      <c r="A583" s="8"/>
      <c r="B583" s="11"/>
      <c r="E583" s="11"/>
      <c r="F583" s="2"/>
      <c r="G583" s="2"/>
      <c r="H583" s="2"/>
      <c r="I583" s="11"/>
      <c r="J583" s="2"/>
      <c r="L583" s="14"/>
      <c r="M583" s="6"/>
      <c r="N583" s="5"/>
      <c r="O583" s="5" t="str">
        <f t="shared" si="28"/>
        <v/>
      </c>
      <c r="P583" s="21" t="e">
        <f t="shared" si="29"/>
        <v>#VALUE!</v>
      </c>
      <c r="Q583" s="16"/>
      <c r="R583" s="17"/>
      <c r="S583" s="18"/>
      <c r="T583" s="19"/>
      <c r="U583" s="12"/>
      <c r="V583" s="10"/>
      <c r="W583" s="10"/>
    </row>
    <row r="584" spans="1:23" hidden="1" x14ac:dyDescent="0.25">
      <c r="A584" s="8"/>
      <c r="B584" s="11"/>
      <c r="E584" s="11"/>
      <c r="F584" s="2"/>
      <c r="G584" s="2"/>
      <c r="H584" s="2"/>
      <c r="I584" s="11"/>
      <c r="J584" s="2"/>
      <c r="L584" s="14"/>
      <c r="M584" s="6"/>
      <c r="N584" s="5"/>
      <c r="O584" s="5" t="str">
        <f t="shared" si="28"/>
        <v/>
      </c>
      <c r="P584" s="21" t="e">
        <f t="shared" si="29"/>
        <v>#VALUE!</v>
      </c>
      <c r="Q584" s="16"/>
      <c r="R584" s="17"/>
      <c r="S584" s="18"/>
      <c r="T584" s="19"/>
      <c r="U584" s="12"/>
      <c r="V584" s="10"/>
      <c r="W584" s="10"/>
    </row>
    <row r="585" spans="1:23" hidden="1" x14ac:dyDescent="0.25">
      <c r="A585" s="8"/>
      <c r="F585" s="2"/>
      <c r="G585" s="2"/>
      <c r="H585" s="2"/>
      <c r="J585" s="2"/>
      <c r="L585" s="14"/>
      <c r="M585" s="6"/>
      <c r="N585" s="5"/>
      <c r="O585" s="5" t="str">
        <f t="shared" si="28"/>
        <v/>
      </c>
      <c r="P585" s="21" t="e">
        <f t="shared" si="29"/>
        <v>#VALUE!</v>
      </c>
      <c r="Q585" s="16"/>
      <c r="R585" s="17"/>
      <c r="S585" s="18"/>
      <c r="T585" s="19"/>
      <c r="U585" s="12"/>
      <c r="V585" s="10"/>
      <c r="W585" s="10"/>
    </row>
    <row r="586" spans="1:23" hidden="1" x14ac:dyDescent="0.25">
      <c r="A586" s="8"/>
      <c r="B586" s="11"/>
      <c r="E586" s="11"/>
      <c r="F586" s="2"/>
      <c r="G586" s="2"/>
      <c r="H586" s="2"/>
      <c r="I586" s="11"/>
      <c r="J586" s="2"/>
      <c r="L586" s="14"/>
      <c r="M586" s="6"/>
      <c r="N586" s="5"/>
      <c r="O586" s="5" t="str">
        <f t="shared" si="28"/>
        <v/>
      </c>
      <c r="P586" s="21" t="e">
        <f t="shared" si="29"/>
        <v>#VALUE!</v>
      </c>
      <c r="Q586" s="16"/>
      <c r="R586" s="17"/>
      <c r="S586" s="18"/>
      <c r="T586" s="19"/>
      <c r="U586" s="12"/>
      <c r="V586" s="10"/>
      <c r="W586" s="10"/>
    </row>
    <row r="587" spans="1:23" hidden="1" x14ac:dyDescent="0.25">
      <c r="A587" s="8"/>
      <c r="B587" s="11"/>
      <c r="E587" s="11"/>
      <c r="F587" s="2"/>
      <c r="G587" s="2"/>
      <c r="H587" s="2"/>
      <c r="I587" s="11"/>
      <c r="J587" s="2"/>
      <c r="L587" s="14"/>
      <c r="M587" s="6"/>
      <c r="N587" s="5"/>
      <c r="O587" s="5" t="str">
        <f t="shared" si="28"/>
        <v/>
      </c>
      <c r="P587" s="21" t="e">
        <f t="shared" si="29"/>
        <v>#VALUE!</v>
      </c>
      <c r="Q587" s="16"/>
      <c r="R587" s="17"/>
      <c r="S587" s="18"/>
      <c r="T587" s="19"/>
      <c r="U587" s="12"/>
      <c r="V587" s="10"/>
      <c r="W587" s="10"/>
    </row>
    <row r="588" spans="1:23" hidden="1" x14ac:dyDescent="0.25">
      <c r="A588" s="8"/>
      <c r="B588" s="11"/>
      <c r="E588" s="11"/>
      <c r="F588" s="2"/>
      <c r="G588" s="2"/>
      <c r="H588" s="2"/>
      <c r="I588" s="11"/>
      <c r="J588" s="2"/>
      <c r="L588" s="14"/>
      <c r="M588" s="6"/>
      <c r="N588" s="5"/>
      <c r="O588" s="5" t="str">
        <f t="shared" si="28"/>
        <v/>
      </c>
      <c r="P588" s="21" t="e">
        <f t="shared" si="29"/>
        <v>#VALUE!</v>
      </c>
      <c r="Q588" s="16"/>
      <c r="R588" s="17"/>
      <c r="S588" s="18"/>
      <c r="T588" s="19"/>
      <c r="U588" s="12"/>
      <c r="V588" s="10"/>
      <c r="W588" s="10"/>
    </row>
    <row r="589" spans="1:23" hidden="1" x14ac:dyDescent="0.25">
      <c r="A589" s="8"/>
      <c r="B589" s="11"/>
      <c r="E589" s="11"/>
      <c r="F589" s="2"/>
      <c r="G589" s="2"/>
      <c r="H589" s="2"/>
      <c r="I589" s="11"/>
      <c r="J589" s="2"/>
      <c r="L589" s="14"/>
      <c r="M589" s="6"/>
      <c r="N589" s="5"/>
      <c r="O589" s="5" t="str">
        <f t="shared" si="28"/>
        <v/>
      </c>
      <c r="P589" s="21" t="e">
        <f t="shared" si="29"/>
        <v>#VALUE!</v>
      </c>
      <c r="Q589" s="16"/>
      <c r="R589" s="17"/>
      <c r="S589" s="18"/>
      <c r="T589" s="19"/>
      <c r="U589" s="12"/>
      <c r="V589" s="10"/>
      <c r="W589" s="10"/>
    </row>
    <row r="590" spans="1:23" hidden="1" x14ac:dyDescent="0.25">
      <c r="A590" s="8"/>
      <c r="B590" s="11"/>
      <c r="E590" s="11"/>
      <c r="F590" s="2"/>
      <c r="G590" s="2"/>
      <c r="H590" s="2"/>
      <c r="I590" s="11"/>
      <c r="J590" s="2"/>
      <c r="L590" s="14"/>
      <c r="M590" s="6"/>
      <c r="N590" s="5"/>
      <c r="O590" s="5" t="str">
        <f t="shared" si="28"/>
        <v/>
      </c>
      <c r="P590" s="21" t="e">
        <f t="shared" si="29"/>
        <v>#VALUE!</v>
      </c>
      <c r="Q590" s="16"/>
      <c r="R590" s="17"/>
      <c r="S590" s="18"/>
      <c r="T590" s="19"/>
      <c r="U590" s="12"/>
      <c r="V590" s="10"/>
      <c r="W590" s="10"/>
    </row>
    <row r="591" spans="1:23" hidden="1" x14ac:dyDescent="0.25">
      <c r="A591" s="8"/>
      <c r="F591" s="2"/>
      <c r="G591" s="2"/>
      <c r="H591" s="2"/>
      <c r="J591" s="2"/>
      <c r="L591" s="14"/>
      <c r="M591" s="6"/>
      <c r="N591" s="5"/>
      <c r="O591" s="5" t="str">
        <f t="shared" si="28"/>
        <v/>
      </c>
      <c r="P591" s="21" t="e">
        <f t="shared" si="29"/>
        <v>#VALUE!</v>
      </c>
      <c r="Q591" s="16"/>
      <c r="R591" s="17"/>
      <c r="S591" s="18"/>
      <c r="T591" s="19"/>
      <c r="U591" s="12"/>
      <c r="V591" s="10"/>
      <c r="W591" s="10"/>
    </row>
    <row r="592" spans="1:23" hidden="1" x14ac:dyDescent="0.25">
      <c r="A592" s="8"/>
      <c r="B592" s="11"/>
      <c r="E592" s="11"/>
      <c r="F592" s="2"/>
      <c r="G592" s="2"/>
      <c r="H592" s="2"/>
      <c r="I592" s="11"/>
      <c r="J592" s="2"/>
      <c r="L592" s="14"/>
      <c r="M592" s="6"/>
      <c r="N592" s="5"/>
      <c r="O592" s="5" t="str">
        <f t="shared" si="28"/>
        <v/>
      </c>
      <c r="P592" s="21" t="e">
        <f t="shared" si="29"/>
        <v>#VALUE!</v>
      </c>
      <c r="Q592" s="16"/>
      <c r="R592" s="17"/>
      <c r="S592" s="18"/>
      <c r="T592" s="19"/>
      <c r="U592" s="12"/>
      <c r="V592" s="10"/>
      <c r="W592" s="10"/>
    </row>
    <row r="593" spans="1:23" hidden="1" x14ac:dyDescent="0.25">
      <c r="A593" s="8"/>
      <c r="B593" s="11"/>
      <c r="E593" s="11"/>
      <c r="F593" s="2"/>
      <c r="G593" s="2"/>
      <c r="H593" s="2"/>
      <c r="I593" s="11"/>
      <c r="J593" s="2"/>
      <c r="L593" s="14"/>
      <c r="M593" s="6"/>
      <c r="N593" s="5"/>
      <c r="O593" s="5" t="str">
        <f t="shared" si="28"/>
        <v/>
      </c>
      <c r="P593" s="21" t="e">
        <f t="shared" si="29"/>
        <v>#VALUE!</v>
      </c>
      <c r="Q593" s="16"/>
      <c r="R593" s="17"/>
      <c r="S593" s="18"/>
      <c r="T593" s="19"/>
      <c r="U593" s="12"/>
      <c r="V593" s="10"/>
      <c r="W593" s="10"/>
    </row>
    <row r="594" spans="1:23" hidden="1" x14ac:dyDescent="0.25">
      <c r="A594" s="8"/>
      <c r="B594" s="11"/>
      <c r="E594" s="11"/>
      <c r="F594" s="2"/>
      <c r="G594" s="2"/>
      <c r="H594" s="2"/>
      <c r="I594" s="11"/>
      <c r="J594" s="2"/>
      <c r="L594" s="14"/>
      <c r="M594" s="6"/>
      <c r="N594" s="5"/>
      <c r="O594" s="5" t="str">
        <f t="shared" si="28"/>
        <v/>
      </c>
      <c r="P594" s="21" t="e">
        <f t="shared" si="29"/>
        <v>#VALUE!</v>
      </c>
      <c r="Q594" s="16"/>
      <c r="R594" s="17"/>
      <c r="S594" s="18"/>
      <c r="T594" s="19"/>
      <c r="U594" s="12"/>
      <c r="V594" s="10"/>
      <c r="W594" s="10"/>
    </row>
    <row r="595" spans="1:23" hidden="1" x14ac:dyDescent="0.25">
      <c r="A595" s="8"/>
      <c r="F595" s="2"/>
      <c r="G595" s="2"/>
      <c r="H595" s="2"/>
      <c r="J595" s="2"/>
      <c r="L595" s="14"/>
      <c r="M595" s="6"/>
      <c r="N595" s="5"/>
      <c r="O595" s="5" t="str">
        <f t="shared" si="28"/>
        <v/>
      </c>
      <c r="P595" s="21" t="e">
        <f t="shared" si="29"/>
        <v>#VALUE!</v>
      </c>
      <c r="Q595" s="16"/>
      <c r="R595" s="17"/>
      <c r="S595" s="18"/>
      <c r="T595" s="19"/>
      <c r="U595" s="12"/>
      <c r="V595" s="10"/>
      <c r="W595" s="10"/>
    </row>
    <row r="596" spans="1:23" hidden="1" x14ac:dyDescent="0.25">
      <c r="A596" s="8"/>
      <c r="B596" s="11"/>
      <c r="E596" s="11"/>
      <c r="F596" s="2"/>
      <c r="G596" s="2"/>
      <c r="H596" s="2"/>
      <c r="I596" s="11"/>
      <c r="J596" s="2"/>
      <c r="L596" s="14"/>
      <c r="M596" s="6"/>
      <c r="N596" s="5"/>
      <c r="O596" s="5" t="str">
        <f t="shared" si="28"/>
        <v/>
      </c>
      <c r="P596" s="21" t="e">
        <f t="shared" si="29"/>
        <v>#VALUE!</v>
      </c>
      <c r="Q596" s="16"/>
      <c r="R596" s="17"/>
      <c r="S596" s="18"/>
      <c r="T596" s="19"/>
      <c r="U596" s="12"/>
      <c r="V596" s="10"/>
      <c r="W596" s="10"/>
    </row>
    <row r="597" spans="1:23" hidden="1" x14ac:dyDescent="0.25">
      <c r="A597" s="8"/>
      <c r="B597" s="11"/>
      <c r="E597" s="11"/>
      <c r="F597" s="2"/>
      <c r="G597" s="2"/>
      <c r="H597" s="2"/>
      <c r="I597" s="11"/>
      <c r="J597" s="2"/>
      <c r="L597" s="14"/>
      <c r="M597" s="6"/>
      <c r="N597" s="5"/>
      <c r="O597" s="5" t="str">
        <f t="shared" si="28"/>
        <v/>
      </c>
      <c r="P597" s="21" t="e">
        <f t="shared" si="29"/>
        <v>#VALUE!</v>
      </c>
      <c r="Q597" s="16"/>
      <c r="R597" s="17"/>
      <c r="S597" s="18"/>
      <c r="T597" s="19"/>
      <c r="U597" s="12"/>
      <c r="V597" s="10"/>
      <c r="W597" s="10"/>
    </row>
    <row r="598" spans="1:23" hidden="1" x14ac:dyDescent="0.25">
      <c r="A598" s="8"/>
      <c r="F598" s="2"/>
      <c r="G598" s="2"/>
      <c r="H598" s="2"/>
      <c r="J598" s="2"/>
      <c r="L598" s="14"/>
      <c r="M598" s="6"/>
      <c r="N598" s="5"/>
      <c r="O598" s="5" t="str">
        <f t="shared" si="28"/>
        <v/>
      </c>
      <c r="P598" s="21" t="e">
        <f t="shared" si="29"/>
        <v>#VALUE!</v>
      </c>
      <c r="Q598" s="16"/>
      <c r="R598" s="17"/>
      <c r="S598" s="18"/>
      <c r="T598" s="19"/>
      <c r="U598" s="12"/>
      <c r="V598" s="10"/>
      <c r="W598" s="10"/>
    </row>
    <row r="599" spans="1:23" hidden="1" x14ac:dyDescent="0.25">
      <c r="A599" s="8"/>
      <c r="F599" s="2"/>
      <c r="G599" s="2"/>
      <c r="H599" s="2"/>
      <c r="J599" s="2"/>
      <c r="L599" s="14"/>
      <c r="M599" s="6"/>
      <c r="N599" s="5"/>
      <c r="O599" s="5" t="str">
        <f t="shared" ref="O599:O662" si="30">RIGHT(C599,2)</f>
        <v/>
      </c>
      <c r="P599" s="21" t="e">
        <f t="shared" ref="P599:P662" si="31">42522+O599+29</f>
        <v>#VALUE!</v>
      </c>
      <c r="Q599" s="16"/>
      <c r="R599" s="17"/>
      <c r="S599" s="18"/>
      <c r="T599" s="19"/>
      <c r="U599" s="12"/>
      <c r="V599" s="10"/>
      <c r="W599" s="10"/>
    </row>
    <row r="600" spans="1:23" hidden="1" x14ac:dyDescent="0.25">
      <c r="A600" s="8"/>
      <c r="B600" s="11"/>
      <c r="E600" s="11"/>
      <c r="F600" s="2"/>
      <c r="G600" s="2"/>
      <c r="H600" s="2"/>
      <c r="I600" s="11"/>
      <c r="J600" s="2"/>
      <c r="L600" s="14"/>
      <c r="M600" s="6"/>
      <c r="N600" s="5"/>
      <c r="O600" s="5" t="str">
        <f t="shared" si="30"/>
        <v/>
      </c>
      <c r="P600" s="21" t="e">
        <f t="shared" si="31"/>
        <v>#VALUE!</v>
      </c>
      <c r="Q600" s="16"/>
      <c r="R600" s="17"/>
      <c r="S600" s="18"/>
      <c r="T600" s="19"/>
      <c r="U600" s="12"/>
      <c r="V600" s="10"/>
      <c r="W600" s="10"/>
    </row>
    <row r="601" spans="1:23" hidden="1" x14ac:dyDescent="0.25">
      <c r="A601" s="8"/>
      <c r="B601" s="11"/>
      <c r="E601" s="11"/>
      <c r="F601" s="2"/>
      <c r="G601" s="2"/>
      <c r="H601" s="2"/>
      <c r="I601" s="11"/>
      <c r="J601" s="2"/>
      <c r="L601" s="14"/>
      <c r="M601" s="6"/>
      <c r="N601" s="5"/>
      <c r="O601" s="5" t="str">
        <f t="shared" si="30"/>
        <v/>
      </c>
      <c r="P601" s="21" t="e">
        <f t="shared" si="31"/>
        <v>#VALUE!</v>
      </c>
      <c r="Q601" s="16"/>
      <c r="R601" s="17"/>
      <c r="S601" s="18"/>
      <c r="T601" s="19"/>
      <c r="U601" s="12"/>
      <c r="V601" s="10"/>
      <c r="W601" s="10"/>
    </row>
    <row r="602" spans="1:23" hidden="1" x14ac:dyDescent="0.25">
      <c r="A602" s="8"/>
      <c r="B602" s="11"/>
      <c r="E602" s="11"/>
      <c r="F602" s="2"/>
      <c r="G602" s="2"/>
      <c r="H602" s="2"/>
      <c r="I602" s="11"/>
      <c r="J602" s="2"/>
      <c r="L602" s="14"/>
      <c r="M602" s="6"/>
      <c r="N602" s="5"/>
      <c r="O602" s="5" t="str">
        <f t="shared" si="30"/>
        <v/>
      </c>
      <c r="P602" s="21" t="e">
        <f t="shared" si="31"/>
        <v>#VALUE!</v>
      </c>
      <c r="Q602" s="16"/>
      <c r="R602" s="17"/>
      <c r="S602" s="18"/>
      <c r="T602" s="19"/>
      <c r="U602" s="12"/>
      <c r="V602" s="10"/>
      <c r="W602" s="10"/>
    </row>
    <row r="603" spans="1:23" hidden="1" x14ac:dyDescent="0.25">
      <c r="A603" s="8"/>
      <c r="B603" s="11"/>
      <c r="E603" s="11"/>
      <c r="F603" s="2"/>
      <c r="G603" s="2"/>
      <c r="H603" s="2"/>
      <c r="I603" s="11"/>
      <c r="J603" s="2"/>
      <c r="L603" s="14"/>
      <c r="M603" s="6"/>
      <c r="N603" s="5"/>
      <c r="O603" s="5" t="str">
        <f t="shared" si="30"/>
        <v/>
      </c>
      <c r="P603" s="21" t="e">
        <f t="shared" si="31"/>
        <v>#VALUE!</v>
      </c>
      <c r="Q603" s="16"/>
      <c r="R603" s="17"/>
      <c r="S603" s="18"/>
      <c r="T603" s="19"/>
      <c r="U603" s="12"/>
      <c r="V603" s="10"/>
      <c r="W603" s="10"/>
    </row>
    <row r="604" spans="1:23" hidden="1" x14ac:dyDescent="0.25">
      <c r="A604" s="8"/>
      <c r="F604" s="2"/>
      <c r="G604" s="2"/>
      <c r="H604" s="2"/>
      <c r="J604" s="2"/>
      <c r="L604" s="14"/>
      <c r="M604" s="6"/>
      <c r="N604" s="5"/>
      <c r="O604" s="5" t="str">
        <f t="shared" si="30"/>
        <v/>
      </c>
      <c r="P604" s="21" t="e">
        <f t="shared" si="31"/>
        <v>#VALUE!</v>
      </c>
      <c r="Q604" s="16"/>
      <c r="R604" s="17"/>
      <c r="S604" s="18"/>
      <c r="T604" s="19"/>
      <c r="U604" s="12"/>
      <c r="V604" s="10"/>
      <c r="W604" s="10"/>
    </row>
    <row r="605" spans="1:23" hidden="1" x14ac:dyDescent="0.25">
      <c r="A605" s="8"/>
      <c r="F605" s="2"/>
      <c r="G605" s="2"/>
      <c r="H605" s="2"/>
      <c r="J605" s="2"/>
      <c r="L605" s="14"/>
      <c r="M605" s="6"/>
      <c r="N605" s="5"/>
      <c r="O605" s="5" t="str">
        <f t="shared" si="30"/>
        <v/>
      </c>
      <c r="P605" s="21" t="e">
        <f t="shared" si="31"/>
        <v>#VALUE!</v>
      </c>
      <c r="Q605" s="16"/>
      <c r="R605" s="17"/>
      <c r="S605" s="18"/>
      <c r="T605" s="19"/>
      <c r="U605" s="12"/>
      <c r="V605" s="10"/>
      <c r="W605" s="10"/>
    </row>
    <row r="606" spans="1:23" hidden="1" x14ac:dyDescent="0.25">
      <c r="A606" s="8"/>
      <c r="F606" s="2"/>
      <c r="G606" s="2"/>
      <c r="H606" s="2"/>
      <c r="J606" s="2"/>
      <c r="L606" s="14"/>
      <c r="M606" s="6"/>
      <c r="N606" s="5"/>
      <c r="O606" s="5" t="str">
        <f t="shared" si="30"/>
        <v/>
      </c>
      <c r="P606" s="21" t="e">
        <f t="shared" si="31"/>
        <v>#VALUE!</v>
      </c>
      <c r="Q606" s="16"/>
      <c r="R606" s="17"/>
      <c r="S606" s="18"/>
      <c r="T606" s="19"/>
      <c r="U606" s="12"/>
      <c r="V606" s="10"/>
      <c r="W606" s="10"/>
    </row>
    <row r="607" spans="1:23" hidden="1" x14ac:dyDescent="0.25">
      <c r="A607" s="8"/>
      <c r="B607" s="11"/>
      <c r="E607" s="11"/>
      <c r="F607" s="2"/>
      <c r="G607" s="2"/>
      <c r="H607" s="2"/>
      <c r="I607" s="11"/>
      <c r="J607" s="2"/>
      <c r="L607" s="14"/>
      <c r="M607" s="6"/>
      <c r="N607" s="5"/>
      <c r="O607" s="5" t="str">
        <f t="shared" si="30"/>
        <v/>
      </c>
      <c r="P607" s="21" t="e">
        <f t="shared" si="31"/>
        <v>#VALUE!</v>
      </c>
      <c r="Q607" s="16"/>
      <c r="R607" s="17"/>
      <c r="S607" s="18"/>
      <c r="T607" s="19"/>
      <c r="U607" s="12"/>
      <c r="V607" s="10"/>
      <c r="W607" s="10"/>
    </row>
    <row r="608" spans="1:23" hidden="1" x14ac:dyDescent="0.25">
      <c r="A608" s="8"/>
      <c r="B608" s="11"/>
      <c r="E608" s="11"/>
      <c r="F608" s="2"/>
      <c r="G608" s="2"/>
      <c r="H608" s="2"/>
      <c r="I608" s="11"/>
      <c r="J608" s="2"/>
      <c r="L608" s="14"/>
      <c r="M608" s="6"/>
      <c r="N608" s="5"/>
      <c r="O608" s="5" t="str">
        <f t="shared" si="30"/>
        <v/>
      </c>
      <c r="P608" s="21" t="e">
        <f t="shared" si="31"/>
        <v>#VALUE!</v>
      </c>
      <c r="Q608" s="16"/>
      <c r="R608" s="17"/>
      <c r="S608" s="18"/>
      <c r="T608" s="19"/>
      <c r="U608" s="12"/>
      <c r="V608" s="10"/>
      <c r="W608" s="10"/>
    </row>
    <row r="609" spans="1:23" hidden="1" x14ac:dyDescent="0.25">
      <c r="A609" s="8"/>
      <c r="B609" s="11"/>
      <c r="E609" s="11"/>
      <c r="F609" s="2"/>
      <c r="G609" s="2"/>
      <c r="H609" s="2"/>
      <c r="I609" s="11"/>
      <c r="J609" s="2"/>
      <c r="L609" s="14"/>
      <c r="M609" s="6"/>
      <c r="N609" s="5"/>
      <c r="O609" s="5" t="str">
        <f t="shared" si="30"/>
        <v/>
      </c>
      <c r="P609" s="21" t="e">
        <f t="shared" si="31"/>
        <v>#VALUE!</v>
      </c>
      <c r="Q609" s="16"/>
      <c r="R609" s="17"/>
      <c r="S609" s="18"/>
      <c r="T609" s="19"/>
      <c r="U609" s="12"/>
      <c r="V609" s="10"/>
      <c r="W609" s="10"/>
    </row>
    <row r="610" spans="1:23" hidden="1" x14ac:dyDescent="0.25">
      <c r="A610" s="8"/>
      <c r="B610" s="11"/>
      <c r="E610" s="11"/>
      <c r="F610" s="2"/>
      <c r="G610" s="2"/>
      <c r="H610" s="2"/>
      <c r="I610" s="11"/>
      <c r="J610" s="2"/>
      <c r="L610" s="14"/>
      <c r="M610" s="6"/>
      <c r="N610" s="5"/>
      <c r="O610" s="5" t="str">
        <f t="shared" si="30"/>
        <v/>
      </c>
      <c r="P610" s="21" t="e">
        <f t="shared" si="31"/>
        <v>#VALUE!</v>
      </c>
      <c r="Q610" s="16"/>
      <c r="R610" s="17"/>
      <c r="S610" s="18"/>
      <c r="T610" s="19"/>
      <c r="U610" s="12"/>
      <c r="V610" s="10"/>
      <c r="W610" s="10"/>
    </row>
    <row r="611" spans="1:23" hidden="1" x14ac:dyDescent="0.25">
      <c r="A611" s="8"/>
      <c r="B611" s="11"/>
      <c r="E611" s="11"/>
      <c r="F611" s="2"/>
      <c r="G611" s="2"/>
      <c r="H611" s="2"/>
      <c r="I611" s="11"/>
      <c r="J611" s="2"/>
      <c r="L611" s="14"/>
      <c r="M611" s="6"/>
      <c r="N611" s="5"/>
      <c r="O611" s="5" t="str">
        <f t="shared" si="30"/>
        <v/>
      </c>
      <c r="P611" s="21" t="e">
        <f t="shared" si="31"/>
        <v>#VALUE!</v>
      </c>
      <c r="Q611" s="16"/>
      <c r="R611" s="17"/>
      <c r="S611" s="18"/>
      <c r="T611" s="19"/>
      <c r="U611" s="12"/>
      <c r="V611" s="10"/>
      <c r="W611" s="10"/>
    </row>
    <row r="612" spans="1:23" hidden="1" x14ac:dyDescent="0.25">
      <c r="A612" s="8"/>
      <c r="F612" s="2"/>
      <c r="G612" s="2"/>
      <c r="H612" s="2"/>
      <c r="J612" s="2"/>
      <c r="L612" s="14"/>
      <c r="M612" s="6"/>
      <c r="N612" s="5"/>
      <c r="O612" s="5" t="str">
        <f t="shared" si="30"/>
        <v/>
      </c>
      <c r="P612" s="21" t="e">
        <f t="shared" si="31"/>
        <v>#VALUE!</v>
      </c>
      <c r="Q612" s="16"/>
      <c r="R612" s="17"/>
      <c r="S612" s="18"/>
      <c r="T612" s="19"/>
      <c r="U612" s="12"/>
      <c r="V612" s="10"/>
      <c r="W612" s="10"/>
    </row>
    <row r="613" spans="1:23" hidden="1" x14ac:dyDescent="0.25">
      <c r="A613" s="8"/>
      <c r="F613" s="2"/>
      <c r="G613" s="2"/>
      <c r="H613" s="2"/>
      <c r="J613" s="2"/>
      <c r="L613" s="14"/>
      <c r="M613" s="6"/>
      <c r="N613" s="5"/>
      <c r="O613" s="5" t="str">
        <f t="shared" si="30"/>
        <v/>
      </c>
      <c r="P613" s="21" t="e">
        <f t="shared" si="31"/>
        <v>#VALUE!</v>
      </c>
      <c r="Q613" s="16"/>
      <c r="R613" s="17"/>
      <c r="S613" s="18"/>
      <c r="T613" s="19"/>
      <c r="U613" s="12"/>
      <c r="V613" s="10"/>
      <c r="W613" s="10"/>
    </row>
    <row r="614" spans="1:23" hidden="1" x14ac:dyDescent="0.25">
      <c r="A614" s="8"/>
      <c r="F614" s="2"/>
      <c r="G614" s="2"/>
      <c r="H614" s="2"/>
      <c r="J614" s="2"/>
      <c r="L614" s="14"/>
      <c r="M614" s="6"/>
      <c r="N614" s="5"/>
      <c r="O614" s="5" t="str">
        <f t="shared" si="30"/>
        <v/>
      </c>
      <c r="P614" s="21" t="e">
        <f t="shared" si="31"/>
        <v>#VALUE!</v>
      </c>
      <c r="Q614" s="16"/>
      <c r="R614" s="17"/>
      <c r="S614" s="18"/>
      <c r="T614" s="19"/>
      <c r="U614" s="12"/>
      <c r="V614" s="10"/>
      <c r="W614" s="10"/>
    </row>
    <row r="615" spans="1:23" hidden="1" x14ac:dyDescent="0.25">
      <c r="A615" s="8"/>
      <c r="F615" s="2"/>
      <c r="G615" s="2"/>
      <c r="H615" s="2"/>
      <c r="J615" s="2"/>
      <c r="L615" s="14"/>
      <c r="M615" s="6"/>
      <c r="N615" s="5"/>
      <c r="O615" s="5" t="str">
        <f t="shared" si="30"/>
        <v/>
      </c>
      <c r="P615" s="21" t="e">
        <f t="shared" si="31"/>
        <v>#VALUE!</v>
      </c>
      <c r="Q615" s="16"/>
      <c r="R615" s="17"/>
      <c r="S615" s="18"/>
      <c r="T615" s="19"/>
      <c r="U615" s="12"/>
      <c r="V615" s="10"/>
      <c r="W615" s="10"/>
    </row>
    <row r="616" spans="1:23" hidden="1" x14ac:dyDescent="0.25">
      <c r="A616" s="8"/>
      <c r="F616" s="2"/>
      <c r="G616" s="2"/>
      <c r="H616" s="2"/>
      <c r="J616" s="2"/>
      <c r="L616" s="14"/>
      <c r="M616" s="6"/>
      <c r="N616" s="5"/>
      <c r="O616" s="5" t="str">
        <f t="shared" si="30"/>
        <v/>
      </c>
      <c r="P616" s="21" t="e">
        <f t="shared" si="31"/>
        <v>#VALUE!</v>
      </c>
      <c r="Q616" s="16"/>
      <c r="R616" s="17"/>
      <c r="S616" s="18"/>
      <c r="T616" s="19"/>
      <c r="U616" s="12"/>
      <c r="V616" s="10"/>
      <c r="W616" s="10"/>
    </row>
    <row r="617" spans="1:23" hidden="1" x14ac:dyDescent="0.25">
      <c r="A617" s="8"/>
      <c r="F617" s="2"/>
      <c r="G617" s="2"/>
      <c r="H617" s="2"/>
      <c r="J617" s="2"/>
      <c r="L617" s="14"/>
      <c r="M617" s="6"/>
      <c r="N617" s="5"/>
      <c r="O617" s="5" t="str">
        <f t="shared" si="30"/>
        <v/>
      </c>
      <c r="P617" s="21" t="e">
        <f t="shared" si="31"/>
        <v>#VALUE!</v>
      </c>
      <c r="Q617" s="16"/>
      <c r="R617" s="17"/>
      <c r="S617" s="18"/>
      <c r="T617" s="19"/>
      <c r="U617" s="12"/>
      <c r="V617" s="10"/>
      <c r="W617" s="10"/>
    </row>
    <row r="618" spans="1:23" hidden="1" x14ac:dyDescent="0.25">
      <c r="A618" s="8"/>
      <c r="B618" s="11"/>
      <c r="E618" s="11"/>
      <c r="F618" s="2"/>
      <c r="G618" s="2"/>
      <c r="H618" s="2"/>
      <c r="I618" s="11"/>
      <c r="J618" s="2"/>
      <c r="L618" s="14"/>
      <c r="M618" s="6"/>
      <c r="N618" s="5"/>
      <c r="O618" s="5" t="str">
        <f t="shared" si="30"/>
        <v/>
      </c>
      <c r="P618" s="21" t="e">
        <f t="shared" si="31"/>
        <v>#VALUE!</v>
      </c>
      <c r="Q618" s="16"/>
      <c r="R618" s="17"/>
      <c r="S618" s="18"/>
      <c r="T618" s="19"/>
      <c r="U618" s="12"/>
      <c r="V618" s="10"/>
      <c r="W618" s="10"/>
    </row>
    <row r="619" spans="1:23" hidden="1" x14ac:dyDescent="0.25">
      <c r="A619" s="8"/>
      <c r="B619" s="11"/>
      <c r="E619" s="11"/>
      <c r="F619" s="2"/>
      <c r="G619" s="2"/>
      <c r="H619" s="2"/>
      <c r="I619" s="11"/>
      <c r="J619" s="2"/>
      <c r="L619" s="14"/>
      <c r="M619" s="6"/>
      <c r="N619" s="5"/>
      <c r="O619" s="5" t="str">
        <f t="shared" si="30"/>
        <v/>
      </c>
      <c r="P619" s="21" t="e">
        <f t="shared" si="31"/>
        <v>#VALUE!</v>
      </c>
      <c r="Q619" s="16"/>
      <c r="R619" s="17"/>
      <c r="S619" s="18"/>
      <c r="T619" s="19"/>
      <c r="U619" s="12"/>
      <c r="V619" s="10"/>
      <c r="W619" s="10"/>
    </row>
    <row r="620" spans="1:23" hidden="1" x14ac:dyDescent="0.25">
      <c r="A620" s="8"/>
      <c r="B620" s="11"/>
      <c r="E620" s="11"/>
      <c r="F620" s="2"/>
      <c r="G620" s="2"/>
      <c r="H620" s="2"/>
      <c r="I620" s="11"/>
      <c r="J620" s="2"/>
      <c r="L620" s="14"/>
      <c r="M620" s="6"/>
      <c r="N620" s="5"/>
      <c r="O620" s="5" t="str">
        <f t="shared" si="30"/>
        <v/>
      </c>
      <c r="P620" s="21" t="e">
        <f t="shared" si="31"/>
        <v>#VALUE!</v>
      </c>
      <c r="Q620" s="16"/>
      <c r="R620" s="17"/>
      <c r="S620" s="18"/>
      <c r="T620" s="19"/>
      <c r="U620" s="12"/>
      <c r="V620" s="10"/>
      <c r="W620" s="10"/>
    </row>
    <row r="621" spans="1:23" hidden="1" x14ac:dyDescent="0.25">
      <c r="A621" s="8"/>
      <c r="B621" s="11"/>
      <c r="E621" s="11"/>
      <c r="F621" s="2"/>
      <c r="G621" s="2"/>
      <c r="H621" s="2"/>
      <c r="I621" s="11"/>
      <c r="J621" s="2"/>
      <c r="L621" s="14"/>
      <c r="M621" s="6"/>
      <c r="N621" s="5"/>
      <c r="O621" s="5" t="str">
        <f t="shared" si="30"/>
        <v/>
      </c>
      <c r="P621" s="21" t="e">
        <f t="shared" si="31"/>
        <v>#VALUE!</v>
      </c>
      <c r="Q621" s="16"/>
      <c r="R621" s="17"/>
      <c r="S621" s="18"/>
      <c r="T621" s="19"/>
      <c r="U621" s="12"/>
      <c r="V621" s="10"/>
      <c r="W621" s="10"/>
    </row>
    <row r="622" spans="1:23" hidden="1" x14ac:dyDescent="0.25">
      <c r="A622" s="8"/>
      <c r="B622" s="11"/>
      <c r="E622" s="11"/>
      <c r="F622" s="2"/>
      <c r="G622" s="2"/>
      <c r="H622" s="2"/>
      <c r="I622" s="11"/>
      <c r="J622" s="2"/>
      <c r="L622" s="14"/>
      <c r="M622" s="6"/>
      <c r="N622" s="5"/>
      <c r="O622" s="5" t="str">
        <f t="shared" si="30"/>
        <v/>
      </c>
      <c r="P622" s="21" t="e">
        <f t="shared" si="31"/>
        <v>#VALUE!</v>
      </c>
      <c r="Q622" s="16"/>
      <c r="R622" s="17"/>
      <c r="S622" s="18"/>
      <c r="T622" s="19"/>
      <c r="U622" s="12"/>
      <c r="V622" s="10"/>
      <c r="W622" s="10"/>
    </row>
    <row r="623" spans="1:23" hidden="1" x14ac:dyDescent="0.25">
      <c r="A623" s="8"/>
      <c r="B623" s="11"/>
      <c r="E623" s="11"/>
      <c r="F623" s="2"/>
      <c r="G623" s="2"/>
      <c r="H623" s="2"/>
      <c r="I623" s="11"/>
      <c r="J623" s="2"/>
      <c r="L623" s="14"/>
      <c r="M623" s="6"/>
      <c r="N623" s="5"/>
      <c r="O623" s="5" t="str">
        <f t="shared" si="30"/>
        <v/>
      </c>
      <c r="P623" s="21" t="e">
        <f t="shared" si="31"/>
        <v>#VALUE!</v>
      </c>
      <c r="Q623" s="16"/>
      <c r="R623" s="17"/>
      <c r="S623" s="18"/>
      <c r="T623" s="19"/>
      <c r="U623" s="12"/>
      <c r="V623" s="10"/>
      <c r="W623" s="10"/>
    </row>
    <row r="624" spans="1:23" hidden="1" x14ac:dyDescent="0.25">
      <c r="A624" s="8"/>
      <c r="F624" s="2"/>
      <c r="G624" s="2"/>
      <c r="H624" s="2"/>
      <c r="J624" s="2"/>
      <c r="L624" s="14"/>
      <c r="M624" s="6"/>
      <c r="N624" s="5"/>
      <c r="O624" s="5" t="str">
        <f t="shared" si="30"/>
        <v/>
      </c>
      <c r="P624" s="21" t="e">
        <f t="shared" si="31"/>
        <v>#VALUE!</v>
      </c>
      <c r="Q624" s="16"/>
      <c r="R624" s="17"/>
      <c r="S624" s="18"/>
      <c r="T624" s="19"/>
      <c r="U624" s="12"/>
      <c r="V624" s="10"/>
      <c r="W624" s="10"/>
    </row>
    <row r="625" spans="1:23" hidden="1" x14ac:dyDescent="0.25">
      <c r="A625" s="8"/>
      <c r="F625" s="2"/>
      <c r="G625" s="2"/>
      <c r="H625" s="2"/>
      <c r="J625" s="2"/>
      <c r="L625" s="14"/>
      <c r="M625" s="6"/>
      <c r="N625" s="5"/>
      <c r="O625" s="5" t="str">
        <f t="shared" si="30"/>
        <v/>
      </c>
      <c r="P625" s="21" t="e">
        <f t="shared" si="31"/>
        <v>#VALUE!</v>
      </c>
      <c r="Q625" s="16"/>
      <c r="R625" s="17"/>
      <c r="S625" s="18"/>
      <c r="T625" s="19"/>
      <c r="U625" s="12"/>
      <c r="V625" s="10"/>
      <c r="W625" s="10"/>
    </row>
    <row r="626" spans="1:23" hidden="1" x14ac:dyDescent="0.25">
      <c r="A626" s="8"/>
      <c r="B626" s="11"/>
      <c r="E626" s="11"/>
      <c r="F626" s="2"/>
      <c r="G626" s="2"/>
      <c r="H626" s="2"/>
      <c r="I626" s="11"/>
      <c r="J626" s="2"/>
      <c r="L626" s="14"/>
      <c r="M626" s="6"/>
      <c r="N626" s="5"/>
      <c r="O626" s="5" t="str">
        <f t="shared" si="30"/>
        <v/>
      </c>
      <c r="P626" s="21" t="e">
        <f t="shared" si="31"/>
        <v>#VALUE!</v>
      </c>
      <c r="Q626" s="16"/>
      <c r="R626" s="17"/>
      <c r="S626" s="18"/>
      <c r="T626" s="19"/>
      <c r="U626" s="12"/>
      <c r="V626" s="10"/>
      <c r="W626" s="10"/>
    </row>
    <row r="627" spans="1:23" hidden="1" x14ac:dyDescent="0.25">
      <c r="A627" s="8"/>
      <c r="B627" s="11"/>
      <c r="E627" s="11"/>
      <c r="F627" s="2"/>
      <c r="G627" s="2"/>
      <c r="H627" s="2"/>
      <c r="I627" s="11"/>
      <c r="J627" s="2"/>
      <c r="L627" s="14"/>
      <c r="M627" s="6"/>
      <c r="N627" s="5"/>
      <c r="O627" s="5" t="str">
        <f t="shared" si="30"/>
        <v/>
      </c>
      <c r="P627" s="21" t="e">
        <f t="shared" si="31"/>
        <v>#VALUE!</v>
      </c>
      <c r="Q627" s="16"/>
      <c r="R627" s="17"/>
      <c r="S627" s="18"/>
      <c r="T627" s="19"/>
      <c r="U627" s="12"/>
      <c r="V627" s="10"/>
      <c r="W627" s="10"/>
    </row>
    <row r="628" spans="1:23" hidden="1" x14ac:dyDescent="0.25">
      <c r="A628" s="8"/>
      <c r="B628" s="11"/>
      <c r="E628" s="11"/>
      <c r="F628" s="2"/>
      <c r="G628" s="2"/>
      <c r="H628" s="2"/>
      <c r="I628" s="11"/>
      <c r="J628" s="2"/>
      <c r="L628" s="14"/>
      <c r="M628" s="6"/>
      <c r="N628" s="5"/>
      <c r="O628" s="5" t="str">
        <f t="shared" si="30"/>
        <v/>
      </c>
      <c r="P628" s="21" t="e">
        <f t="shared" si="31"/>
        <v>#VALUE!</v>
      </c>
      <c r="Q628" s="16"/>
      <c r="R628" s="17"/>
      <c r="S628" s="18"/>
      <c r="T628" s="19"/>
      <c r="U628" s="12"/>
      <c r="V628" s="10"/>
      <c r="W628" s="10"/>
    </row>
    <row r="629" spans="1:23" hidden="1" x14ac:dyDescent="0.25">
      <c r="A629" s="8"/>
      <c r="F629" s="2"/>
      <c r="G629" s="2"/>
      <c r="H629" s="2"/>
      <c r="J629" s="2"/>
      <c r="L629" s="14"/>
      <c r="M629" s="6"/>
      <c r="N629" s="5"/>
      <c r="O629" s="5" t="str">
        <f t="shared" si="30"/>
        <v/>
      </c>
      <c r="P629" s="21" t="e">
        <f t="shared" si="31"/>
        <v>#VALUE!</v>
      </c>
      <c r="Q629" s="16"/>
      <c r="R629" s="17"/>
      <c r="S629" s="18"/>
      <c r="T629" s="19"/>
      <c r="U629" s="12"/>
      <c r="V629" s="10"/>
      <c r="W629" s="10"/>
    </row>
    <row r="630" spans="1:23" hidden="1" x14ac:dyDescent="0.25">
      <c r="A630" s="8"/>
      <c r="B630" s="11"/>
      <c r="E630" s="11"/>
      <c r="F630" s="2"/>
      <c r="G630" s="2"/>
      <c r="H630" s="2"/>
      <c r="I630" s="11"/>
      <c r="J630" s="2"/>
      <c r="L630" s="14"/>
      <c r="M630" s="6"/>
      <c r="N630" s="5"/>
      <c r="O630" s="5" t="str">
        <f t="shared" si="30"/>
        <v/>
      </c>
      <c r="P630" s="21" t="e">
        <f t="shared" si="31"/>
        <v>#VALUE!</v>
      </c>
      <c r="Q630" s="16"/>
      <c r="R630" s="17"/>
      <c r="S630" s="18"/>
      <c r="T630" s="19"/>
      <c r="U630" s="12"/>
      <c r="V630" s="10"/>
      <c r="W630" s="10"/>
    </row>
    <row r="631" spans="1:23" hidden="1" x14ac:dyDescent="0.25">
      <c r="A631" s="8"/>
      <c r="B631" s="11"/>
      <c r="E631" s="11"/>
      <c r="F631" s="2"/>
      <c r="G631" s="2"/>
      <c r="H631" s="2"/>
      <c r="I631" s="11"/>
      <c r="J631" s="2"/>
      <c r="L631" s="14"/>
      <c r="M631" s="6"/>
      <c r="N631" s="5"/>
      <c r="O631" s="5" t="str">
        <f t="shared" si="30"/>
        <v/>
      </c>
      <c r="P631" s="21" t="e">
        <f t="shared" si="31"/>
        <v>#VALUE!</v>
      </c>
      <c r="Q631" s="16"/>
      <c r="R631" s="17"/>
      <c r="S631" s="18"/>
      <c r="T631" s="19"/>
      <c r="U631" s="12"/>
      <c r="V631" s="10"/>
      <c r="W631" s="10"/>
    </row>
    <row r="632" spans="1:23" hidden="1" x14ac:dyDescent="0.25">
      <c r="A632" s="8"/>
      <c r="F632" s="2"/>
      <c r="G632" s="2"/>
      <c r="H632" s="2"/>
      <c r="J632" s="2"/>
      <c r="L632" s="14"/>
      <c r="M632" s="6"/>
      <c r="N632" s="5"/>
      <c r="O632" s="5" t="str">
        <f t="shared" si="30"/>
        <v/>
      </c>
      <c r="P632" s="21" t="e">
        <f t="shared" si="31"/>
        <v>#VALUE!</v>
      </c>
      <c r="Q632" s="16"/>
      <c r="R632" s="17"/>
      <c r="S632" s="18"/>
      <c r="T632" s="19"/>
      <c r="U632" s="12"/>
      <c r="V632" s="10"/>
      <c r="W632" s="10"/>
    </row>
    <row r="633" spans="1:23" hidden="1" x14ac:dyDescent="0.25">
      <c r="A633" s="8"/>
      <c r="F633" s="2"/>
      <c r="G633" s="2"/>
      <c r="H633" s="2"/>
      <c r="J633" s="2"/>
      <c r="L633" s="14"/>
      <c r="M633" s="6"/>
      <c r="N633" s="5"/>
      <c r="O633" s="5" t="str">
        <f t="shared" si="30"/>
        <v/>
      </c>
      <c r="P633" s="21" t="e">
        <f t="shared" si="31"/>
        <v>#VALUE!</v>
      </c>
      <c r="Q633" s="16"/>
      <c r="R633" s="17"/>
      <c r="S633" s="18"/>
      <c r="T633" s="19"/>
      <c r="U633" s="12"/>
      <c r="V633" s="10"/>
      <c r="W633" s="10"/>
    </row>
    <row r="634" spans="1:23" hidden="1" x14ac:dyDescent="0.25">
      <c r="A634" s="8"/>
      <c r="F634" s="2"/>
      <c r="G634" s="2"/>
      <c r="H634" s="2"/>
      <c r="J634" s="2"/>
      <c r="L634" s="14"/>
      <c r="M634" s="6"/>
      <c r="N634" s="5"/>
      <c r="O634" s="5" t="str">
        <f t="shared" si="30"/>
        <v/>
      </c>
      <c r="P634" s="21" t="e">
        <f t="shared" si="31"/>
        <v>#VALUE!</v>
      </c>
      <c r="Q634" s="16"/>
      <c r="R634" s="17"/>
      <c r="S634" s="18"/>
      <c r="T634" s="19"/>
      <c r="U634" s="12"/>
      <c r="V634" s="10"/>
      <c r="W634" s="10"/>
    </row>
    <row r="635" spans="1:23" hidden="1" x14ac:dyDescent="0.25">
      <c r="A635" s="8"/>
      <c r="F635" s="2"/>
      <c r="G635" s="2"/>
      <c r="H635" s="2"/>
      <c r="J635" s="2"/>
      <c r="L635" s="14"/>
      <c r="M635" s="6"/>
      <c r="N635" s="5"/>
      <c r="O635" s="5" t="str">
        <f t="shared" si="30"/>
        <v/>
      </c>
      <c r="P635" s="21" t="e">
        <f t="shared" si="31"/>
        <v>#VALUE!</v>
      </c>
      <c r="Q635" s="16"/>
      <c r="R635" s="17"/>
      <c r="S635" s="18"/>
      <c r="T635" s="19"/>
      <c r="U635" s="12"/>
      <c r="V635" s="10"/>
      <c r="W635" s="10"/>
    </row>
    <row r="636" spans="1:23" hidden="1" x14ac:dyDescent="0.25">
      <c r="A636" s="8"/>
      <c r="F636" s="2"/>
      <c r="G636" s="2"/>
      <c r="H636" s="2"/>
      <c r="J636" s="2"/>
      <c r="L636" s="14"/>
      <c r="M636" s="6"/>
      <c r="N636" s="5"/>
      <c r="O636" s="5" t="str">
        <f t="shared" si="30"/>
        <v/>
      </c>
      <c r="P636" s="21" t="e">
        <f t="shared" si="31"/>
        <v>#VALUE!</v>
      </c>
      <c r="Q636" s="16"/>
      <c r="R636" s="17"/>
      <c r="S636" s="18"/>
      <c r="T636" s="19"/>
      <c r="U636" s="12"/>
      <c r="V636" s="10"/>
      <c r="W636" s="10"/>
    </row>
    <row r="637" spans="1:23" hidden="1" x14ac:dyDescent="0.25">
      <c r="A637" s="8"/>
      <c r="F637" s="2"/>
      <c r="G637" s="2"/>
      <c r="H637" s="2"/>
      <c r="J637" s="2"/>
      <c r="L637" s="14"/>
      <c r="M637" s="6"/>
      <c r="N637" s="5"/>
      <c r="O637" s="5" t="str">
        <f t="shared" si="30"/>
        <v/>
      </c>
      <c r="P637" s="21" t="e">
        <f t="shared" si="31"/>
        <v>#VALUE!</v>
      </c>
      <c r="Q637" s="16"/>
      <c r="R637" s="17"/>
      <c r="S637" s="18"/>
      <c r="T637" s="19"/>
      <c r="U637" s="12"/>
      <c r="V637" s="10"/>
      <c r="W637" s="10"/>
    </row>
    <row r="638" spans="1:23" hidden="1" x14ac:dyDescent="0.25">
      <c r="A638" s="8"/>
      <c r="F638" s="2"/>
      <c r="G638" s="2"/>
      <c r="H638" s="2"/>
      <c r="J638" s="2"/>
      <c r="L638" s="14"/>
      <c r="M638" s="6"/>
      <c r="N638" s="5"/>
      <c r="O638" s="5" t="str">
        <f t="shared" si="30"/>
        <v/>
      </c>
      <c r="P638" s="21" t="e">
        <f t="shared" si="31"/>
        <v>#VALUE!</v>
      </c>
      <c r="Q638" s="16"/>
      <c r="R638" s="17"/>
      <c r="S638" s="18"/>
      <c r="T638" s="19"/>
      <c r="U638" s="12"/>
      <c r="V638" s="10"/>
      <c r="W638" s="10"/>
    </row>
    <row r="639" spans="1:23" hidden="1" x14ac:dyDescent="0.25">
      <c r="A639" s="8"/>
      <c r="F639" s="2"/>
      <c r="G639" s="2"/>
      <c r="H639" s="2"/>
      <c r="J639" s="2"/>
      <c r="L639" s="14"/>
      <c r="M639" s="6"/>
      <c r="N639" s="5"/>
      <c r="O639" s="5" t="str">
        <f t="shared" si="30"/>
        <v/>
      </c>
      <c r="P639" s="21" t="e">
        <f t="shared" si="31"/>
        <v>#VALUE!</v>
      </c>
      <c r="Q639" s="16"/>
      <c r="R639" s="17"/>
      <c r="S639" s="18"/>
      <c r="T639" s="19"/>
      <c r="U639" s="12"/>
      <c r="V639" s="10"/>
      <c r="W639" s="10"/>
    </row>
    <row r="640" spans="1:23" hidden="1" x14ac:dyDescent="0.25">
      <c r="A640" s="8"/>
      <c r="F640" s="2"/>
      <c r="G640" s="2"/>
      <c r="H640" s="2"/>
      <c r="J640" s="2"/>
      <c r="L640" s="14"/>
      <c r="M640" s="6"/>
      <c r="N640" s="5"/>
      <c r="O640" s="5" t="str">
        <f t="shared" si="30"/>
        <v/>
      </c>
      <c r="P640" s="21" t="e">
        <f t="shared" si="31"/>
        <v>#VALUE!</v>
      </c>
      <c r="Q640" s="16"/>
      <c r="R640" s="17"/>
      <c r="S640" s="18"/>
      <c r="T640" s="19"/>
      <c r="U640" s="12"/>
      <c r="V640" s="10"/>
      <c r="W640" s="10"/>
    </row>
    <row r="641" spans="1:23" hidden="1" x14ac:dyDescent="0.25">
      <c r="A641" s="8"/>
      <c r="F641" s="2"/>
      <c r="G641" s="2"/>
      <c r="H641" s="2"/>
      <c r="J641" s="2"/>
      <c r="L641" s="14"/>
      <c r="M641" s="6"/>
      <c r="N641" s="5"/>
      <c r="O641" s="5" t="str">
        <f t="shared" si="30"/>
        <v/>
      </c>
      <c r="P641" s="21" t="e">
        <f t="shared" si="31"/>
        <v>#VALUE!</v>
      </c>
      <c r="Q641" s="16"/>
      <c r="R641" s="17"/>
      <c r="S641" s="18"/>
      <c r="T641" s="19"/>
      <c r="U641" s="12"/>
      <c r="V641" s="10"/>
      <c r="W641" s="10"/>
    </row>
    <row r="642" spans="1:23" hidden="1" x14ac:dyDescent="0.25">
      <c r="A642" s="8"/>
      <c r="F642" s="2"/>
      <c r="G642" s="2"/>
      <c r="H642" s="2"/>
      <c r="J642" s="2"/>
      <c r="L642" s="14"/>
      <c r="M642" s="6"/>
      <c r="N642" s="5"/>
      <c r="O642" s="5" t="str">
        <f t="shared" si="30"/>
        <v/>
      </c>
      <c r="P642" s="21" t="e">
        <f t="shared" si="31"/>
        <v>#VALUE!</v>
      </c>
      <c r="Q642" s="16"/>
      <c r="R642" s="17"/>
      <c r="S642" s="18"/>
      <c r="T642" s="19"/>
      <c r="U642" s="12"/>
      <c r="V642" s="10"/>
      <c r="W642" s="10"/>
    </row>
    <row r="643" spans="1:23" hidden="1" x14ac:dyDescent="0.25">
      <c r="A643" s="8"/>
      <c r="F643" s="2"/>
      <c r="G643" s="2"/>
      <c r="H643" s="2"/>
      <c r="J643" s="2"/>
      <c r="L643" s="14"/>
      <c r="M643" s="6"/>
      <c r="N643" s="5"/>
      <c r="O643" s="5" t="str">
        <f t="shared" si="30"/>
        <v/>
      </c>
      <c r="P643" s="21" t="e">
        <f t="shared" si="31"/>
        <v>#VALUE!</v>
      </c>
      <c r="Q643" s="16"/>
      <c r="R643" s="17"/>
      <c r="S643" s="18"/>
      <c r="T643" s="19"/>
      <c r="U643" s="12"/>
      <c r="V643" s="10"/>
      <c r="W643" s="10"/>
    </row>
    <row r="644" spans="1:23" hidden="1" x14ac:dyDescent="0.25">
      <c r="A644" s="8"/>
      <c r="F644" s="2"/>
      <c r="G644" s="2"/>
      <c r="H644" s="2"/>
      <c r="J644" s="2"/>
      <c r="L644" s="14"/>
      <c r="M644" s="6"/>
      <c r="N644" s="5"/>
      <c r="O644" s="5" t="str">
        <f t="shared" si="30"/>
        <v/>
      </c>
      <c r="P644" s="21" t="e">
        <f t="shared" si="31"/>
        <v>#VALUE!</v>
      </c>
      <c r="Q644" s="16"/>
      <c r="R644" s="17"/>
      <c r="S644" s="18"/>
      <c r="T644" s="19"/>
      <c r="U644" s="12"/>
      <c r="V644" s="10"/>
      <c r="W644" s="10"/>
    </row>
    <row r="645" spans="1:23" hidden="1" x14ac:dyDescent="0.25">
      <c r="A645" s="8"/>
      <c r="F645" s="2"/>
      <c r="G645" s="2"/>
      <c r="H645" s="2"/>
      <c r="J645" s="2"/>
      <c r="L645" s="14"/>
      <c r="M645" s="6"/>
      <c r="N645" s="5"/>
      <c r="O645" s="5" t="str">
        <f t="shared" si="30"/>
        <v/>
      </c>
      <c r="P645" s="21" t="e">
        <f t="shared" si="31"/>
        <v>#VALUE!</v>
      </c>
      <c r="Q645" s="16"/>
      <c r="R645" s="17"/>
      <c r="S645" s="18"/>
      <c r="T645" s="19"/>
      <c r="U645" s="12"/>
      <c r="V645" s="10"/>
      <c r="W645" s="10"/>
    </row>
    <row r="646" spans="1:23" hidden="1" x14ac:dyDescent="0.25">
      <c r="A646" s="8"/>
      <c r="F646" s="2"/>
      <c r="G646" s="2"/>
      <c r="H646" s="2"/>
      <c r="J646" s="2"/>
      <c r="L646" s="14"/>
      <c r="M646" s="6"/>
      <c r="N646" s="5"/>
      <c r="O646" s="5" t="str">
        <f t="shared" si="30"/>
        <v/>
      </c>
      <c r="P646" s="21" t="e">
        <f t="shared" si="31"/>
        <v>#VALUE!</v>
      </c>
      <c r="Q646" s="16"/>
      <c r="R646" s="17"/>
      <c r="S646" s="18"/>
      <c r="T646" s="19"/>
      <c r="U646" s="12"/>
      <c r="V646" s="10"/>
      <c r="W646" s="10"/>
    </row>
    <row r="647" spans="1:23" hidden="1" x14ac:dyDescent="0.25">
      <c r="A647" s="8"/>
      <c r="F647" s="2"/>
      <c r="G647" s="2"/>
      <c r="H647" s="2"/>
      <c r="J647" s="2"/>
      <c r="L647" s="14"/>
      <c r="M647" s="6"/>
      <c r="N647" s="5"/>
      <c r="O647" s="5" t="str">
        <f t="shared" si="30"/>
        <v/>
      </c>
      <c r="P647" s="21" t="e">
        <f t="shared" si="31"/>
        <v>#VALUE!</v>
      </c>
      <c r="Q647" s="16"/>
      <c r="R647" s="17"/>
      <c r="S647" s="18"/>
      <c r="T647" s="19"/>
      <c r="U647" s="12"/>
      <c r="V647" s="10"/>
      <c r="W647" s="10"/>
    </row>
    <row r="648" spans="1:23" hidden="1" x14ac:dyDescent="0.25">
      <c r="A648" s="8"/>
      <c r="F648" s="2"/>
      <c r="G648" s="2"/>
      <c r="H648" s="2"/>
      <c r="J648" s="2"/>
      <c r="L648" s="14"/>
      <c r="M648" s="6"/>
      <c r="N648" s="5"/>
      <c r="O648" s="5" t="str">
        <f t="shared" si="30"/>
        <v/>
      </c>
      <c r="P648" s="21" t="e">
        <f t="shared" si="31"/>
        <v>#VALUE!</v>
      </c>
      <c r="Q648" s="16"/>
      <c r="R648" s="17"/>
      <c r="S648" s="18"/>
      <c r="T648" s="19"/>
      <c r="U648" s="12"/>
      <c r="V648" s="10"/>
      <c r="W648" s="10"/>
    </row>
    <row r="649" spans="1:23" hidden="1" x14ac:dyDescent="0.25">
      <c r="A649" s="8"/>
      <c r="F649" s="2"/>
      <c r="G649" s="2"/>
      <c r="H649" s="2"/>
      <c r="J649" s="2"/>
      <c r="L649" s="14"/>
      <c r="M649" s="6"/>
      <c r="N649" s="5"/>
      <c r="O649" s="5" t="str">
        <f t="shared" si="30"/>
        <v/>
      </c>
      <c r="P649" s="21" t="e">
        <f t="shared" si="31"/>
        <v>#VALUE!</v>
      </c>
      <c r="Q649" s="16"/>
      <c r="R649" s="17"/>
      <c r="S649" s="18"/>
      <c r="T649" s="19"/>
      <c r="U649" s="12"/>
      <c r="V649" s="10"/>
      <c r="W649" s="10"/>
    </row>
    <row r="650" spans="1:23" hidden="1" x14ac:dyDescent="0.25">
      <c r="A650" s="8"/>
      <c r="F650" s="2"/>
      <c r="G650" s="2"/>
      <c r="H650" s="2"/>
      <c r="J650" s="2"/>
      <c r="L650" s="14"/>
      <c r="M650" s="6"/>
      <c r="N650" s="5"/>
      <c r="O650" s="5" t="str">
        <f t="shared" si="30"/>
        <v/>
      </c>
      <c r="P650" s="21" t="e">
        <f t="shared" si="31"/>
        <v>#VALUE!</v>
      </c>
      <c r="Q650" s="16"/>
      <c r="R650" s="17"/>
      <c r="S650" s="18"/>
      <c r="T650" s="19"/>
      <c r="U650" s="12"/>
      <c r="V650" s="10"/>
      <c r="W650" s="10"/>
    </row>
    <row r="651" spans="1:23" hidden="1" x14ac:dyDescent="0.25">
      <c r="A651" s="8"/>
      <c r="F651" s="2"/>
      <c r="G651" s="2"/>
      <c r="H651" s="2"/>
      <c r="J651" s="2"/>
      <c r="L651" s="14"/>
      <c r="M651" s="6"/>
      <c r="N651" s="5"/>
      <c r="O651" s="5" t="str">
        <f t="shared" si="30"/>
        <v/>
      </c>
      <c r="P651" s="21" t="e">
        <f t="shared" si="31"/>
        <v>#VALUE!</v>
      </c>
      <c r="Q651" s="16"/>
      <c r="R651" s="17"/>
      <c r="S651" s="18"/>
      <c r="T651" s="19"/>
      <c r="U651" s="12"/>
      <c r="V651" s="10"/>
      <c r="W651" s="10"/>
    </row>
    <row r="652" spans="1:23" hidden="1" x14ac:dyDescent="0.25">
      <c r="A652" s="8"/>
      <c r="F652" s="2"/>
      <c r="G652" s="2"/>
      <c r="H652" s="2"/>
      <c r="J652" s="2"/>
      <c r="L652" s="14"/>
      <c r="M652" s="6"/>
      <c r="N652" s="5"/>
      <c r="O652" s="5" t="str">
        <f t="shared" si="30"/>
        <v/>
      </c>
      <c r="P652" s="21" t="e">
        <f t="shared" si="31"/>
        <v>#VALUE!</v>
      </c>
      <c r="Q652" s="16"/>
      <c r="R652" s="17"/>
      <c r="S652" s="18"/>
      <c r="T652" s="19"/>
      <c r="U652" s="12"/>
      <c r="V652" s="10"/>
      <c r="W652" s="10"/>
    </row>
    <row r="653" spans="1:23" hidden="1" x14ac:dyDescent="0.25">
      <c r="A653" s="8"/>
      <c r="F653" s="2"/>
      <c r="G653" s="2"/>
      <c r="H653" s="2"/>
      <c r="J653" s="2"/>
      <c r="L653" s="14"/>
      <c r="M653" s="6"/>
      <c r="N653" s="5"/>
      <c r="O653" s="5" t="str">
        <f t="shared" si="30"/>
        <v/>
      </c>
      <c r="P653" s="21" t="e">
        <f t="shared" si="31"/>
        <v>#VALUE!</v>
      </c>
      <c r="Q653" s="16"/>
      <c r="R653" s="17"/>
      <c r="S653" s="18"/>
      <c r="T653" s="19"/>
      <c r="U653" s="12"/>
      <c r="V653" s="10"/>
      <c r="W653" s="10"/>
    </row>
    <row r="654" spans="1:23" hidden="1" x14ac:dyDescent="0.25">
      <c r="A654" s="8"/>
      <c r="F654" s="2"/>
      <c r="G654" s="2"/>
      <c r="H654" s="2"/>
      <c r="J654" s="2"/>
      <c r="L654" s="14"/>
      <c r="M654" s="6"/>
      <c r="N654" s="5"/>
      <c r="O654" s="5" t="str">
        <f t="shared" si="30"/>
        <v/>
      </c>
      <c r="P654" s="21" t="e">
        <f t="shared" si="31"/>
        <v>#VALUE!</v>
      </c>
      <c r="Q654" s="16"/>
      <c r="R654" s="17"/>
      <c r="S654" s="18"/>
      <c r="T654" s="19"/>
      <c r="U654" s="12"/>
      <c r="V654" s="10"/>
      <c r="W654" s="10"/>
    </row>
    <row r="655" spans="1:23" hidden="1" x14ac:dyDescent="0.25">
      <c r="A655" s="8"/>
      <c r="F655" s="2"/>
      <c r="G655" s="2"/>
      <c r="H655" s="2"/>
      <c r="J655" s="2"/>
      <c r="L655" s="14"/>
      <c r="M655" s="6"/>
      <c r="N655" s="5"/>
      <c r="O655" s="5" t="str">
        <f t="shared" si="30"/>
        <v/>
      </c>
      <c r="P655" s="21" t="e">
        <f t="shared" si="31"/>
        <v>#VALUE!</v>
      </c>
      <c r="Q655" s="16"/>
      <c r="R655" s="17"/>
      <c r="S655" s="18"/>
      <c r="T655" s="19"/>
      <c r="U655" s="12"/>
      <c r="V655" s="10"/>
      <c r="W655" s="10"/>
    </row>
    <row r="656" spans="1:23" hidden="1" x14ac:dyDescent="0.25">
      <c r="A656" s="8"/>
      <c r="F656" s="2"/>
      <c r="G656" s="2"/>
      <c r="H656" s="2"/>
      <c r="J656" s="2"/>
      <c r="L656" s="14"/>
      <c r="M656" s="6"/>
      <c r="N656" s="5"/>
      <c r="O656" s="5" t="str">
        <f t="shared" si="30"/>
        <v/>
      </c>
      <c r="P656" s="21" t="e">
        <f t="shared" si="31"/>
        <v>#VALUE!</v>
      </c>
      <c r="Q656" s="16"/>
      <c r="R656" s="17"/>
      <c r="S656" s="18"/>
      <c r="T656" s="19"/>
      <c r="U656" s="12"/>
      <c r="V656" s="10"/>
      <c r="W656" s="10"/>
    </row>
    <row r="657" spans="1:23" hidden="1" x14ac:dyDescent="0.25">
      <c r="A657" s="8"/>
      <c r="F657" s="2"/>
      <c r="G657" s="2"/>
      <c r="H657" s="2"/>
      <c r="J657" s="2"/>
      <c r="L657" s="14"/>
      <c r="M657" s="6"/>
      <c r="N657" s="5"/>
      <c r="O657" s="5" t="str">
        <f t="shared" si="30"/>
        <v/>
      </c>
      <c r="P657" s="21" t="e">
        <f t="shared" si="31"/>
        <v>#VALUE!</v>
      </c>
      <c r="Q657" s="16"/>
      <c r="R657" s="17"/>
      <c r="S657" s="18"/>
      <c r="T657" s="19"/>
      <c r="U657" s="12"/>
      <c r="V657" s="10"/>
      <c r="W657" s="10"/>
    </row>
    <row r="658" spans="1:23" hidden="1" x14ac:dyDescent="0.25">
      <c r="A658" s="8"/>
      <c r="F658" s="2"/>
      <c r="G658" s="2"/>
      <c r="H658" s="2"/>
      <c r="J658" s="2"/>
      <c r="L658" s="14"/>
      <c r="M658" s="6"/>
      <c r="N658" s="5"/>
      <c r="O658" s="5" t="str">
        <f t="shared" si="30"/>
        <v/>
      </c>
      <c r="P658" s="21" t="e">
        <f t="shared" si="31"/>
        <v>#VALUE!</v>
      </c>
      <c r="Q658" s="16"/>
      <c r="R658" s="17"/>
      <c r="S658" s="18"/>
      <c r="T658" s="19"/>
      <c r="U658" s="12"/>
      <c r="V658" s="10"/>
      <c r="W658" s="10"/>
    </row>
    <row r="659" spans="1:23" hidden="1" x14ac:dyDescent="0.25">
      <c r="A659" s="8"/>
      <c r="F659" s="2"/>
      <c r="G659" s="2"/>
      <c r="H659" s="2"/>
      <c r="J659" s="2"/>
      <c r="L659" s="14"/>
      <c r="M659" s="6"/>
      <c r="N659" s="5"/>
      <c r="O659" s="5" t="str">
        <f t="shared" si="30"/>
        <v/>
      </c>
      <c r="P659" s="21" t="e">
        <f t="shared" si="31"/>
        <v>#VALUE!</v>
      </c>
      <c r="Q659" s="16"/>
      <c r="R659" s="17"/>
      <c r="S659" s="18"/>
      <c r="T659" s="19"/>
      <c r="U659" s="12"/>
      <c r="V659" s="10"/>
      <c r="W659" s="10"/>
    </row>
    <row r="660" spans="1:23" hidden="1" x14ac:dyDescent="0.25">
      <c r="A660" s="8"/>
      <c r="F660" s="2"/>
      <c r="G660" s="2"/>
      <c r="H660" s="2"/>
      <c r="J660" s="2"/>
      <c r="L660" s="14"/>
      <c r="M660" s="6"/>
      <c r="N660" s="5"/>
      <c r="O660" s="5" t="str">
        <f t="shared" si="30"/>
        <v/>
      </c>
      <c r="P660" s="21" t="e">
        <f t="shared" si="31"/>
        <v>#VALUE!</v>
      </c>
      <c r="Q660" s="16"/>
      <c r="R660" s="17"/>
      <c r="S660" s="18"/>
      <c r="T660" s="19"/>
      <c r="U660" s="12"/>
      <c r="V660" s="10"/>
      <c r="W660" s="10"/>
    </row>
    <row r="661" spans="1:23" hidden="1" x14ac:dyDescent="0.25">
      <c r="A661" s="8"/>
      <c r="F661" s="2"/>
      <c r="G661" s="2"/>
      <c r="H661" s="2"/>
      <c r="J661" s="2"/>
      <c r="L661" s="14"/>
      <c r="M661" s="6"/>
      <c r="N661" s="5"/>
      <c r="O661" s="5" t="str">
        <f t="shared" si="30"/>
        <v/>
      </c>
      <c r="P661" s="21" t="e">
        <f t="shared" si="31"/>
        <v>#VALUE!</v>
      </c>
      <c r="Q661" s="16"/>
      <c r="R661" s="17"/>
      <c r="S661" s="18"/>
      <c r="T661" s="19"/>
      <c r="U661" s="12"/>
      <c r="V661" s="10"/>
      <c r="W661" s="10"/>
    </row>
    <row r="662" spans="1:23" hidden="1" x14ac:dyDescent="0.25">
      <c r="A662" s="8"/>
      <c r="F662" s="2"/>
      <c r="G662" s="2"/>
      <c r="H662" s="2"/>
      <c r="J662" s="2"/>
      <c r="L662" s="14"/>
      <c r="M662" s="6"/>
      <c r="N662" s="5"/>
      <c r="O662" s="5" t="str">
        <f t="shared" si="30"/>
        <v/>
      </c>
      <c r="P662" s="21" t="e">
        <f t="shared" si="31"/>
        <v>#VALUE!</v>
      </c>
      <c r="Q662" s="16"/>
      <c r="R662" s="17"/>
      <c r="S662" s="18"/>
      <c r="T662" s="19"/>
      <c r="U662" s="12"/>
      <c r="V662" s="10"/>
      <c r="W662" s="10"/>
    </row>
    <row r="663" spans="1:23" hidden="1" x14ac:dyDescent="0.25">
      <c r="A663" s="8"/>
      <c r="F663" s="2"/>
      <c r="G663" s="2"/>
      <c r="H663" s="2"/>
      <c r="J663" s="2"/>
      <c r="L663" s="14"/>
      <c r="M663" s="6"/>
      <c r="N663" s="5"/>
      <c r="O663" s="5" t="str">
        <f t="shared" ref="O663:O726" si="32">RIGHT(C663,2)</f>
        <v/>
      </c>
      <c r="P663" s="21" t="e">
        <f t="shared" ref="P663:P726" si="33">42522+O663+29</f>
        <v>#VALUE!</v>
      </c>
      <c r="Q663" s="16"/>
      <c r="R663" s="17"/>
      <c r="S663" s="18"/>
      <c r="T663" s="19"/>
      <c r="U663" s="12"/>
      <c r="V663" s="10"/>
      <c r="W663" s="10"/>
    </row>
    <row r="664" spans="1:23" hidden="1" x14ac:dyDescent="0.25">
      <c r="A664" s="8"/>
      <c r="F664" s="2"/>
      <c r="G664" s="2"/>
      <c r="H664" s="2"/>
      <c r="J664" s="2"/>
      <c r="L664" s="14"/>
      <c r="M664" s="6"/>
      <c r="N664" s="5"/>
      <c r="O664" s="5" t="str">
        <f t="shared" si="32"/>
        <v/>
      </c>
      <c r="P664" s="21" t="e">
        <f t="shared" si="33"/>
        <v>#VALUE!</v>
      </c>
      <c r="Q664" s="16"/>
      <c r="R664" s="17"/>
      <c r="S664" s="18"/>
      <c r="T664" s="19"/>
      <c r="U664" s="12"/>
      <c r="V664" s="10"/>
      <c r="W664" s="10"/>
    </row>
    <row r="665" spans="1:23" hidden="1" x14ac:dyDescent="0.25">
      <c r="A665" s="8"/>
      <c r="F665" s="2"/>
      <c r="G665" s="2"/>
      <c r="H665" s="2"/>
      <c r="J665" s="2"/>
      <c r="L665" s="14"/>
      <c r="M665" s="6"/>
      <c r="N665" s="5"/>
      <c r="O665" s="5" t="str">
        <f t="shared" si="32"/>
        <v/>
      </c>
      <c r="P665" s="21" t="e">
        <f t="shared" si="33"/>
        <v>#VALUE!</v>
      </c>
      <c r="Q665" s="16"/>
      <c r="R665" s="17"/>
      <c r="S665" s="18"/>
      <c r="T665" s="19"/>
      <c r="U665" s="12"/>
      <c r="V665" s="10"/>
      <c r="W665" s="10"/>
    </row>
    <row r="666" spans="1:23" hidden="1" x14ac:dyDescent="0.25">
      <c r="A666" s="8"/>
      <c r="F666" s="2"/>
      <c r="G666" s="2"/>
      <c r="H666" s="2"/>
      <c r="J666" s="2"/>
      <c r="L666" s="14"/>
      <c r="M666" s="6"/>
      <c r="N666" s="5"/>
      <c r="O666" s="5" t="str">
        <f t="shared" si="32"/>
        <v/>
      </c>
      <c r="P666" s="21" t="e">
        <f t="shared" si="33"/>
        <v>#VALUE!</v>
      </c>
      <c r="Q666" s="16"/>
      <c r="R666" s="17"/>
      <c r="S666" s="18"/>
      <c r="T666" s="19"/>
      <c r="U666" s="12"/>
      <c r="V666" s="10"/>
      <c r="W666" s="10"/>
    </row>
    <row r="667" spans="1:23" hidden="1" x14ac:dyDescent="0.25">
      <c r="A667" s="8"/>
      <c r="F667" s="2"/>
      <c r="G667" s="2"/>
      <c r="H667" s="2"/>
      <c r="J667" s="2"/>
      <c r="L667" s="14"/>
      <c r="M667" s="6"/>
      <c r="N667" s="5"/>
      <c r="O667" s="5" t="str">
        <f t="shared" si="32"/>
        <v/>
      </c>
      <c r="P667" s="21" t="e">
        <f t="shared" si="33"/>
        <v>#VALUE!</v>
      </c>
      <c r="Q667" s="16"/>
      <c r="R667" s="17"/>
      <c r="S667" s="18"/>
      <c r="T667" s="19"/>
      <c r="U667" s="12"/>
      <c r="V667" s="10"/>
      <c r="W667" s="10"/>
    </row>
    <row r="668" spans="1:23" hidden="1" x14ac:dyDescent="0.25">
      <c r="A668" s="8"/>
      <c r="F668" s="2"/>
      <c r="G668" s="2"/>
      <c r="H668" s="2"/>
      <c r="J668" s="2"/>
      <c r="L668" s="14"/>
      <c r="M668" s="6"/>
      <c r="N668" s="5"/>
      <c r="O668" s="5" t="str">
        <f t="shared" si="32"/>
        <v/>
      </c>
      <c r="P668" s="21" t="e">
        <f t="shared" si="33"/>
        <v>#VALUE!</v>
      </c>
      <c r="Q668" s="16"/>
      <c r="R668" s="17"/>
      <c r="S668" s="18"/>
      <c r="T668" s="19"/>
      <c r="U668" s="12"/>
      <c r="V668" s="10"/>
      <c r="W668" s="10"/>
    </row>
    <row r="669" spans="1:23" hidden="1" x14ac:dyDescent="0.25">
      <c r="A669" s="8"/>
      <c r="F669" s="2"/>
      <c r="G669" s="2"/>
      <c r="H669" s="2"/>
      <c r="J669" s="2"/>
      <c r="L669" s="14"/>
      <c r="M669" s="6"/>
      <c r="N669" s="5"/>
      <c r="O669" s="5" t="str">
        <f t="shared" si="32"/>
        <v/>
      </c>
      <c r="P669" s="21" t="e">
        <f t="shared" si="33"/>
        <v>#VALUE!</v>
      </c>
      <c r="Q669" s="16"/>
      <c r="R669" s="17"/>
      <c r="S669" s="18"/>
      <c r="T669" s="19"/>
      <c r="U669" s="12"/>
      <c r="V669" s="10"/>
      <c r="W669" s="10"/>
    </row>
    <row r="670" spans="1:23" hidden="1" x14ac:dyDescent="0.25">
      <c r="A670" s="8"/>
      <c r="F670" s="2"/>
      <c r="G670" s="2"/>
      <c r="H670" s="2"/>
      <c r="J670" s="2"/>
      <c r="L670" s="14"/>
      <c r="M670" s="6"/>
      <c r="N670" s="5"/>
      <c r="O670" s="5" t="str">
        <f t="shared" si="32"/>
        <v/>
      </c>
      <c r="P670" s="21" t="e">
        <f t="shared" si="33"/>
        <v>#VALUE!</v>
      </c>
      <c r="Q670" s="16"/>
      <c r="R670" s="17"/>
      <c r="S670" s="18"/>
      <c r="T670" s="19"/>
      <c r="U670" s="12"/>
      <c r="V670" s="10"/>
      <c r="W670" s="10"/>
    </row>
    <row r="671" spans="1:23" hidden="1" x14ac:dyDescent="0.25">
      <c r="A671" s="8"/>
      <c r="F671" s="2"/>
      <c r="G671" s="2"/>
      <c r="H671" s="2"/>
      <c r="J671" s="2"/>
      <c r="L671" s="14"/>
      <c r="M671" s="6"/>
      <c r="N671" s="5"/>
      <c r="O671" s="5" t="str">
        <f t="shared" si="32"/>
        <v/>
      </c>
      <c r="P671" s="21" t="e">
        <f t="shared" si="33"/>
        <v>#VALUE!</v>
      </c>
      <c r="Q671" s="16"/>
      <c r="R671" s="17"/>
      <c r="S671" s="18"/>
      <c r="T671" s="19"/>
      <c r="U671" s="12"/>
      <c r="V671" s="10"/>
      <c r="W671" s="10"/>
    </row>
    <row r="672" spans="1:23" hidden="1" x14ac:dyDescent="0.25">
      <c r="A672" s="8"/>
      <c r="F672" s="2"/>
      <c r="G672" s="2"/>
      <c r="H672" s="2"/>
      <c r="J672" s="2"/>
      <c r="L672" s="14"/>
      <c r="M672" s="6"/>
      <c r="N672" s="5"/>
      <c r="O672" s="5" t="str">
        <f t="shared" si="32"/>
        <v/>
      </c>
      <c r="P672" s="21" t="e">
        <f t="shared" si="33"/>
        <v>#VALUE!</v>
      </c>
      <c r="Q672" s="16"/>
      <c r="R672" s="17"/>
      <c r="S672" s="18"/>
      <c r="T672" s="19"/>
      <c r="U672" s="12"/>
      <c r="V672" s="10"/>
      <c r="W672" s="10"/>
    </row>
    <row r="673" spans="1:23" hidden="1" x14ac:dyDescent="0.25">
      <c r="A673" s="8"/>
      <c r="F673" s="2"/>
      <c r="G673" s="2"/>
      <c r="H673" s="2"/>
      <c r="J673" s="2"/>
      <c r="L673" s="14"/>
      <c r="M673" s="6"/>
      <c r="N673" s="5"/>
      <c r="O673" s="5" t="str">
        <f t="shared" si="32"/>
        <v/>
      </c>
      <c r="P673" s="21" t="e">
        <f t="shared" si="33"/>
        <v>#VALUE!</v>
      </c>
      <c r="Q673" s="16"/>
      <c r="R673" s="17"/>
      <c r="S673" s="18"/>
      <c r="T673" s="19"/>
      <c r="U673" s="12"/>
      <c r="V673" s="10"/>
      <c r="W673" s="10"/>
    </row>
    <row r="674" spans="1:23" hidden="1" x14ac:dyDescent="0.25">
      <c r="A674" s="8"/>
      <c r="F674" s="2"/>
      <c r="G674" s="2"/>
      <c r="H674" s="2"/>
      <c r="J674" s="2"/>
      <c r="L674" s="14"/>
      <c r="M674" s="6"/>
      <c r="N674" s="5"/>
      <c r="O674" s="5" t="str">
        <f t="shared" si="32"/>
        <v/>
      </c>
      <c r="P674" s="21" t="e">
        <f t="shared" si="33"/>
        <v>#VALUE!</v>
      </c>
      <c r="Q674" s="16"/>
      <c r="R674" s="17"/>
      <c r="S674" s="18"/>
      <c r="T674" s="19"/>
      <c r="U674" s="12"/>
      <c r="V674" s="10"/>
      <c r="W674" s="10"/>
    </row>
    <row r="675" spans="1:23" hidden="1" x14ac:dyDescent="0.25">
      <c r="A675" s="8"/>
      <c r="F675" s="2"/>
      <c r="G675" s="2"/>
      <c r="H675" s="2"/>
      <c r="J675" s="2"/>
      <c r="L675" s="14"/>
      <c r="M675" s="6"/>
      <c r="N675" s="5"/>
      <c r="O675" s="5" t="str">
        <f t="shared" si="32"/>
        <v/>
      </c>
      <c r="P675" s="21" t="e">
        <f t="shared" si="33"/>
        <v>#VALUE!</v>
      </c>
      <c r="Q675" s="16"/>
      <c r="R675" s="17"/>
      <c r="S675" s="18"/>
      <c r="T675" s="19"/>
      <c r="U675" s="12"/>
      <c r="V675" s="10"/>
      <c r="W675" s="10"/>
    </row>
    <row r="676" spans="1:23" hidden="1" x14ac:dyDescent="0.25">
      <c r="A676" s="8"/>
      <c r="F676" s="2"/>
      <c r="G676" s="2"/>
      <c r="H676" s="2"/>
      <c r="J676" s="2"/>
      <c r="L676" s="14"/>
      <c r="M676" s="6"/>
      <c r="N676" s="5"/>
      <c r="O676" s="5" t="str">
        <f t="shared" si="32"/>
        <v/>
      </c>
      <c r="P676" s="21" t="e">
        <f t="shared" si="33"/>
        <v>#VALUE!</v>
      </c>
      <c r="Q676" s="16"/>
      <c r="R676" s="17"/>
      <c r="S676" s="18"/>
      <c r="T676" s="19"/>
      <c r="U676" s="12"/>
      <c r="V676" s="10"/>
      <c r="W676" s="10"/>
    </row>
    <row r="677" spans="1:23" hidden="1" x14ac:dyDescent="0.25">
      <c r="A677" s="8"/>
      <c r="F677" s="2"/>
      <c r="G677" s="2"/>
      <c r="H677" s="2"/>
      <c r="J677" s="2"/>
      <c r="L677" s="14"/>
      <c r="M677" s="6"/>
      <c r="N677" s="5"/>
      <c r="O677" s="5" t="str">
        <f t="shared" si="32"/>
        <v/>
      </c>
      <c r="P677" s="21" t="e">
        <f t="shared" si="33"/>
        <v>#VALUE!</v>
      </c>
      <c r="Q677" s="16"/>
      <c r="R677" s="17"/>
      <c r="S677" s="18"/>
      <c r="T677" s="19"/>
      <c r="U677" s="12"/>
      <c r="V677" s="10"/>
      <c r="W677" s="10"/>
    </row>
    <row r="678" spans="1:23" hidden="1" x14ac:dyDescent="0.25">
      <c r="A678" s="8"/>
      <c r="F678" s="2"/>
      <c r="G678" s="2"/>
      <c r="H678" s="2"/>
      <c r="J678" s="2"/>
      <c r="L678" s="14"/>
      <c r="M678" s="6"/>
      <c r="N678" s="5"/>
      <c r="O678" s="5" t="str">
        <f t="shared" si="32"/>
        <v/>
      </c>
      <c r="P678" s="21" t="e">
        <f t="shared" si="33"/>
        <v>#VALUE!</v>
      </c>
      <c r="Q678" s="16"/>
      <c r="R678" s="17"/>
      <c r="S678" s="18"/>
      <c r="T678" s="19"/>
      <c r="U678" s="12"/>
      <c r="V678" s="10"/>
      <c r="W678" s="10"/>
    </row>
    <row r="679" spans="1:23" hidden="1" x14ac:dyDescent="0.25">
      <c r="A679" s="8"/>
      <c r="F679" s="2"/>
      <c r="G679" s="2"/>
      <c r="H679" s="2"/>
      <c r="J679" s="2"/>
      <c r="L679" s="14"/>
      <c r="M679" s="6"/>
      <c r="N679" s="5"/>
      <c r="O679" s="5" t="str">
        <f t="shared" si="32"/>
        <v/>
      </c>
      <c r="P679" s="21" t="e">
        <f t="shared" si="33"/>
        <v>#VALUE!</v>
      </c>
      <c r="Q679" s="16"/>
      <c r="R679" s="17"/>
      <c r="S679" s="18"/>
      <c r="T679" s="19"/>
      <c r="U679" s="12"/>
      <c r="V679" s="10"/>
      <c r="W679" s="10"/>
    </row>
    <row r="680" spans="1:23" hidden="1" x14ac:dyDescent="0.25">
      <c r="A680" s="8"/>
      <c r="F680" s="2"/>
      <c r="G680" s="2"/>
      <c r="H680" s="2"/>
      <c r="J680" s="2"/>
      <c r="L680" s="14"/>
      <c r="M680" s="6"/>
      <c r="N680" s="5"/>
      <c r="O680" s="5" t="str">
        <f t="shared" si="32"/>
        <v/>
      </c>
      <c r="P680" s="21" t="e">
        <f t="shared" si="33"/>
        <v>#VALUE!</v>
      </c>
      <c r="Q680" s="16"/>
      <c r="R680" s="17"/>
      <c r="S680" s="18"/>
      <c r="T680" s="19"/>
      <c r="U680" s="12"/>
      <c r="V680" s="10"/>
      <c r="W680" s="10"/>
    </row>
    <row r="681" spans="1:23" hidden="1" x14ac:dyDescent="0.25">
      <c r="A681" s="8"/>
      <c r="F681" s="2"/>
      <c r="G681" s="2"/>
      <c r="H681" s="2"/>
      <c r="J681" s="2"/>
      <c r="L681" s="14"/>
      <c r="M681" s="6"/>
      <c r="N681" s="5"/>
      <c r="O681" s="5" t="str">
        <f t="shared" si="32"/>
        <v/>
      </c>
      <c r="P681" s="21" t="e">
        <f t="shared" si="33"/>
        <v>#VALUE!</v>
      </c>
      <c r="Q681" s="16"/>
      <c r="R681" s="17"/>
      <c r="S681" s="18"/>
      <c r="T681" s="19"/>
      <c r="U681" s="12"/>
      <c r="V681" s="10"/>
      <c r="W681" s="10"/>
    </row>
    <row r="682" spans="1:23" hidden="1" x14ac:dyDescent="0.25">
      <c r="A682" s="8"/>
      <c r="F682" s="2"/>
      <c r="G682" s="2"/>
      <c r="H682" s="2"/>
      <c r="J682" s="2"/>
      <c r="L682" s="14"/>
      <c r="M682" s="6"/>
      <c r="N682" s="5"/>
      <c r="O682" s="5" t="str">
        <f t="shared" si="32"/>
        <v/>
      </c>
      <c r="P682" s="21" t="e">
        <f t="shared" si="33"/>
        <v>#VALUE!</v>
      </c>
      <c r="Q682" s="16"/>
      <c r="R682" s="17"/>
      <c r="S682" s="18"/>
      <c r="T682" s="19"/>
      <c r="U682" s="12"/>
      <c r="V682" s="10"/>
      <c r="W682" s="10"/>
    </row>
    <row r="683" spans="1:23" hidden="1" x14ac:dyDescent="0.25">
      <c r="A683" s="8"/>
      <c r="F683" s="2"/>
      <c r="G683" s="2"/>
      <c r="H683" s="2"/>
      <c r="J683" s="2"/>
      <c r="L683" s="14"/>
      <c r="M683" s="6"/>
      <c r="N683" s="5"/>
      <c r="O683" s="5" t="str">
        <f t="shared" si="32"/>
        <v/>
      </c>
      <c r="P683" s="21" t="e">
        <f t="shared" si="33"/>
        <v>#VALUE!</v>
      </c>
      <c r="Q683" s="16"/>
      <c r="R683" s="17"/>
      <c r="S683" s="18"/>
      <c r="T683" s="19"/>
      <c r="U683" s="12"/>
      <c r="V683" s="10"/>
      <c r="W683" s="10"/>
    </row>
    <row r="684" spans="1:23" hidden="1" x14ac:dyDescent="0.25">
      <c r="A684" s="8"/>
      <c r="F684" s="2"/>
      <c r="G684" s="2"/>
      <c r="H684" s="2"/>
      <c r="J684" s="2"/>
      <c r="L684" s="14"/>
      <c r="M684" s="6"/>
      <c r="N684" s="5"/>
      <c r="O684" s="5" t="str">
        <f t="shared" si="32"/>
        <v/>
      </c>
      <c r="P684" s="21" t="e">
        <f t="shared" si="33"/>
        <v>#VALUE!</v>
      </c>
      <c r="Q684" s="16"/>
      <c r="R684" s="17"/>
      <c r="S684" s="18"/>
      <c r="T684" s="19"/>
      <c r="U684" s="12"/>
      <c r="V684" s="10"/>
      <c r="W684" s="10"/>
    </row>
    <row r="685" spans="1:23" hidden="1" x14ac:dyDescent="0.25">
      <c r="A685" s="8"/>
      <c r="F685" s="2"/>
      <c r="G685" s="2"/>
      <c r="H685" s="2"/>
      <c r="J685" s="2"/>
      <c r="L685" s="14"/>
      <c r="M685" s="6"/>
      <c r="N685" s="5"/>
      <c r="O685" s="5" t="str">
        <f t="shared" si="32"/>
        <v/>
      </c>
      <c r="P685" s="21" t="e">
        <f t="shared" si="33"/>
        <v>#VALUE!</v>
      </c>
      <c r="Q685" s="16"/>
      <c r="R685" s="17"/>
      <c r="S685" s="18"/>
      <c r="T685" s="19"/>
      <c r="U685" s="12"/>
      <c r="V685" s="10"/>
      <c r="W685" s="10"/>
    </row>
    <row r="686" spans="1:23" hidden="1" x14ac:dyDescent="0.25">
      <c r="A686" s="8"/>
      <c r="F686" s="2"/>
      <c r="G686" s="2"/>
      <c r="H686" s="2"/>
      <c r="J686" s="2"/>
      <c r="L686" s="14"/>
      <c r="M686" s="6"/>
      <c r="N686" s="5"/>
      <c r="O686" s="5" t="str">
        <f t="shared" si="32"/>
        <v/>
      </c>
      <c r="P686" s="21" t="e">
        <f t="shared" si="33"/>
        <v>#VALUE!</v>
      </c>
      <c r="Q686" s="16"/>
      <c r="R686" s="17"/>
      <c r="S686" s="18"/>
      <c r="T686" s="19"/>
      <c r="U686" s="12"/>
      <c r="V686" s="10"/>
      <c r="W686" s="10"/>
    </row>
    <row r="687" spans="1:23" hidden="1" x14ac:dyDescent="0.25">
      <c r="A687" s="8"/>
      <c r="F687" s="2"/>
      <c r="G687" s="2"/>
      <c r="H687" s="2"/>
      <c r="J687" s="2"/>
      <c r="L687" s="14"/>
      <c r="M687" s="6"/>
      <c r="N687" s="5"/>
      <c r="O687" s="5" t="str">
        <f t="shared" si="32"/>
        <v/>
      </c>
      <c r="P687" s="21" t="e">
        <f t="shared" si="33"/>
        <v>#VALUE!</v>
      </c>
      <c r="Q687" s="16"/>
      <c r="R687" s="17"/>
      <c r="S687" s="18"/>
      <c r="T687" s="19"/>
      <c r="U687" s="12"/>
      <c r="V687" s="10"/>
      <c r="W687" s="10"/>
    </row>
    <row r="688" spans="1:23" hidden="1" x14ac:dyDescent="0.25">
      <c r="A688" s="8"/>
      <c r="F688" s="2"/>
      <c r="G688" s="2"/>
      <c r="H688" s="2"/>
      <c r="J688" s="2"/>
      <c r="L688" s="14"/>
      <c r="M688" s="6"/>
      <c r="N688" s="5"/>
      <c r="O688" s="5" t="str">
        <f t="shared" si="32"/>
        <v/>
      </c>
      <c r="P688" s="21" t="e">
        <f t="shared" si="33"/>
        <v>#VALUE!</v>
      </c>
      <c r="Q688" s="16"/>
      <c r="R688" s="17"/>
      <c r="S688" s="18"/>
      <c r="T688" s="19"/>
      <c r="U688" s="12"/>
      <c r="V688" s="10"/>
      <c r="W688" s="10"/>
    </row>
    <row r="689" spans="1:23" hidden="1" x14ac:dyDescent="0.25">
      <c r="A689" s="8"/>
      <c r="F689" s="2"/>
      <c r="G689" s="2"/>
      <c r="H689" s="2"/>
      <c r="J689" s="2"/>
      <c r="L689" s="14"/>
      <c r="M689" s="6"/>
      <c r="N689" s="5"/>
      <c r="O689" s="5" t="str">
        <f t="shared" si="32"/>
        <v/>
      </c>
      <c r="P689" s="21" t="e">
        <f t="shared" si="33"/>
        <v>#VALUE!</v>
      </c>
      <c r="Q689" s="16"/>
      <c r="R689" s="17"/>
      <c r="S689" s="18"/>
      <c r="T689" s="19"/>
      <c r="U689" s="12"/>
      <c r="V689" s="10"/>
      <c r="W689" s="10"/>
    </row>
    <row r="690" spans="1:23" hidden="1" x14ac:dyDescent="0.25">
      <c r="A690" s="8"/>
      <c r="F690" s="2"/>
      <c r="G690" s="2"/>
      <c r="H690" s="2"/>
      <c r="J690" s="2"/>
      <c r="L690" s="14"/>
      <c r="M690" s="6"/>
      <c r="N690" s="5"/>
      <c r="O690" s="5" t="str">
        <f t="shared" si="32"/>
        <v/>
      </c>
      <c r="P690" s="21" t="e">
        <f t="shared" si="33"/>
        <v>#VALUE!</v>
      </c>
      <c r="Q690" s="16"/>
      <c r="R690" s="17"/>
      <c r="S690" s="18"/>
      <c r="T690" s="19"/>
      <c r="U690" s="12"/>
      <c r="V690" s="10"/>
      <c r="W690" s="10"/>
    </row>
    <row r="691" spans="1:23" hidden="1" x14ac:dyDescent="0.25">
      <c r="A691" s="8"/>
      <c r="B691" s="11"/>
      <c r="E691" s="11"/>
      <c r="F691" s="2"/>
      <c r="G691" s="2"/>
      <c r="H691" s="2"/>
      <c r="I691" s="11"/>
      <c r="J691" s="2"/>
      <c r="L691" s="14"/>
      <c r="M691" s="6"/>
      <c r="N691" s="5"/>
      <c r="O691" s="5" t="str">
        <f t="shared" si="32"/>
        <v/>
      </c>
      <c r="P691" s="21" t="e">
        <f t="shared" si="33"/>
        <v>#VALUE!</v>
      </c>
      <c r="Q691" s="16"/>
      <c r="R691" s="17"/>
      <c r="S691" s="18"/>
      <c r="T691" s="19"/>
      <c r="U691" s="12"/>
      <c r="V691" s="10"/>
      <c r="W691" s="10"/>
    </row>
    <row r="692" spans="1:23" hidden="1" x14ac:dyDescent="0.25">
      <c r="A692" s="8"/>
      <c r="F692" s="2"/>
      <c r="G692" s="2"/>
      <c r="H692" s="2"/>
      <c r="J692" s="2"/>
      <c r="L692" s="14"/>
      <c r="M692" s="6"/>
      <c r="N692" s="5"/>
      <c r="O692" s="5" t="str">
        <f t="shared" si="32"/>
        <v/>
      </c>
      <c r="P692" s="21" t="e">
        <f t="shared" si="33"/>
        <v>#VALUE!</v>
      </c>
      <c r="Q692" s="16"/>
      <c r="R692" s="17"/>
      <c r="S692" s="18"/>
      <c r="T692" s="19"/>
      <c r="U692" s="12"/>
      <c r="V692" s="10"/>
      <c r="W692" s="10"/>
    </row>
    <row r="693" spans="1:23" hidden="1" x14ac:dyDescent="0.25">
      <c r="A693" s="8"/>
      <c r="F693" s="2"/>
      <c r="G693" s="2"/>
      <c r="H693" s="2"/>
      <c r="J693" s="2"/>
      <c r="L693" s="14"/>
      <c r="M693" s="6"/>
      <c r="N693" s="5"/>
      <c r="O693" s="5" t="str">
        <f t="shared" si="32"/>
        <v/>
      </c>
      <c r="P693" s="21" t="e">
        <f t="shared" si="33"/>
        <v>#VALUE!</v>
      </c>
      <c r="Q693" s="16"/>
      <c r="R693" s="17"/>
      <c r="S693" s="18"/>
      <c r="T693" s="19"/>
      <c r="U693" s="12"/>
      <c r="V693" s="10"/>
      <c r="W693" s="10"/>
    </row>
    <row r="694" spans="1:23" hidden="1" x14ac:dyDescent="0.25">
      <c r="A694" s="8"/>
      <c r="B694" s="11"/>
      <c r="E694" s="11"/>
      <c r="F694" s="2"/>
      <c r="G694" s="2"/>
      <c r="H694" s="2"/>
      <c r="I694" s="11"/>
      <c r="J694" s="2"/>
      <c r="L694" s="14"/>
      <c r="M694" s="6"/>
      <c r="N694" s="5"/>
      <c r="O694" s="5" t="str">
        <f t="shared" si="32"/>
        <v/>
      </c>
      <c r="P694" s="21" t="e">
        <f t="shared" si="33"/>
        <v>#VALUE!</v>
      </c>
      <c r="Q694" s="16"/>
      <c r="R694" s="17"/>
      <c r="S694" s="18"/>
      <c r="T694" s="19"/>
      <c r="U694" s="12"/>
      <c r="V694" s="10"/>
      <c r="W694" s="10"/>
    </row>
    <row r="695" spans="1:23" hidden="1" x14ac:dyDescent="0.25">
      <c r="A695" s="8"/>
      <c r="B695" s="11"/>
      <c r="E695" s="11"/>
      <c r="F695" s="2"/>
      <c r="G695" s="2"/>
      <c r="H695" s="2"/>
      <c r="I695" s="11"/>
      <c r="J695" s="2"/>
      <c r="L695" s="14"/>
      <c r="M695" s="6"/>
      <c r="N695" s="5"/>
      <c r="O695" s="5" t="str">
        <f t="shared" si="32"/>
        <v/>
      </c>
      <c r="P695" s="21" t="e">
        <f t="shared" si="33"/>
        <v>#VALUE!</v>
      </c>
      <c r="Q695" s="16"/>
      <c r="R695" s="17"/>
      <c r="S695" s="18"/>
      <c r="T695" s="19"/>
      <c r="U695" s="12"/>
      <c r="V695" s="10"/>
      <c r="W695" s="10"/>
    </row>
    <row r="696" spans="1:23" hidden="1" x14ac:dyDescent="0.25">
      <c r="A696" s="8"/>
      <c r="F696" s="2"/>
      <c r="G696" s="2"/>
      <c r="H696" s="2"/>
      <c r="J696" s="2"/>
      <c r="L696" s="14"/>
      <c r="M696" s="6"/>
      <c r="N696" s="5"/>
      <c r="O696" s="5" t="str">
        <f t="shared" si="32"/>
        <v/>
      </c>
      <c r="P696" s="21" t="e">
        <f t="shared" si="33"/>
        <v>#VALUE!</v>
      </c>
      <c r="Q696" s="16"/>
      <c r="R696" s="17"/>
      <c r="S696" s="18"/>
      <c r="T696" s="19"/>
      <c r="U696" s="12"/>
      <c r="V696" s="10"/>
      <c r="W696" s="10"/>
    </row>
    <row r="697" spans="1:23" hidden="1" x14ac:dyDescent="0.25">
      <c r="A697" s="8"/>
      <c r="B697" s="11"/>
      <c r="E697" s="11"/>
      <c r="F697" s="2"/>
      <c r="G697" s="2"/>
      <c r="H697" s="2"/>
      <c r="I697" s="11"/>
      <c r="J697" s="2"/>
      <c r="L697" s="14"/>
      <c r="M697" s="6"/>
      <c r="N697" s="5"/>
      <c r="O697" s="5" t="str">
        <f t="shared" si="32"/>
        <v/>
      </c>
      <c r="P697" s="21" t="e">
        <f t="shared" si="33"/>
        <v>#VALUE!</v>
      </c>
      <c r="Q697" s="16"/>
      <c r="R697" s="17"/>
      <c r="S697" s="18"/>
      <c r="T697" s="19"/>
      <c r="U697" s="12"/>
      <c r="V697" s="10"/>
      <c r="W697" s="10"/>
    </row>
    <row r="698" spans="1:23" hidden="1" x14ac:dyDescent="0.25">
      <c r="A698" s="8"/>
      <c r="B698" s="11"/>
      <c r="E698" s="11"/>
      <c r="F698" s="2"/>
      <c r="G698" s="2"/>
      <c r="H698" s="2"/>
      <c r="I698" s="11"/>
      <c r="J698" s="2"/>
      <c r="L698" s="14"/>
      <c r="M698" s="6"/>
      <c r="N698" s="5"/>
      <c r="O698" s="5" t="str">
        <f t="shared" si="32"/>
        <v/>
      </c>
      <c r="P698" s="21" t="e">
        <f t="shared" si="33"/>
        <v>#VALUE!</v>
      </c>
      <c r="Q698" s="16"/>
      <c r="R698" s="17"/>
      <c r="S698" s="18"/>
      <c r="T698" s="19"/>
      <c r="U698" s="12"/>
      <c r="V698" s="10"/>
      <c r="W698" s="10"/>
    </row>
    <row r="699" spans="1:23" hidden="1" x14ac:dyDescent="0.25">
      <c r="A699" s="8"/>
      <c r="B699" s="11"/>
      <c r="E699" s="11"/>
      <c r="F699" s="2"/>
      <c r="G699" s="2"/>
      <c r="H699" s="2"/>
      <c r="I699" s="11"/>
      <c r="J699" s="2"/>
      <c r="L699" s="14"/>
      <c r="M699" s="6"/>
      <c r="N699" s="5"/>
      <c r="O699" s="5" t="str">
        <f t="shared" si="32"/>
        <v/>
      </c>
      <c r="P699" s="21" t="e">
        <f t="shared" si="33"/>
        <v>#VALUE!</v>
      </c>
      <c r="Q699" s="16"/>
      <c r="R699" s="17"/>
      <c r="S699" s="18"/>
      <c r="T699" s="19"/>
      <c r="U699" s="12"/>
      <c r="V699" s="10"/>
      <c r="W699" s="10"/>
    </row>
    <row r="700" spans="1:23" hidden="1" x14ac:dyDescent="0.25">
      <c r="A700" s="8"/>
      <c r="F700" s="2"/>
      <c r="G700" s="2"/>
      <c r="H700" s="2"/>
      <c r="J700" s="2"/>
      <c r="L700" s="14"/>
      <c r="M700" s="6"/>
      <c r="N700" s="5"/>
      <c r="O700" s="5" t="str">
        <f t="shared" si="32"/>
        <v/>
      </c>
      <c r="P700" s="21" t="e">
        <f t="shared" si="33"/>
        <v>#VALUE!</v>
      </c>
      <c r="Q700" s="16"/>
      <c r="R700" s="17"/>
      <c r="S700" s="18"/>
      <c r="T700" s="19"/>
      <c r="U700" s="12"/>
      <c r="V700" s="10"/>
      <c r="W700" s="10"/>
    </row>
    <row r="701" spans="1:23" hidden="1" x14ac:dyDescent="0.25">
      <c r="A701" s="8"/>
      <c r="F701" s="2"/>
      <c r="G701" s="2"/>
      <c r="H701" s="2"/>
      <c r="J701" s="2"/>
      <c r="L701" s="14"/>
      <c r="M701" s="6"/>
      <c r="N701" s="5"/>
      <c r="O701" s="5" t="str">
        <f t="shared" si="32"/>
        <v/>
      </c>
      <c r="P701" s="21" t="e">
        <f t="shared" si="33"/>
        <v>#VALUE!</v>
      </c>
      <c r="Q701" s="16"/>
      <c r="R701" s="17"/>
      <c r="S701" s="18"/>
      <c r="T701" s="19"/>
      <c r="U701" s="12"/>
      <c r="V701" s="10"/>
      <c r="W701" s="10"/>
    </row>
    <row r="702" spans="1:23" hidden="1" x14ac:dyDescent="0.25">
      <c r="A702" s="8"/>
      <c r="F702" s="2"/>
      <c r="G702" s="2"/>
      <c r="H702" s="2"/>
      <c r="J702" s="2"/>
      <c r="L702" s="14"/>
      <c r="M702" s="6"/>
      <c r="N702" s="5"/>
      <c r="O702" s="5" t="str">
        <f t="shared" si="32"/>
        <v/>
      </c>
      <c r="P702" s="21" t="e">
        <f t="shared" si="33"/>
        <v>#VALUE!</v>
      </c>
      <c r="Q702" s="16"/>
      <c r="R702" s="17"/>
      <c r="S702" s="18"/>
      <c r="T702" s="19"/>
      <c r="U702" s="12"/>
      <c r="V702" s="10"/>
      <c r="W702" s="10"/>
    </row>
    <row r="703" spans="1:23" hidden="1" x14ac:dyDescent="0.25">
      <c r="A703" s="8"/>
      <c r="B703" s="11"/>
      <c r="E703" s="11"/>
      <c r="F703" s="2"/>
      <c r="G703" s="2"/>
      <c r="H703" s="2"/>
      <c r="I703" s="11"/>
      <c r="J703" s="2"/>
      <c r="L703" s="14"/>
      <c r="M703" s="6"/>
      <c r="N703" s="5"/>
      <c r="O703" s="5" t="str">
        <f t="shared" si="32"/>
        <v/>
      </c>
      <c r="P703" s="21" t="e">
        <f t="shared" si="33"/>
        <v>#VALUE!</v>
      </c>
      <c r="Q703" s="16"/>
      <c r="R703" s="17"/>
      <c r="S703" s="18"/>
      <c r="T703" s="19"/>
      <c r="U703" s="12"/>
      <c r="V703" s="10"/>
      <c r="W703" s="10"/>
    </row>
    <row r="704" spans="1:23" hidden="1" x14ac:dyDescent="0.25">
      <c r="A704" s="8"/>
      <c r="F704" s="2"/>
      <c r="G704" s="2"/>
      <c r="H704" s="2"/>
      <c r="J704" s="2"/>
      <c r="L704" s="14"/>
      <c r="M704" s="6"/>
      <c r="N704" s="5"/>
      <c r="O704" s="5" t="str">
        <f t="shared" si="32"/>
        <v/>
      </c>
      <c r="P704" s="21" t="e">
        <f t="shared" si="33"/>
        <v>#VALUE!</v>
      </c>
      <c r="Q704" s="16"/>
      <c r="R704" s="17"/>
      <c r="S704" s="18"/>
      <c r="T704" s="19"/>
      <c r="U704" s="12"/>
      <c r="V704" s="10"/>
      <c r="W704" s="10"/>
    </row>
    <row r="705" spans="1:23" hidden="1" x14ac:dyDescent="0.25">
      <c r="A705" s="8"/>
      <c r="F705" s="2"/>
      <c r="G705" s="2"/>
      <c r="H705" s="2"/>
      <c r="J705" s="2"/>
      <c r="L705" s="14"/>
      <c r="M705" s="6"/>
      <c r="N705" s="5"/>
      <c r="O705" s="5" t="str">
        <f t="shared" si="32"/>
        <v/>
      </c>
      <c r="P705" s="21" t="e">
        <f t="shared" si="33"/>
        <v>#VALUE!</v>
      </c>
      <c r="Q705" s="16"/>
      <c r="R705" s="17"/>
      <c r="S705" s="18"/>
      <c r="T705" s="19"/>
      <c r="U705" s="12"/>
      <c r="V705" s="10"/>
      <c r="W705" s="10"/>
    </row>
    <row r="706" spans="1:23" hidden="1" x14ac:dyDescent="0.25">
      <c r="A706" s="8"/>
      <c r="B706" s="11"/>
      <c r="E706" s="11"/>
      <c r="F706" s="2"/>
      <c r="G706" s="2"/>
      <c r="H706" s="2"/>
      <c r="I706" s="11"/>
      <c r="J706" s="2"/>
      <c r="L706" s="14"/>
      <c r="M706" s="6"/>
      <c r="N706" s="5"/>
      <c r="O706" s="5" t="str">
        <f t="shared" si="32"/>
        <v/>
      </c>
      <c r="P706" s="21" t="e">
        <f t="shared" si="33"/>
        <v>#VALUE!</v>
      </c>
      <c r="Q706" s="16"/>
      <c r="R706" s="17"/>
      <c r="S706" s="18"/>
      <c r="T706" s="19"/>
      <c r="U706" s="12"/>
      <c r="V706" s="10"/>
      <c r="W706" s="10"/>
    </row>
    <row r="707" spans="1:23" hidden="1" x14ac:dyDescent="0.25">
      <c r="A707" s="8"/>
      <c r="B707" s="11"/>
      <c r="E707" s="11"/>
      <c r="F707" s="2"/>
      <c r="G707" s="2"/>
      <c r="H707" s="2"/>
      <c r="I707" s="11"/>
      <c r="J707" s="2"/>
      <c r="L707" s="14"/>
      <c r="M707" s="6"/>
      <c r="N707" s="5"/>
      <c r="O707" s="5" t="str">
        <f t="shared" si="32"/>
        <v/>
      </c>
      <c r="P707" s="21" t="e">
        <f t="shared" si="33"/>
        <v>#VALUE!</v>
      </c>
      <c r="Q707" s="16"/>
      <c r="R707" s="17"/>
      <c r="S707" s="18"/>
      <c r="T707" s="19"/>
      <c r="U707" s="12"/>
      <c r="V707" s="10"/>
      <c r="W707" s="10"/>
    </row>
    <row r="708" spans="1:23" hidden="1" x14ac:dyDescent="0.25">
      <c r="A708" s="8"/>
      <c r="B708" s="11"/>
      <c r="E708" s="11"/>
      <c r="F708" s="2"/>
      <c r="G708" s="2"/>
      <c r="H708" s="2"/>
      <c r="I708" s="11"/>
      <c r="J708" s="2"/>
      <c r="L708" s="14"/>
      <c r="M708" s="6"/>
      <c r="N708" s="5"/>
      <c r="O708" s="5" t="str">
        <f t="shared" si="32"/>
        <v/>
      </c>
      <c r="P708" s="21" t="e">
        <f t="shared" si="33"/>
        <v>#VALUE!</v>
      </c>
      <c r="Q708" s="16"/>
      <c r="R708" s="17"/>
      <c r="S708" s="18"/>
      <c r="T708" s="19"/>
      <c r="U708" s="12"/>
      <c r="V708" s="10"/>
      <c r="W708" s="10"/>
    </row>
    <row r="709" spans="1:23" hidden="1" x14ac:dyDescent="0.25">
      <c r="A709" s="8"/>
      <c r="F709" s="2"/>
      <c r="G709" s="2"/>
      <c r="H709" s="2"/>
      <c r="J709" s="2"/>
      <c r="L709" s="14"/>
      <c r="M709" s="6"/>
      <c r="N709" s="5"/>
      <c r="O709" s="5" t="str">
        <f t="shared" si="32"/>
        <v/>
      </c>
      <c r="P709" s="21" t="e">
        <f t="shared" si="33"/>
        <v>#VALUE!</v>
      </c>
      <c r="Q709" s="16"/>
      <c r="R709" s="17"/>
      <c r="S709" s="18"/>
      <c r="T709" s="19"/>
      <c r="U709" s="12"/>
      <c r="V709" s="10"/>
      <c r="W709" s="10"/>
    </row>
    <row r="710" spans="1:23" hidden="1" x14ac:dyDescent="0.25">
      <c r="A710" s="8"/>
      <c r="F710" s="2"/>
      <c r="G710" s="2"/>
      <c r="H710" s="2"/>
      <c r="J710" s="2"/>
      <c r="L710" s="14"/>
      <c r="M710" s="6"/>
      <c r="N710" s="5"/>
      <c r="O710" s="5" t="str">
        <f t="shared" si="32"/>
        <v/>
      </c>
      <c r="P710" s="21" t="e">
        <f t="shared" si="33"/>
        <v>#VALUE!</v>
      </c>
      <c r="Q710" s="16"/>
      <c r="R710" s="17"/>
      <c r="S710" s="18"/>
      <c r="T710" s="19"/>
      <c r="U710" s="12"/>
      <c r="V710" s="10"/>
      <c r="W710" s="10"/>
    </row>
    <row r="711" spans="1:23" hidden="1" x14ac:dyDescent="0.25">
      <c r="A711" s="8"/>
      <c r="B711" s="11"/>
      <c r="E711" s="11"/>
      <c r="F711" s="2"/>
      <c r="G711" s="2"/>
      <c r="H711" s="2"/>
      <c r="I711" s="11"/>
      <c r="J711" s="2"/>
      <c r="L711" s="14"/>
      <c r="M711" s="6"/>
      <c r="N711" s="5"/>
      <c r="O711" s="5" t="str">
        <f t="shared" si="32"/>
        <v/>
      </c>
      <c r="P711" s="21" t="e">
        <f t="shared" si="33"/>
        <v>#VALUE!</v>
      </c>
      <c r="Q711" s="16"/>
      <c r="R711" s="17"/>
      <c r="S711" s="18"/>
      <c r="T711" s="19"/>
      <c r="U711" s="12"/>
      <c r="V711" s="10"/>
      <c r="W711" s="10"/>
    </row>
    <row r="712" spans="1:23" hidden="1" x14ac:dyDescent="0.25">
      <c r="A712" s="8"/>
      <c r="F712" s="2"/>
      <c r="G712" s="2"/>
      <c r="H712" s="2"/>
      <c r="J712" s="2"/>
      <c r="L712" s="14"/>
      <c r="M712" s="6"/>
      <c r="N712" s="5"/>
      <c r="O712" s="5" t="str">
        <f t="shared" si="32"/>
        <v/>
      </c>
      <c r="P712" s="21" t="e">
        <f t="shared" si="33"/>
        <v>#VALUE!</v>
      </c>
      <c r="Q712" s="16"/>
      <c r="R712" s="17"/>
      <c r="S712" s="18"/>
      <c r="T712" s="19"/>
      <c r="U712" s="12"/>
      <c r="V712" s="10"/>
      <c r="W712" s="10"/>
    </row>
    <row r="713" spans="1:23" hidden="1" x14ac:dyDescent="0.25">
      <c r="A713" s="8"/>
      <c r="B713" s="11"/>
      <c r="E713" s="11"/>
      <c r="F713" s="2"/>
      <c r="G713" s="2"/>
      <c r="H713" s="2"/>
      <c r="I713" s="11"/>
      <c r="J713" s="2"/>
      <c r="L713" s="14"/>
      <c r="M713" s="6"/>
      <c r="N713" s="5"/>
      <c r="O713" s="5" t="str">
        <f t="shared" si="32"/>
        <v/>
      </c>
      <c r="P713" s="21" t="e">
        <f t="shared" si="33"/>
        <v>#VALUE!</v>
      </c>
      <c r="Q713" s="16"/>
      <c r="R713" s="17"/>
      <c r="S713" s="18"/>
      <c r="T713" s="19"/>
      <c r="U713" s="12"/>
      <c r="V713" s="10"/>
      <c r="W713" s="10"/>
    </row>
    <row r="714" spans="1:23" hidden="1" x14ac:dyDescent="0.25">
      <c r="A714" s="8"/>
      <c r="B714" s="11"/>
      <c r="E714" s="11"/>
      <c r="F714" s="2"/>
      <c r="G714" s="2"/>
      <c r="H714" s="2"/>
      <c r="I714" s="11"/>
      <c r="J714" s="2"/>
      <c r="L714" s="14"/>
      <c r="M714" s="6"/>
      <c r="N714" s="5"/>
      <c r="O714" s="5" t="str">
        <f t="shared" si="32"/>
        <v/>
      </c>
      <c r="P714" s="21" t="e">
        <f t="shared" si="33"/>
        <v>#VALUE!</v>
      </c>
      <c r="Q714" s="16"/>
      <c r="R714" s="17"/>
      <c r="S714" s="18"/>
      <c r="T714" s="19"/>
      <c r="U714" s="12"/>
      <c r="V714" s="10"/>
      <c r="W714" s="10"/>
    </row>
    <row r="715" spans="1:23" hidden="1" x14ac:dyDescent="0.25">
      <c r="A715" s="8"/>
      <c r="B715" s="11"/>
      <c r="E715" s="11"/>
      <c r="F715" s="2"/>
      <c r="G715" s="2"/>
      <c r="H715" s="2"/>
      <c r="I715" s="11"/>
      <c r="J715" s="2"/>
      <c r="L715" s="14"/>
      <c r="M715" s="6"/>
      <c r="N715" s="5"/>
      <c r="O715" s="5" t="str">
        <f t="shared" si="32"/>
        <v/>
      </c>
      <c r="P715" s="21" t="e">
        <f t="shared" si="33"/>
        <v>#VALUE!</v>
      </c>
      <c r="Q715" s="16"/>
      <c r="R715" s="17"/>
      <c r="S715" s="18"/>
      <c r="T715" s="19"/>
      <c r="U715" s="12"/>
      <c r="V715" s="10"/>
      <c r="W715" s="10"/>
    </row>
    <row r="716" spans="1:23" hidden="1" x14ac:dyDescent="0.25">
      <c r="A716" s="8"/>
      <c r="F716" s="2"/>
      <c r="G716" s="2"/>
      <c r="H716" s="2"/>
      <c r="J716" s="2"/>
      <c r="L716" s="14"/>
      <c r="M716" s="6"/>
      <c r="N716" s="5"/>
      <c r="O716" s="5" t="str">
        <f t="shared" si="32"/>
        <v/>
      </c>
      <c r="P716" s="21" t="e">
        <f t="shared" si="33"/>
        <v>#VALUE!</v>
      </c>
      <c r="Q716" s="16"/>
      <c r="R716" s="17"/>
      <c r="S716" s="18"/>
      <c r="T716" s="19"/>
      <c r="U716" s="12"/>
      <c r="V716" s="10"/>
      <c r="W716" s="10"/>
    </row>
    <row r="717" spans="1:23" hidden="1" x14ac:dyDescent="0.25">
      <c r="A717" s="8"/>
      <c r="F717" s="2"/>
      <c r="G717" s="2"/>
      <c r="H717" s="2"/>
      <c r="J717" s="2"/>
      <c r="L717" s="14"/>
      <c r="M717" s="6"/>
      <c r="N717" s="5"/>
      <c r="O717" s="5" t="str">
        <f t="shared" si="32"/>
        <v/>
      </c>
      <c r="P717" s="21" t="e">
        <f t="shared" si="33"/>
        <v>#VALUE!</v>
      </c>
      <c r="Q717" s="16"/>
      <c r="R717" s="17"/>
      <c r="S717" s="18"/>
      <c r="T717" s="19"/>
      <c r="U717" s="12"/>
      <c r="V717" s="10"/>
      <c r="W717" s="10"/>
    </row>
    <row r="718" spans="1:23" hidden="1" x14ac:dyDescent="0.25">
      <c r="A718" s="8"/>
      <c r="B718" s="11"/>
      <c r="E718" s="11"/>
      <c r="F718" s="2"/>
      <c r="G718" s="2"/>
      <c r="H718" s="2"/>
      <c r="I718" s="11"/>
      <c r="J718" s="2"/>
      <c r="L718" s="14"/>
      <c r="M718" s="6"/>
      <c r="N718" s="5"/>
      <c r="O718" s="5" t="str">
        <f t="shared" si="32"/>
        <v/>
      </c>
      <c r="P718" s="21" t="e">
        <f t="shared" si="33"/>
        <v>#VALUE!</v>
      </c>
      <c r="Q718" s="16"/>
      <c r="R718" s="17"/>
      <c r="S718" s="18"/>
      <c r="T718" s="19"/>
      <c r="U718" s="12"/>
      <c r="V718" s="10"/>
      <c r="W718" s="10"/>
    </row>
    <row r="719" spans="1:23" hidden="1" x14ac:dyDescent="0.25">
      <c r="A719" s="8"/>
      <c r="B719" s="11"/>
      <c r="E719" s="11"/>
      <c r="F719" s="2"/>
      <c r="G719" s="2"/>
      <c r="H719" s="2"/>
      <c r="I719" s="11"/>
      <c r="J719" s="2"/>
      <c r="L719" s="14"/>
      <c r="M719" s="6"/>
      <c r="N719" s="5"/>
      <c r="O719" s="5" t="str">
        <f t="shared" si="32"/>
        <v/>
      </c>
      <c r="P719" s="21" t="e">
        <f t="shared" si="33"/>
        <v>#VALUE!</v>
      </c>
      <c r="Q719" s="16"/>
      <c r="R719" s="17"/>
      <c r="S719" s="18"/>
      <c r="T719" s="19"/>
      <c r="U719" s="12"/>
      <c r="V719" s="10"/>
      <c r="W719" s="10"/>
    </row>
    <row r="720" spans="1:23" hidden="1" x14ac:dyDescent="0.25">
      <c r="A720" s="8"/>
      <c r="F720" s="2"/>
      <c r="G720" s="2"/>
      <c r="H720" s="2"/>
      <c r="J720" s="2"/>
      <c r="L720" s="14"/>
      <c r="M720" s="6"/>
      <c r="N720" s="5"/>
      <c r="O720" s="5" t="str">
        <f t="shared" si="32"/>
        <v/>
      </c>
      <c r="P720" s="21" t="e">
        <f t="shared" si="33"/>
        <v>#VALUE!</v>
      </c>
      <c r="Q720" s="16"/>
      <c r="R720" s="17"/>
      <c r="S720" s="18"/>
      <c r="T720" s="19"/>
      <c r="U720" s="12"/>
      <c r="V720" s="10"/>
      <c r="W720" s="10"/>
    </row>
    <row r="721" spans="1:23" hidden="1" x14ac:dyDescent="0.25">
      <c r="A721" s="8"/>
      <c r="B721" s="11"/>
      <c r="E721" s="11"/>
      <c r="F721" s="2"/>
      <c r="G721" s="2"/>
      <c r="H721" s="2"/>
      <c r="I721" s="11"/>
      <c r="J721" s="2"/>
      <c r="L721" s="14"/>
      <c r="M721" s="6"/>
      <c r="N721" s="5"/>
      <c r="O721" s="5" t="str">
        <f t="shared" si="32"/>
        <v/>
      </c>
      <c r="P721" s="21" t="e">
        <f t="shared" si="33"/>
        <v>#VALUE!</v>
      </c>
      <c r="Q721" s="16"/>
      <c r="R721" s="17"/>
      <c r="S721" s="18"/>
      <c r="T721" s="19"/>
      <c r="U721" s="12"/>
      <c r="V721" s="10"/>
      <c r="W721" s="10"/>
    </row>
    <row r="722" spans="1:23" hidden="1" x14ac:dyDescent="0.25">
      <c r="A722" s="8"/>
      <c r="F722" s="2"/>
      <c r="G722" s="2"/>
      <c r="H722" s="2"/>
      <c r="J722" s="2"/>
      <c r="L722" s="14"/>
      <c r="M722" s="6"/>
      <c r="N722" s="5"/>
      <c r="O722" s="5" t="str">
        <f t="shared" si="32"/>
        <v/>
      </c>
      <c r="P722" s="21" t="e">
        <f t="shared" si="33"/>
        <v>#VALUE!</v>
      </c>
      <c r="Q722" s="16"/>
      <c r="R722" s="17"/>
      <c r="S722" s="18"/>
      <c r="T722" s="19"/>
      <c r="U722" s="12"/>
      <c r="V722" s="10"/>
      <c r="W722" s="10"/>
    </row>
    <row r="723" spans="1:23" hidden="1" x14ac:dyDescent="0.25">
      <c r="A723" s="8"/>
      <c r="B723" s="11"/>
      <c r="E723" s="11"/>
      <c r="F723" s="2"/>
      <c r="G723" s="2"/>
      <c r="H723" s="2"/>
      <c r="I723" s="11"/>
      <c r="J723" s="2"/>
      <c r="L723" s="14"/>
      <c r="M723" s="6"/>
      <c r="N723" s="5"/>
      <c r="O723" s="5" t="str">
        <f t="shared" si="32"/>
        <v/>
      </c>
      <c r="P723" s="21" t="e">
        <f t="shared" si="33"/>
        <v>#VALUE!</v>
      </c>
      <c r="Q723" s="16"/>
      <c r="R723" s="17"/>
      <c r="S723" s="18"/>
      <c r="T723" s="19"/>
      <c r="U723" s="12"/>
      <c r="V723" s="10"/>
      <c r="W723" s="10"/>
    </row>
    <row r="724" spans="1:23" hidden="1" x14ac:dyDescent="0.25">
      <c r="A724" s="8"/>
      <c r="B724" s="11"/>
      <c r="E724" s="11"/>
      <c r="F724" s="2"/>
      <c r="G724" s="2"/>
      <c r="H724" s="2"/>
      <c r="I724" s="11"/>
      <c r="J724" s="2"/>
      <c r="L724" s="14"/>
      <c r="M724" s="6"/>
      <c r="N724" s="5"/>
      <c r="O724" s="5" t="str">
        <f t="shared" si="32"/>
        <v/>
      </c>
      <c r="P724" s="21" t="e">
        <f t="shared" si="33"/>
        <v>#VALUE!</v>
      </c>
      <c r="Q724" s="16"/>
      <c r="R724" s="17"/>
      <c r="S724" s="18"/>
      <c r="T724" s="19"/>
      <c r="U724" s="12"/>
      <c r="V724" s="10"/>
      <c r="W724" s="10"/>
    </row>
    <row r="725" spans="1:23" hidden="1" x14ac:dyDescent="0.25">
      <c r="A725" s="8"/>
      <c r="B725" s="11"/>
      <c r="E725" s="11"/>
      <c r="F725" s="2"/>
      <c r="G725" s="2"/>
      <c r="H725" s="2"/>
      <c r="I725" s="11"/>
      <c r="J725" s="2"/>
      <c r="L725" s="14"/>
      <c r="M725" s="6"/>
      <c r="N725" s="5"/>
      <c r="O725" s="5" t="str">
        <f t="shared" si="32"/>
        <v/>
      </c>
      <c r="P725" s="21" t="e">
        <f t="shared" si="33"/>
        <v>#VALUE!</v>
      </c>
      <c r="Q725" s="16"/>
      <c r="R725" s="17"/>
      <c r="S725" s="18"/>
      <c r="T725" s="19"/>
      <c r="U725" s="12"/>
      <c r="V725" s="10"/>
      <c r="W725" s="10"/>
    </row>
    <row r="726" spans="1:23" hidden="1" x14ac:dyDescent="0.25">
      <c r="A726" s="8"/>
      <c r="F726" s="2"/>
      <c r="G726" s="2"/>
      <c r="H726" s="2"/>
      <c r="J726" s="2"/>
      <c r="L726" s="14"/>
      <c r="M726" s="6"/>
      <c r="N726" s="5"/>
      <c r="O726" s="5" t="str">
        <f t="shared" si="32"/>
        <v/>
      </c>
      <c r="P726" s="21" t="e">
        <f t="shared" si="33"/>
        <v>#VALUE!</v>
      </c>
      <c r="Q726" s="16"/>
      <c r="R726" s="17"/>
      <c r="S726" s="18"/>
      <c r="T726" s="19"/>
      <c r="U726" s="12"/>
      <c r="V726" s="10"/>
      <c r="W726" s="10"/>
    </row>
    <row r="727" spans="1:23" hidden="1" x14ac:dyDescent="0.25">
      <c r="A727" s="8"/>
      <c r="F727" s="2"/>
      <c r="G727" s="2"/>
      <c r="H727" s="2"/>
      <c r="J727" s="2"/>
      <c r="L727" s="14"/>
      <c r="M727" s="6"/>
      <c r="N727" s="5"/>
      <c r="O727" s="5" t="str">
        <f t="shared" ref="O727:O747" si="34">RIGHT(C727,2)</f>
        <v/>
      </c>
      <c r="P727" s="21" t="e">
        <f t="shared" ref="P727:P790" si="35">42522+O727+29</f>
        <v>#VALUE!</v>
      </c>
      <c r="Q727" s="16"/>
      <c r="R727" s="17"/>
      <c r="S727" s="18"/>
      <c r="T727" s="19"/>
      <c r="U727" s="12"/>
      <c r="V727" s="10"/>
      <c r="W727" s="10"/>
    </row>
    <row r="728" spans="1:23" hidden="1" x14ac:dyDescent="0.25">
      <c r="A728" s="8"/>
      <c r="B728" s="11"/>
      <c r="E728" s="11"/>
      <c r="F728" s="2"/>
      <c r="G728" s="2"/>
      <c r="H728" s="2"/>
      <c r="I728" s="11"/>
      <c r="J728" s="2"/>
      <c r="L728" s="14"/>
      <c r="M728" s="6"/>
      <c r="N728" s="5"/>
      <c r="O728" s="5" t="str">
        <f t="shared" si="34"/>
        <v/>
      </c>
      <c r="P728" s="21" t="e">
        <f t="shared" si="35"/>
        <v>#VALUE!</v>
      </c>
      <c r="Q728" s="16"/>
      <c r="R728" s="17"/>
      <c r="S728" s="18"/>
      <c r="T728" s="19"/>
      <c r="U728" s="12"/>
      <c r="V728" s="10"/>
      <c r="W728" s="10"/>
    </row>
    <row r="729" spans="1:23" hidden="1" x14ac:dyDescent="0.25">
      <c r="A729" s="8"/>
      <c r="B729" s="11"/>
      <c r="E729" s="11"/>
      <c r="F729" s="2"/>
      <c r="G729" s="2"/>
      <c r="H729" s="2"/>
      <c r="I729" s="11"/>
      <c r="J729" s="2"/>
      <c r="L729" s="14"/>
      <c r="M729" s="6"/>
      <c r="N729" s="5"/>
      <c r="O729" s="5" t="str">
        <f t="shared" si="34"/>
        <v/>
      </c>
      <c r="P729" s="21" t="e">
        <f t="shared" si="35"/>
        <v>#VALUE!</v>
      </c>
      <c r="Q729" s="16"/>
      <c r="R729" s="17"/>
      <c r="S729" s="18"/>
      <c r="T729" s="19"/>
      <c r="U729" s="12"/>
      <c r="V729" s="10"/>
      <c r="W729" s="10"/>
    </row>
    <row r="730" spans="1:23" hidden="1" x14ac:dyDescent="0.25">
      <c r="A730" s="8"/>
      <c r="B730" s="11"/>
      <c r="E730" s="11"/>
      <c r="F730" s="2"/>
      <c r="G730" s="2"/>
      <c r="H730" s="2"/>
      <c r="I730" s="11"/>
      <c r="J730" s="2"/>
      <c r="L730" s="14"/>
      <c r="M730" s="6"/>
      <c r="N730" s="5"/>
      <c r="O730" s="5" t="str">
        <f t="shared" si="34"/>
        <v/>
      </c>
      <c r="P730" s="21" t="e">
        <f t="shared" si="35"/>
        <v>#VALUE!</v>
      </c>
      <c r="Q730" s="16"/>
      <c r="R730" s="17"/>
      <c r="S730" s="18"/>
      <c r="T730" s="19"/>
      <c r="U730" s="12"/>
      <c r="V730" s="10"/>
      <c r="W730" s="10"/>
    </row>
    <row r="731" spans="1:23" hidden="1" x14ac:dyDescent="0.25">
      <c r="A731" s="8"/>
      <c r="B731" s="11"/>
      <c r="E731" s="11"/>
      <c r="F731" s="2"/>
      <c r="G731" s="2"/>
      <c r="H731" s="2"/>
      <c r="I731" s="11"/>
      <c r="J731" s="2"/>
      <c r="L731" s="14"/>
      <c r="M731" s="6"/>
      <c r="N731" s="5"/>
      <c r="O731" s="5" t="str">
        <f t="shared" si="34"/>
        <v/>
      </c>
      <c r="P731" s="21" t="e">
        <f t="shared" si="35"/>
        <v>#VALUE!</v>
      </c>
      <c r="Q731" s="16"/>
      <c r="R731" s="17"/>
      <c r="S731" s="18"/>
      <c r="T731" s="19"/>
      <c r="U731" s="12"/>
      <c r="V731" s="10"/>
      <c r="W731" s="10"/>
    </row>
    <row r="732" spans="1:23" hidden="1" x14ac:dyDescent="0.25">
      <c r="A732" s="8"/>
      <c r="F732" s="2"/>
      <c r="G732" s="2"/>
      <c r="H732" s="2"/>
      <c r="J732" s="2"/>
      <c r="L732" s="14"/>
      <c r="M732" s="6"/>
      <c r="N732" s="5"/>
      <c r="O732" s="5" t="str">
        <f t="shared" si="34"/>
        <v/>
      </c>
      <c r="P732" s="21" t="e">
        <f t="shared" si="35"/>
        <v>#VALUE!</v>
      </c>
      <c r="Q732" s="16"/>
      <c r="R732" s="17"/>
      <c r="S732" s="18"/>
      <c r="T732" s="19"/>
      <c r="U732" s="12"/>
      <c r="V732" s="10"/>
      <c r="W732" s="10"/>
    </row>
    <row r="733" spans="1:23" hidden="1" x14ac:dyDescent="0.25">
      <c r="A733" s="8"/>
      <c r="B733" s="11"/>
      <c r="E733" s="11"/>
      <c r="F733" s="2"/>
      <c r="G733" s="2"/>
      <c r="H733" s="2"/>
      <c r="I733" s="11"/>
      <c r="J733" s="2"/>
      <c r="L733" s="14"/>
      <c r="M733" s="6"/>
      <c r="N733" s="5"/>
      <c r="O733" s="5" t="str">
        <f t="shared" si="34"/>
        <v/>
      </c>
      <c r="P733" s="21" t="e">
        <f t="shared" si="35"/>
        <v>#VALUE!</v>
      </c>
      <c r="Q733" s="16"/>
      <c r="R733" s="17"/>
      <c r="S733" s="18"/>
      <c r="T733" s="19"/>
      <c r="U733" s="12"/>
      <c r="V733" s="10"/>
      <c r="W733" s="10"/>
    </row>
    <row r="734" spans="1:23" hidden="1" x14ac:dyDescent="0.25">
      <c r="A734" s="8"/>
      <c r="F734" s="2"/>
      <c r="G734" s="2"/>
      <c r="H734" s="2"/>
      <c r="J734" s="2"/>
      <c r="L734" s="14"/>
      <c r="M734" s="6"/>
      <c r="N734" s="5"/>
      <c r="O734" s="5" t="str">
        <f t="shared" si="34"/>
        <v/>
      </c>
      <c r="P734" s="21" t="e">
        <f t="shared" si="35"/>
        <v>#VALUE!</v>
      </c>
      <c r="Q734" s="16"/>
      <c r="R734" s="17"/>
      <c r="S734" s="18"/>
      <c r="T734" s="19"/>
      <c r="U734" s="12"/>
      <c r="V734" s="10"/>
      <c r="W734" s="10"/>
    </row>
    <row r="735" spans="1:23" hidden="1" x14ac:dyDescent="0.25">
      <c r="A735" s="8"/>
      <c r="B735" s="11"/>
      <c r="E735" s="11"/>
      <c r="F735" s="2"/>
      <c r="G735" s="2"/>
      <c r="H735" s="2"/>
      <c r="I735" s="11"/>
      <c r="J735" s="2"/>
      <c r="L735" s="14"/>
      <c r="M735" s="6"/>
      <c r="N735" s="5"/>
      <c r="O735" s="5" t="str">
        <f t="shared" si="34"/>
        <v/>
      </c>
      <c r="P735" s="21" t="e">
        <f t="shared" si="35"/>
        <v>#VALUE!</v>
      </c>
      <c r="Q735" s="16"/>
      <c r="R735" s="17"/>
      <c r="S735" s="18"/>
      <c r="T735" s="19"/>
      <c r="U735" s="12"/>
      <c r="V735" s="10"/>
      <c r="W735" s="10"/>
    </row>
    <row r="736" spans="1:23" hidden="1" x14ac:dyDescent="0.25">
      <c r="A736" s="8"/>
      <c r="B736" s="11"/>
      <c r="E736" s="11"/>
      <c r="F736" s="2"/>
      <c r="G736" s="2"/>
      <c r="H736" s="2"/>
      <c r="I736" s="11"/>
      <c r="J736" s="2"/>
      <c r="L736" s="14"/>
      <c r="M736" s="6"/>
      <c r="N736" s="5"/>
      <c r="O736" s="5" t="str">
        <f t="shared" si="34"/>
        <v/>
      </c>
      <c r="P736" s="21" t="e">
        <f t="shared" si="35"/>
        <v>#VALUE!</v>
      </c>
      <c r="Q736" s="16"/>
      <c r="R736" s="17"/>
      <c r="S736" s="18"/>
      <c r="T736" s="19"/>
      <c r="U736" s="12"/>
      <c r="V736" s="10"/>
      <c r="W736" s="10"/>
    </row>
    <row r="737" spans="1:23" hidden="1" x14ac:dyDescent="0.25">
      <c r="A737" s="8"/>
      <c r="B737" s="11"/>
      <c r="E737" s="11"/>
      <c r="F737" s="2"/>
      <c r="G737" s="2"/>
      <c r="H737" s="2"/>
      <c r="I737" s="11"/>
      <c r="J737" s="2"/>
      <c r="L737" s="14"/>
      <c r="M737" s="6"/>
      <c r="N737" s="5"/>
      <c r="O737" s="5" t="str">
        <f t="shared" si="34"/>
        <v/>
      </c>
      <c r="P737" s="21" t="e">
        <f t="shared" si="35"/>
        <v>#VALUE!</v>
      </c>
      <c r="Q737" s="16"/>
      <c r="R737" s="17"/>
      <c r="S737" s="18"/>
      <c r="T737" s="19"/>
      <c r="U737" s="12"/>
      <c r="V737" s="10"/>
      <c r="W737" s="10"/>
    </row>
    <row r="738" spans="1:23" hidden="1" x14ac:dyDescent="0.25">
      <c r="A738" s="8"/>
      <c r="B738" s="11"/>
      <c r="E738" s="11"/>
      <c r="F738" s="2"/>
      <c r="G738" s="2"/>
      <c r="H738" s="2"/>
      <c r="I738" s="11"/>
      <c r="J738" s="2"/>
      <c r="L738" s="14"/>
      <c r="M738" s="6"/>
      <c r="N738" s="5"/>
      <c r="O738" s="5" t="str">
        <f t="shared" si="34"/>
        <v/>
      </c>
      <c r="P738" s="21" t="e">
        <f t="shared" si="35"/>
        <v>#VALUE!</v>
      </c>
      <c r="Q738" s="16"/>
      <c r="R738" s="17"/>
      <c r="S738" s="18"/>
      <c r="T738" s="19"/>
      <c r="U738" s="12"/>
      <c r="V738" s="10"/>
      <c r="W738" s="10"/>
    </row>
    <row r="739" spans="1:23" hidden="1" x14ac:dyDescent="0.25">
      <c r="A739" s="8"/>
      <c r="F739" s="2"/>
      <c r="G739" s="2"/>
      <c r="H739" s="2"/>
      <c r="J739" s="2"/>
      <c r="L739" s="14"/>
      <c r="M739" s="6"/>
      <c r="N739" s="5"/>
      <c r="O739" s="5" t="str">
        <f t="shared" si="34"/>
        <v/>
      </c>
      <c r="P739" s="21" t="e">
        <f t="shared" si="35"/>
        <v>#VALUE!</v>
      </c>
      <c r="Q739" s="16"/>
      <c r="R739" s="17"/>
      <c r="S739" s="18"/>
      <c r="T739" s="19"/>
      <c r="U739" s="12"/>
      <c r="V739" s="10"/>
      <c r="W739" s="10"/>
    </row>
    <row r="740" spans="1:23" hidden="1" x14ac:dyDescent="0.25">
      <c r="A740" s="8"/>
      <c r="B740" s="11"/>
      <c r="E740" s="11"/>
      <c r="F740" s="2"/>
      <c r="G740" s="2"/>
      <c r="H740" s="2"/>
      <c r="I740" s="11"/>
      <c r="J740" s="2"/>
      <c r="L740" s="14"/>
      <c r="M740" s="6"/>
      <c r="N740" s="5"/>
      <c r="O740" s="5" t="str">
        <f t="shared" si="34"/>
        <v/>
      </c>
      <c r="P740" s="21" t="e">
        <f t="shared" si="35"/>
        <v>#VALUE!</v>
      </c>
      <c r="Q740" s="16"/>
      <c r="R740" s="17"/>
      <c r="S740" s="18"/>
      <c r="T740" s="19"/>
      <c r="U740" s="12"/>
      <c r="V740" s="10"/>
      <c r="W740" s="10"/>
    </row>
    <row r="741" spans="1:23" hidden="1" x14ac:dyDescent="0.25">
      <c r="A741" s="8"/>
      <c r="F741" s="2"/>
      <c r="G741" s="2"/>
      <c r="H741" s="2"/>
      <c r="J741" s="2"/>
      <c r="L741" s="14"/>
      <c r="M741" s="6"/>
      <c r="N741" s="5"/>
      <c r="O741" s="5" t="str">
        <f t="shared" si="34"/>
        <v/>
      </c>
      <c r="P741" s="21" t="e">
        <f t="shared" si="35"/>
        <v>#VALUE!</v>
      </c>
      <c r="Q741" s="16"/>
      <c r="R741" s="17"/>
      <c r="S741" s="18"/>
      <c r="T741" s="19"/>
      <c r="U741" s="12"/>
      <c r="V741" s="10"/>
      <c r="W741" s="10"/>
    </row>
    <row r="742" spans="1:23" hidden="1" x14ac:dyDescent="0.25">
      <c r="A742" s="8"/>
      <c r="B742" s="11"/>
      <c r="E742" s="11"/>
      <c r="F742" s="2"/>
      <c r="G742" s="2"/>
      <c r="H742" s="2"/>
      <c r="I742" s="11"/>
      <c r="J742" s="2"/>
      <c r="L742" s="14"/>
      <c r="M742" s="6"/>
      <c r="N742" s="5"/>
      <c r="O742" s="5" t="str">
        <f t="shared" si="34"/>
        <v/>
      </c>
      <c r="P742" s="21" t="e">
        <f t="shared" si="35"/>
        <v>#VALUE!</v>
      </c>
      <c r="Q742" s="16"/>
      <c r="R742" s="17"/>
      <c r="S742" s="18"/>
      <c r="T742" s="19"/>
      <c r="U742" s="12"/>
      <c r="V742" s="10"/>
      <c r="W742" s="10"/>
    </row>
    <row r="743" spans="1:23" hidden="1" x14ac:dyDescent="0.25">
      <c r="A743" s="8"/>
      <c r="F743" s="2"/>
      <c r="G743" s="2"/>
      <c r="H743" s="2"/>
      <c r="J743" s="2"/>
      <c r="L743" s="14"/>
      <c r="M743" s="6"/>
      <c r="N743" s="5"/>
      <c r="O743" s="5" t="str">
        <f t="shared" si="34"/>
        <v/>
      </c>
      <c r="P743" s="21" t="e">
        <f t="shared" si="35"/>
        <v>#VALUE!</v>
      </c>
      <c r="Q743" s="16"/>
      <c r="R743" s="17"/>
      <c r="S743" s="18"/>
      <c r="T743" s="19"/>
      <c r="U743" s="12"/>
      <c r="V743" s="10"/>
      <c r="W743" s="10"/>
    </row>
    <row r="744" spans="1:23" hidden="1" x14ac:dyDescent="0.25">
      <c r="A744" s="8"/>
      <c r="B744" s="11"/>
      <c r="E744" s="11"/>
      <c r="F744" s="2"/>
      <c r="G744" s="2"/>
      <c r="H744" s="2"/>
      <c r="I744" s="11"/>
      <c r="J744" s="2"/>
      <c r="L744" s="14"/>
      <c r="M744" s="6"/>
      <c r="N744" s="5"/>
      <c r="O744" s="5" t="str">
        <f t="shared" si="34"/>
        <v/>
      </c>
      <c r="P744" s="21" t="e">
        <f t="shared" si="35"/>
        <v>#VALUE!</v>
      </c>
      <c r="Q744" s="16"/>
      <c r="R744" s="17"/>
      <c r="S744" s="18"/>
      <c r="T744" s="19"/>
      <c r="U744" s="12"/>
      <c r="V744" s="10"/>
      <c r="W744" s="10"/>
    </row>
    <row r="745" spans="1:23" hidden="1" x14ac:dyDescent="0.25">
      <c r="A745" s="8"/>
      <c r="B745" s="11"/>
      <c r="E745" s="11"/>
      <c r="F745" s="2"/>
      <c r="G745" s="2"/>
      <c r="H745" s="2"/>
      <c r="I745" s="11"/>
      <c r="J745" s="2"/>
      <c r="L745" s="14"/>
      <c r="M745" s="6"/>
      <c r="N745" s="5"/>
      <c r="O745" s="5" t="str">
        <f t="shared" si="34"/>
        <v/>
      </c>
      <c r="P745" s="21" t="e">
        <f t="shared" si="35"/>
        <v>#VALUE!</v>
      </c>
      <c r="Q745" s="16"/>
      <c r="R745" s="17"/>
      <c r="S745" s="18"/>
      <c r="T745" s="19"/>
      <c r="U745" s="12"/>
      <c r="V745" s="10"/>
      <c r="W745" s="10"/>
    </row>
    <row r="746" spans="1:23" hidden="1" x14ac:dyDescent="0.25">
      <c r="A746" s="8"/>
      <c r="B746" s="11"/>
      <c r="E746" s="11"/>
      <c r="F746" s="2"/>
      <c r="G746" s="2"/>
      <c r="H746" s="2"/>
      <c r="I746" s="11"/>
      <c r="J746" s="2"/>
      <c r="L746" s="14"/>
      <c r="M746" s="6"/>
      <c r="N746" s="5"/>
      <c r="O746" s="5" t="str">
        <f t="shared" si="34"/>
        <v/>
      </c>
      <c r="P746" s="21" t="e">
        <f t="shared" si="35"/>
        <v>#VALUE!</v>
      </c>
      <c r="Q746" s="16"/>
      <c r="R746" s="17"/>
      <c r="S746" s="18"/>
      <c r="T746" s="19"/>
      <c r="U746" s="12"/>
      <c r="V746" s="10"/>
      <c r="W746" s="10"/>
    </row>
    <row r="747" spans="1:23" hidden="1" x14ac:dyDescent="0.25">
      <c r="A747" s="8"/>
      <c r="B747" s="11"/>
      <c r="E747" s="11"/>
      <c r="F747" s="2"/>
      <c r="G747" s="2"/>
      <c r="H747" s="2"/>
      <c r="I747" s="11"/>
      <c r="J747" s="2"/>
      <c r="L747" s="14"/>
      <c r="M747" s="6"/>
      <c r="N747" s="5"/>
      <c r="O747" s="5" t="str">
        <f t="shared" si="34"/>
        <v/>
      </c>
      <c r="P747" s="21" t="e">
        <f t="shared" si="35"/>
        <v>#VALUE!</v>
      </c>
      <c r="Q747" s="16"/>
      <c r="R747" s="17"/>
      <c r="S747" s="18"/>
      <c r="T747" s="19"/>
      <c r="U747" s="12"/>
      <c r="V747" s="10"/>
      <c r="W747" s="10"/>
    </row>
  </sheetData>
  <autoFilter ref="A1:V747">
    <filterColumn colId="9">
      <filters>
        <filter val="103800"/>
      </filters>
    </filterColumn>
  </autoFilter>
  <sortState ref="A2:P1655">
    <sortCondition ref="P2:P1655"/>
    <sortCondition ref="E2:E1655"/>
    <sortCondition ref="J2:J1655"/>
    <sortCondition ref="F2:F1655"/>
  </sortState>
  <conditionalFormatting sqref="M1:Q1 M502:M533 M2:M53 M80:M86 M61:M68">
    <cfRule type="cellIs" dxfId="33" priority="178" operator="equal">
      <formula>"Y"</formula>
    </cfRule>
  </conditionalFormatting>
  <conditionalFormatting sqref="A502:N533 O87:O747 A69:N86">
    <cfRule type="expression" dxfId="32" priority="249">
      <formula>$M69="Y"</formula>
    </cfRule>
  </conditionalFormatting>
  <conditionalFormatting sqref="M90:M130">
    <cfRule type="cellIs" dxfId="31" priority="68" operator="equal">
      <formula>"Y"</formula>
    </cfRule>
  </conditionalFormatting>
  <conditionalFormatting sqref="M87:M89">
    <cfRule type="cellIs" dxfId="30" priority="70" operator="equal">
      <formula>"Y"</formula>
    </cfRule>
  </conditionalFormatting>
  <conditionalFormatting sqref="A87:N89">
    <cfRule type="expression" dxfId="29" priority="69">
      <formula>$M87="Y"</formula>
    </cfRule>
  </conditionalFormatting>
  <conditionalFormatting sqref="A90:N130">
    <cfRule type="expression" dxfId="28" priority="67">
      <formula>$M90="Y"</formula>
    </cfRule>
  </conditionalFormatting>
  <conditionalFormatting sqref="M131:M157">
    <cfRule type="cellIs" dxfId="27" priority="66" operator="equal">
      <formula>"Y"</formula>
    </cfRule>
  </conditionalFormatting>
  <conditionalFormatting sqref="A131:N157">
    <cfRule type="expression" dxfId="26" priority="65">
      <formula>$M131="Y"</formula>
    </cfRule>
  </conditionalFormatting>
  <conditionalFormatting sqref="M158:M181">
    <cfRule type="cellIs" dxfId="25" priority="64" operator="equal">
      <formula>"Y"</formula>
    </cfRule>
  </conditionalFormatting>
  <conditionalFormatting sqref="A158:N181">
    <cfRule type="expression" dxfId="24" priority="63">
      <formula>$M158="Y"</formula>
    </cfRule>
  </conditionalFormatting>
  <conditionalFormatting sqref="M182:M233">
    <cfRule type="cellIs" dxfId="23" priority="62" operator="equal">
      <formula>"Y"</formula>
    </cfRule>
  </conditionalFormatting>
  <conditionalFormatting sqref="A182:N233">
    <cfRule type="expression" dxfId="22" priority="61">
      <formula>$M182="Y"</formula>
    </cfRule>
  </conditionalFormatting>
  <conditionalFormatting sqref="M234:M261">
    <cfRule type="cellIs" dxfId="21" priority="60" operator="equal">
      <formula>"Y"</formula>
    </cfRule>
  </conditionalFormatting>
  <conditionalFormatting sqref="A234:N261">
    <cfRule type="expression" dxfId="20" priority="59">
      <formula>$M234="Y"</formula>
    </cfRule>
  </conditionalFormatting>
  <conditionalFormatting sqref="M262:M312">
    <cfRule type="cellIs" dxfId="19" priority="58" operator="equal">
      <formula>"Y"</formula>
    </cfRule>
  </conditionalFormatting>
  <conditionalFormatting sqref="L304:L312 A291:L303 M291:N312 A262:N290">
    <cfRule type="expression" dxfId="18" priority="57">
      <formula>$M262="Y"</formula>
    </cfRule>
  </conditionalFormatting>
  <conditionalFormatting sqref="M313:M372">
    <cfRule type="cellIs" dxfId="17" priority="56" operator="equal">
      <formula>"Y"</formula>
    </cfRule>
  </conditionalFormatting>
  <conditionalFormatting sqref="A313:N372">
    <cfRule type="expression" dxfId="16" priority="55">
      <formula>$M313="Y"</formula>
    </cfRule>
  </conditionalFormatting>
  <conditionalFormatting sqref="M373:M441">
    <cfRule type="cellIs" dxfId="15" priority="54" operator="equal">
      <formula>"Y"</formula>
    </cfRule>
  </conditionalFormatting>
  <conditionalFormatting sqref="L433:N441 A373:N432">
    <cfRule type="expression" dxfId="14" priority="53">
      <formula>$M373="Y"</formula>
    </cfRule>
  </conditionalFormatting>
  <conditionalFormatting sqref="M442:M501">
    <cfRule type="cellIs" dxfId="13" priority="52" operator="equal">
      <formula>"Y"</formula>
    </cfRule>
  </conditionalFormatting>
  <conditionalFormatting sqref="A442:N501">
    <cfRule type="expression" dxfId="12" priority="51">
      <formula>$M442="Y"</formula>
    </cfRule>
  </conditionalFormatting>
  <conditionalFormatting sqref="M534:M573">
    <cfRule type="cellIs" dxfId="11" priority="48" operator="equal">
      <formula>"Y"</formula>
    </cfRule>
  </conditionalFormatting>
  <conditionalFormatting sqref="A534:N573">
    <cfRule type="expression" dxfId="10" priority="47">
      <formula>$M534="Y"</formula>
    </cfRule>
  </conditionalFormatting>
  <conditionalFormatting sqref="M574:M629">
    <cfRule type="cellIs" dxfId="9" priority="46" operator="equal">
      <formula>"Y"</formula>
    </cfRule>
  </conditionalFormatting>
  <conditionalFormatting sqref="L614:N629 A574:N613">
    <cfRule type="expression" dxfId="8" priority="45">
      <formula>$M574="Y"</formula>
    </cfRule>
  </conditionalFormatting>
  <conditionalFormatting sqref="M630:M690">
    <cfRule type="cellIs" dxfId="7" priority="44" operator="equal">
      <formula>"Y"</formula>
    </cfRule>
  </conditionalFormatting>
  <conditionalFormatting sqref="A630:N690">
    <cfRule type="expression" dxfId="6" priority="43">
      <formula>$M630="Y"</formula>
    </cfRule>
  </conditionalFormatting>
  <conditionalFormatting sqref="M691:M747">
    <cfRule type="cellIs" dxfId="5" priority="42" operator="equal">
      <formula>"Y"</formula>
    </cfRule>
  </conditionalFormatting>
  <conditionalFormatting sqref="A691:N691 L731:L740 A692:L730 L741:N747 M692:N740">
    <cfRule type="expression" dxfId="4" priority="41">
      <formula>$M691="Y"</formula>
    </cfRule>
  </conditionalFormatting>
  <conditionalFormatting sqref="L62:L68 A2:L61 M2:N53 M61:N68">
    <cfRule type="expression" dxfId="3" priority="39">
      <formula>$M2="Y"</formula>
    </cfRule>
  </conditionalFormatting>
  <conditionalFormatting sqref="M69:M79">
    <cfRule type="cellIs" dxfId="2" priority="38" operator="equal">
      <formula>"Y"</formula>
    </cfRule>
  </conditionalFormatting>
  <conditionalFormatting sqref="M54:N60">
    <cfRule type="expression" dxfId="1" priority="1">
      <formula>$M54="Y"</formula>
    </cfRule>
  </conditionalFormatting>
  <conditionalFormatting sqref="M54:M60">
    <cfRule type="cellIs" dxfId="0" priority="2" operator="equal">
      <formula>"Y"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E20" sqref="E20"/>
    </sheetView>
  </sheetViews>
  <sheetFormatPr defaultRowHeight="15" x14ac:dyDescent="0.25"/>
  <cols>
    <col min="1" max="1" width="14.5703125" bestFit="1" customWidth="1"/>
    <col min="2" max="2" width="26.5703125" bestFit="1" customWidth="1"/>
    <col min="3" max="3" width="23.140625" bestFit="1" customWidth="1"/>
    <col min="4" max="4" width="10.5703125" customWidth="1"/>
  </cols>
  <sheetData>
    <row r="1" spans="1:5" x14ac:dyDescent="0.25">
      <c r="A1" t="s">
        <v>172</v>
      </c>
      <c r="B1" t="s">
        <v>196</v>
      </c>
      <c r="C1" t="s">
        <v>174</v>
      </c>
      <c r="D1" t="s">
        <v>173</v>
      </c>
      <c r="E1" t="s">
        <v>175</v>
      </c>
    </row>
    <row r="2" spans="1:5" x14ac:dyDescent="0.25">
      <c r="A2">
        <v>33137</v>
      </c>
      <c r="B2" t="str">
        <f>UPPER(VLOOKUP(A2/10000,Crossings!$A$2:$B$39,2,FALSE))</f>
        <v>STEELE ST</v>
      </c>
      <c r="C2" t="str">
        <f>VLOOKUP(A2,Enforcements!$J$2:$K$86,2,FALSE)</f>
        <v>Increasing Mileposts (1)</v>
      </c>
      <c r="D2">
        <f>COUNTIF(Enforcements!$J$2:$J$86,Stats!A2)</f>
        <v>21</v>
      </c>
      <c r="E2" s="1">
        <f>D2/SUM($D$2:$D$16)</f>
        <v>0.24705882352941178</v>
      </c>
    </row>
    <row r="3" spans="1:5" x14ac:dyDescent="0.25">
      <c r="A3">
        <v>33257</v>
      </c>
      <c r="B3" t="str">
        <f>UPPER(VLOOKUP(A3/10000,Crossings!$A$2:$B$39,2,FALSE))</f>
        <v>STEELE ST</v>
      </c>
      <c r="C3" t="str">
        <f>VLOOKUP(A3,Enforcements!$J$2:$K$86,2,FALSE)</f>
        <v>Decreasing Mileposts (2)</v>
      </c>
      <c r="D3">
        <f>COUNTIF(Enforcements!$J$2:$J$86,Stats!A3)</f>
        <v>14</v>
      </c>
      <c r="E3" s="1">
        <f t="shared" ref="E3:E16" si="0">D3/SUM($D$2:$D$16)</f>
        <v>0.16470588235294117</v>
      </c>
    </row>
    <row r="4" spans="1:5" x14ac:dyDescent="0.25">
      <c r="A4">
        <v>103800</v>
      </c>
      <c r="B4" t="str">
        <f>UPPER(VLOOKUP(A4/10000,Crossings!$A$2:$B$39,2,FALSE))</f>
        <v>SABLE BOULEVARD</v>
      </c>
      <c r="C4" t="str">
        <f>VLOOKUP(A4,Enforcements!$J$2:$K$86,2,FALSE)</f>
        <v>Decreasing Mileposts (2)</v>
      </c>
      <c r="D4">
        <f>COUNTIF(Enforcements!$J$2:$J$86,Stats!A4)</f>
        <v>12</v>
      </c>
      <c r="E4" s="1">
        <f t="shared" si="0"/>
        <v>0.14117647058823529</v>
      </c>
    </row>
    <row r="5" spans="1:5" x14ac:dyDescent="0.25">
      <c r="A5">
        <v>78469</v>
      </c>
      <c r="B5" t="str">
        <f>UPPER(VLOOKUP(A5/10000,Crossings!$A$2:$B$39,2,FALSE))</f>
        <v>HAVANA STREET</v>
      </c>
      <c r="C5" t="str">
        <f>VLOOKUP(A5,Enforcements!$J$2:$K$86,2,FALSE)</f>
        <v>Decreasing Mileposts (2)</v>
      </c>
      <c r="D5">
        <f>COUNTIF(Enforcements!$J$2:$J$86,Stats!A5)</f>
        <v>8</v>
      </c>
      <c r="E5" s="1">
        <f t="shared" si="0"/>
        <v>9.4117647058823528E-2</v>
      </c>
    </row>
    <row r="6" spans="1:5" x14ac:dyDescent="0.25">
      <c r="A6">
        <v>42779</v>
      </c>
      <c r="B6" t="str">
        <f>UPPER(VLOOKUP(A6/10000,Crossings!$A$2:$B$39,2,FALSE))</f>
        <v>DAHLIA STREET</v>
      </c>
      <c r="C6" t="str">
        <f>VLOOKUP(A6,Enforcements!$J$2:$K$86,2,FALSE)</f>
        <v>Increasing Mileposts (1)</v>
      </c>
      <c r="D6">
        <f>COUNTIF(Enforcements!$J$2:$J$86,Stats!A6)</f>
        <v>5</v>
      </c>
      <c r="E6" s="1">
        <f t="shared" si="0"/>
        <v>5.8823529411764705E-2</v>
      </c>
    </row>
    <row r="7" spans="1:5" x14ac:dyDescent="0.25">
      <c r="A7">
        <v>42961</v>
      </c>
      <c r="B7" t="str">
        <f>UPPER(VLOOKUP(A7/10000,Crossings!$A$2:$B$39,2,FALSE))</f>
        <v>DAHLIA STREET</v>
      </c>
      <c r="C7" t="str">
        <f>VLOOKUP(A7,Enforcements!$J$2:$K$86,2,FALSE)</f>
        <v>Decreasing Mileposts (2)</v>
      </c>
      <c r="D7">
        <f>COUNTIF(Enforcements!$J$2:$J$86,Stats!A7)</f>
        <v>5</v>
      </c>
      <c r="E7" s="1">
        <f t="shared" si="0"/>
        <v>5.8823529411764705E-2</v>
      </c>
    </row>
    <row r="8" spans="1:5" x14ac:dyDescent="0.25">
      <c r="A8">
        <v>63309</v>
      </c>
      <c r="B8" t="str">
        <f>UPPER(VLOOKUP(A8/10000,Crossings!$A$2:$B$39,2,FALSE))</f>
        <v>ULSTER STREET</v>
      </c>
      <c r="C8" t="str">
        <f>VLOOKUP(A8,Enforcements!$J$2:$K$86,2,FALSE)</f>
        <v>Decreasing Mileposts (2)</v>
      </c>
      <c r="D8">
        <f>COUNTIF(Enforcements!$J$2:$J$86,Stats!A8)</f>
        <v>5</v>
      </c>
      <c r="E8" s="1">
        <f t="shared" si="0"/>
        <v>5.8823529411764705E-2</v>
      </c>
    </row>
    <row r="9" spans="1:5" x14ac:dyDescent="0.25">
      <c r="A9">
        <v>63069</v>
      </c>
      <c r="B9" t="str">
        <f>UPPER(VLOOKUP(A9/10000,Crossings!$A$2:$B$39,2,FALSE))</f>
        <v>ULSTER STREET</v>
      </c>
      <c r="C9" t="str">
        <f>VLOOKUP(A9,Enforcements!$J$2:$K$86,2,FALSE)</f>
        <v>Increasing Mileposts (1)</v>
      </c>
      <c r="D9">
        <f>COUNTIF(Enforcements!$J$2:$J$86,Stats!A9)</f>
        <v>4</v>
      </c>
      <c r="E9" s="1">
        <f t="shared" si="0"/>
        <v>4.7058823529411764E-2</v>
      </c>
    </row>
    <row r="10" spans="1:5" x14ac:dyDescent="0.25">
      <c r="A10">
        <v>109135</v>
      </c>
      <c r="B10" t="str">
        <f>UPPER(VLOOKUP(A10/10000,Crossings!$A$2:$B$39,2,FALSE))</f>
        <v>CHAMBERS ROAD</v>
      </c>
      <c r="C10" t="str">
        <f>VLOOKUP(A10,Enforcements!$J$2:$K$86,2,FALSE)</f>
        <v>Decreasing Mileposts (2)</v>
      </c>
      <c r="D10">
        <f>COUNTIF(Enforcements!$J$2:$J$86,Stats!A10)</f>
        <v>3</v>
      </c>
      <c r="E10" s="1">
        <f t="shared" si="0"/>
        <v>3.5294117647058823E-2</v>
      </c>
    </row>
    <row r="11" spans="1:5" x14ac:dyDescent="0.25">
      <c r="A11">
        <v>127562</v>
      </c>
      <c r="B11" t="str">
        <f>UPPER(VLOOKUP(A11/10000,Crossings!$A$2:$B$39,2,FALSE))</f>
        <v>40TH AND AIRPORT STATION</v>
      </c>
      <c r="C11" t="str">
        <f>VLOOKUP(A11,Enforcements!$J$2:$K$86,2,FALSE)</f>
        <v>Increasing Mileposts (1)</v>
      </c>
      <c r="D11">
        <f>COUNTIF(Enforcements!$J$2:$J$86,Stats!A11)</f>
        <v>2</v>
      </c>
      <c r="E11" s="1">
        <f t="shared" si="0"/>
        <v>2.3529411764705882E-2</v>
      </c>
    </row>
    <row r="12" spans="1:5" x14ac:dyDescent="0.25">
      <c r="A12">
        <v>37462</v>
      </c>
      <c r="B12" t="str">
        <f>UPPER(VLOOKUP(A12/10000,Crossings!$A$2:$B$39,2,FALSE))</f>
        <v>COLORADO STATION</v>
      </c>
      <c r="C12" t="str">
        <f>VLOOKUP(A12,Enforcements!$J$2:$K$86,2,FALSE)</f>
        <v>Decreasing Mileposts (2)</v>
      </c>
      <c r="D12">
        <f>COUNTIF(Enforcements!$J$2:$J$86,Stats!A12)</f>
        <v>2</v>
      </c>
      <c r="E12" s="1">
        <f t="shared" si="0"/>
        <v>2.3529411764705882E-2</v>
      </c>
    </row>
    <row r="13" spans="1:5" x14ac:dyDescent="0.25">
      <c r="A13">
        <v>108954</v>
      </c>
      <c r="B13" t="str">
        <f>UPPER(VLOOKUP(A13/10000,Crossings!$A$2:$B$39,2,FALSE))</f>
        <v>CHAMBERS ROAD</v>
      </c>
      <c r="C13" t="str">
        <f>VLOOKUP(A13,Enforcements!$J$2:$K$86,2,FALSE)</f>
        <v>Increasing Mileposts (1)</v>
      </c>
      <c r="D13">
        <f>COUNTIF(Enforcements!$J$2:$J$86,Stats!A13)</f>
        <v>1</v>
      </c>
      <c r="E13" s="1">
        <f t="shared" si="0"/>
        <v>1.1764705882352941E-2</v>
      </c>
    </row>
    <row r="14" spans="1:5" x14ac:dyDescent="0.25">
      <c r="A14">
        <v>128462</v>
      </c>
      <c r="B14" t="str">
        <f>UPPER(VLOOKUP(A14/10000,Crossings!$A$2:$B$39,2,FALSE))</f>
        <v>40TH AND AIRPORT STATION</v>
      </c>
      <c r="C14" t="str">
        <f>VLOOKUP(A14,Enforcements!$J$2:$K$86,2,FALSE)</f>
        <v>Decreasing Mileposts (2)</v>
      </c>
      <c r="D14">
        <f>COUNTIF(Enforcements!$J$2:$J$86,Stats!A14)</f>
        <v>1</v>
      </c>
      <c r="E14" s="1">
        <f t="shared" si="0"/>
        <v>1.1764705882352941E-2</v>
      </c>
    </row>
    <row r="15" spans="1:5" x14ac:dyDescent="0.25">
      <c r="A15">
        <v>48048</v>
      </c>
      <c r="B15" t="str">
        <f>UPPER(VLOOKUP(A15/10000,Crossings!$A$2:$B$39,2,FALSE))</f>
        <v>HOLLY STREET</v>
      </c>
      <c r="C15" t="str">
        <f>VLOOKUP(A15,Enforcements!$J$2:$K$86,2,FALSE)</f>
        <v>Decreasing Mileposts (2)</v>
      </c>
      <c r="D15">
        <f>COUNTIF(Enforcements!$J$2:$J$86,Stats!A15)</f>
        <v>1</v>
      </c>
      <c r="E15" s="1">
        <f t="shared" si="0"/>
        <v>1.1764705882352941E-2</v>
      </c>
    </row>
    <row r="16" spans="1:5" x14ac:dyDescent="0.25">
      <c r="A16">
        <v>58783</v>
      </c>
      <c r="B16" t="str">
        <f>UPPER(VLOOKUP(A16/10000,Crossings!$A$2:$B$39,2,FALSE))</f>
        <v>NB QUEBEC PARKWAY</v>
      </c>
      <c r="C16" t="str">
        <f>VLOOKUP(A16,Enforcements!$J$2:$K$86,2,FALSE)</f>
        <v>Increasing Mileposts (1)</v>
      </c>
      <c r="D16">
        <f>COUNTIF(Enforcements!$J$2:$J$86,Stats!A16)</f>
        <v>1</v>
      </c>
      <c r="E16" s="1">
        <f t="shared" si="0"/>
        <v>1.1764705882352941E-2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MacroDriver</vt:lpstr>
      <vt:lpstr>Crossings</vt:lpstr>
      <vt:lpstr>Enforcements</vt:lpstr>
      <vt:lpstr>Stats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2016-08-19T18:03:12Z</dcterms:modified>
</cp:coreProperties>
</file>